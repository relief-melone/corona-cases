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017901CF-6C8E-4702-88F4-FC4CE312EF17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RAW_Cases!$A$1:$CT$255</definedName>
    <definedName name="ExterneDaten_1" localSheetId="2" hidden="1">RAW_DEATHS!$A$1:$CT$255</definedName>
    <definedName name="ExterneDaten_1" localSheetId="3" hidden="1">RAW_RECOVERED!$A$1:$CT$241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K12" i="1" s="1"/>
  <c r="BJ4" i="1"/>
  <c r="BJ12" i="1" s="1"/>
  <c r="BI4" i="1"/>
  <c r="BH4" i="1"/>
  <c r="BG4" i="1"/>
  <c r="BF4" i="1"/>
  <c r="BE4" i="1"/>
  <c r="BE12" i="1" s="1"/>
  <c r="BD4" i="1"/>
  <c r="BD12" i="1" s="1"/>
  <c r="BC4" i="1"/>
  <c r="BC12" i="1" s="1"/>
  <c r="BB4" i="1"/>
  <c r="BA4" i="1"/>
  <c r="AZ4" i="1"/>
  <c r="AY4" i="1"/>
  <c r="AX4" i="1"/>
  <c r="AW4" i="1"/>
  <c r="AW12" i="1" s="1"/>
  <c r="AV4" i="1"/>
  <c r="AV12" i="1" s="1"/>
  <c r="AU4" i="1"/>
  <c r="AU12" i="1" s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P12" i="1" l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<sst xmlns="http://schemas.openxmlformats.org/spreadsheetml/2006/main" count="2064" uniqueCount="450">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</sst>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Overview!$B$16:$BR$16</c:f>
              <c:numCache>
                <c:formatCode>General</c:formatCode>
                <c:ptCount val="3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Overview!$B$17:$BR$17</c:f>
              <c:numCache>
                <c:formatCode>General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Overview!$B$18:$BR$18</c:f>
              <c:numCache>
                <c:formatCode>General</c:formatCode>
                <c:ptCount val="30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  <c:pt idx="29">
                  <c:v>101739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Overview!$A$19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Overview!$B$19:$BR$19</c:f>
              <c:numCache>
                <c:formatCode>General</c:formatCode>
                <c:ptCount val="30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38</c:v>
                </c:pt>
                <c:pt idx="4">
                  <c:v>82</c:v>
                </c:pt>
                <c:pt idx="5">
                  <c:v>128</c:v>
                </c:pt>
                <c:pt idx="6">
                  <c:v>188</c:v>
                </c:pt>
                <c:pt idx="7">
                  <c:v>265</c:v>
                </c:pt>
                <c:pt idx="8">
                  <c:v>321</c:v>
                </c:pt>
                <c:pt idx="9">
                  <c:v>382</c:v>
                </c:pt>
                <c:pt idx="10">
                  <c:v>503</c:v>
                </c:pt>
                <c:pt idx="11">
                  <c:v>503</c:v>
                </c:pt>
                <c:pt idx="12">
                  <c:v>806</c:v>
                </c:pt>
                <c:pt idx="13">
                  <c:v>962</c:v>
                </c:pt>
                <c:pt idx="14">
                  <c:v>1138</c:v>
                </c:pt>
                <c:pt idx="15">
                  <c:v>1416</c:v>
                </c:pt>
                <c:pt idx="16">
                  <c:v>1711</c:v>
                </c:pt>
                <c:pt idx="17">
                  <c:v>2058</c:v>
                </c:pt>
                <c:pt idx="18">
                  <c:v>2467</c:v>
                </c:pt>
                <c:pt idx="19">
                  <c:v>3003</c:v>
                </c:pt>
                <c:pt idx="20">
                  <c:v>3640</c:v>
                </c:pt>
                <c:pt idx="21">
                  <c:v>4217</c:v>
                </c:pt>
                <c:pt idx="22">
                  <c:v>4764</c:v>
                </c:pt>
                <c:pt idx="23">
                  <c:v>5580</c:v>
                </c:pt>
                <c:pt idx="24">
                  <c:v>6438</c:v>
                </c:pt>
                <c:pt idx="25">
                  <c:v>7468</c:v>
                </c:pt>
                <c:pt idx="26">
                  <c:v>8647</c:v>
                </c:pt>
                <c:pt idx="27">
                  <c:v>9819</c:v>
                </c:pt>
                <c:pt idx="28">
                  <c:v>10930</c:v>
                </c:pt>
                <c:pt idx="29">
                  <c:v>11817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Overview!$B$20:$BR$20</c:f>
              <c:numCache>
                <c:formatCode>General</c:formatCode>
                <c:ptCount val="30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  <c:pt idx="29">
                  <c:v>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Overview!$B$21:$BR$21</c:f>
              <c:numCache>
                <c:formatCode>General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Overview!$B$22:$BR$22</c:f>
              <c:numCache>
                <c:formatCode>General</c:formatCode>
                <c:ptCount val="30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  <c:pt idx="29">
                  <c:v>45170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Overview!$B$38:$BR$38</c:f>
              <c:numCache>
                <c:formatCode>0</c:formatCode>
                <c:ptCount val="3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Overview!$B$39:$BR$39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Overview!$B$40:$BR$40</c:f>
              <c:numCache>
                <c:formatCode>0</c:formatCode>
                <c:ptCount val="30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Overview!$B$41:$BR$41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253</c:v>
                </c:pt>
                <c:pt idx="29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Overview!$B$42:$BR$42</c:f>
              <c:numCache>
                <c:formatCode>0</c:formatCode>
                <c:ptCount val="3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Overview!$B$43:$BR$43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Overview!$B$44:$BR$44</c:f>
              <c:numCache>
                <c:formatCode>0</c:formatCode>
                <c:ptCount val="3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Overview!$B$27:$BR$27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Overview!$B$28:$BR$28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Overview!$B$29:$BR$29</c:f>
              <c:numCache>
                <c:formatCode>0</c:formatCode>
                <c:ptCount val="30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Overview!$B$30:$BR$30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20</c:v>
                </c:pt>
                <c:pt idx="15">
                  <c:v>24</c:v>
                </c:pt>
                <c:pt idx="16">
                  <c:v>43</c:v>
                </c:pt>
                <c:pt idx="17">
                  <c:v>58</c:v>
                </c:pt>
                <c:pt idx="18">
                  <c:v>77</c:v>
                </c:pt>
                <c:pt idx="19">
                  <c:v>107</c:v>
                </c:pt>
                <c:pt idx="20">
                  <c:v>137</c:v>
                </c:pt>
                <c:pt idx="21">
                  <c:v>180</c:v>
                </c:pt>
                <c:pt idx="22">
                  <c:v>214</c:v>
                </c:pt>
                <c:pt idx="23">
                  <c:v>277</c:v>
                </c:pt>
                <c:pt idx="24">
                  <c:v>357</c:v>
                </c:pt>
                <c:pt idx="25">
                  <c:v>435</c:v>
                </c:pt>
                <c:pt idx="26">
                  <c:v>547</c:v>
                </c:pt>
                <c:pt idx="27">
                  <c:v>640</c:v>
                </c:pt>
                <c:pt idx="28">
                  <c:v>772</c:v>
                </c:pt>
                <c:pt idx="29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Overview!$B$31:$BR$31</c:f>
              <c:numCache>
                <c:formatCode>0</c:formatCode>
                <c:ptCount val="30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Overview!$B$32:$BR$32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Overview!$B$33:$BR$33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Overview!$B$4:$BR$4</c:f>
              <c:numCache>
                <c:formatCode>0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Overview!$B$5:$BR$5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Overview!$B$6:$BR$6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ser>
          <c:idx val="3"/>
          <c:order val="3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  <c:pt idx="29">
                  <c:v>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D-4916-923D-3EA921C7C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  <c:pt idx="29">
                  <c:v>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Overview!$B$8:$BR$8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11</c:v>
                </c:pt>
                <c:pt idx="9">
                  <c:v>7</c:v>
                </c:pt>
                <c:pt idx="10">
                  <c:v>19</c:v>
                </c:pt>
                <c:pt idx="11">
                  <c:v>1</c:v>
                </c:pt>
                <c:pt idx="12">
                  <c:v>78</c:v>
                </c:pt>
                <c:pt idx="13">
                  <c:v>62</c:v>
                </c:pt>
                <c:pt idx="14">
                  <c:v>94</c:v>
                </c:pt>
                <c:pt idx="15">
                  <c:v>53</c:v>
                </c:pt>
                <c:pt idx="16">
                  <c:v>191</c:v>
                </c:pt>
                <c:pt idx="17">
                  <c:v>90</c:v>
                </c:pt>
                <c:pt idx="18">
                  <c:v>207</c:v>
                </c:pt>
                <c:pt idx="19">
                  <c:v>213</c:v>
                </c:pt>
                <c:pt idx="20">
                  <c:v>332</c:v>
                </c:pt>
                <c:pt idx="21">
                  <c:v>397</c:v>
                </c:pt>
                <c:pt idx="22">
                  <c:v>539</c:v>
                </c:pt>
                <c:pt idx="23">
                  <c:v>497</c:v>
                </c:pt>
                <c:pt idx="24">
                  <c:v>839</c:v>
                </c:pt>
                <c:pt idx="25">
                  <c:v>718</c:v>
                </c:pt>
                <c:pt idx="26">
                  <c:v>773</c:v>
                </c:pt>
                <c:pt idx="27">
                  <c:v>844</c:v>
                </c:pt>
                <c:pt idx="28">
                  <c:v>821</c:v>
                </c:pt>
                <c:pt idx="29">
                  <c:v>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Overview!$B$9:$BR$9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151</c:v>
                </c:pt>
                <c:pt idx="11">
                  <c:v>0</c:v>
                </c:pt>
                <c:pt idx="12">
                  <c:v>10</c:v>
                </c:pt>
                <c:pt idx="13">
                  <c:v>324</c:v>
                </c:pt>
                <c:pt idx="14">
                  <c:v>0</c:v>
                </c:pt>
                <c:pt idx="15">
                  <c:v>13</c:v>
                </c:pt>
                <c:pt idx="16">
                  <c:v>498</c:v>
                </c:pt>
                <c:pt idx="17">
                  <c:v>53</c:v>
                </c:pt>
                <c:pt idx="18">
                  <c:v>26</c:v>
                </c:pt>
                <c:pt idx="19">
                  <c:v>481</c:v>
                </c:pt>
                <c:pt idx="20">
                  <c:v>537</c:v>
                </c:pt>
                <c:pt idx="21">
                  <c:v>450</c:v>
                </c:pt>
                <c:pt idx="22">
                  <c:v>0</c:v>
                </c:pt>
                <c:pt idx="23">
                  <c:v>1219</c:v>
                </c:pt>
                <c:pt idx="24">
                  <c:v>1573</c:v>
                </c:pt>
                <c:pt idx="25">
                  <c:v>1648</c:v>
                </c:pt>
                <c:pt idx="26">
                  <c:v>2342</c:v>
                </c:pt>
                <c:pt idx="27">
                  <c:v>2928</c:v>
                </c:pt>
                <c:pt idx="28">
                  <c:v>2424</c:v>
                </c:pt>
                <c:pt idx="29">
                  <c:v>2071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ser>
          <c:idx val="3"/>
          <c:order val="3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  <c:pt idx="29">
                  <c:v>8.7725681022329347E-2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1F4-8E05-EB01FF7B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  <c:pt idx="29">
                  <c:v>8.7725681022329347E-2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Overview!$B$12:$BR$12</c:f>
              <c:numCache>
                <c:formatCode>0.00%</c:formatCode>
                <c:ptCount val="30"/>
                <c:pt idx="0">
                  <c:v>2.3809523809523808E-2</c:v>
                </c:pt>
                <c:pt idx="1">
                  <c:v>1.6666666666666666E-2</c:v>
                </c:pt>
                <c:pt idx="2">
                  <c:v>1.2121212121212121E-2</c:v>
                </c:pt>
                <c:pt idx="3">
                  <c:v>9.0090090090090089E-3</c:v>
                </c:pt>
                <c:pt idx="4">
                  <c:v>7.7220077220077222E-3</c:v>
                </c:pt>
                <c:pt idx="5">
                  <c:v>5.0000000000000001E-3</c:v>
                </c:pt>
                <c:pt idx="6">
                  <c:v>0.06</c:v>
                </c:pt>
                <c:pt idx="7">
                  <c:v>4.4576523031203567E-2</c:v>
                </c:pt>
                <c:pt idx="8">
                  <c:v>2.9822926374650512E-2</c:v>
                </c:pt>
                <c:pt idx="9">
                  <c:v>1.887905604719764E-2</c:v>
                </c:pt>
                <c:pt idx="10">
                  <c:v>8.0368906455862976E-2</c:v>
                </c:pt>
                <c:pt idx="11">
                  <c:v>8.0368906455862976E-2</c:v>
                </c:pt>
                <c:pt idx="12">
                  <c:v>3.688837920489297E-2</c:v>
                </c:pt>
                <c:pt idx="13">
                  <c:v>8.0895008605851984E-2</c:v>
                </c:pt>
                <c:pt idx="14">
                  <c:v>6.629905103872788E-2</c:v>
                </c:pt>
                <c:pt idx="15">
                  <c:v>5.3309193321263326E-2</c:v>
                </c:pt>
                <c:pt idx="16">
                  <c:v>8.7504256043581891E-2</c:v>
                </c:pt>
                <c:pt idx="17">
                  <c:v>7.7713874910136593E-2</c:v>
                </c:pt>
                <c:pt idx="18">
                  <c:v>6.1626677058397819E-2</c:v>
                </c:pt>
                <c:pt idx="19">
                  <c:v>7.7804997550220481E-2</c:v>
                </c:pt>
                <c:pt idx="20">
                  <c:v>8.3747142744541661E-2</c:v>
                </c:pt>
                <c:pt idx="21">
                  <c:v>8.9509176863181314E-2</c:v>
                </c:pt>
                <c:pt idx="22">
                  <c:v>7.328665755919854E-2</c:v>
                </c:pt>
                <c:pt idx="23">
                  <c:v>9.5123480005014416E-2</c:v>
                </c:pt>
                <c:pt idx="24">
                  <c:v>0.10839139654650105</c:v>
                </c:pt>
                <c:pt idx="25">
                  <c:v>0.12139618592738725</c:v>
                </c:pt>
                <c:pt idx="26">
                  <c:v>0.14237891629513535</c:v>
                </c:pt>
                <c:pt idx="27">
                  <c:v>0.16774766163719532</c:v>
                </c:pt>
                <c:pt idx="28">
                  <c:v>0.1836100362002247</c:v>
                </c:pt>
                <c:pt idx="29">
                  <c:v>0.19077720678521079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Overview!$B$11:$BR$11</c:f>
              <c:numCache>
                <c:formatCode>0.00</c:formatCode>
                <c:ptCount val="30"/>
                <c:pt idx="0">
                  <c:v>1.1538461538461537</c:v>
                </c:pt>
                <c:pt idx="1">
                  <c:v>2.333333333333333</c:v>
                </c:pt>
                <c:pt idx="2">
                  <c:v>2.666666666666667</c:v>
                </c:pt>
                <c:pt idx="3">
                  <c:v>2.8947368421052628</c:v>
                </c:pt>
                <c:pt idx="4">
                  <c:v>6</c:v>
                </c:pt>
                <c:pt idx="5">
                  <c:v>1.8368794326241136</c:v>
                </c:pt>
                <c:pt idx="6">
                  <c:v>4</c:v>
                </c:pt>
                <c:pt idx="7">
                  <c:v>2.8901734104046244</c:v>
                </c:pt>
                <c:pt idx="8">
                  <c:v>1.6825000000000001</c:v>
                </c:pt>
                <c:pt idx="9">
                  <c:v>1.72508038585209</c:v>
                </c:pt>
                <c:pt idx="10">
                  <c:v>2.9123711340206189</c:v>
                </c:pt>
                <c:pt idx="11">
                  <c:v>0</c:v>
                </c:pt>
                <c:pt idx="12">
                  <c:v>0.77055837563451779</c:v>
                </c:pt>
                <c:pt idx="13">
                  <c:v>4.5142364106988779</c:v>
                </c:pt>
                <c:pt idx="14">
                  <c:v>4.5422885572139302</c:v>
                </c:pt>
                <c:pt idx="15">
                  <c:v>3.6371268656716418</c:v>
                </c:pt>
                <c:pt idx="16">
                  <c:v>5.5049833887043187</c:v>
                </c:pt>
                <c:pt idx="17">
                  <c:v>5.4338575393154489</c:v>
                </c:pt>
                <c:pt idx="18">
                  <c:v>3.4320256600049346</c:v>
                </c:pt>
                <c:pt idx="19">
                  <c:v>7.3408255006129952</c:v>
                </c:pt>
                <c:pt idx="20">
                  <c:v>4.1116035455277995</c:v>
                </c:pt>
                <c:pt idx="21">
                  <c:v>7.4761343547436656</c:v>
                </c:pt>
                <c:pt idx="22">
                  <c:v>4.5175879396984921</c:v>
                </c:pt>
                <c:pt idx="23">
                  <c:v>7.3986102337334172</c:v>
                </c:pt>
                <c:pt idx="24">
                  <c:v>4.1417445482866047</c:v>
                </c:pt>
                <c:pt idx="25">
                  <c:v>5.9865796155241204</c:v>
                </c:pt>
                <c:pt idx="26">
                  <c:v>7.2842556409933188</c:v>
                </c:pt>
                <c:pt idx="27">
                  <c:v>8.7438797232570522</c:v>
                </c:pt>
                <c:pt idx="28">
                  <c:v>10.652363636363637</c:v>
                </c:pt>
                <c:pt idx="29">
                  <c:v>10.210298241141983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361950</xdr:rowOff>
    </xdr:from>
    <xdr:to>
      <xdr:col>47</xdr:col>
      <xdr:colOff>181592</xdr:colOff>
      <xdr:row>1</xdr:row>
      <xdr:rowOff>371070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361950</xdr:rowOff>
    </xdr:from>
    <xdr:to>
      <xdr:col>62</xdr:col>
      <xdr:colOff>16426</xdr:colOff>
      <xdr:row>1</xdr:row>
      <xdr:rowOff>371070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361950</xdr:rowOff>
    </xdr:from>
    <xdr:to>
      <xdr:col>54</xdr:col>
      <xdr:colOff>363809</xdr:colOff>
      <xdr:row>1</xdr:row>
      <xdr:rowOff>371070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361950</xdr:rowOff>
    </xdr:from>
    <xdr:to>
      <xdr:col>69</xdr:col>
      <xdr:colOff>8282</xdr:colOff>
      <xdr:row>2</xdr:row>
      <xdr:rowOff>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361950</xdr:rowOff>
    </xdr:from>
    <xdr:to>
      <xdr:col>75</xdr:col>
      <xdr:colOff>525116</xdr:colOff>
      <xdr:row>2</xdr:row>
      <xdr:rowOff>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361950</xdr:rowOff>
    </xdr:from>
    <xdr:to>
      <xdr:col>82</xdr:col>
      <xdr:colOff>525116</xdr:colOff>
      <xdr:row>2</xdr:row>
      <xdr:rowOff>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0" dataDxfId="268" headerRowBorderDxfId="269" tableBorderDxfId="267" totalsRowBorderDxfId="266">
  <autoFilter ref="A15:CE22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2" dataDxfId="180" headerRowBorderDxfId="181" tableBorderDxfId="179" totalsRowBorderDxfId="178">
  <autoFilter ref="A26:CE33" xr:uid="{CE810C95-31BD-4D00-A6C4-74794F901D5E}"/>
  <tableColumns count="83">
    <tableColumn id="2" xr3:uid="{CF1A0C10-347C-489E-8BCB-4EDF0DB15BC7}" name="Country/Region" dataDxfId="177">
      <calculatedColumnFormula>IF(ISBLANK(A16),"",A16)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4" dataDxfId="92" headerRowBorderDxfId="93" tableBorderDxfId="91" totalsRowBorderDxfId="90">
  <autoFilter ref="A37:CE44" xr:uid="{6C98DDCA-7971-4F79-ABF6-0C1E4F39B536}"/>
  <tableColumns count="83">
    <tableColumn id="2" xr3:uid="{88AB28EB-6A99-4362-9C5F-F38AE633C068}" name="Country/Region" dataDxfId="89">
      <calculatedColumnFormula>IF(ISBLANK(A27),"",A27)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5" tableType="queryTable" totalsRowShown="0">
  <autoFilter ref="A1:CT255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5" tableType="queryTable" totalsRowShown="0">
  <autoFilter ref="A1:CT255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1" tableType="queryTable" totalsRowShown="0">
  <autoFilter ref="A1:CT241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CH1" sqref="CH1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4.2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4" t="s">
        <v>449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</row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22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0</v>
      </c>
      <c r="L4" s="28">
        <f>SUMIF(RAW_Cases!$B:$B,$A$3,RAW_Cases!M:M)</f>
        <v>1</v>
      </c>
      <c r="M4" s="28">
        <f>SUMIF(RAW_Cases!$B:$B,$A$3,RAW_Cases!N:N)</f>
        <v>1</v>
      </c>
      <c r="N4" s="28">
        <f>SUMIF(RAW_Cases!$B:$B,$A$3,RAW_Cases!O:O)</f>
        <v>1</v>
      </c>
      <c r="O4" s="28">
        <f>SUMIF(RAW_Cases!$B:$B,$A$3,RAW_Cases!P:P)</f>
        <v>1</v>
      </c>
      <c r="P4" s="28">
        <f>SUMIF(RAW_Cases!$B:$B,$A$3,RAW_Cases!Q:Q)</f>
        <v>1</v>
      </c>
      <c r="Q4" s="28">
        <f>SUMIF(RAW_Cases!$B:$B,$A$3,RAW_Cases!R:R)</f>
        <v>1</v>
      </c>
      <c r="R4" s="28">
        <f>SUMIF(RAW_Cases!$B:$B,$A$3,RAW_Cases!S:S)</f>
        <v>1</v>
      </c>
      <c r="S4" s="28">
        <f>SUMIF(RAW_Cases!$B:$B,$A$3,RAW_Cases!T:T)</f>
        <v>1</v>
      </c>
      <c r="T4" s="28">
        <f>SUMIF(RAW_Cases!$B:$B,$A$3,RAW_Cases!U:U)</f>
        <v>2</v>
      </c>
      <c r="U4" s="28">
        <f>SUMIF(RAW_Cases!$B:$B,$A$3,RAW_Cases!V:V)</f>
        <v>2</v>
      </c>
      <c r="V4" s="28">
        <f>SUMIF(RAW_Cases!$B:$B,$A$3,RAW_Cases!W:W)</f>
        <v>2</v>
      </c>
      <c r="W4" s="28">
        <f>SUMIF(RAW_Cases!$B:$B,$A$3,RAW_Cases!X:X)</f>
        <v>2</v>
      </c>
      <c r="X4" s="28">
        <f>SUMIF(RAW_Cases!$B:$B,$A$3,RAW_Cases!Y:Y)</f>
        <v>2</v>
      </c>
      <c r="Y4" s="28">
        <f>SUMIF(RAW_Cases!$B:$B,$A$3,RAW_Cases!Z:Z)</f>
        <v>2</v>
      </c>
      <c r="Z4" s="28">
        <f>SUMIF(RAW_Cases!$B:$B,$A$3,RAW_Cases!AA:AA)</f>
        <v>2</v>
      </c>
      <c r="AA4" s="28">
        <f>SUMIF(RAW_Cases!$B:$B,$A$3,RAW_Cases!AB:AB)</f>
        <v>2</v>
      </c>
      <c r="AB4" s="28">
        <f>SUMIF(RAW_Cases!$B:$B,$A$3,RAW_Cases!AC:AC)</f>
        <v>2</v>
      </c>
      <c r="AC4" s="28">
        <f>SUMIF(RAW_Cases!$B:$B,$A$3,RAW_Cases!AD:AD)</f>
        <v>2</v>
      </c>
      <c r="AD4" s="28">
        <f>SUMIF(RAW_Cases!$B:$B,$A$3,RAW_Cases!AE:AE)</f>
        <v>2</v>
      </c>
      <c r="AE4" s="28">
        <f>SUMIF(RAW_Cases!$B:$B,$A$3,RAW_Cases!AF:AF)</f>
        <v>2</v>
      </c>
      <c r="AF4" s="28">
        <f>SUMIF(RAW_Cases!$B:$B,$A$3,RAW_Cases!AG:AG)</f>
        <v>2</v>
      </c>
      <c r="AG4" s="28">
        <f>SUMIF(RAW_Cases!$B:$B,$A$3,RAW_Cases!AH:AH)</f>
        <v>2</v>
      </c>
      <c r="AH4" s="28">
        <f>SUMIF(RAW_Cases!$B:$B,$A$3,RAW_Cases!AI:AI)</f>
        <v>2</v>
      </c>
      <c r="AI4" s="28">
        <f>SUMIF(RAW_Cases!$B:$B,$A$3,RAW_Cases!AJ:AJ)</f>
        <v>2</v>
      </c>
      <c r="AJ4" s="28">
        <f>SUMIF(RAW_Cases!$B:$B,$A$3,RAW_Cases!AK:AK)</f>
        <v>6</v>
      </c>
      <c r="AK4" s="28">
        <f>SUMIF(RAW_Cases!$B:$B,$A$3,RAW_Cases!AL:AL)</f>
        <v>13</v>
      </c>
      <c r="AL4" s="28">
        <f>SUMIF(RAW_Cases!$B:$B,$A$3,RAW_Cases!AM:AM)</f>
        <v>15</v>
      </c>
      <c r="AM4" s="28">
        <f>SUMIF(RAW_Cases!$B:$B,$A$3,RAW_Cases!AN:AN)</f>
        <v>32</v>
      </c>
      <c r="AN4" s="28">
        <f>SUMIF(RAW_Cases!$B:$B,$A$3,RAW_Cases!AO:AO)</f>
        <v>45</v>
      </c>
      <c r="AO4" s="28">
        <f>SUMIF(RAW_Cases!$B:$B,$A$3,RAW_Cases!AP:AP)</f>
        <v>84</v>
      </c>
      <c r="AP4" s="28">
        <f>SUMIF(RAW_Cases!$B:$B,$A$3,RAW_Cases!AQ:AQ)</f>
        <v>120</v>
      </c>
      <c r="AQ4" s="28">
        <f>SUMIF(RAW_Cases!$B:$B,$A$3,RAW_Cases!AR:AR)</f>
        <v>165</v>
      </c>
      <c r="AR4" s="28">
        <f>SUMIF(RAW_Cases!$B:$B,$A$3,RAW_Cases!AS:AS)</f>
        <v>222</v>
      </c>
      <c r="AS4" s="28">
        <f>SUMIF(RAW_Cases!$B:$B,$A$3,RAW_Cases!AT:AT)</f>
        <v>259</v>
      </c>
      <c r="AT4" s="28">
        <f>SUMIF(RAW_Cases!$B:$B,$A$3,RAW_Cases!AU:AU)</f>
        <v>400</v>
      </c>
      <c r="AU4" s="28">
        <f>SUMIF(RAW_Cases!$B:$B,$A$3,RAW_Cases!AV:AV)</f>
        <v>500</v>
      </c>
      <c r="AV4" s="28">
        <f>SUMIF(RAW_Cases!$B:$B,$A$3,RAW_Cases!AW:AW)</f>
        <v>673</v>
      </c>
      <c r="AW4" s="28">
        <f>SUMIF(RAW_Cases!$B:$B,$A$3,RAW_Cases!AX:AX)</f>
        <v>1073</v>
      </c>
      <c r="AX4" s="28">
        <f>SUMIF(RAW_Cases!$B:$B,$A$3,RAW_Cases!AY:AY)</f>
        <v>1695</v>
      </c>
      <c r="AY4" s="28">
        <f>SUMIF(RAW_Cases!$B:$B,$A$3,RAW_Cases!AZ:AZ)</f>
        <v>2277</v>
      </c>
      <c r="AZ4" s="28">
        <f>SUMIF(RAW_Cases!$B:$B,$A$3,RAW_Cases!BA:BA)</f>
        <v>2277</v>
      </c>
      <c r="BA4" s="28">
        <f>SUMIF(RAW_Cases!$B:$B,$A$3,RAW_Cases!BB:BB)</f>
        <v>5232</v>
      </c>
      <c r="BB4" s="28">
        <f>SUMIF(RAW_Cases!$B:$B,$A$3,RAW_Cases!BC:BC)</f>
        <v>6391</v>
      </c>
      <c r="BC4" s="28">
        <f>SUMIF(RAW_Cases!$B:$B,$A$3,RAW_Cases!BD:BD)</f>
        <v>7798</v>
      </c>
      <c r="BD4" s="28">
        <f>SUMIF(RAW_Cases!$B:$B,$A$3,RAW_Cases!BE:BE)</f>
        <v>9942</v>
      </c>
      <c r="BE4" s="28">
        <f>SUMIF(RAW_Cases!$B:$B,$A$3,RAW_Cases!BF:BF)</f>
        <v>11748</v>
      </c>
      <c r="BF4" s="28">
        <f>SUMIF(RAW_Cases!$B:$B,$A$3,RAW_Cases!BG:BG)</f>
        <v>13910</v>
      </c>
      <c r="BG4" s="28">
        <f>SUMIF(RAW_Cases!$B:$B,$A$3,RAW_Cases!BH:BH)</f>
        <v>17963</v>
      </c>
      <c r="BH4" s="28">
        <f>SUMIF(RAW_Cases!$B:$B,$A$3,RAW_Cases!BI:BI)</f>
        <v>20410</v>
      </c>
      <c r="BI4" s="28">
        <f>SUMIF(RAW_Cases!$B:$B,$A$3,RAW_Cases!BJ:BJ)</f>
        <v>25374</v>
      </c>
      <c r="BJ4" s="28">
        <f>SUMIF(RAW_Cases!$B:$B,$A$3,RAW_Cases!BK:BK)</f>
        <v>28768</v>
      </c>
      <c r="BK4" s="28">
        <f>SUMIF(RAW_Cases!$B:$B,$A$3,RAW_Cases!BL:BL)</f>
        <v>35136</v>
      </c>
      <c r="BL4" s="28">
        <f>SUMIF(RAW_Cases!$B:$B,$A$3,RAW_Cases!BM:BM)</f>
        <v>39885</v>
      </c>
      <c r="BM4" s="28">
        <f>SUMIF(RAW_Cases!$B:$B,$A$3,RAW_Cases!BN:BN)</f>
        <v>49515</v>
      </c>
      <c r="BN4" s="28">
        <f>SUMIF(RAW_Cases!$B:$B,$A$3,RAW_Cases!BO:BO)</f>
        <v>57786</v>
      </c>
      <c r="BO4" s="28">
        <f>SUMIF(RAW_Cases!$B:$B,$A$3,RAW_Cases!BP:BP)</f>
        <v>65719</v>
      </c>
      <c r="BP4" s="28">
        <f>SUMIF(RAW_Cases!$B:$B,$A$3,RAW_Cases!BQ:BQ)</f>
        <v>73235</v>
      </c>
      <c r="BQ4" s="28">
        <f>SUMIF(RAW_Cases!$B:$B,$A$3,RAW_Cases!BR:BR)</f>
        <v>80110</v>
      </c>
      <c r="BR4" s="28">
        <f>SUMIF(RAW_Cases!$B:$B,$A$3,RAW_Cases!BS:BS)</f>
        <v>87956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1</v>
      </c>
      <c r="AR5" s="28">
        <f>SUMIF(RAW_DEATHS!$B:$B,$A$3,RAW_DEATHS!AS:AS)</f>
        <v>2</v>
      </c>
      <c r="AS5" s="28">
        <f>SUMIF(RAW_DEATHS!$B:$B,$A$3,RAW_DEATHS!AT:AT)</f>
        <v>3</v>
      </c>
      <c r="AT5" s="28">
        <f>SUMIF(RAW_DEATHS!$B:$B,$A$3,RAW_DEATHS!AU:AU)</f>
        <v>5</v>
      </c>
      <c r="AU5" s="28">
        <f>SUMIF(RAW_DEATHS!$B:$B,$A$3,RAW_DEATHS!AV:AV)</f>
        <v>10</v>
      </c>
      <c r="AV5" s="28">
        <f>SUMIF(RAW_DEATHS!$B:$B,$A$3,RAW_DEATHS!AW:AW)</f>
        <v>17</v>
      </c>
      <c r="AW5" s="28">
        <f>SUMIF(RAW_DEATHS!$B:$B,$A$3,RAW_DEATHS!AX:AX)</f>
        <v>28</v>
      </c>
      <c r="AX5" s="28">
        <f>SUMIF(RAW_DEATHS!$B:$B,$A$3,RAW_DEATHS!AY:AY)</f>
        <v>35</v>
      </c>
      <c r="AY5" s="28">
        <f>SUMIF(RAW_DEATHS!$B:$B,$A$3,RAW_DEATHS!AZ:AZ)</f>
        <v>54</v>
      </c>
      <c r="AZ5" s="28">
        <f>SUMIF(RAW_DEATHS!$B:$B,$A$3,RAW_DEATHS!BA:BA)</f>
        <v>55</v>
      </c>
      <c r="BA5" s="28">
        <f>SUMIF(RAW_DEATHS!$B:$B,$A$3,RAW_DEATHS!BB:BB)</f>
        <v>133</v>
      </c>
      <c r="BB5" s="28">
        <f>SUMIF(RAW_DEATHS!$B:$B,$A$3,RAW_DEATHS!BC:BC)</f>
        <v>195</v>
      </c>
      <c r="BC5" s="28">
        <f>SUMIF(RAW_DEATHS!$B:$B,$A$3,RAW_DEATHS!BD:BD)</f>
        <v>289</v>
      </c>
      <c r="BD5" s="28">
        <f>SUMIF(RAW_DEATHS!$B:$B,$A$3,RAW_DEATHS!BE:BE)</f>
        <v>342</v>
      </c>
      <c r="BE5" s="28">
        <f>SUMIF(RAW_DEATHS!$B:$B,$A$3,RAW_DEATHS!BF:BF)</f>
        <v>533</v>
      </c>
      <c r="BF5" s="28">
        <f>SUMIF(RAW_DEATHS!$B:$B,$A$3,RAW_DEATHS!BG:BG)</f>
        <v>623</v>
      </c>
      <c r="BG5" s="28">
        <f>SUMIF(RAW_DEATHS!$B:$B,$A$3,RAW_DEATHS!BH:BH)</f>
        <v>830</v>
      </c>
      <c r="BH5" s="28">
        <f>SUMIF(RAW_DEATHS!$B:$B,$A$3,RAW_DEATHS!BI:BI)</f>
        <v>1043</v>
      </c>
      <c r="BI5" s="28">
        <f>SUMIF(RAW_DEATHS!$B:$B,$A$3,RAW_DEATHS!BJ:BJ)</f>
        <v>1375</v>
      </c>
      <c r="BJ5" s="28">
        <f>SUMIF(RAW_DEATHS!$B:$B,$A$3,RAW_DEATHS!BK:BK)</f>
        <v>1772</v>
      </c>
      <c r="BK5" s="28">
        <f>SUMIF(RAW_DEATHS!$B:$B,$A$3,RAW_DEATHS!BL:BL)</f>
        <v>2311</v>
      </c>
      <c r="BL5" s="28">
        <f>SUMIF(RAW_DEATHS!$B:$B,$A$3,RAW_DEATHS!BM:BM)</f>
        <v>2808</v>
      </c>
      <c r="BM5" s="28">
        <f>SUMIF(RAW_DEATHS!$B:$B,$A$3,RAW_DEATHS!BN:BN)</f>
        <v>3647</v>
      </c>
      <c r="BN5" s="28">
        <f>SUMIF(RAW_DEATHS!$B:$B,$A$3,RAW_DEATHS!BO:BO)</f>
        <v>4365</v>
      </c>
      <c r="BO5" s="28">
        <f>SUMIF(RAW_DEATHS!$B:$B,$A$3,RAW_DEATHS!BP:BP)</f>
        <v>5138</v>
      </c>
      <c r="BP5" s="28">
        <f>SUMIF(RAW_DEATHS!$B:$B,$A$3,RAW_DEATHS!BQ:BQ)</f>
        <v>5982</v>
      </c>
      <c r="BQ5" s="28">
        <f>SUMIF(RAW_DEATHS!$B:$B,$A$3,RAW_DEATHS!BR:BR)</f>
        <v>6803</v>
      </c>
      <c r="BR5" s="28">
        <f>SUMIF(RAW_DEATHS!$B:$B,$A$3,RAW_DEATHS!BS:BS)</f>
        <v>7716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2</v>
      </c>
      <c r="AA6" s="28">
        <f>SUMIF(RAW_RECOVERED!$B:$B,$A$3,RAW_RECOVERED!AB:AB)</f>
        <v>2</v>
      </c>
      <c r="AB6" s="28">
        <f>SUMIF(RAW_RECOVERED!$B:$B,$A$3,RAW_RECOVERED!AC:AC)</f>
        <v>2</v>
      </c>
      <c r="AC6" s="28">
        <f>SUMIF(RAW_RECOVERED!$B:$B,$A$3,RAW_RECOVERED!AD:AD)</f>
        <v>2</v>
      </c>
      <c r="AD6" s="28">
        <f>SUMIF(RAW_RECOVERED!$B:$B,$A$3,RAW_RECOVERED!AE:AE)</f>
        <v>2</v>
      </c>
      <c r="AE6" s="28">
        <f>SUMIF(RAW_RECOVERED!$B:$B,$A$3,RAW_RECOVERED!AF:AF)</f>
        <v>2</v>
      </c>
      <c r="AF6" s="28">
        <f>SUMIF(RAW_RECOVERED!$B:$B,$A$3,RAW_RECOVERED!AG:AG)</f>
        <v>2</v>
      </c>
      <c r="AG6" s="28">
        <f>SUMIF(RAW_RECOVERED!$B:$B,$A$3,RAW_RECOVERED!AH:AH)</f>
        <v>2</v>
      </c>
      <c r="AH6" s="28">
        <f>SUMIF(RAW_RECOVERED!$B:$B,$A$3,RAW_RECOVERED!AI:AI)</f>
        <v>2</v>
      </c>
      <c r="AI6" s="28">
        <f>SUMIF(RAW_RECOVERED!$B:$B,$A$3,RAW_RECOVERED!AJ:AJ)</f>
        <v>2</v>
      </c>
      <c r="AJ6" s="28">
        <f>SUMIF(RAW_RECOVERED!$B:$B,$A$3,RAW_RECOVERED!AK:AK)</f>
        <v>2</v>
      </c>
      <c r="AK6" s="28">
        <f>SUMIF(RAW_RECOVERED!$B:$B,$A$3,RAW_RECOVERED!AL:AL)</f>
        <v>2</v>
      </c>
      <c r="AL6" s="28">
        <f>SUMIF(RAW_RECOVERED!$B:$B,$A$3,RAW_RECOVERED!AM:AM)</f>
        <v>2</v>
      </c>
      <c r="AM6" s="28">
        <f>SUMIF(RAW_RECOVERED!$B:$B,$A$3,RAW_RECOVERED!AN:AN)</f>
        <v>2</v>
      </c>
      <c r="AN6" s="28">
        <f>SUMIF(RAW_RECOVERED!$B:$B,$A$3,RAW_RECOVERED!AO:AO)</f>
        <v>2</v>
      </c>
      <c r="AO6" s="28">
        <f>SUMIF(RAW_RECOVERED!$B:$B,$A$3,RAW_RECOVERED!AP:AP)</f>
        <v>2</v>
      </c>
      <c r="AP6" s="28">
        <f>SUMIF(RAW_RECOVERED!$B:$B,$A$3,RAW_RECOVERED!AQ:AQ)</f>
        <v>2</v>
      </c>
      <c r="AQ6" s="28">
        <f>SUMIF(RAW_RECOVERED!$B:$B,$A$3,RAW_RECOVERED!AR:AR)</f>
        <v>2</v>
      </c>
      <c r="AR6" s="28">
        <f>SUMIF(RAW_RECOVERED!$B:$B,$A$3,RAW_RECOVERED!AS:AS)</f>
        <v>2</v>
      </c>
      <c r="AS6" s="28">
        <f>SUMIF(RAW_RECOVERED!$B:$B,$A$3,RAW_RECOVERED!AT:AT)</f>
        <v>2</v>
      </c>
      <c r="AT6" s="28">
        <f>SUMIF(RAW_RECOVERED!$B:$B,$A$3,RAW_RECOVERED!AU:AU)</f>
        <v>2</v>
      </c>
      <c r="AU6" s="28">
        <f>SUMIF(RAW_RECOVERED!$B:$B,$A$3,RAW_RECOVERED!AV:AV)</f>
        <v>30</v>
      </c>
      <c r="AV6" s="28">
        <f>SUMIF(RAW_RECOVERED!$B:$B,$A$3,RAW_RECOVERED!AW:AW)</f>
        <v>30</v>
      </c>
      <c r="AW6" s="28">
        <f>SUMIF(RAW_RECOVERED!$B:$B,$A$3,RAW_RECOVERED!AX:AX)</f>
        <v>32</v>
      </c>
      <c r="AX6" s="28">
        <f>SUMIF(RAW_RECOVERED!$B:$B,$A$3,RAW_RECOVERED!AY:AY)</f>
        <v>32</v>
      </c>
      <c r="AY6" s="28">
        <f>SUMIF(RAW_RECOVERED!$B:$B,$A$3,RAW_RECOVERED!AZ:AZ)</f>
        <v>183</v>
      </c>
      <c r="AZ6" s="28">
        <f>SUMIF(RAW_RECOVERED!$B:$B,$A$3,RAW_RECOVERED!BA:BA)</f>
        <v>183</v>
      </c>
      <c r="BA6" s="28">
        <f>SUMIF(RAW_RECOVERED!$B:$B,$A$3,RAW_RECOVERED!BB:BB)</f>
        <v>193</v>
      </c>
      <c r="BB6" s="28">
        <f>SUMIF(RAW_RECOVERED!$B:$B,$A$3,RAW_RECOVERED!BC:BC)</f>
        <v>517</v>
      </c>
      <c r="BC6" s="28">
        <f>SUMIF(RAW_RECOVERED!$B:$B,$A$3,RAW_RECOVERED!BD:BD)</f>
        <v>517</v>
      </c>
      <c r="BD6" s="28">
        <f>SUMIF(RAW_RECOVERED!$B:$B,$A$3,RAW_RECOVERED!BE:BE)</f>
        <v>530</v>
      </c>
      <c r="BE6" s="28">
        <f>SUMIF(RAW_RECOVERED!$B:$B,$A$3,RAW_RECOVERED!BF:BF)</f>
        <v>1028</v>
      </c>
      <c r="BF6" s="28">
        <f>SUMIF(RAW_RECOVERED!$B:$B,$A$3,RAW_RECOVERED!BG:BG)</f>
        <v>1081</v>
      </c>
      <c r="BG6" s="28">
        <f>SUMIF(RAW_RECOVERED!$B:$B,$A$3,RAW_RECOVERED!BH:BH)</f>
        <v>1107</v>
      </c>
      <c r="BH6" s="28">
        <f>SUMIF(RAW_RECOVERED!$B:$B,$A$3,RAW_RECOVERED!BI:BI)</f>
        <v>1588</v>
      </c>
      <c r="BI6" s="28">
        <f>SUMIF(RAW_RECOVERED!$B:$B,$A$3,RAW_RECOVERED!BJ:BJ)</f>
        <v>2125</v>
      </c>
      <c r="BJ6" s="28">
        <f>SUMIF(RAW_RECOVERED!$B:$B,$A$3,RAW_RECOVERED!BK:BK)</f>
        <v>2575</v>
      </c>
      <c r="BK6" s="28">
        <f>SUMIF(RAW_RECOVERED!$B:$B,$A$3,RAW_RECOVERED!BL:BL)</f>
        <v>2575</v>
      </c>
      <c r="BL6" s="28">
        <f>SUMIF(RAW_RECOVERED!$B:$B,$A$3,RAW_RECOVERED!BM:BM)</f>
        <v>3794</v>
      </c>
      <c r="BM6" s="28">
        <f>SUMIF(RAW_RECOVERED!$B:$B,$A$3,RAW_RECOVERED!BN:BN)</f>
        <v>5367</v>
      </c>
      <c r="BN6" s="28">
        <f>SUMIF(RAW_RECOVERED!$B:$B,$A$3,RAW_RECOVERED!BO:BO)</f>
        <v>7015</v>
      </c>
      <c r="BO6" s="28">
        <f>SUMIF(RAW_RECOVERED!$B:$B,$A$3,RAW_RECOVERED!BP:BP)</f>
        <v>9357</v>
      </c>
      <c r="BP6" s="28">
        <f>SUMIF(RAW_RECOVERED!$B:$B,$A$3,RAW_RECOVERED!BQ:BQ)</f>
        <v>12285</v>
      </c>
      <c r="BQ6" s="28">
        <f>SUMIF(RAW_RECOVERED!$B:$B,$A$3,RAW_RECOVERED!BR:BR)</f>
        <v>14709</v>
      </c>
      <c r="BR6" s="28">
        <f>SUMIF(RAW_RECOVERED!$B:$B,$A$3,RAW_RECOVERED!BS:BS)</f>
        <v>16780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0</v>
      </c>
      <c r="L7" s="28">
        <f t="shared" si="0"/>
        <v>1</v>
      </c>
      <c r="M7" s="28">
        <f t="shared" si="0"/>
        <v>0</v>
      </c>
      <c r="N7" s="28">
        <f t="shared" si="0"/>
        <v>0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0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4</v>
      </c>
      <c r="AK7" s="28">
        <f t="shared" si="1"/>
        <v>7</v>
      </c>
      <c r="AL7" s="28">
        <f t="shared" si="1"/>
        <v>2</v>
      </c>
      <c r="AM7" s="28">
        <f t="shared" si="1"/>
        <v>17</v>
      </c>
      <c r="AN7" s="28">
        <f t="shared" si="1"/>
        <v>13</v>
      </c>
      <c r="AO7" s="28">
        <f t="shared" si="1"/>
        <v>39</v>
      </c>
      <c r="AP7" s="28">
        <f t="shared" si="1"/>
        <v>36</v>
      </c>
      <c r="AQ7" s="28">
        <f t="shared" si="1"/>
        <v>45</v>
      </c>
      <c r="AR7" s="28">
        <f t="shared" si="1"/>
        <v>57</v>
      </c>
      <c r="AS7" s="28">
        <f t="shared" si="1"/>
        <v>37</v>
      </c>
      <c r="AT7" s="28">
        <f t="shared" si="1"/>
        <v>141</v>
      </c>
      <c r="AU7" s="28">
        <f t="shared" si="1"/>
        <v>100</v>
      </c>
      <c r="AV7" s="28">
        <f t="shared" si="1"/>
        <v>173</v>
      </c>
      <c r="AW7" s="28">
        <f t="shared" si="1"/>
        <v>400</v>
      </c>
      <c r="AX7" s="28">
        <f t="shared" si="1"/>
        <v>622</v>
      </c>
      <c r="AY7" s="28">
        <f t="shared" si="1"/>
        <v>582</v>
      </c>
      <c r="AZ7" s="28">
        <f t="shared" si="1"/>
        <v>0</v>
      </c>
      <c r="BA7" s="28">
        <f t="shared" si="1"/>
        <v>2955</v>
      </c>
      <c r="BB7" s="28">
        <f t="shared" si="1"/>
        <v>1159</v>
      </c>
      <c r="BC7" s="28">
        <f t="shared" si="1"/>
        <v>1407</v>
      </c>
      <c r="BD7" s="28">
        <f t="shared" si="1"/>
        <v>2144</v>
      </c>
      <c r="BE7" s="28">
        <f t="shared" si="1"/>
        <v>1806</v>
      </c>
      <c r="BF7" s="28">
        <f t="shared" si="1"/>
        <v>2162</v>
      </c>
      <c r="BG7" s="28">
        <f t="shared" si="1"/>
        <v>4053</v>
      </c>
      <c r="BH7" s="28">
        <f t="shared" si="1"/>
        <v>2447</v>
      </c>
      <c r="BI7" s="28">
        <f t="shared" si="1"/>
        <v>4964</v>
      </c>
      <c r="BJ7" s="28">
        <f t="shared" si="1"/>
        <v>3394</v>
      </c>
      <c r="BK7" s="28">
        <f t="shared" si="1"/>
        <v>6368</v>
      </c>
      <c r="BL7" s="28">
        <f t="shared" si="1"/>
        <v>4749</v>
      </c>
      <c r="BM7" s="28">
        <f t="shared" si="1"/>
        <v>9630</v>
      </c>
      <c r="BN7" s="28">
        <f t="shared" si="1"/>
        <v>8271</v>
      </c>
      <c r="BO7" s="28">
        <f t="shared" ref="BO7:CE7" si="2">BO4-BN4</f>
        <v>7933</v>
      </c>
      <c r="BP7" s="28">
        <f t="shared" si="2"/>
        <v>7516</v>
      </c>
      <c r="BQ7" s="28">
        <f t="shared" si="2"/>
        <v>6875</v>
      </c>
      <c r="BR7" s="28">
        <f t="shared" si="2"/>
        <v>7846</v>
      </c>
      <c r="BS7" s="28">
        <f t="shared" si="2"/>
        <v>-87956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1</v>
      </c>
      <c r="AR8" s="28">
        <f t="shared" si="4"/>
        <v>1</v>
      </c>
      <c r="AS8" s="28">
        <f t="shared" si="4"/>
        <v>1</v>
      </c>
      <c r="AT8" s="28">
        <f t="shared" si="4"/>
        <v>2</v>
      </c>
      <c r="AU8" s="28">
        <f t="shared" si="4"/>
        <v>5</v>
      </c>
      <c r="AV8" s="28">
        <f t="shared" si="4"/>
        <v>7</v>
      </c>
      <c r="AW8" s="28">
        <f t="shared" si="4"/>
        <v>11</v>
      </c>
      <c r="AX8" s="28">
        <f t="shared" si="4"/>
        <v>7</v>
      </c>
      <c r="AY8" s="28">
        <f t="shared" si="4"/>
        <v>19</v>
      </c>
      <c r="AZ8" s="28">
        <f t="shared" si="4"/>
        <v>1</v>
      </c>
      <c r="BA8" s="28">
        <f t="shared" si="4"/>
        <v>78</v>
      </c>
      <c r="BB8" s="28">
        <f t="shared" si="4"/>
        <v>62</v>
      </c>
      <c r="BC8" s="28">
        <f t="shared" si="4"/>
        <v>94</v>
      </c>
      <c r="BD8" s="28">
        <f t="shared" si="4"/>
        <v>53</v>
      </c>
      <c r="BE8" s="28">
        <f t="shared" si="4"/>
        <v>191</v>
      </c>
      <c r="BF8" s="28">
        <f t="shared" si="4"/>
        <v>90</v>
      </c>
      <c r="BG8" s="28">
        <f t="shared" si="4"/>
        <v>207</v>
      </c>
      <c r="BH8" s="28">
        <f t="shared" si="4"/>
        <v>213</v>
      </c>
      <c r="BI8" s="28">
        <f t="shared" si="4"/>
        <v>332</v>
      </c>
      <c r="BJ8" s="28">
        <f t="shared" si="4"/>
        <v>397</v>
      </c>
      <c r="BK8" s="28">
        <f t="shared" si="4"/>
        <v>539</v>
      </c>
      <c r="BL8" s="28">
        <f t="shared" si="4"/>
        <v>497</v>
      </c>
      <c r="BM8" s="28">
        <f t="shared" si="4"/>
        <v>839</v>
      </c>
      <c r="BN8" s="28">
        <f t="shared" si="4"/>
        <v>718</v>
      </c>
      <c r="BO8" s="28">
        <f t="shared" ref="BO8:CE8" si="5">BO5-BN5</f>
        <v>773</v>
      </c>
      <c r="BP8" s="28">
        <f t="shared" si="5"/>
        <v>844</v>
      </c>
      <c r="BQ8" s="28">
        <f t="shared" si="5"/>
        <v>821</v>
      </c>
      <c r="BR8" s="28">
        <f t="shared" si="5"/>
        <v>913</v>
      </c>
      <c r="BS8" s="28">
        <f t="shared" si="5"/>
        <v>-7716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2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0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0</v>
      </c>
      <c r="AL9" s="28">
        <f t="shared" si="7"/>
        <v>0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28</v>
      </c>
      <c r="AV9" s="28">
        <f t="shared" si="7"/>
        <v>0</v>
      </c>
      <c r="AW9" s="28">
        <f t="shared" si="7"/>
        <v>2</v>
      </c>
      <c r="AX9" s="28">
        <f t="shared" si="7"/>
        <v>0</v>
      </c>
      <c r="AY9" s="28">
        <f t="shared" si="7"/>
        <v>151</v>
      </c>
      <c r="AZ9" s="28">
        <f t="shared" si="7"/>
        <v>0</v>
      </c>
      <c r="BA9" s="28">
        <f t="shared" si="7"/>
        <v>10</v>
      </c>
      <c r="BB9" s="28">
        <f t="shared" si="7"/>
        <v>324</v>
      </c>
      <c r="BC9" s="28">
        <f t="shared" si="7"/>
        <v>0</v>
      </c>
      <c r="BD9" s="28">
        <f t="shared" si="7"/>
        <v>13</v>
      </c>
      <c r="BE9" s="28">
        <f t="shared" si="7"/>
        <v>498</v>
      </c>
      <c r="BF9" s="28">
        <f t="shared" si="7"/>
        <v>53</v>
      </c>
      <c r="BG9" s="28">
        <f t="shared" si="7"/>
        <v>26</v>
      </c>
      <c r="BH9" s="28">
        <f t="shared" si="7"/>
        <v>481</v>
      </c>
      <c r="BI9" s="28">
        <f t="shared" si="7"/>
        <v>537</v>
      </c>
      <c r="BJ9" s="28">
        <f t="shared" si="7"/>
        <v>450</v>
      </c>
      <c r="BK9" s="28">
        <f t="shared" si="7"/>
        <v>0</v>
      </c>
      <c r="BL9" s="28">
        <f t="shared" si="7"/>
        <v>1219</v>
      </c>
      <c r="BM9" s="28">
        <f t="shared" si="7"/>
        <v>1573</v>
      </c>
      <c r="BN9" s="28">
        <f t="shared" si="7"/>
        <v>1648</v>
      </c>
      <c r="BO9" s="28">
        <f t="shared" ref="BO9:CE9" si="8">BO6-BN6</f>
        <v>2342</v>
      </c>
      <c r="BP9" s="28">
        <f t="shared" si="8"/>
        <v>2928</v>
      </c>
      <c r="BQ9" s="28">
        <f t="shared" si="8"/>
        <v>2424</v>
      </c>
      <c r="BR9" s="28">
        <f t="shared" si="8"/>
        <v>2071</v>
      </c>
      <c r="BS9" s="28">
        <f t="shared" si="8"/>
        <v>-16780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0</v>
      </c>
      <c r="AP10" s="32">
        <f t="shared" si="9"/>
        <v>0</v>
      </c>
      <c r="AQ10" s="32">
        <f t="shared" si="9"/>
        <v>6.0606060606060606E-3</v>
      </c>
      <c r="AR10" s="32">
        <f t="shared" si="9"/>
        <v>9.0090090090090089E-3</v>
      </c>
      <c r="AS10" s="32">
        <f t="shared" si="9"/>
        <v>1.1583011583011582E-2</v>
      </c>
      <c r="AT10" s="32">
        <f t="shared" si="9"/>
        <v>1.2500000000000001E-2</v>
      </c>
      <c r="AU10" s="32">
        <f t="shared" si="9"/>
        <v>0.02</v>
      </c>
      <c r="AV10" s="32">
        <f t="shared" si="9"/>
        <v>2.5260029717682021E-2</v>
      </c>
      <c r="AW10" s="32">
        <f t="shared" si="9"/>
        <v>2.6095060577819199E-2</v>
      </c>
      <c r="AX10" s="32">
        <f t="shared" si="9"/>
        <v>2.0648967551622419E-2</v>
      </c>
      <c r="AY10" s="32">
        <f t="shared" si="9"/>
        <v>2.3715415019762844E-2</v>
      </c>
      <c r="AZ10" s="32">
        <f t="shared" si="9"/>
        <v>2.4154589371980676E-2</v>
      </c>
      <c r="BA10" s="32">
        <f t="shared" si="9"/>
        <v>2.5420489296636085E-2</v>
      </c>
      <c r="BB10" s="32">
        <f t="shared" si="9"/>
        <v>3.0511657017681115E-2</v>
      </c>
      <c r="BC10" s="32">
        <f t="shared" si="9"/>
        <v>3.7060784816619646E-2</v>
      </c>
      <c r="BD10" s="32">
        <f t="shared" si="9"/>
        <v>3.4399517199758603E-2</v>
      </c>
      <c r="BE10" s="32">
        <f t="shared" si="9"/>
        <v>4.5369424582907728E-2</v>
      </c>
      <c r="BF10" s="32">
        <f t="shared" si="9"/>
        <v>4.4787922358015819E-2</v>
      </c>
      <c r="BG10" s="32">
        <f t="shared" si="9"/>
        <v>4.6206090296721035E-2</v>
      </c>
      <c r="BH10" s="32">
        <f t="shared" si="9"/>
        <v>5.1102400783929448E-2</v>
      </c>
      <c r="BI10" s="32">
        <f t="shared" si="9"/>
        <v>5.4189327658232839E-2</v>
      </c>
      <c r="BJ10" s="32">
        <f t="shared" si="9"/>
        <v>6.1596218020022249E-2</v>
      </c>
      <c r="BK10" s="32">
        <f t="shared" si="9"/>
        <v>6.5772996357012753E-2</v>
      </c>
      <c r="BL10" s="32">
        <f t="shared" si="9"/>
        <v>7.0402406919894703E-2</v>
      </c>
      <c r="BM10" s="32">
        <f t="shared" si="9"/>
        <v>7.3654448147026153E-2</v>
      </c>
      <c r="BN10" s="32">
        <f t="shared" si="9"/>
        <v>7.5537327380334335E-2</v>
      </c>
      <c r="BO10" s="32">
        <f t="shared" si="9"/>
        <v>7.8181347859827444E-2</v>
      </c>
      <c r="BP10" s="32">
        <f t="shared" si="9"/>
        <v>8.1682255752031127E-2</v>
      </c>
      <c r="BQ10" s="32">
        <f t="shared" si="9"/>
        <v>8.4920733990762706E-2</v>
      </c>
      <c r="BR10" s="32">
        <f t="shared" si="9"/>
        <v>8.7725681022329347E-2</v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>IF(C4-B4,(2*B4-C4)/(C4-B4)+1,"infinite")</f>
        <v>infinite</v>
      </c>
      <c r="D11" s="31" t="str">
        <f>IF(D4-C4,(2*C4-D4)/(D4-C4)+1,"infinite")</f>
        <v>infinite</v>
      </c>
      <c r="E11" s="31" t="str">
        <f>IF(E4-D4,(2*D4-E4)/(E4-D4)+1,"infinite")</f>
        <v>infinite</v>
      </c>
      <c r="F11" s="31" t="str">
        <f>IF(F4-E4,(2*E4-F4)/(F4-E4)+1,"infinite")</f>
        <v>infinite</v>
      </c>
      <c r="G11" s="31" t="str">
        <f>IF(G4-F4,(2*F4-G4)/(G4-F4)+1,"infinite")</f>
        <v>infinite</v>
      </c>
      <c r="H11" s="31" t="str">
        <f>IF(H4-G4,(2*G4-H4)/(H4-G4)+1,"infinite")</f>
        <v>infinite</v>
      </c>
      <c r="I11" s="31" t="str">
        <f>IF(I4-H4,(2*H4-I4)/(I4-H4)+1,"infinite")</f>
        <v>infinite</v>
      </c>
      <c r="J11" s="31" t="str">
        <f>IF(J4-I4,(2*I4-J4)/(J4-I4)+1,"infinite")</f>
        <v>infinite</v>
      </c>
      <c r="K11" s="31" t="str">
        <f>IF(K4-J4,(2*J4-K4)/(K4-J4)+1,"infinite")</f>
        <v>infinite</v>
      </c>
      <c r="L11" s="31">
        <f>IF(L4-K4,(2*K4-L4)/(L4-K4)+1,"infinite")</f>
        <v>0</v>
      </c>
      <c r="M11" s="31" t="str">
        <f>IF(M4-L4,(2*L4-M4)/(M4-L4)+1,"infinite")</f>
        <v>infinite</v>
      </c>
      <c r="N11" s="31" t="str">
        <f>IF(N4-M4,(2*M4-N4)/(N4-M4)+1,"infinite")</f>
        <v>infinite</v>
      </c>
      <c r="O11" s="31" t="str">
        <f>IF(O4-N4,(2*N4-O4)/(O4-N4)+1,"infinite")</f>
        <v>infinite</v>
      </c>
      <c r="P11" s="31" t="str">
        <f>IF(P4-O4,(2*O4-P4)/(P4-O4)+1,"infinite")</f>
        <v>infinite</v>
      </c>
      <c r="Q11" s="31" t="str">
        <f>IF(Q4-P4,(2*P4-Q4)/(Q4-P4)+1,"infinite")</f>
        <v>infinite</v>
      </c>
      <c r="R11" s="31" t="str">
        <f>IF(R4-Q4,(2*Q4-R4)/(R4-Q4)+1,"infinite")</f>
        <v>infinite</v>
      </c>
      <c r="S11" s="31" t="str">
        <f>IF(S4-R4,(2*R4-S4)/(S4-R4)+1,"infinite")</f>
        <v>infinite</v>
      </c>
      <c r="T11" s="31">
        <f>IF(T4-S4,(2*S4-T4)/(T4-S4)+1,"infinite")</f>
        <v>1</v>
      </c>
      <c r="U11" s="31" t="str">
        <f>IF(U4-T4,(2*T4-U4)/(U4-T4)+1,"infinite")</f>
        <v>infinite</v>
      </c>
      <c r="V11" s="31" t="str">
        <f>IF(V4-U4,(2*U4-V4)/(V4-U4)+1,"infinite")</f>
        <v>infinite</v>
      </c>
      <c r="W11" s="31" t="str">
        <f>IF(W4-V4,(2*V4-W4)/(W4-V4)+1,"infinite")</f>
        <v>infinite</v>
      </c>
      <c r="X11" s="31" t="str">
        <f>IF(X4-W4,(2*W4-X4)/(X4-W4)+1,"infinite")</f>
        <v>infinite</v>
      </c>
      <c r="Y11" s="31" t="str">
        <f>IF(Y4-X4,(2*X4-Y4)/(Y4-X4)+1,"infinite")</f>
        <v>infinite</v>
      </c>
      <c r="Z11" s="31" t="str">
        <f>IF(Z4-Y4,(2*Y4-Z4)/(Z4-Y4)+1,"infinite")</f>
        <v>infinite</v>
      </c>
      <c r="AA11" s="31" t="str">
        <f>IF(AA4-Z4,(2*Z4-AA4)/(AA4-Z4)+1,"infinite")</f>
        <v>infinite</v>
      </c>
      <c r="AB11" s="31" t="str">
        <f>IF(AB4-AA4,(2*AA4-AB4)/(AB4-AA4)+1,"infinite")</f>
        <v>infinite</v>
      </c>
      <c r="AC11" s="31" t="str">
        <f>IF(AC4-AB4,(2*AB4-AC4)/(AC4-AB4)+1,"infinite")</f>
        <v>infinite</v>
      </c>
      <c r="AD11" s="31" t="str">
        <f>IF(AD4-AC4,(2*AC4-AD4)/(AD4-AC4)+1,"infinite")</f>
        <v>infinite</v>
      </c>
      <c r="AE11" s="31" t="str">
        <f>IF(AE4-AD4,(2*AD4-AE4)/(AE4-AD4)+1,"infinite")</f>
        <v>infinite</v>
      </c>
      <c r="AF11" s="31" t="str">
        <f>IF(AF4-AE4,(2*AE4-AF4)/(AF4-AE4)+1,"infinite")</f>
        <v>infinite</v>
      </c>
      <c r="AG11" s="31" t="str">
        <f>IF(AG4-AF4,(2*AF4-AG4)/(AG4-AF4)+1,"infinite")</f>
        <v>infinite</v>
      </c>
      <c r="AH11" s="31" t="str">
        <f>IF(AH4-AG4,(2*AG4-AH4)/(AH4-AG4)+1,"infinite")</f>
        <v>infinite</v>
      </c>
      <c r="AI11" s="31" t="str">
        <f>IF(AI4-AH4,(2*AH4-AI4)/(AI4-AH4)+1,"infinite")</f>
        <v>infinite</v>
      </c>
      <c r="AJ11" s="31">
        <f>IF(AJ4-AI4,(2*AI4-AJ4)/(AJ4-AI4)+1,"infinite")</f>
        <v>0.5</v>
      </c>
      <c r="AK11" s="31">
        <f>IF(AK4-AJ4,(2*AJ4-AK4)/(AK4-AJ4)+1,"infinite")</f>
        <v>0.85714285714285721</v>
      </c>
      <c r="AL11" s="31">
        <f>IF(AL4-AK4,(2*AK4-AL4)/(AL4-AK4)+1,"infinite")</f>
        <v>6.5</v>
      </c>
      <c r="AM11" s="31">
        <f>IF(AM4-AL4,(2*AL4-AM4)/(AM4-AL4)+1,"infinite")</f>
        <v>0.88235294117647056</v>
      </c>
      <c r="AN11" s="31">
        <f>IF(AN4-AM4,(2*AM4-AN4)/(AN4-AM4)+1,"infinite")</f>
        <v>2.4615384615384617</v>
      </c>
      <c r="AO11" s="31">
        <f>IF(AO4-AN4,(2*AN4-AO4)/(AO4-AN4)+1,"infinite")</f>
        <v>1.1538461538461537</v>
      </c>
      <c r="AP11" s="31">
        <f>IF(AP4-AO4,(2*AO4-AP4)/(AP4-AO4)+1,"infinite")</f>
        <v>2.333333333333333</v>
      </c>
      <c r="AQ11" s="31">
        <f>IF(AQ4-AP4,(2*AP4-AQ4)/(AQ4-AP4)+1,"infinite")</f>
        <v>2.666666666666667</v>
      </c>
      <c r="AR11" s="31">
        <f>IF(AR4-AQ4,(2*AQ4-AR4)/(AR4-AQ4)+1,"infinite")</f>
        <v>2.8947368421052628</v>
      </c>
      <c r="AS11" s="31">
        <f>IF(AS4-AR4,(2*AR4-AS4)/(AS4-AR4)+1,"infinite")</f>
        <v>6</v>
      </c>
      <c r="AT11" s="31">
        <f>IF(AT4-AS4,(2*AS4-AT4)/(AT4-AS4)+1,"infinite")</f>
        <v>1.8368794326241136</v>
      </c>
      <c r="AU11" s="31">
        <f>IF(AU4-AT4,(2*AT4-AU4)/(AU4-AT4)+1,"infinite")</f>
        <v>4</v>
      </c>
      <c r="AV11" s="31">
        <f>IF(AV4-AU4,(2*AU4-AV4)/(AV4-AU4)+1,"infinite")</f>
        <v>2.8901734104046244</v>
      </c>
      <c r="AW11" s="31">
        <f>IF(AW4-AV4,(2*AV4-AW4)/(AW4-AV4)+1,"infinite")</f>
        <v>1.6825000000000001</v>
      </c>
      <c r="AX11" s="31">
        <f>IF(AX4-AW4,(2*AW4-AX4)/(AX4-AW4)+1,"infinite")</f>
        <v>1.72508038585209</v>
      </c>
      <c r="AY11" s="31">
        <f>IF(AY4-AX4,(2*AX4-AY4)/(AY4-AX4)+1,"infinite")</f>
        <v>2.9123711340206189</v>
      </c>
      <c r="AZ11" s="31" t="str">
        <f>IF(AZ4-AY4,(2*AY4-AZ4)/(AZ4-AY4)+1,"infinite")</f>
        <v>infinite</v>
      </c>
      <c r="BA11" s="31">
        <f>IF(BA4-AZ4,(2*AZ4-BA4)/(BA4-AZ4)+1,"infinite")</f>
        <v>0.77055837563451779</v>
      </c>
      <c r="BB11" s="31">
        <f>IF(BB4-BA4,(2*BA4-BB4)/(BB4-BA4)+1,"infinite")</f>
        <v>4.5142364106988779</v>
      </c>
      <c r="BC11" s="31">
        <f>IF(BC4-BB4,(2*BB4-BC4)/(BC4-BB4)+1,"infinite")</f>
        <v>4.5422885572139302</v>
      </c>
      <c r="BD11" s="31">
        <f>IF(BD4-BC4,(2*BC4-BD4)/(BD4-BC4)+1,"infinite")</f>
        <v>3.6371268656716418</v>
      </c>
      <c r="BE11" s="31">
        <f>IF(BE4-BD4,(2*BD4-BE4)/(BE4-BD4)+1,"infinite")</f>
        <v>5.5049833887043187</v>
      </c>
      <c r="BF11" s="31">
        <f>IF(BF4-BE4,(2*BE4-BF4)/(BF4-BE4)+1,"infinite")</f>
        <v>5.4338575393154489</v>
      </c>
      <c r="BG11" s="31">
        <f>IF(BG4-BF4,(2*BF4-BG4)/(BG4-BF4)+1,"infinite")</f>
        <v>3.4320256600049346</v>
      </c>
      <c r="BH11" s="31">
        <f>IF(BH4-BG4,(2*BG4-BH4)/(BH4-BG4)+1,"infinite")</f>
        <v>7.3408255006129952</v>
      </c>
      <c r="BI11" s="31">
        <f>IF(BI4-BH4,(2*BH4-BI4)/(BI4-BH4)+1,"infinite")</f>
        <v>4.1116035455277995</v>
      </c>
      <c r="BJ11" s="31">
        <f>IF(BJ4-BI4,(2*BI4-BJ4)/(BJ4-BI4)+1,"infinite")</f>
        <v>7.4761343547436656</v>
      </c>
      <c r="BK11" s="31">
        <f>IF(BK4-BJ4,(2*BJ4-BK4)/(BK4-BJ4)+1,"infinite")</f>
        <v>4.5175879396984921</v>
      </c>
      <c r="BL11" s="31">
        <f>IF(BL4-BK4,(2*BK4-BL4)/(BL4-BK4)+1,"infinite")</f>
        <v>7.3986102337334172</v>
      </c>
      <c r="BM11" s="31">
        <f>IF(BM4-BL4,(2*BL4-BM4)/(BM4-BL4)+1,"infinite")</f>
        <v>4.1417445482866047</v>
      </c>
      <c r="BN11" s="31">
        <f>IF(BN4-BM4,(2*BM4-BN4)/(BN4-BM4)+1,"infinite")</f>
        <v>5.9865796155241204</v>
      </c>
      <c r="BO11" s="31">
        <f>IF(BO4-BN4,(2*BN4-BO4)/(BO4-BN4)+1,"infinite")</f>
        <v>7.2842556409933188</v>
      </c>
      <c r="BP11" s="31">
        <f>IF(BP4-BO4,(2*BO4-BP4)/(BP4-BO4)+1,"infinite")</f>
        <v>8.7438797232570522</v>
      </c>
      <c r="BQ11" s="31">
        <f>IF(BQ4-BP4,(2*BP4-BQ4)/(BQ4-BP4)+1,"infinite")</f>
        <v>10.652363636363637</v>
      </c>
      <c r="BR11" s="31">
        <f>IF(BR4-BQ4,(2*BQ4-BR4)/(BR4-BQ4)+1,"infinite")</f>
        <v>10.210298241141983</v>
      </c>
      <c r="BS11" s="31">
        <f>IF(BS4-BR4,(2*BR4-BS4)/(BS4-BR4)+1,"infinite")</f>
        <v>-1</v>
      </c>
      <c r="BT11" s="31" t="str">
        <f>IF(BT4-BS4,(2*BS4-BT4)/(BT4-BS4)+1,"infinite")</f>
        <v>infinite</v>
      </c>
      <c r="BU11" s="31" t="str">
        <f>IF(BU4-BT4,(2*BT4-BU4)/(BU4-BT4)+1,"infinite")</f>
        <v>infinite</v>
      </c>
      <c r="BV11" s="31" t="str">
        <f>IF(BV4-BU4,(2*BU4-BV4)/(BV4-BU4)+1,"infinite")</f>
        <v>infinite</v>
      </c>
      <c r="BW11" s="31" t="str">
        <f>IF(BW4-BV4,(2*BV4-BW4)/(BW4-BV4)+1,"infinite")</f>
        <v>infinite</v>
      </c>
      <c r="BX11" s="31" t="str">
        <f>IF(BX4-BW4,(2*BW4-BX4)/(BX4-BW4)+1,"infinite")</f>
        <v>infinite</v>
      </c>
      <c r="BY11" s="31" t="str">
        <f>IF(BY4-BX4,(2*BX4-BY4)/(BY4-BX4)+1,"infinite")</f>
        <v>infinite</v>
      </c>
      <c r="BZ11" s="31" t="str">
        <f>IF(BZ4-BY4,(2*BY4-BZ4)/(BZ4-BY4)+1,"infinite")</f>
        <v>infinite</v>
      </c>
      <c r="CA11" s="31" t="str">
        <f>IF(CA4-BZ4,(2*BZ4-CA4)/(CA4-BZ4)+1,"infinite")</f>
        <v>infinite</v>
      </c>
      <c r="CB11" s="31" t="str">
        <f>IF(CB4-CA4,(2*CA4-CB4)/(CB4-CA4)+1,"infinite")</f>
        <v>infinite</v>
      </c>
      <c r="CC11" s="31" t="str">
        <f>IF(CC4-CB4,(2*CB4-CC4)/(CC4-CB4)+1,"infinite")</f>
        <v>infinite</v>
      </c>
      <c r="CD11" s="31" t="str">
        <f>IF(CD4-CC4,(2*CC4-CD4)/(CD4-CC4)+1,"infinite")</f>
        <v>infinite</v>
      </c>
      <c r="CE11" s="31" t="str">
        <f>IF(CE4-CD4,(2*CD4-CE4)/(CE4-CD4)+1,"infinite")</f>
        <v>infinite</v>
      </c>
    </row>
    <row r="12" spans="1:83" s="11" customFormat="1" ht="12.75" x14ac:dyDescent="0.2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>IF(AO4=0,"",AO6/AO4)</f>
        <v>2.3809523809523808E-2</v>
      </c>
      <c r="AP12" s="32">
        <f>IF(AP4=0,"",AP6/AP4)</f>
        <v>1.6666666666666666E-2</v>
      </c>
      <c r="AQ12" s="32">
        <f>IF(AQ4=0,"",AQ6/AQ4)</f>
        <v>1.2121212121212121E-2</v>
      </c>
      <c r="AR12" s="32">
        <f>IF(AR4=0,"",AR6/AR4)</f>
        <v>9.0090090090090089E-3</v>
      </c>
      <c r="AS12" s="32">
        <f>IF(AS4=0,"",AS6/AS4)</f>
        <v>7.7220077220077222E-3</v>
      </c>
      <c r="AT12" s="32">
        <f>IF(AT4=0,"",AT6/AT4)</f>
        <v>5.0000000000000001E-3</v>
      </c>
      <c r="AU12" s="32">
        <f>IF(AU4=0,"",AU6/AU4)</f>
        <v>0.06</v>
      </c>
      <c r="AV12" s="32">
        <f>IF(AV4=0,"",AV6/AV4)</f>
        <v>4.4576523031203567E-2</v>
      </c>
      <c r="AW12" s="32">
        <f>IF(AW4=0,"",AW6/AW4)</f>
        <v>2.9822926374650512E-2</v>
      </c>
      <c r="AX12" s="32">
        <f>IF(AX4=0,"",AX6/AX4)</f>
        <v>1.887905604719764E-2</v>
      </c>
      <c r="AY12" s="32">
        <f>IF(AY4=0,"",AY6/AY4)</f>
        <v>8.0368906455862976E-2</v>
      </c>
      <c r="AZ12" s="32">
        <f>IF(AZ4=0,"",AZ6/AZ4)</f>
        <v>8.0368906455862976E-2</v>
      </c>
      <c r="BA12" s="32">
        <f>IF(BA4=0,"",BA6/BA4)</f>
        <v>3.688837920489297E-2</v>
      </c>
      <c r="BB12" s="32">
        <f>IF(BB4=0,"",BB6/BB4)</f>
        <v>8.0895008605851984E-2</v>
      </c>
      <c r="BC12" s="32">
        <f>IF(BC4=0,"",BC6/BC4)</f>
        <v>6.629905103872788E-2</v>
      </c>
      <c r="BD12" s="32">
        <f>IF(BD4=0,"",BD6/BD4)</f>
        <v>5.3309193321263326E-2</v>
      </c>
      <c r="BE12" s="32">
        <f>IF(BE4=0,"",BE6/BE4)</f>
        <v>8.7504256043581891E-2</v>
      </c>
      <c r="BF12" s="32">
        <f>IF(BF4=0,"",BF6/BF4)</f>
        <v>7.7713874910136593E-2</v>
      </c>
      <c r="BG12" s="32">
        <f>IF(BG4=0,"",BG6/BG4)</f>
        <v>6.1626677058397819E-2</v>
      </c>
      <c r="BH12" s="32">
        <f>IF(BH4=0,"",BH6/BH4)</f>
        <v>7.7804997550220481E-2</v>
      </c>
      <c r="BI12" s="32">
        <f>IF(BI4=0,"",BI6/BI4)</f>
        <v>8.3747142744541661E-2</v>
      </c>
      <c r="BJ12" s="32">
        <f>IF(BJ4=0,"",BJ6/BJ4)</f>
        <v>8.9509176863181314E-2</v>
      </c>
      <c r="BK12" s="32">
        <f>IF(BK4=0,"",BK6/BK4)</f>
        <v>7.328665755919854E-2</v>
      </c>
      <c r="BL12" s="32">
        <f>IF(BL4=0,"",BL6/BL4)</f>
        <v>9.5123480005014416E-2</v>
      </c>
      <c r="BM12" s="32">
        <f>IF(BM4=0,"",BM6/BM4)</f>
        <v>0.10839139654650105</v>
      </c>
      <c r="BN12" s="32">
        <f>IF(BN4=0,"",BN6/BN4)</f>
        <v>0.12139618592738725</v>
      </c>
      <c r="BO12" s="32">
        <f>IF(BO4=0,"",BO6/BO4)</f>
        <v>0.14237891629513535</v>
      </c>
      <c r="BP12" s="32">
        <f>IF(BP4=0,"",BP6/BP4)</f>
        <v>0.16774766163719532</v>
      </c>
      <c r="BQ12" s="32">
        <f>IF(BQ4=0,"",BQ6/BQ4)</f>
        <v>0.1836100362002247</v>
      </c>
      <c r="BR12" s="32">
        <f>IF(BR4=0,"",BR6/BR4)</f>
        <v>0.19077720678521079</v>
      </c>
      <c r="BS12" s="32" t="str">
        <f>IF(BS4=0,"",BS6/BS4)</f>
        <v/>
      </c>
      <c r="BT12" s="32" t="str">
        <f>IF(BT4=0,"",BT6/BT4)</f>
        <v/>
      </c>
      <c r="BU12" s="32" t="str">
        <f>IF(BU4=0,"",BU6/BU4)</f>
        <v/>
      </c>
      <c r="BV12" s="32" t="str">
        <f>IF(BV4=0,"",BV6/BV4)</f>
        <v/>
      </c>
      <c r="BW12" s="32" t="str">
        <f>IF(BW4=0,"",BW6/BW4)</f>
        <v/>
      </c>
      <c r="BX12" s="32" t="str">
        <f>IF(BX4=0,"",BX6/BX4)</f>
        <v/>
      </c>
      <c r="BY12" s="32" t="str">
        <f>IF(BY4=0,"",BY6/BY4)</f>
        <v/>
      </c>
      <c r="BZ12" s="32" t="str">
        <f>IF(BZ4=0,"",BZ6/BZ4)</f>
        <v/>
      </c>
      <c r="CA12" s="32" t="str">
        <f>IF(CA4=0,"",CA6/CA4)</f>
        <v/>
      </c>
      <c r="CB12" s="32" t="str">
        <f>IF(CB4=0,"",CB6/CB4)</f>
        <v/>
      </c>
      <c r="CC12" s="32" t="str">
        <f>IF(CC4=0,"",CC6/CC4)</f>
        <v/>
      </c>
      <c r="CD12" s="32" t="str">
        <f>IF(CD4=0,"",CD6/CD4)</f>
        <v/>
      </c>
      <c r="CE12" s="32" t="str">
        <f>IF(CE4=0,"",CE6/CE4)</f>
        <v/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199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0</v>
      </c>
      <c r="M19" s="9">
        <f>SUMIF(RAW_Cases!$B:$B,Tabelle2[[#This Row],[Country/Region]],RAW_Cases!N:N)</f>
        <v>0</v>
      </c>
      <c r="N19" s="9">
        <f>SUMIF(RAW_Cases!$B:$B,Tabelle2[[#This Row],[Country/Region]],RAW_Cases!O:O)</f>
        <v>0</v>
      </c>
      <c r="O19" s="9">
        <f>SUMIF(RAW_Cases!$B:$B,Tabelle2[[#This Row],[Country/Region]],RAW_Cases!P:P)</f>
        <v>0</v>
      </c>
      <c r="P19" s="9">
        <f>SUMIF(RAW_Cases!$B:$B,Tabelle2[[#This Row],[Country/Region]],RAW_Cases!Q:Q)</f>
        <v>0</v>
      </c>
      <c r="Q19" s="9">
        <f>SUMIF(RAW_Cases!$B:$B,Tabelle2[[#This Row],[Country/Region]],RAW_Cases!R:R)</f>
        <v>0</v>
      </c>
      <c r="R19" s="9">
        <f>SUMIF(RAW_Cases!$B:$B,Tabelle2[[#This Row],[Country/Region]],RAW_Cases!S:S)</f>
        <v>0</v>
      </c>
      <c r="S19" s="9">
        <f>SUMIF(RAW_Cases!$B:$B,Tabelle2[[#This Row],[Country/Region]],RAW_Cases!T:T)</f>
        <v>0</v>
      </c>
      <c r="T19" s="9">
        <f>SUMIF(RAW_Cases!$B:$B,Tabelle2[[#This Row],[Country/Region]],RAW_Cases!U:U)</f>
        <v>0</v>
      </c>
      <c r="U19" s="9">
        <f>SUMIF(RAW_Cases!$B:$B,Tabelle2[[#This Row],[Country/Region]],RAW_Cases!V:V)</f>
        <v>0</v>
      </c>
      <c r="V19" s="9">
        <f>SUMIF(RAW_Cases!$B:$B,Tabelle2[[#This Row],[Country/Region]],RAW_Cases!W:W)</f>
        <v>0</v>
      </c>
      <c r="W19" s="9">
        <f>SUMIF(RAW_Cases!$B:$B,Tabelle2[[#This Row],[Country/Region]],RAW_Cases!X:X)</f>
        <v>0</v>
      </c>
      <c r="X19" s="9">
        <f>SUMIF(RAW_Cases!$B:$B,Tabelle2[[#This Row],[Country/Region]],RAW_Cases!Y:Y)</f>
        <v>0</v>
      </c>
      <c r="Y19" s="9">
        <f>SUMIF(RAW_Cases!$B:$B,Tabelle2[[#This Row],[Country/Region]],RAW_Cases!Z:Z)</f>
        <v>0</v>
      </c>
      <c r="Z19" s="9">
        <f>SUMIF(RAW_Cases!$B:$B,Tabelle2[[#This Row],[Country/Region]],RAW_Cases!AA:AA)</f>
        <v>0</v>
      </c>
      <c r="AA19" s="9">
        <f>SUMIF(RAW_Cases!$B:$B,Tabelle2[[#This Row],[Country/Region]],RAW_Cases!AB:AB)</f>
        <v>0</v>
      </c>
      <c r="AB19" s="9">
        <f>SUMIF(RAW_Cases!$B:$B,Tabelle2[[#This Row],[Country/Region]],RAW_Cases!AC:AC)</f>
        <v>0</v>
      </c>
      <c r="AC19" s="9">
        <f>SUMIF(RAW_Cases!$B:$B,Tabelle2[[#This Row],[Country/Region]],RAW_Cases!AD:AD)</f>
        <v>0</v>
      </c>
      <c r="AD19" s="9">
        <f>SUMIF(RAW_Cases!$B:$B,Tabelle2[[#This Row],[Country/Region]],RAW_Cases!AE:AE)</f>
        <v>0</v>
      </c>
      <c r="AE19" s="9">
        <f>SUMIF(RAW_Cases!$B:$B,Tabelle2[[#This Row],[Country/Region]],RAW_Cases!AF:AF)</f>
        <v>0</v>
      </c>
      <c r="AF19" s="9">
        <f>SUMIF(RAW_Cases!$B:$B,Tabelle2[[#This Row],[Country/Region]],RAW_Cases!AG:AG)</f>
        <v>0</v>
      </c>
      <c r="AG19" s="9">
        <f>SUMIF(RAW_Cases!$B:$B,Tabelle2[[#This Row],[Country/Region]],RAW_Cases!AH:AH)</f>
        <v>0</v>
      </c>
      <c r="AH19" s="9">
        <f>SUMIF(RAW_Cases!$B:$B,Tabelle2[[#This Row],[Country/Region]],RAW_Cases!AI:AI)</f>
        <v>0</v>
      </c>
      <c r="AI19" s="9">
        <f>SUMIF(RAW_Cases!$B:$B,Tabelle2[[#This Row],[Country/Region]],RAW_Cases!AJ:AJ)</f>
        <v>0</v>
      </c>
      <c r="AJ19" s="9">
        <f>SUMIF(RAW_Cases!$B:$B,Tabelle2[[#This Row],[Country/Region]],RAW_Cases!AK:AK)</f>
        <v>0</v>
      </c>
      <c r="AK19" s="9">
        <f>SUMIF(RAW_Cases!$B:$B,Tabelle2[[#This Row],[Country/Region]],RAW_Cases!AL:AL)</f>
        <v>0</v>
      </c>
      <c r="AL19" s="9">
        <f>SUMIF(RAW_Cases!$B:$B,Tabelle2[[#This Row],[Country/Region]],RAW_Cases!AM:AM)</f>
        <v>1</v>
      </c>
      <c r="AM19" s="9">
        <f>SUMIF(RAW_Cases!$B:$B,Tabelle2[[#This Row],[Country/Region]],RAW_Cases!AN:AN)</f>
        <v>1</v>
      </c>
      <c r="AN19" s="9">
        <f>SUMIF(RAW_Cases!$B:$B,Tabelle2[[#This Row],[Country/Region]],RAW_Cases!AO:AO)</f>
        <v>6</v>
      </c>
      <c r="AO19" s="9">
        <f>SUMIF(RAW_Cases!$B:$B,Tabelle2[[#This Row],[Country/Region]],RAW_Cases!AP:AP)</f>
        <v>10</v>
      </c>
      <c r="AP19" s="9">
        <f>SUMIF(RAW_Cases!$B:$B,Tabelle2[[#This Row],[Country/Region]],RAW_Cases!AQ:AQ)</f>
        <v>18</v>
      </c>
      <c r="AQ19" s="9">
        <f>SUMIF(RAW_Cases!$B:$B,Tabelle2[[#This Row],[Country/Region]],RAW_Cases!AR:AR)</f>
        <v>24</v>
      </c>
      <c r="AR19" s="9">
        <f>SUMIF(RAW_Cases!$B:$B,Tabelle2[[#This Row],[Country/Region]],RAW_Cases!AS:AS)</f>
        <v>38</v>
      </c>
      <c r="AS19" s="9">
        <f>SUMIF(RAW_Cases!$B:$B,Tabelle2[[#This Row],[Country/Region]],RAW_Cases!AT:AT)</f>
        <v>82</v>
      </c>
      <c r="AT19" s="9">
        <f>SUMIF(RAW_Cases!$B:$B,Tabelle2[[#This Row],[Country/Region]],RAW_Cases!AU:AU)</f>
        <v>128</v>
      </c>
      <c r="AU19" s="9">
        <f>SUMIF(RAW_Cases!$B:$B,Tabelle2[[#This Row],[Country/Region]],RAW_Cases!AV:AV)</f>
        <v>188</v>
      </c>
      <c r="AV19" s="9">
        <f>SUMIF(RAW_Cases!$B:$B,Tabelle2[[#This Row],[Country/Region]],RAW_Cases!AW:AW)</f>
        <v>265</v>
      </c>
      <c r="AW19" s="9">
        <f>SUMIF(RAW_Cases!$B:$B,Tabelle2[[#This Row],[Country/Region]],RAW_Cases!AX:AX)</f>
        <v>321</v>
      </c>
      <c r="AX19" s="9">
        <f>SUMIF(RAW_Cases!$B:$B,Tabelle2[[#This Row],[Country/Region]],RAW_Cases!AY:AY)</f>
        <v>382</v>
      </c>
      <c r="AY19" s="9">
        <f>SUMIF(RAW_Cases!$B:$B,Tabelle2[[#This Row],[Country/Region]],RAW_Cases!AZ:AZ)</f>
        <v>503</v>
      </c>
      <c r="AZ19" s="9">
        <f>SUMIF(RAW_Cases!$B:$B,Tabelle2[[#This Row],[Country/Region]],RAW_Cases!BA:BA)</f>
        <v>503</v>
      </c>
      <c r="BA19" s="9">
        <f>SUMIF(RAW_Cases!$B:$B,Tabelle2[[#This Row],[Country/Region]],RAW_Cases!BB:BB)</f>
        <v>806</v>
      </c>
      <c r="BB19" s="9">
        <f>SUMIF(RAW_Cases!$B:$B,Tabelle2[[#This Row],[Country/Region]],RAW_Cases!BC:BC)</f>
        <v>962</v>
      </c>
      <c r="BC19" s="9">
        <f>SUMIF(RAW_Cases!$B:$B,Tabelle2[[#This Row],[Country/Region]],RAW_Cases!BD:BD)</f>
        <v>1138</v>
      </c>
      <c r="BD19" s="9">
        <f>SUMIF(RAW_Cases!$B:$B,Tabelle2[[#This Row],[Country/Region]],RAW_Cases!BE:BE)</f>
        <v>1416</v>
      </c>
      <c r="BE19" s="9">
        <f>SUMIF(RAW_Cases!$B:$B,Tabelle2[[#This Row],[Country/Region]],RAW_Cases!BF:BF)</f>
        <v>1711</v>
      </c>
      <c r="BF19" s="9">
        <f>SUMIF(RAW_Cases!$B:$B,Tabelle2[[#This Row],[Country/Region]],RAW_Cases!BG:BG)</f>
        <v>2058</v>
      </c>
      <c r="BG19" s="9">
        <f>SUMIF(RAW_Cases!$B:$B,Tabelle2[[#This Row],[Country/Region]],RAW_Cases!BH:BH)</f>
        <v>2467</v>
      </c>
      <c r="BH19" s="9">
        <f>SUMIF(RAW_Cases!$B:$B,Tabelle2[[#This Row],[Country/Region]],RAW_Cases!BI:BI)</f>
        <v>3003</v>
      </c>
      <c r="BI19" s="9">
        <f>SUMIF(RAW_Cases!$B:$B,Tabelle2[[#This Row],[Country/Region]],RAW_Cases!BJ:BJ)</f>
        <v>3640</v>
      </c>
      <c r="BJ19" s="9">
        <f>SUMIF(RAW_Cases!$B:$B,Tabelle2[[#This Row],[Country/Region]],RAW_Cases!BK:BK)</f>
        <v>4217</v>
      </c>
      <c r="BK19" s="9">
        <f>SUMIF(RAW_Cases!$B:$B,Tabelle2[[#This Row],[Country/Region]],RAW_Cases!BL:BL)</f>
        <v>4764</v>
      </c>
      <c r="BL19" s="9">
        <f>SUMIF(RAW_Cases!$B:$B,Tabelle2[[#This Row],[Country/Region]],RAW_Cases!BM:BM)</f>
        <v>5580</v>
      </c>
      <c r="BM19" s="9">
        <f>SUMIF(RAW_Cases!$B:$B,Tabelle2[[#This Row],[Country/Region]],RAW_Cases!BN:BN)</f>
        <v>6438</v>
      </c>
      <c r="BN19" s="9">
        <f>SUMIF(RAW_Cases!$B:$B,Tabelle2[[#This Row],[Country/Region]],RAW_Cases!BO:BO)</f>
        <v>7468</v>
      </c>
      <c r="BO19" s="9">
        <f>SUMIF(RAW_Cases!$B:$B,Tabelle2[[#This Row],[Country/Region]],RAW_Cases!BP:BP)</f>
        <v>8647</v>
      </c>
      <c r="BP19" s="9">
        <f>SUMIF(RAW_Cases!$B:$B,Tabelle2[[#This Row],[Country/Region]],RAW_Cases!BQ:BQ)</f>
        <v>9819</v>
      </c>
      <c r="BQ19" s="9">
        <f>SUMIF(RAW_Cases!$B:$B,Tabelle2[[#This Row],[Country/Region]],RAW_Cases!BR:BR)</f>
        <v>10930</v>
      </c>
      <c r="BR19" s="9">
        <f>SUMIF(RAW_Cases!$B:$B,Tabelle2[[#This Row],[Country/Region]],RAW_Cases!BS:BS)</f>
        <v>11817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 t="s">
        <v>112</v>
      </c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2</v>
      </c>
      <c r="E22" s="9">
        <f>SUMIF(RAW_Cases!$B:$B,Tabelle2[[#This Row],[Country/Region]],RAW_Cases!F:F)</f>
        <v>3</v>
      </c>
      <c r="F22" s="9">
        <f>SUMIF(RAW_Cases!$B:$B,Tabelle2[[#This Row],[Country/Region]],RAW_Cases!G:G)</f>
        <v>3</v>
      </c>
      <c r="G22" s="9">
        <f>SUMIF(RAW_Cases!$B:$B,Tabelle2[[#This Row],[Country/Region]],RAW_Cases!H:H)</f>
        <v>3</v>
      </c>
      <c r="H22" s="9">
        <f>SUMIF(RAW_Cases!$B:$B,Tabelle2[[#This Row],[Country/Region]],RAW_Cases!I:I)</f>
        <v>4</v>
      </c>
      <c r="I22" s="9">
        <f>SUMIF(RAW_Cases!$B:$B,Tabelle2[[#This Row],[Country/Region]],RAW_Cases!J:J)</f>
        <v>5</v>
      </c>
      <c r="J22" s="9">
        <f>SUMIF(RAW_Cases!$B:$B,Tabelle2[[#This Row],[Country/Region]],RAW_Cases!K:K)</f>
        <v>5</v>
      </c>
      <c r="K22" s="9">
        <f>SUMIF(RAW_Cases!$B:$B,Tabelle2[[#This Row],[Country/Region]],RAW_Cases!L:L)</f>
        <v>5</v>
      </c>
      <c r="L22" s="9">
        <f>SUMIF(RAW_Cases!$B:$B,Tabelle2[[#This Row],[Country/Region]],RAW_Cases!M:M)</f>
        <v>6</v>
      </c>
      <c r="M22" s="9">
        <f>SUMIF(RAW_Cases!$B:$B,Tabelle2[[#This Row],[Country/Region]],RAW_Cases!N:N)</f>
        <v>6</v>
      </c>
      <c r="N22" s="9">
        <f>SUMIF(RAW_Cases!$B:$B,Tabelle2[[#This Row],[Country/Region]],RAW_Cases!O:O)</f>
        <v>6</v>
      </c>
      <c r="O22" s="9">
        <f>SUMIF(RAW_Cases!$B:$B,Tabelle2[[#This Row],[Country/Region]],RAW_Cases!P:P)</f>
        <v>6</v>
      </c>
      <c r="P22" s="9">
        <f>SUMIF(RAW_Cases!$B:$B,Tabelle2[[#This Row],[Country/Region]],RAW_Cases!Q:Q)</f>
        <v>6</v>
      </c>
      <c r="Q22" s="9">
        <f>SUMIF(RAW_Cases!$B:$B,Tabelle2[[#This Row],[Country/Region]],RAW_Cases!R:R)</f>
        <v>6</v>
      </c>
      <c r="R22" s="9">
        <f>SUMIF(RAW_Cases!$B:$B,Tabelle2[[#This Row],[Country/Region]],RAW_Cases!S:S)</f>
        <v>6</v>
      </c>
      <c r="S22" s="9">
        <f>SUMIF(RAW_Cases!$B:$B,Tabelle2[[#This Row],[Country/Region]],RAW_Cases!T:T)</f>
        <v>11</v>
      </c>
      <c r="T22" s="9">
        <f>SUMIF(RAW_Cases!$B:$B,Tabelle2[[#This Row],[Country/Region]],RAW_Cases!U:U)</f>
        <v>11</v>
      </c>
      <c r="U22" s="9">
        <f>SUMIF(RAW_Cases!$B:$B,Tabelle2[[#This Row],[Country/Region]],RAW_Cases!V:V)</f>
        <v>11</v>
      </c>
      <c r="V22" s="9">
        <f>SUMIF(RAW_Cases!$B:$B,Tabelle2[[#This Row],[Country/Region]],RAW_Cases!W:W)</f>
        <v>11</v>
      </c>
      <c r="W22" s="9">
        <f>SUMIF(RAW_Cases!$B:$B,Tabelle2[[#This Row],[Country/Region]],RAW_Cases!X:X)</f>
        <v>11</v>
      </c>
      <c r="X22" s="9">
        <f>SUMIF(RAW_Cases!$B:$B,Tabelle2[[#This Row],[Country/Region]],RAW_Cases!Y:Y)</f>
        <v>11</v>
      </c>
      <c r="Y22" s="9">
        <f>SUMIF(RAW_Cases!$B:$B,Tabelle2[[#This Row],[Country/Region]],RAW_Cases!Z:Z)</f>
        <v>11</v>
      </c>
      <c r="Z22" s="9">
        <f>SUMIF(RAW_Cases!$B:$B,Tabelle2[[#This Row],[Country/Region]],RAW_Cases!AA:AA)</f>
        <v>12</v>
      </c>
      <c r="AA22" s="9">
        <f>SUMIF(RAW_Cases!$B:$B,Tabelle2[[#This Row],[Country/Region]],RAW_Cases!AB:AB)</f>
        <v>12</v>
      </c>
      <c r="AB22" s="9">
        <f>SUMIF(RAW_Cases!$B:$B,Tabelle2[[#This Row],[Country/Region]],RAW_Cases!AC:AC)</f>
        <v>12</v>
      </c>
      <c r="AC22" s="9">
        <f>SUMIF(RAW_Cases!$B:$B,Tabelle2[[#This Row],[Country/Region]],RAW_Cases!AD:AD)</f>
        <v>12</v>
      </c>
      <c r="AD22" s="9">
        <f>SUMIF(RAW_Cases!$B:$B,Tabelle2[[#This Row],[Country/Region]],RAW_Cases!AE:AE)</f>
        <v>12</v>
      </c>
      <c r="AE22" s="9">
        <f>SUMIF(RAW_Cases!$B:$B,Tabelle2[[#This Row],[Country/Region]],RAW_Cases!AF:AF)</f>
        <v>12</v>
      </c>
      <c r="AF22" s="9">
        <f>SUMIF(RAW_Cases!$B:$B,Tabelle2[[#This Row],[Country/Region]],RAW_Cases!AG:AG)</f>
        <v>12</v>
      </c>
      <c r="AG22" s="9">
        <f>SUMIF(RAW_Cases!$B:$B,Tabelle2[[#This Row],[Country/Region]],RAW_Cases!AH:AH)</f>
        <v>12</v>
      </c>
      <c r="AH22" s="9">
        <f>SUMIF(RAW_Cases!$B:$B,Tabelle2[[#This Row],[Country/Region]],RAW_Cases!AI:AI)</f>
        <v>12</v>
      </c>
      <c r="AI22" s="9">
        <f>SUMIF(RAW_Cases!$B:$B,Tabelle2[[#This Row],[Country/Region]],RAW_Cases!AJ:AJ)</f>
        <v>12</v>
      </c>
      <c r="AJ22" s="9">
        <f>SUMIF(RAW_Cases!$B:$B,Tabelle2[[#This Row],[Country/Region]],RAW_Cases!AK:AK)</f>
        <v>14</v>
      </c>
      <c r="AK22" s="9">
        <f>SUMIF(RAW_Cases!$B:$B,Tabelle2[[#This Row],[Country/Region]],RAW_Cases!AL:AL)</f>
        <v>18</v>
      </c>
      <c r="AL22" s="9">
        <f>SUMIF(RAW_Cases!$B:$B,Tabelle2[[#This Row],[Country/Region]],RAW_Cases!AM:AM)</f>
        <v>38</v>
      </c>
      <c r="AM22" s="9">
        <f>SUMIF(RAW_Cases!$B:$B,Tabelle2[[#This Row],[Country/Region]],RAW_Cases!AN:AN)</f>
        <v>57</v>
      </c>
      <c r="AN22" s="9">
        <f>SUMIF(RAW_Cases!$B:$B,Tabelle2[[#This Row],[Country/Region]],RAW_Cases!AO:AO)</f>
        <v>100</v>
      </c>
      <c r="AO22" s="9">
        <f>SUMIF(RAW_Cases!$B:$B,Tabelle2[[#This Row],[Country/Region]],RAW_Cases!AP:AP)</f>
        <v>130</v>
      </c>
      <c r="AP22" s="9">
        <f>SUMIF(RAW_Cases!$B:$B,Tabelle2[[#This Row],[Country/Region]],RAW_Cases!AQ:AQ)</f>
        <v>191</v>
      </c>
      <c r="AQ22" s="9">
        <f>SUMIF(RAW_Cases!$B:$B,Tabelle2[[#This Row],[Country/Region]],RAW_Cases!AR:AR)</f>
        <v>204</v>
      </c>
      <c r="AR22" s="9">
        <f>SUMIF(RAW_Cases!$B:$B,Tabelle2[[#This Row],[Country/Region]],RAW_Cases!AS:AS)</f>
        <v>288</v>
      </c>
      <c r="AS22" s="9">
        <f>SUMIF(RAW_Cases!$B:$B,Tabelle2[[#This Row],[Country/Region]],RAW_Cases!AT:AT)</f>
        <v>380</v>
      </c>
      <c r="AT22" s="9">
        <f>SUMIF(RAW_Cases!$B:$B,Tabelle2[[#This Row],[Country/Region]],RAW_Cases!AU:AU)</f>
        <v>656</v>
      </c>
      <c r="AU22" s="9">
        <f>SUMIF(RAW_Cases!$B:$B,Tabelle2[[#This Row],[Country/Region]],RAW_Cases!AV:AV)</f>
        <v>959</v>
      </c>
      <c r="AV22" s="9">
        <f>SUMIF(RAW_Cases!$B:$B,Tabelle2[[#This Row],[Country/Region]],RAW_Cases!AW:AW)</f>
        <v>1136</v>
      </c>
      <c r="AW22" s="9">
        <f>SUMIF(RAW_Cases!$B:$B,Tabelle2[[#This Row],[Country/Region]],RAW_Cases!AX:AX)</f>
        <v>1219</v>
      </c>
      <c r="AX22" s="9">
        <f>SUMIF(RAW_Cases!$B:$B,Tabelle2[[#This Row],[Country/Region]],RAW_Cases!AY:AY)</f>
        <v>1794</v>
      </c>
      <c r="AY22" s="9">
        <f>SUMIF(RAW_Cases!$B:$B,Tabelle2[[#This Row],[Country/Region]],RAW_Cases!AZ:AZ)</f>
        <v>2293</v>
      </c>
      <c r="AZ22" s="9">
        <f>SUMIF(RAW_Cases!$B:$B,Tabelle2[[#This Row],[Country/Region]],RAW_Cases!BA:BA)</f>
        <v>2293</v>
      </c>
      <c r="BA22" s="9">
        <f>SUMIF(RAW_Cases!$B:$B,Tabelle2[[#This Row],[Country/Region]],RAW_Cases!BB:BB)</f>
        <v>3681</v>
      </c>
      <c r="BB22" s="9">
        <f>SUMIF(RAW_Cases!$B:$B,Tabelle2[[#This Row],[Country/Region]],RAW_Cases!BC:BC)</f>
        <v>4496</v>
      </c>
      <c r="BC22" s="9">
        <f>SUMIF(RAW_Cases!$B:$B,Tabelle2[[#This Row],[Country/Region]],RAW_Cases!BD:BD)</f>
        <v>4532</v>
      </c>
      <c r="BD22" s="9">
        <f>SUMIF(RAW_Cases!$B:$B,Tabelle2[[#This Row],[Country/Region]],RAW_Cases!BE:BE)</f>
        <v>6683</v>
      </c>
      <c r="BE22" s="9">
        <f>SUMIF(RAW_Cases!$B:$B,Tabelle2[[#This Row],[Country/Region]],RAW_Cases!BF:BF)</f>
        <v>7715</v>
      </c>
      <c r="BF22" s="9">
        <f>SUMIF(RAW_Cases!$B:$B,Tabelle2[[#This Row],[Country/Region]],RAW_Cases!BG:BG)</f>
        <v>9124</v>
      </c>
      <c r="BG22" s="9">
        <f>SUMIF(RAW_Cases!$B:$B,Tabelle2[[#This Row],[Country/Region]],RAW_Cases!BH:BH)</f>
        <v>10970</v>
      </c>
      <c r="BH22" s="9">
        <f>SUMIF(RAW_Cases!$B:$B,Tabelle2[[#This Row],[Country/Region]],RAW_Cases!BI:BI)</f>
        <v>12758</v>
      </c>
      <c r="BI22" s="9">
        <f>SUMIF(RAW_Cases!$B:$B,Tabelle2[[#This Row],[Country/Region]],RAW_Cases!BJ:BJ)</f>
        <v>14463</v>
      </c>
      <c r="BJ22" s="9">
        <f>SUMIF(RAW_Cases!$B:$B,Tabelle2[[#This Row],[Country/Region]],RAW_Cases!BK:BK)</f>
        <v>16243</v>
      </c>
      <c r="BK22" s="9">
        <f>SUMIF(RAW_Cases!$B:$B,Tabelle2[[#This Row],[Country/Region]],RAW_Cases!BL:BL)</f>
        <v>20123</v>
      </c>
      <c r="BL22" s="9">
        <f>SUMIF(RAW_Cases!$B:$B,Tabelle2[[#This Row],[Country/Region]],RAW_Cases!BM:BM)</f>
        <v>22622</v>
      </c>
      <c r="BM22" s="9">
        <f>SUMIF(RAW_Cases!$B:$B,Tabelle2[[#This Row],[Country/Region]],RAW_Cases!BN:BN)</f>
        <v>25600</v>
      </c>
      <c r="BN22" s="9">
        <f>SUMIF(RAW_Cases!$B:$B,Tabelle2[[#This Row],[Country/Region]],RAW_Cases!BO:BO)</f>
        <v>29551</v>
      </c>
      <c r="BO22" s="9">
        <f>SUMIF(RAW_Cases!$B:$B,Tabelle2[[#This Row],[Country/Region]],RAW_Cases!BP:BP)</f>
        <v>33402</v>
      </c>
      <c r="BP22" s="9">
        <f>SUMIF(RAW_Cases!$B:$B,Tabelle2[[#This Row],[Country/Region]],RAW_Cases!BQ:BQ)</f>
        <v>38105</v>
      </c>
      <c r="BQ22" s="9">
        <f>SUMIF(RAW_Cases!$B:$B,Tabelle2[[#This Row],[Country/Region]],RAW_Cases!BR:BR)</f>
        <v>40708</v>
      </c>
      <c r="BR22" s="9">
        <f>SUMIF(RAW_Cases!$B:$B,Tabelle2[[#This Row],[Country/Region]],RAW_Cases!BS:BS)</f>
        <v>45170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0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0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0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0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0"/>
        <v>Netherlands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0</v>
      </c>
      <c r="AR30" s="28">
        <f>SUMIF(RAW_DEATHS!$B:$B,Tabelle28[[#This Row],[Country/Region]],RAW_DEATHS!AS:AS)</f>
        <v>0</v>
      </c>
      <c r="AS30" s="28">
        <f>SUMIF(RAW_DEATHS!$B:$B,Tabelle28[[#This Row],[Country/Region]],RAW_DEATHS!AT:AT)</f>
        <v>0</v>
      </c>
      <c r="AT30" s="28">
        <f>SUMIF(RAW_DEATHS!$B:$B,Tabelle28[[#This Row],[Country/Region]],RAW_DEATHS!AU:AU)</f>
        <v>1</v>
      </c>
      <c r="AU30" s="28">
        <f>SUMIF(RAW_DEATHS!$B:$B,Tabelle28[[#This Row],[Country/Region]],RAW_DEATHS!AV:AV)</f>
        <v>1</v>
      </c>
      <c r="AV30" s="28">
        <f>SUMIF(RAW_DEATHS!$B:$B,Tabelle28[[#This Row],[Country/Region]],RAW_DEATHS!AW:AW)</f>
        <v>3</v>
      </c>
      <c r="AW30" s="28">
        <f>SUMIF(RAW_DEATHS!$B:$B,Tabelle28[[#This Row],[Country/Region]],RAW_DEATHS!AX:AX)</f>
        <v>3</v>
      </c>
      <c r="AX30" s="28">
        <f>SUMIF(RAW_DEATHS!$B:$B,Tabelle28[[#This Row],[Country/Region]],RAW_DEATHS!AY:AY)</f>
        <v>4</v>
      </c>
      <c r="AY30" s="28">
        <f>SUMIF(RAW_DEATHS!$B:$B,Tabelle28[[#This Row],[Country/Region]],RAW_DEATHS!AZ:AZ)</f>
        <v>5</v>
      </c>
      <c r="AZ30" s="28">
        <f>SUMIF(RAW_DEATHS!$B:$B,Tabelle28[[#This Row],[Country/Region]],RAW_DEATHS!BA:BA)</f>
        <v>5</v>
      </c>
      <c r="BA30" s="28">
        <f>SUMIF(RAW_DEATHS!$B:$B,Tabelle28[[#This Row],[Country/Region]],RAW_DEATHS!BB:BB)</f>
        <v>10</v>
      </c>
      <c r="BB30" s="28">
        <f>SUMIF(RAW_DEATHS!$B:$B,Tabelle28[[#This Row],[Country/Region]],RAW_DEATHS!BC:BC)</f>
        <v>12</v>
      </c>
      <c r="BC30" s="28">
        <f>SUMIF(RAW_DEATHS!$B:$B,Tabelle28[[#This Row],[Country/Region]],RAW_DEATHS!BD:BD)</f>
        <v>20</v>
      </c>
      <c r="BD30" s="28">
        <f>SUMIF(RAW_DEATHS!$B:$B,Tabelle28[[#This Row],[Country/Region]],RAW_DEATHS!BE:BE)</f>
        <v>24</v>
      </c>
      <c r="BE30" s="28">
        <f>SUMIF(RAW_DEATHS!$B:$B,Tabelle28[[#This Row],[Country/Region]],RAW_DEATHS!BF:BF)</f>
        <v>43</v>
      </c>
      <c r="BF30" s="28">
        <f>SUMIF(RAW_DEATHS!$B:$B,Tabelle28[[#This Row],[Country/Region]],RAW_DEATHS!BG:BG)</f>
        <v>58</v>
      </c>
      <c r="BG30" s="28">
        <f>SUMIF(RAW_DEATHS!$B:$B,Tabelle28[[#This Row],[Country/Region]],RAW_DEATHS!BH:BH)</f>
        <v>77</v>
      </c>
      <c r="BH30" s="28">
        <f>SUMIF(RAW_DEATHS!$B:$B,Tabelle28[[#This Row],[Country/Region]],RAW_DEATHS!BI:BI)</f>
        <v>107</v>
      </c>
      <c r="BI30" s="28">
        <f>SUMIF(RAW_DEATHS!$B:$B,Tabelle28[[#This Row],[Country/Region]],RAW_DEATHS!BJ:BJ)</f>
        <v>137</v>
      </c>
      <c r="BJ30" s="28">
        <f>SUMIF(RAW_DEATHS!$B:$B,Tabelle28[[#This Row],[Country/Region]],RAW_DEATHS!BK:BK)</f>
        <v>180</v>
      </c>
      <c r="BK30" s="28">
        <f>SUMIF(RAW_DEATHS!$B:$B,Tabelle28[[#This Row],[Country/Region]],RAW_DEATHS!BL:BL)</f>
        <v>214</v>
      </c>
      <c r="BL30" s="28">
        <f>SUMIF(RAW_DEATHS!$B:$B,Tabelle28[[#This Row],[Country/Region]],RAW_DEATHS!BM:BM)</f>
        <v>277</v>
      </c>
      <c r="BM30" s="28">
        <f>SUMIF(RAW_DEATHS!$B:$B,Tabelle28[[#This Row],[Country/Region]],RAW_DEATHS!BN:BN)</f>
        <v>357</v>
      </c>
      <c r="BN30" s="28">
        <f>SUMIF(RAW_DEATHS!$B:$B,Tabelle28[[#This Row],[Country/Region]],RAW_DEATHS!BO:BO)</f>
        <v>435</v>
      </c>
      <c r="BO30" s="28">
        <f>SUMIF(RAW_DEATHS!$B:$B,Tabelle28[[#This Row],[Country/Region]],RAW_DEATHS!BP:BP)</f>
        <v>547</v>
      </c>
      <c r="BP30" s="28">
        <f>SUMIF(RAW_DEATHS!$B:$B,Tabelle28[[#This Row],[Country/Region]],RAW_DEATHS!BQ:BQ)</f>
        <v>640</v>
      </c>
      <c r="BQ30" s="28">
        <f>SUMIF(RAW_DEATHS!$B:$B,Tabelle28[[#This Row],[Country/Region]],RAW_DEATHS!BR:BR)</f>
        <v>772</v>
      </c>
      <c r="BR30" s="28">
        <f>SUMIF(RAW_DEATHS!$B:$B,Tabelle28[[#This Row],[Country/Region]],RAW_DEATHS!BS:BS)</f>
        <v>865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0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1">IF(ISBLANK(A22),"",A22)</f>
        <v>France</v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1</v>
      </c>
      <c r="AA33" s="28">
        <f>SUMIF(RAW_DEATHS!$B:$B,Tabelle28[[#This Row],[Country/Region]],RAW_DEATHS!AB:AB)</f>
        <v>1</v>
      </c>
      <c r="AB33" s="28">
        <f>SUMIF(RAW_DEATHS!$B:$B,Tabelle28[[#This Row],[Country/Region]],RAW_DEATHS!AC:AC)</f>
        <v>1</v>
      </c>
      <c r="AC33" s="28">
        <f>SUMIF(RAW_DEATHS!$B:$B,Tabelle28[[#This Row],[Country/Region]],RAW_DEATHS!AD:AD)</f>
        <v>1</v>
      </c>
      <c r="AD33" s="28">
        <f>SUMIF(RAW_DEATHS!$B:$B,Tabelle28[[#This Row],[Country/Region]],RAW_DEATHS!AE:AE)</f>
        <v>1</v>
      </c>
      <c r="AE33" s="28">
        <f>SUMIF(RAW_DEATHS!$B:$B,Tabelle28[[#This Row],[Country/Region]],RAW_DEATHS!AF:AF)</f>
        <v>1</v>
      </c>
      <c r="AF33" s="28">
        <f>SUMIF(RAW_DEATHS!$B:$B,Tabelle28[[#This Row],[Country/Region]],RAW_DEATHS!AG:AG)</f>
        <v>1</v>
      </c>
      <c r="AG33" s="28">
        <f>SUMIF(RAW_DEATHS!$B:$B,Tabelle28[[#This Row],[Country/Region]],RAW_DEATHS!AH:AH)</f>
        <v>1</v>
      </c>
      <c r="AH33" s="28">
        <f>SUMIF(RAW_DEATHS!$B:$B,Tabelle28[[#This Row],[Country/Region]],RAW_DEATHS!AI:AI)</f>
        <v>1</v>
      </c>
      <c r="AI33" s="28">
        <f>SUMIF(RAW_DEATHS!$B:$B,Tabelle28[[#This Row],[Country/Region]],RAW_DEATHS!AJ:AJ)</f>
        <v>1</v>
      </c>
      <c r="AJ33" s="28">
        <f>SUMIF(RAW_DEATHS!$B:$B,Tabelle28[[#This Row],[Country/Region]],RAW_DEATHS!AK:AK)</f>
        <v>1</v>
      </c>
      <c r="AK33" s="28">
        <f>SUMIF(RAW_DEATHS!$B:$B,Tabelle28[[#This Row],[Country/Region]],RAW_DEATHS!AL:AL)</f>
        <v>2</v>
      </c>
      <c r="AL33" s="28">
        <f>SUMIF(RAW_DEATHS!$B:$B,Tabelle28[[#This Row],[Country/Region]],RAW_DEATHS!AM:AM)</f>
        <v>2</v>
      </c>
      <c r="AM33" s="28">
        <f>SUMIF(RAW_DEATHS!$B:$B,Tabelle28[[#This Row],[Country/Region]],RAW_DEATHS!AN:AN)</f>
        <v>2</v>
      </c>
      <c r="AN33" s="28">
        <f>SUMIF(RAW_DEATHS!$B:$B,Tabelle28[[#This Row],[Country/Region]],RAW_DEATHS!AO:AO)</f>
        <v>2</v>
      </c>
      <c r="AO33" s="28">
        <f>SUMIF(RAW_DEATHS!$B:$B,Tabelle28[[#This Row],[Country/Region]],RAW_DEATHS!AP:AP)</f>
        <v>2</v>
      </c>
      <c r="AP33" s="28">
        <f>SUMIF(RAW_DEATHS!$B:$B,Tabelle28[[#This Row],[Country/Region]],RAW_DEATHS!AQ:AQ)</f>
        <v>3</v>
      </c>
      <c r="AQ33" s="28">
        <f>SUMIF(RAW_DEATHS!$B:$B,Tabelle28[[#This Row],[Country/Region]],RAW_DEATHS!AR:AR)</f>
        <v>4</v>
      </c>
      <c r="AR33" s="28">
        <f>SUMIF(RAW_DEATHS!$B:$B,Tabelle28[[#This Row],[Country/Region]],RAW_DEATHS!AS:AS)</f>
        <v>4</v>
      </c>
      <c r="AS33" s="28">
        <f>SUMIF(RAW_DEATHS!$B:$B,Tabelle28[[#This Row],[Country/Region]],RAW_DEATHS!AT:AT)</f>
        <v>6</v>
      </c>
      <c r="AT33" s="28">
        <f>SUMIF(RAW_DEATHS!$B:$B,Tabelle28[[#This Row],[Country/Region]],RAW_DEATHS!AU:AU)</f>
        <v>9</v>
      </c>
      <c r="AU33" s="28">
        <f>SUMIF(RAW_DEATHS!$B:$B,Tabelle28[[#This Row],[Country/Region]],RAW_DEATHS!AV:AV)</f>
        <v>11</v>
      </c>
      <c r="AV33" s="28">
        <f>SUMIF(RAW_DEATHS!$B:$B,Tabelle28[[#This Row],[Country/Region]],RAW_DEATHS!AW:AW)</f>
        <v>19</v>
      </c>
      <c r="AW33" s="28">
        <f>SUMIF(RAW_DEATHS!$B:$B,Tabelle28[[#This Row],[Country/Region]],RAW_DEATHS!AX:AX)</f>
        <v>19</v>
      </c>
      <c r="AX33" s="28">
        <f>SUMIF(RAW_DEATHS!$B:$B,Tabelle28[[#This Row],[Country/Region]],RAW_DEATHS!AY:AY)</f>
        <v>33</v>
      </c>
      <c r="AY33" s="28">
        <f>SUMIF(RAW_DEATHS!$B:$B,Tabelle28[[#This Row],[Country/Region]],RAW_DEATHS!AZ:AZ)</f>
        <v>48</v>
      </c>
      <c r="AZ33" s="28">
        <f>SUMIF(RAW_DEATHS!$B:$B,Tabelle28[[#This Row],[Country/Region]],RAW_DEATHS!BA:BA)</f>
        <v>48</v>
      </c>
      <c r="BA33" s="28">
        <f>SUMIF(RAW_DEATHS!$B:$B,Tabelle28[[#This Row],[Country/Region]],RAW_DEATHS!BB:BB)</f>
        <v>79</v>
      </c>
      <c r="BB33" s="28">
        <f>SUMIF(RAW_DEATHS!$B:$B,Tabelle28[[#This Row],[Country/Region]],RAW_DEATHS!BC:BC)</f>
        <v>91</v>
      </c>
      <c r="BC33" s="28">
        <f>SUMIF(RAW_DEATHS!$B:$B,Tabelle28[[#This Row],[Country/Region]],RAW_DEATHS!BD:BD)</f>
        <v>91</v>
      </c>
      <c r="BD33" s="28">
        <f>SUMIF(RAW_DEATHS!$B:$B,Tabelle28[[#This Row],[Country/Region]],RAW_DEATHS!BE:BE)</f>
        <v>149</v>
      </c>
      <c r="BE33" s="28">
        <f>SUMIF(RAW_DEATHS!$B:$B,Tabelle28[[#This Row],[Country/Region]],RAW_DEATHS!BF:BF)</f>
        <v>149</v>
      </c>
      <c r="BF33" s="28">
        <f>SUMIF(RAW_DEATHS!$B:$B,Tabelle28[[#This Row],[Country/Region]],RAW_DEATHS!BG:BG)</f>
        <v>149</v>
      </c>
      <c r="BG33" s="28">
        <f>SUMIF(RAW_DEATHS!$B:$B,Tabelle28[[#This Row],[Country/Region]],RAW_DEATHS!BH:BH)</f>
        <v>244</v>
      </c>
      <c r="BH33" s="28">
        <f>SUMIF(RAW_DEATHS!$B:$B,Tabelle28[[#This Row],[Country/Region]],RAW_DEATHS!BI:BI)</f>
        <v>451</v>
      </c>
      <c r="BI33" s="28">
        <f>SUMIF(RAW_DEATHS!$B:$B,Tabelle28[[#This Row],[Country/Region]],RAW_DEATHS!BJ:BJ)</f>
        <v>563</v>
      </c>
      <c r="BJ33" s="28">
        <f>SUMIF(RAW_DEATHS!$B:$B,Tabelle28[[#This Row],[Country/Region]],RAW_DEATHS!BK:BK)</f>
        <v>676</v>
      </c>
      <c r="BK33" s="28">
        <f>SUMIF(RAW_DEATHS!$B:$B,Tabelle28[[#This Row],[Country/Region]],RAW_DEATHS!BL:BL)</f>
        <v>862</v>
      </c>
      <c r="BL33" s="28">
        <f>SUMIF(RAW_DEATHS!$B:$B,Tabelle28[[#This Row],[Country/Region]],RAW_DEATHS!BM:BM)</f>
        <v>1102</v>
      </c>
      <c r="BM33" s="28">
        <f>SUMIF(RAW_DEATHS!$B:$B,Tabelle28[[#This Row],[Country/Region]],RAW_DEATHS!BN:BN)</f>
        <v>1333</v>
      </c>
      <c r="BN33" s="28">
        <f>SUMIF(RAW_DEATHS!$B:$B,Tabelle28[[#This Row],[Country/Region]],RAW_DEATHS!BO:BO)</f>
        <v>1698</v>
      </c>
      <c r="BO33" s="28">
        <f>SUMIF(RAW_DEATHS!$B:$B,Tabelle28[[#This Row],[Country/Region]],RAW_DEATHS!BP:BP)</f>
        <v>1997</v>
      </c>
      <c r="BP33" s="28">
        <f>SUMIF(RAW_DEATHS!$B:$B,Tabelle28[[#This Row],[Country/Region]],RAW_DEATHS!BQ:BQ)</f>
        <v>2317</v>
      </c>
      <c r="BQ33" s="28">
        <f>SUMIF(RAW_DEATHS!$B:$B,Tabelle28[[#This Row],[Country/Region]],RAW_DEATHS!BR:BR)</f>
        <v>2611</v>
      </c>
      <c r="BR33" s="28">
        <f>SUMIF(RAW_DEATHS!$B:$B,Tabelle28[[#This Row],[Country/Region]],RAW_DEATHS!BS:BS)</f>
        <v>3030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0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2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2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2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2"/>
        <v>Netherlands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0</v>
      </c>
      <c r="AA41" s="28">
        <f>SUMIF(RAW_RECOVERED!$B:$B,Tabelle289[[#This Row],[Country/Region]],RAW_RECOVERED!AB:AB)</f>
        <v>0</v>
      </c>
      <c r="AB41" s="28">
        <f>SUMIF(RAW_RECOVERED!$B:$B,Tabelle289[[#This Row],[Country/Region]],RAW_RECOVERED!AC:AC)</f>
        <v>0</v>
      </c>
      <c r="AC41" s="28">
        <f>SUMIF(RAW_RECOVERED!$B:$B,Tabelle289[[#This Row],[Country/Region]],RAW_RECOVERED!AD:AD)</f>
        <v>0</v>
      </c>
      <c r="AD41" s="28">
        <f>SUMIF(RAW_RECOVERED!$B:$B,Tabelle289[[#This Row],[Country/Region]],RAW_RECOVERED!AE:AE)</f>
        <v>0</v>
      </c>
      <c r="AE41" s="28">
        <f>SUMIF(RAW_RECOVERED!$B:$B,Tabelle289[[#This Row],[Country/Region]],RAW_RECOVERED!AF:AF)</f>
        <v>0</v>
      </c>
      <c r="AF41" s="28">
        <f>SUMIF(RAW_RECOVERED!$B:$B,Tabelle289[[#This Row],[Country/Region]],RAW_RECOVERED!AG:AG)</f>
        <v>0</v>
      </c>
      <c r="AG41" s="28">
        <f>SUMIF(RAW_RECOVERED!$B:$B,Tabelle289[[#This Row],[Country/Region]],RAW_RECOVERED!AH:AH)</f>
        <v>0</v>
      </c>
      <c r="AH41" s="28">
        <f>SUMIF(RAW_RECOVERED!$B:$B,Tabelle289[[#This Row],[Country/Region]],RAW_RECOVERED!AI:AI)</f>
        <v>0</v>
      </c>
      <c r="AI41" s="28">
        <f>SUMIF(RAW_RECOVERED!$B:$B,Tabelle289[[#This Row],[Country/Region]],RAW_RECOVERED!AJ:AJ)</f>
        <v>0</v>
      </c>
      <c r="AJ41" s="28">
        <f>SUMIF(RAW_RECOVERED!$B:$B,Tabelle289[[#This Row],[Country/Region]],RAW_RECOVERED!AK:AK)</f>
        <v>0</v>
      </c>
      <c r="AK41" s="28">
        <f>SUMIF(RAW_RECOVERED!$B:$B,Tabelle289[[#This Row],[Country/Region]],RAW_RECOVERED!AL:AL)</f>
        <v>0</v>
      </c>
      <c r="AL41" s="28">
        <f>SUMIF(RAW_RECOVERED!$B:$B,Tabelle289[[#This Row],[Country/Region]],RAW_RECOVERED!AM:AM)</f>
        <v>0</v>
      </c>
      <c r="AM41" s="28">
        <f>SUMIF(RAW_RECOVERED!$B:$B,Tabelle289[[#This Row],[Country/Region]],RAW_RECOVERED!AN:AN)</f>
        <v>0</v>
      </c>
      <c r="AN41" s="28">
        <f>SUMIF(RAW_RECOVERED!$B:$B,Tabelle289[[#This Row],[Country/Region]],RAW_RECOVERED!AO:AO)</f>
        <v>0</v>
      </c>
      <c r="AO41" s="28">
        <f>SUMIF(RAW_RECOVERED!$B:$B,Tabelle289[[#This Row],[Country/Region]],RAW_RECOVERED!AP:AP)</f>
        <v>0</v>
      </c>
      <c r="AP41" s="28">
        <f>SUMIF(RAW_RECOVERED!$B:$B,Tabelle289[[#This Row],[Country/Region]],RAW_RECOVERED!AQ:AQ)</f>
        <v>0</v>
      </c>
      <c r="AQ41" s="28">
        <f>SUMIF(RAW_RECOVERED!$B:$B,Tabelle289[[#This Row],[Country/Region]],RAW_RECOVERED!AR:AR)</f>
        <v>0</v>
      </c>
      <c r="AR41" s="28">
        <f>SUMIF(RAW_RECOVERED!$B:$B,Tabelle289[[#This Row],[Country/Region]],RAW_RECOVERED!AS:AS)</f>
        <v>0</v>
      </c>
      <c r="AS41" s="28">
        <f>SUMIF(RAW_RECOVERED!$B:$B,Tabelle289[[#This Row],[Country/Region]],RAW_RECOVERED!AT:AT)</f>
        <v>0</v>
      </c>
      <c r="AT41" s="28">
        <f>SUMIF(RAW_RECOVERED!$B:$B,Tabelle289[[#This Row],[Country/Region]],RAW_RECOVERED!AU:AU)</f>
        <v>0</v>
      </c>
      <c r="AU41" s="28">
        <f>SUMIF(RAW_RECOVERED!$B:$B,Tabelle289[[#This Row],[Country/Region]],RAW_RECOVERED!AV:AV)</f>
        <v>0</v>
      </c>
      <c r="AV41" s="28">
        <f>SUMIF(RAW_RECOVERED!$B:$B,Tabelle289[[#This Row],[Country/Region]],RAW_RECOVERED!AW:AW)</f>
        <v>0</v>
      </c>
      <c r="AW41" s="28">
        <f>SUMIF(RAW_RECOVERED!$B:$B,Tabelle289[[#This Row],[Country/Region]],RAW_RECOVERED!AX:AX)</f>
        <v>0</v>
      </c>
      <c r="AX41" s="28">
        <f>SUMIF(RAW_RECOVERED!$B:$B,Tabelle289[[#This Row],[Country/Region]],RAW_RECOVERED!AY:AY)</f>
        <v>0</v>
      </c>
      <c r="AY41" s="28">
        <f>SUMIF(RAW_RECOVERED!$B:$B,Tabelle289[[#This Row],[Country/Region]],RAW_RECOVERED!AZ:AZ)</f>
        <v>0</v>
      </c>
      <c r="AZ41" s="28">
        <f>SUMIF(RAW_RECOVERED!$B:$B,Tabelle289[[#This Row],[Country/Region]],RAW_RECOVERED!BA:BA)</f>
        <v>0</v>
      </c>
      <c r="BA41" s="28">
        <f>SUMIF(RAW_RECOVERED!$B:$B,Tabelle289[[#This Row],[Country/Region]],RAW_RECOVERED!BB:BB)</f>
        <v>0</v>
      </c>
      <c r="BB41" s="28">
        <f>SUMIF(RAW_RECOVERED!$B:$B,Tabelle289[[#This Row],[Country/Region]],RAW_RECOVERED!BC:BC)</f>
        <v>2</v>
      </c>
      <c r="BC41" s="28">
        <f>SUMIF(RAW_RECOVERED!$B:$B,Tabelle289[[#This Row],[Country/Region]],RAW_RECOVERED!BD:BD)</f>
        <v>2</v>
      </c>
      <c r="BD41" s="28">
        <f>SUMIF(RAW_RECOVERED!$B:$B,Tabelle289[[#This Row],[Country/Region]],RAW_RECOVERED!BE:BE)</f>
        <v>2</v>
      </c>
      <c r="BE41" s="28">
        <f>SUMIF(RAW_RECOVERED!$B:$B,Tabelle289[[#This Row],[Country/Region]],RAW_RECOVERED!BF:BF)</f>
        <v>2</v>
      </c>
      <c r="BF41" s="28">
        <f>SUMIF(RAW_RECOVERED!$B:$B,Tabelle289[[#This Row],[Country/Region]],RAW_RECOVERED!BG:BG)</f>
        <v>2</v>
      </c>
      <c r="BG41" s="28">
        <f>SUMIF(RAW_RECOVERED!$B:$B,Tabelle289[[#This Row],[Country/Region]],RAW_RECOVERED!BH:BH)</f>
        <v>2</v>
      </c>
      <c r="BH41" s="28">
        <f>SUMIF(RAW_RECOVERED!$B:$B,Tabelle289[[#This Row],[Country/Region]],RAW_RECOVERED!BI:BI)</f>
        <v>2</v>
      </c>
      <c r="BI41" s="28">
        <f>SUMIF(RAW_RECOVERED!$B:$B,Tabelle289[[#This Row],[Country/Region]],RAW_RECOVERED!BJ:BJ)</f>
        <v>2</v>
      </c>
      <c r="BJ41" s="28">
        <f>SUMIF(RAW_RECOVERED!$B:$B,Tabelle289[[#This Row],[Country/Region]],RAW_RECOVERED!BK:BK)</f>
        <v>2</v>
      </c>
      <c r="BK41" s="28">
        <f>SUMIF(RAW_RECOVERED!$B:$B,Tabelle289[[#This Row],[Country/Region]],RAW_RECOVERED!BL:BL)</f>
        <v>2</v>
      </c>
      <c r="BL41" s="28">
        <f>SUMIF(RAW_RECOVERED!$B:$B,Tabelle289[[#This Row],[Country/Region]],RAW_RECOVERED!BM:BM)</f>
        <v>3</v>
      </c>
      <c r="BM41" s="28">
        <f>SUMIF(RAW_RECOVERED!$B:$B,Tabelle289[[#This Row],[Country/Region]],RAW_RECOVERED!BN:BN)</f>
        <v>4</v>
      </c>
      <c r="BN41" s="28">
        <f>SUMIF(RAW_RECOVERED!$B:$B,Tabelle289[[#This Row],[Country/Region]],RAW_RECOVERED!BO:BO)</f>
        <v>6</v>
      </c>
      <c r="BO41" s="28">
        <f>SUMIF(RAW_RECOVERED!$B:$B,Tabelle289[[#This Row],[Country/Region]],RAW_RECOVERED!BP:BP)</f>
        <v>6</v>
      </c>
      <c r="BP41" s="28">
        <f>SUMIF(RAW_RECOVERED!$B:$B,Tabelle289[[#This Row],[Country/Region]],RAW_RECOVERED!BQ:BQ)</f>
        <v>6</v>
      </c>
      <c r="BQ41" s="28">
        <f>SUMIF(RAW_RECOVERED!$B:$B,Tabelle289[[#This Row],[Country/Region]],RAW_RECOVERED!BR:BR)</f>
        <v>253</v>
      </c>
      <c r="BR41" s="28">
        <f>SUMIF(RAW_RECOVERED!$B:$B,Tabelle289[[#This Row],[Country/Region]],RAW_RECOVERED!BS:BS)</f>
        <v>253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2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2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2"/>
        <v>France</v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2</v>
      </c>
      <c r="X44" s="28">
        <f>SUMIF(RAW_RECOVERED!$B:$B,Tabelle289[[#This Row],[Country/Region]],RAW_RECOVERED!Y:Y)</f>
        <v>2</v>
      </c>
      <c r="Y44" s="28">
        <f>SUMIF(RAW_RECOVERED!$B:$B,Tabelle289[[#This Row],[Country/Region]],RAW_RECOVERED!Z:Z)</f>
        <v>2</v>
      </c>
      <c r="Z44" s="28">
        <f>SUMIF(RAW_RECOVERED!$B:$B,Tabelle289[[#This Row],[Country/Region]],RAW_RECOVERED!AA:AA)</f>
        <v>4</v>
      </c>
      <c r="AA44" s="28">
        <f>SUMIF(RAW_RECOVERED!$B:$B,Tabelle289[[#This Row],[Country/Region]],RAW_RECOVERED!AB:AB)</f>
        <v>4</v>
      </c>
      <c r="AB44" s="28">
        <f>SUMIF(RAW_RECOVERED!$B:$B,Tabelle289[[#This Row],[Country/Region]],RAW_RECOVERED!AC:AC)</f>
        <v>4</v>
      </c>
      <c r="AC44" s="28">
        <f>SUMIF(RAW_RECOVERED!$B:$B,Tabelle289[[#This Row],[Country/Region]],RAW_RECOVERED!AD:AD)</f>
        <v>4</v>
      </c>
      <c r="AD44" s="28">
        <f>SUMIF(RAW_RECOVERED!$B:$B,Tabelle289[[#This Row],[Country/Region]],RAW_RECOVERED!AE:AE)</f>
        <v>4</v>
      </c>
      <c r="AE44" s="28">
        <f>SUMIF(RAW_RECOVERED!$B:$B,Tabelle289[[#This Row],[Country/Region]],RAW_RECOVERED!AF:AF)</f>
        <v>4</v>
      </c>
      <c r="AF44" s="28">
        <f>SUMIF(RAW_RECOVERED!$B:$B,Tabelle289[[#This Row],[Country/Region]],RAW_RECOVERED!AG:AG)</f>
        <v>4</v>
      </c>
      <c r="AG44" s="28">
        <f>SUMIF(RAW_RECOVERED!$B:$B,Tabelle289[[#This Row],[Country/Region]],RAW_RECOVERED!AH:AH)</f>
        <v>4</v>
      </c>
      <c r="AH44" s="28">
        <f>SUMIF(RAW_RECOVERED!$B:$B,Tabelle289[[#This Row],[Country/Region]],RAW_RECOVERED!AI:AI)</f>
        <v>4</v>
      </c>
      <c r="AI44" s="28">
        <f>SUMIF(RAW_RECOVERED!$B:$B,Tabelle289[[#This Row],[Country/Region]],RAW_RECOVERED!AJ:AJ)</f>
        <v>4</v>
      </c>
      <c r="AJ44" s="28">
        <f>SUMIF(RAW_RECOVERED!$B:$B,Tabelle289[[#This Row],[Country/Region]],RAW_RECOVERED!AK:AK)</f>
        <v>11</v>
      </c>
      <c r="AK44" s="28">
        <f>SUMIF(RAW_RECOVERED!$B:$B,Tabelle289[[#This Row],[Country/Region]],RAW_RECOVERED!AL:AL)</f>
        <v>11</v>
      </c>
      <c r="AL44" s="28">
        <f>SUMIF(RAW_RECOVERED!$B:$B,Tabelle289[[#This Row],[Country/Region]],RAW_RECOVERED!AM:AM)</f>
        <v>11</v>
      </c>
      <c r="AM44" s="28">
        <f>SUMIF(RAW_RECOVERED!$B:$B,Tabelle289[[#This Row],[Country/Region]],RAW_RECOVERED!AN:AN)</f>
        <v>11</v>
      </c>
      <c r="AN44" s="28">
        <f>SUMIF(RAW_RECOVERED!$B:$B,Tabelle289[[#This Row],[Country/Region]],RAW_RECOVERED!AO:AO)</f>
        <v>12</v>
      </c>
      <c r="AO44" s="28">
        <f>SUMIF(RAW_RECOVERED!$B:$B,Tabelle289[[#This Row],[Country/Region]],RAW_RECOVERED!AP:AP)</f>
        <v>12</v>
      </c>
      <c r="AP44" s="28">
        <f>SUMIF(RAW_RECOVERED!$B:$B,Tabelle289[[#This Row],[Country/Region]],RAW_RECOVERED!AQ:AQ)</f>
        <v>12</v>
      </c>
      <c r="AQ44" s="28">
        <f>SUMIF(RAW_RECOVERED!$B:$B,Tabelle289[[#This Row],[Country/Region]],RAW_RECOVERED!AR:AR)</f>
        <v>12</v>
      </c>
      <c r="AR44" s="28">
        <f>SUMIF(RAW_RECOVERED!$B:$B,Tabelle289[[#This Row],[Country/Region]],RAW_RECOVERED!AS:AS)</f>
        <v>12</v>
      </c>
      <c r="AS44" s="28">
        <f>SUMIF(RAW_RECOVERED!$B:$B,Tabelle289[[#This Row],[Country/Region]],RAW_RECOVERED!AT:AT)</f>
        <v>12</v>
      </c>
      <c r="AT44" s="28">
        <f>SUMIF(RAW_RECOVERED!$B:$B,Tabelle289[[#This Row],[Country/Region]],RAW_RECOVERED!AU:AU)</f>
        <v>12</v>
      </c>
      <c r="AU44" s="28">
        <f>SUMIF(RAW_RECOVERED!$B:$B,Tabelle289[[#This Row],[Country/Region]],RAW_RECOVERED!AV:AV)</f>
        <v>12</v>
      </c>
      <c r="AV44" s="28">
        <f>SUMIF(RAW_RECOVERED!$B:$B,Tabelle289[[#This Row],[Country/Region]],RAW_RECOVERED!AW:AW)</f>
        <v>12</v>
      </c>
      <c r="AW44" s="28">
        <f>SUMIF(RAW_RECOVERED!$B:$B,Tabelle289[[#This Row],[Country/Region]],RAW_RECOVERED!AX:AX)</f>
        <v>12</v>
      </c>
      <c r="AX44" s="28">
        <f>SUMIF(RAW_RECOVERED!$B:$B,Tabelle289[[#This Row],[Country/Region]],RAW_RECOVERED!AY:AY)</f>
        <v>12</v>
      </c>
      <c r="AY44" s="28">
        <f>SUMIF(RAW_RECOVERED!$B:$B,Tabelle289[[#This Row],[Country/Region]],RAW_RECOVERED!AZ:AZ)</f>
        <v>12</v>
      </c>
      <c r="AZ44" s="28">
        <f>SUMIF(RAW_RECOVERED!$B:$B,Tabelle289[[#This Row],[Country/Region]],RAW_RECOVERED!BA:BA)</f>
        <v>12</v>
      </c>
      <c r="BA44" s="28">
        <f>SUMIF(RAW_RECOVERED!$B:$B,Tabelle289[[#This Row],[Country/Region]],RAW_RECOVERED!BB:BB)</f>
        <v>12</v>
      </c>
      <c r="BB44" s="28">
        <f>SUMIF(RAW_RECOVERED!$B:$B,Tabelle289[[#This Row],[Country/Region]],RAW_RECOVERED!BC:BC)</f>
        <v>12</v>
      </c>
      <c r="BC44" s="28">
        <f>SUMIF(RAW_RECOVERED!$B:$B,Tabelle289[[#This Row],[Country/Region]],RAW_RECOVERED!BD:BD)</f>
        <v>12</v>
      </c>
      <c r="BD44" s="28">
        <f>SUMIF(RAW_RECOVERED!$B:$B,Tabelle289[[#This Row],[Country/Region]],RAW_RECOVERED!BE:BE)</f>
        <v>12</v>
      </c>
      <c r="BE44" s="28">
        <f>SUMIF(RAW_RECOVERED!$B:$B,Tabelle289[[#This Row],[Country/Region]],RAW_RECOVERED!BF:BF)</f>
        <v>12</v>
      </c>
      <c r="BF44" s="28">
        <f>SUMIF(RAW_RECOVERED!$B:$B,Tabelle289[[#This Row],[Country/Region]],RAW_RECOVERED!BG:BG)</f>
        <v>12</v>
      </c>
      <c r="BG44" s="28">
        <f>SUMIF(RAW_RECOVERED!$B:$B,Tabelle289[[#This Row],[Country/Region]],RAW_RECOVERED!BH:BH)</f>
        <v>12</v>
      </c>
      <c r="BH44" s="28">
        <f>SUMIF(RAW_RECOVERED!$B:$B,Tabelle289[[#This Row],[Country/Region]],RAW_RECOVERED!BI:BI)</f>
        <v>12</v>
      </c>
      <c r="BI44" s="28">
        <f>SUMIF(RAW_RECOVERED!$B:$B,Tabelle289[[#This Row],[Country/Region]],RAW_RECOVERED!BJ:BJ)</f>
        <v>12</v>
      </c>
      <c r="BJ44" s="28">
        <f>SUMIF(RAW_RECOVERED!$B:$B,Tabelle289[[#This Row],[Country/Region]],RAW_RECOVERED!BK:BK)</f>
        <v>2206</v>
      </c>
      <c r="BK44" s="28">
        <f>SUMIF(RAW_RECOVERED!$B:$B,Tabelle289[[#This Row],[Country/Region]],RAW_RECOVERED!BL:BL)</f>
        <v>2206</v>
      </c>
      <c r="BL44" s="28">
        <f>SUMIF(RAW_RECOVERED!$B:$B,Tabelle289[[#This Row],[Country/Region]],RAW_RECOVERED!BM:BM)</f>
        <v>3250</v>
      </c>
      <c r="BM44" s="28">
        <f>SUMIF(RAW_RECOVERED!$B:$B,Tabelle289[[#This Row],[Country/Region]],RAW_RECOVERED!BN:BN)</f>
        <v>3907</v>
      </c>
      <c r="BN44" s="28">
        <f>SUMIF(RAW_RECOVERED!$B:$B,Tabelle289[[#This Row],[Country/Region]],RAW_RECOVERED!BO:BO)</f>
        <v>4955</v>
      </c>
      <c r="BO44" s="28">
        <f>SUMIF(RAW_RECOVERED!$B:$B,Tabelle289[[#This Row],[Country/Region]],RAW_RECOVERED!BP:BP)</f>
        <v>5707</v>
      </c>
      <c r="BP44" s="28">
        <f>SUMIF(RAW_RECOVERED!$B:$B,Tabelle289[[#This Row],[Country/Region]],RAW_RECOVERED!BQ:BQ)</f>
        <v>5724</v>
      </c>
      <c r="BQ44" s="28">
        <f>SUMIF(RAW_RECOVERED!$B:$B,Tabelle289[[#This Row],[Country/Region]],RAW_RECOVERED!BR:BR)</f>
        <v>7226</v>
      </c>
      <c r="BR44" s="28">
        <f>SUMIF(RAW_RECOVERED!$B:$B,Tabelle289[[#This Row],[Country/Region]],RAW_RECOVERED!BS:BS)</f>
        <v>7964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</row>
  </sheetData>
  <mergeCells count="1">
    <mergeCell ref="AO1:CE1"/>
  </mergeCells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num" val="0"/>
        <cfvo type="percent" val="100"/>
        <color rgb="FFC00000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5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</row>
    <row r="51" spans="1:71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</row>
    <row r="52" spans="1:71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</row>
    <row r="53" spans="1:71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</row>
    <row r="54" spans="1:71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</row>
    <row r="55" spans="1:71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</row>
    <row r="56" spans="1:71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</row>
    <row r="57" spans="1:71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</row>
    <row r="58" spans="1:71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</row>
    <row r="59" spans="1:71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</row>
    <row r="60" spans="1:71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</row>
    <row r="61" spans="1:71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</row>
    <row r="62" spans="1:71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</row>
    <row r="63" spans="1:71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</row>
    <row r="64" spans="1:71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</row>
    <row r="65" spans="1:71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</row>
    <row r="67" spans="1:71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</row>
    <row r="68" spans="1:71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</row>
    <row r="69" spans="1:71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</row>
    <row r="70" spans="1:71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</row>
    <row r="71" spans="1:71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</row>
    <row r="72" spans="1:71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</row>
    <row r="74" spans="1:71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</row>
    <row r="75" spans="1:71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</row>
    <row r="76" spans="1:71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</row>
    <row r="77" spans="1:71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</row>
    <row r="78" spans="1:71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</row>
    <row r="79" spans="1:71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</row>
    <row r="81" spans="1:71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</row>
    <row r="82" spans="1:71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</row>
    <row r="83" spans="1:71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</row>
    <row r="141" spans="1:71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</row>
    <row r="145" spans="1:71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</row>
    <row r="198" spans="1:71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</row>
    <row r="209" spans="1:71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</row>
    <row r="211" spans="1:71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</row>
    <row r="227" spans="1:71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</row>
    <row r="230" spans="1:71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5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</row>
    <row r="51" spans="1:71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</row>
    <row r="52" spans="1:71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</row>
    <row r="53" spans="1:71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</row>
    <row r="54" spans="1:71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</row>
    <row r="56" spans="1:71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</row>
    <row r="57" spans="1:71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</row>
    <row r="58" spans="1:71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</row>
    <row r="59" spans="1:71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</row>
    <row r="60" spans="1:71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</row>
    <row r="61" spans="1:71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</row>
    <row r="62" spans="1:71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</row>
    <row r="63" spans="1:71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</row>
    <row r="64" spans="1:71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</row>
    <row r="65" spans="1:71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</row>
    <row r="67" spans="1:71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</row>
    <row r="69" spans="1:71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</row>
    <row r="71" spans="1:71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</row>
    <row r="72" spans="1:71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</row>
    <row r="74" spans="1:71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</row>
    <row r="75" spans="1:71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</row>
    <row r="76" spans="1:71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</row>
    <row r="77" spans="1:71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</row>
    <row r="78" spans="1:71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</row>
    <row r="79" spans="1:71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</row>
    <row r="82" spans="1:71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</row>
    <row r="83" spans="1:71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</row>
    <row r="141" spans="1:71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</row>
    <row r="145" spans="1:71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</row>
    <row r="198" spans="1:71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</row>
    <row r="209" spans="1:71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</row>
    <row r="211" spans="1:71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1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</row>
    <row r="26" spans="1:71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</row>
    <row r="29" spans="1:71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</row>
    <row r="30" spans="1:71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</row>
    <row r="31" spans="1:71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</row>
    <row r="32" spans="1:71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</row>
    <row r="33" spans="1:71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</row>
    <row r="34" spans="1:71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</row>
    <row r="35" spans="1:71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</row>
    <row r="37" spans="1:71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</row>
    <row r="38" spans="1:71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</row>
    <row r="39" spans="1:71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</row>
    <row r="41" spans="1:71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</row>
    <row r="42" spans="1:71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</row>
    <row r="43" spans="1:71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</row>
    <row r="44" spans="1:71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</row>
    <row r="45" spans="1:71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</row>
    <row r="46" spans="1:71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</row>
    <row r="47" spans="1:71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</row>
    <row r="48" spans="1:71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</row>
    <row r="49" spans="1:71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</row>
    <row r="50" spans="1:71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</row>
    <row r="51" spans="1:71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</row>
    <row r="52" spans="1:71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</row>
    <row r="53" spans="1:71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</row>
    <row r="54" spans="1:71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</row>
    <row r="55" spans="1:71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</row>
    <row r="56" spans="1:71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</row>
    <row r="57" spans="1:71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</row>
    <row r="58" spans="1:71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</row>
    <row r="59" spans="1:71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</row>
    <row r="60" spans="1:71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</row>
    <row r="61" spans="1:71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</row>
    <row r="62" spans="1:71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</row>
    <row r="63" spans="1:71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</row>
    <row r="64" spans="1:71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</row>
    <row r="65" spans="1:71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</row>
    <row r="66" spans="1:71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</row>
    <row r="67" spans="1:71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</row>
    <row r="68" spans="1:71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</row>
    <row r="69" spans="1:71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</row>
    <row r="70" spans="1:71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</row>
    <row r="71" spans="1:71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</row>
    <row r="72" spans="1:71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</row>
    <row r="73" spans="1:71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</row>
    <row r="74" spans="1:71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</row>
    <row r="75" spans="1:71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</row>
    <row r="76" spans="1:71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</row>
    <row r="77" spans="1:71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</row>
    <row r="78" spans="1:71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</row>
    <row r="79" spans="1:71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</row>
    <row r="80" spans="1:71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</row>
    <row r="81" spans="1:71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</row>
    <row r="82" spans="1:71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</row>
    <row r="83" spans="1:71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</row>
    <row r="84" spans="1:71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</row>
    <row r="85" spans="1:71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</row>
    <row r="86" spans="1:71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</row>
    <row r="87" spans="1:71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</row>
    <row r="88" spans="1:71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</row>
    <row r="89" spans="1:71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</row>
    <row r="90" spans="1:71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</row>
    <row r="91" spans="1:71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</row>
    <row r="92" spans="1:71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</row>
    <row r="93" spans="1:71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</row>
    <row r="94" spans="1:71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</row>
    <row r="97" spans="1:71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</row>
    <row r="99" spans="1:71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</row>
    <row r="100" spans="1:71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</row>
    <row r="101" spans="1:71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</row>
    <row r="102" spans="1:71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</row>
    <row r="104" spans="1:71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</row>
    <row r="105" spans="1:71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</row>
    <row r="106" spans="1:71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</row>
    <row r="108" spans="1:71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</row>
    <row r="109" spans="1:71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</row>
    <row r="110" spans="1:71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</row>
    <row r="111" spans="1:71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</row>
    <row r="112" spans="1:71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</row>
    <row r="114" spans="1:71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</row>
    <row r="115" spans="1:71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</row>
    <row r="116" spans="1:71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</row>
    <row r="117" spans="1:71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</row>
    <row r="118" spans="1:71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</row>
    <row r="119" spans="1:71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</row>
    <row r="120" spans="1:71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</row>
    <row r="121" spans="1:71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</row>
    <row r="123" spans="1:71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</row>
    <row r="124" spans="1:71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</row>
    <row r="125" spans="1:71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</row>
    <row r="126" spans="1:71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</row>
    <row r="127" spans="1:71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</row>
    <row r="128" spans="1:71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</row>
    <row r="129" spans="1:71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</row>
    <row r="130" spans="1:71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</row>
    <row r="131" spans="1:71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</row>
    <row r="132" spans="1:71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</row>
    <row r="133" spans="1:71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</row>
    <row r="134" spans="1:71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</row>
    <row r="135" spans="1:71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</row>
    <row r="136" spans="1:71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</row>
    <row r="137" spans="1:71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</row>
    <row r="138" spans="1:71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</row>
    <row r="139" spans="1:71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</row>
    <row r="140" spans="1:71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</row>
    <row r="141" spans="1:71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</row>
    <row r="142" spans="1:71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</row>
    <row r="143" spans="1:71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</row>
    <row r="144" spans="1:71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</row>
    <row r="145" spans="1:71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</row>
    <row r="146" spans="1:71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</row>
    <row r="148" spans="1:71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</row>
    <row r="149" spans="1:71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</row>
    <row r="150" spans="1:71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</row>
    <row r="151" spans="1:71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</row>
    <row r="152" spans="1:71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</row>
    <row r="153" spans="1:71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</row>
    <row r="154" spans="1:71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</row>
    <row r="155" spans="1:71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</row>
    <row r="156" spans="1:71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</row>
    <row r="157" spans="1:71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</row>
    <row r="158" spans="1:71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</row>
    <row r="159" spans="1:71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</row>
    <row r="160" spans="1:71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</row>
    <row r="161" spans="1:71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</row>
    <row r="162" spans="1:71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</row>
    <row r="163" spans="1:71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</row>
    <row r="164" spans="1:71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</row>
    <row r="166" spans="1:71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</row>
    <row r="167" spans="1:71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</row>
    <row r="169" spans="1:71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</row>
    <row r="170" spans="1:71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</row>
    <row r="172" spans="1:71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</row>
    <row r="173" spans="1:71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</row>
    <row r="174" spans="1:71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</row>
    <row r="175" spans="1:71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</row>
    <row r="176" spans="1:71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</row>
    <row r="177" spans="1:71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</row>
    <row r="178" spans="1:71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</row>
    <row r="180" spans="1:71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</row>
    <row r="181" spans="1:71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</row>
    <row r="182" spans="1:71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</row>
    <row r="183" spans="1:71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</row>
    <row r="184" spans="1:71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</row>
    <row r="185" spans="1:71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</row>
    <row r="186" spans="1:71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</row>
    <row r="187" spans="1:71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</row>
    <row r="188" spans="1:71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</row>
    <row r="189" spans="1:71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</row>
    <row r="190" spans="1:71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</row>
    <row r="191" spans="1:71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</row>
    <row r="192" spans="1:71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</row>
    <row r="193" spans="1:71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</row>
    <row r="194" spans="1:71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</row>
    <row r="195" spans="1:71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</row>
    <row r="197" spans="1:71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</row>
    <row r="198" spans="1:71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</row>
    <row r="199" spans="1:71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</row>
    <row r="201" spans="1:71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</row>
    <row r="202" spans="1:71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</row>
    <row r="203" spans="1:71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</row>
    <row r="204" spans="1:71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</row>
    <row r="205" spans="1:71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</row>
    <row r="206" spans="1:71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</row>
    <row r="207" spans="1:71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</row>
    <row r="208" spans="1:71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</row>
    <row r="209" spans="1:71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</row>
    <row r="210" spans="1:71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</row>
    <row r="211" spans="1:71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</row>
    <row r="233" spans="1:71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</row>
    <row r="234" spans="1:71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</row>
    <row r="236" spans="1:71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</row>
    <row r="238" spans="1:71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2020-03-31T13:27:33Z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