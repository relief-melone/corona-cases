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1BBB66EB-F6A8-4299-955E-65DCB48124BF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RAW_Cases!$A$1:$CT$255</definedName>
    <definedName name="ExterneDaten_1" localSheetId="2" hidden="1">RAW_DEATHS!$A$1:$CT$255</definedName>
    <definedName name="ExterneDaten_1" localSheetId="3" hidden="1">RAW_RECOVERED!$A$1:$CT$241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I45" i="1" l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N12" i="1" s="1"/>
  <c r="BM4" i="1"/>
  <c r="BM12" i="1" s="1"/>
  <c r="BL4" i="1"/>
  <c r="BL12" i="1" s="1"/>
  <c r="BK4" i="1"/>
  <c r="BJ4" i="1"/>
  <c r="BJ12" i="1" s="1"/>
  <c r="BI4" i="1"/>
  <c r="BH4" i="1"/>
  <c r="BG4" i="1"/>
  <c r="BF4" i="1"/>
  <c r="BE4" i="1"/>
  <c r="BE12" i="1" s="1"/>
  <c r="BD4" i="1"/>
  <c r="BD12" i="1" s="1"/>
  <c r="BC4" i="1"/>
  <c r="BB4" i="1"/>
  <c r="BA4" i="1"/>
  <c r="AZ4" i="1"/>
  <c r="AY4" i="1"/>
  <c r="AX4" i="1"/>
  <c r="AW4" i="1"/>
  <c r="AW12" i="1" s="1"/>
  <c r="AV4" i="1"/>
  <c r="AV12" i="1" s="1"/>
  <c r="AU4" i="1"/>
  <c r="AT4" i="1"/>
  <c r="AT12" i="1" s="1"/>
  <c r="AS4" i="1"/>
  <c r="AR4" i="1"/>
  <c r="AQ4" i="1"/>
  <c r="AP4" i="1"/>
  <c r="AO4" i="1"/>
  <c r="AO12" i="1" s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U12" i="1" l="1"/>
  <c r="BC12" i="1"/>
  <c r="BK12" i="1"/>
  <c r="AP12" i="1"/>
  <c r="AX12" i="1"/>
  <c r="BF12" i="1"/>
  <c r="BB12" i="1"/>
  <c r="AS12" i="1"/>
  <c r="BA12" i="1"/>
  <c r="BI12" i="1"/>
  <c r="BU10" i="1"/>
  <c r="BU12" i="1"/>
  <c r="CC10" i="1"/>
  <c r="CC12" i="1"/>
  <c r="BV10" i="1"/>
  <c r="BV12" i="1"/>
  <c r="CD10" i="1"/>
  <c r="CD12" i="1"/>
  <c r="BT10" i="1"/>
  <c r="BT12" i="1"/>
  <c r="AQ10" i="1"/>
  <c r="AQ12" i="1"/>
  <c r="AY10" i="1"/>
  <c r="AY12" i="1"/>
  <c r="BG10" i="1"/>
  <c r="BG12" i="1"/>
  <c r="BO10" i="1"/>
  <c r="BO12" i="1"/>
  <c r="BW10" i="1"/>
  <c r="BW12" i="1"/>
  <c r="CE10" i="1"/>
  <c r="CE12" i="1"/>
  <c r="AR10" i="1"/>
  <c r="AR12" i="1"/>
  <c r="AZ10" i="1"/>
  <c r="AZ12" i="1"/>
  <c r="BH10" i="1"/>
  <c r="BH12" i="1"/>
  <c r="BP10" i="1"/>
  <c r="BP12" i="1"/>
  <c r="BX10" i="1"/>
  <c r="BX12" i="1"/>
  <c r="BQ10" i="1"/>
  <c r="BQ12" i="1"/>
  <c r="BY10" i="1"/>
  <c r="BY12" i="1"/>
  <c r="CB10" i="1"/>
  <c r="CB12" i="1"/>
  <c r="BR10" i="1"/>
  <c r="BR12" i="1"/>
  <c r="BZ10" i="1"/>
  <c r="BZ12" i="1"/>
  <c r="BS10" i="1"/>
  <c r="BS12" i="1"/>
  <c r="CA10" i="1"/>
  <c r="CA12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BX28" i="1" l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BZ39" i="1" l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<sst xmlns="http://schemas.openxmlformats.org/spreadsheetml/2006/main" count="2063" uniqueCount="450">
  <si>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</si>
  <si>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</si>
  <si>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</si>
  <si>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</si>
  <si>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</si>
  <si>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</si>
  <si>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</si>
  <si>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</si>
  <si>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</si>
  <si>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</si>
  <si>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</si>
  <si>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</si>
  <si>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</si>
  <si>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</si>
  <si>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</si>
  <si>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</si>
  <si>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</si>
  <si>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</si>
  <si>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</si>
  <si>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</si>
  <si>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</si>
  <si>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</si>
  <si>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</si>
  <si>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</si>
  <si>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</si>
  <si>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</si>
  <si>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</si>
  <si>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</si>
  <si>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</si>
  <si>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</si>
  <si>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</si>
  <si>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</si>
  <si>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</si>
  <si>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</si>
  <si>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</si>
  <si>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</si>
  <si>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</si>
  <si>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</si>
  <si>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</si>
  <si>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</si>
  <si>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</si>
  <si>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</si>
  <si>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</si>
  <si>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</si>
  <si>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</si>
  <si>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</si>
  <si>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</si>
  <si>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</si>
  <si>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</si>
  <si>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</si>
  <si>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</si>
  <si>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</si>
  <si>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</si>
  <si>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</si>
  <si>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</si>
  <si>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</si>
  <si>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</si>
  <si>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</si>
  <si>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</si>
  <si>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</si>
  <si>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</si>
  <si>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</si>
  <si>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</si>
  <si>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</si>
  <si>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</si>
  <si>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</si>
  <si>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</si>
  <si>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</si>
  <si>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</si>
  <si>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</si>
  <si>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</si>
  <si>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</si>
  <si>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</si>
  <si>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</si>
  <si>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</si>
  <si>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</si>
  <si>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</si>
  <si>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</si>
  <si>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</si>
  <si>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</si>
  <si>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</si>
  <si>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</si>
  <si>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</si>
  <si>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</si>
  <si>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</si>
  <si>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</si>
  <si>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</si>
  <si>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</si>
  <si>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</si>
  <si>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</si>
  <si>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</si>
  <si>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</si>
  <si>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</si>
  <si>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</si>
  <si>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</si>
  <si>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</si>
  <si>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</si>
  <si>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</si>
  <si>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</si>
  <si>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</si>
  <si>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</si>
  <si>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</si>
  <si>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</si>
  <si>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</si>
  <si>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</si>
  <si>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</si>
  <si>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</si>
  <si>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</si>
  <si>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</si>
  <si>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</si>
  <si>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</si>
  <si>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</si>
  <si>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</si>
  <si>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</si>
  <si>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</si>
  <si>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</si>
  <si>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</si>
  <si>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</si>
  <si>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</si>
  <si>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</si>
  <si>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</si>
  <si>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</si>
  <si>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</si>
  <si>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</si>
  <si>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</si>
  <si>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</si>
  <si>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</si>
  <si>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</si>
  <si>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</si>
  <si>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</si>
  <si>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</si>
  <si>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</si>
  <si>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</si>
  <si>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</si>
  <si>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</si>
  <si>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</si>
  <si>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</si>
  <si>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</si>
  <si>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</si>
  <si>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</si>
  <si>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</si>
  <si>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</si>
  <si>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</si>
  <si>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</si>
  <si>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</si>
  <si>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</si>
  <si>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</si>
  <si>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</si>
  <si>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</si>
  <si>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</si>
  <si>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</si>
  <si>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</si>
  <si>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</si>
  <si>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</si>
  <si>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</si>
  <si>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</si>
  <si>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</si>
  <si>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</si>
  <si>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</si>
  <si>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</si>
  <si>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</si>
  <si>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</si>
  <si>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</si>
  <si>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</si>
  <si>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</si>
  <si>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</si>
  <si>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</si>
  <si>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</si>
  <si>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</si>
  <si>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</si>
  <si>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</si>
  <si>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</si>
  <si>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</si>
  <si>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</si>
  <si>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</si>
  <si>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</si>
  <si>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</si>
  <si>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</si>
  <si>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</si>
  <si>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</si>
  <si>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</si>
  <si>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</si>
  <si>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</si>
  <si>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</si>
  <si>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</si>
  <si>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</si>
  <si>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</si>
  <si>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</si>
  <si>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</si>
  <si>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</si>
  <si>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</si>
  <si>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</si>
  <si>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</si>
  <si>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</si>
  <si>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</si>
  <si>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</si>
  <si>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</si>
  <si>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</si>
  <si>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</si>
  <si>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</si>
  <si>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</si>
  <si>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</si>
  <si>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</si>
  <si>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</si>
  <si>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</si>
  <si>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</si>
  <si>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</si>
  <si>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</si>
  <si>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</si>
  <si>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</si>
  <si>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</si>
  <si>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</si>
  <si>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</si>
  <si>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</si>
  <si>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</si>
  <si>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</si>
  <si>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</si>
  <si>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</si>
  <si>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</si>
  <si>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</si>
  <si>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</si>
  <si>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</si>
  <si>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</si>
  <si>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</si>
  <si>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</si>
  <si>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</si>
  <si>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</si>
  <si>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</si>
  <si>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</si>
  <si>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</si>
  <si>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</si>
  <si>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</si>
  <si>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</si>
  <si>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</si>
  <si>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</si>
  <si>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</si>
  <si>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</si>
  <si>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</si>
  <si>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</si>
  <si>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</si>
  <si>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</si>
  <si>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</si>
  <si>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</si>
  <si>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</si>
  <si>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</si>
  <si>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</si>
  <si>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</si>
  <si>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</si>
  <si>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</si>
  <si>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</si>
  <si>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</si>
  <si>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</si>
  <si>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</si>
  <si>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</si>
  <si>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</si>
  <si>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</si>
  <si>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</si>
  <si>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</si>
  <si>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</si>
  <si>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</si>
  <si>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</si>
  <si>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</si>
  <si>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</si>
  <si>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</si>
  <si>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</si>
  <si>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</si>
  <si>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</si>
  <si>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</si>
  <si>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</si>
  <si>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</si>
  <si>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</si>
  <si>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</si>
  <si>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</si>
  <si>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</si>
  <si>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</si>
  <si>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</si>
  <si>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</si>
  <si>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</si>
  <si>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</si>
  <si>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</si>
  <si>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</si>
  <si>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</si>
  <si>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</si>
  <si>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</si>
  <si>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</si>
  <si>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</si>
  <si>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</si>
  <si>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</si>
  <si>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</si>
  <si>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</si>
  <si>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</si>
  <si>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</si>
  <si>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</si>
  <si>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</si>
  <si>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</si>
  <si>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</si>
  <si>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</si>
  <si>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</si>
  <si>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</si>
  <si>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</si>
  <si>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</si>
  <si>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</si>
  <si>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</si>
  <si>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</si>
  <si>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</si>
  <si>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</si>
  <si>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</si>
  <si>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</si>
  <si>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</si>
  <si>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</si>
  <si>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</si>
  <si>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</si>
  <si>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</si>
  <si>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</si>
  <si>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</si>
  <si>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</si>
  <si>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</si>
  <si>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</si>
  <si>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</si>
  <si>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</si>
  <si>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</si>
  <si>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</si>
  <si>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</si>
  <si>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</si>
  <si>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</si>
  <si>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</si>
  <si>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</si>
  <si>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</si>
  <si>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</si>
  <si>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</si>
  <si>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</si>
  <si>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</si>
  <si>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</si>
  <si>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</si>
  <si>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</si>
  <si>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</si>
  <si>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</si>
  <si>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</si>
  <si>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</si>
  <si>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</si>
  <si>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</si>
  <si>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</si>
  <si>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</si>
  <si>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</si>
  <si>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</si>
  <si>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</si>
  <si>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</si>
  <si>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</si>
  <si>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</si>
  <si>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</si>
  <si>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</si>
  <si>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</si>
  <si>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</si>
  <si>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</si>
  <si>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</si>
  <si>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</si>
  <si>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</si>
  <si>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</si>
  <si>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</si>
  <si>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</si>
  <si>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</si>
  <si>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</si>
  <si>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</si>
  <si>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</si>
  <si>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</si>
  <si>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</si>
  <si>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</si>
  <si>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</si>
  <si>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</si>
  <si>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</si>
  <si>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</si>
  <si>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</si>
  <si>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</si>
  <si>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</si>
  <si>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</si>
  <si>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</si>
  <si>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</si>
  <si>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</si>
  <si>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</si>
  <si>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</si>
  <si>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</si>
  <si>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</si>
  <si>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</si>
  <si>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</si>
  <si>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</si>
  <si>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</si>
  <si>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</si>
  <si>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</si>
  <si>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</si>
  <si>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</si>
  <si>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</si>
  <si>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</si>
  <si>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</si>
  <si>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</si>
  <si>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</si>
  <si>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</si>
  <si>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</si>
  <si>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</si>
  <si>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</si>
  <si>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</si>
  <si>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</si>
  <si>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</si>
  <si>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</si>
  <si>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</si>
  <si>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</si>
  <si>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</si>
  <si>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</si>
  <si>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</si>
  <si>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</si>
  <si>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</si>
  <si>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</si>
  <si>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</si>
  <si>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</si>
  <si>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</si>
  <si>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</si>
  <si>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</si>
  <si>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</si>
  <si>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</si>
  <si>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</si>
  <si>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</si>
  <si>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</si>
  <si>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</si>
  <si>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</si>
  <si>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</si>
  <si>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</si>
  <si>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</si>
  <si>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</si>
  <si>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</si>
  <si>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</si>
  <si>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</si>
  <si>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</si>
  <si>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</si>
  <si>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</si>
  <si>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</si>
  <si>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</si>
  <si>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</si>
  <si>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</si>
  <si>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</si>
  <si>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</si>
  <si>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</si>
  <si>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</si>
  <si>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</si>
  <si>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</si>
  <si>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</si>
  <si>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</si>
  <si>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</si>
  <si>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</si>
  <si>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</si>
  <si>
    <t>Botswana</t>
  </si>
  <si>
    <t>Corona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</si>
</sst>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  <font>
      <b/>
      <sz val="22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  <xf numFmtId="0" fontId="3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top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Overview!$B$16:$BR$16</c:f>
              <c:numCache>
                <c:formatCode>General</c:formatCode>
                <c:ptCount val="30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Overview!$B$17:$BR$17</c:f>
              <c:numCache>
                <c:formatCode>General</c:formatCode>
                <c:ptCount val="30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  <c:pt idx="26">
                  <c:v>101657</c:v>
                </c:pt>
                <c:pt idx="27">
                  <c:v>121478</c:v>
                </c:pt>
                <c:pt idx="28">
                  <c:v>140886</c:v>
                </c:pt>
                <c:pt idx="29">
                  <c:v>161807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Overview!$B$18:$BR$18</c:f>
              <c:numCache>
                <c:formatCode>General</c:formatCode>
                <c:ptCount val="30"/>
                <c:pt idx="0">
                  <c:v>1694</c:v>
                </c:pt>
                <c:pt idx="1">
                  <c:v>2036</c:v>
                </c:pt>
                <c:pt idx="2">
                  <c:v>2502</c:v>
                </c:pt>
                <c:pt idx="3">
                  <c:v>3089</c:v>
                </c:pt>
                <c:pt idx="4">
                  <c:v>3858</c:v>
                </c:pt>
                <c:pt idx="5">
                  <c:v>4636</c:v>
                </c:pt>
                <c:pt idx="6">
                  <c:v>5883</c:v>
                </c:pt>
                <c:pt idx="7">
                  <c:v>7375</c:v>
                </c:pt>
                <c:pt idx="8">
                  <c:v>9172</c:v>
                </c:pt>
                <c:pt idx="9">
                  <c:v>10149</c:v>
                </c:pt>
                <c:pt idx="10">
                  <c:v>12462</c:v>
                </c:pt>
                <c:pt idx="11">
                  <c:v>12462</c:v>
                </c:pt>
                <c:pt idx="12">
                  <c:v>17660</c:v>
                </c:pt>
                <c:pt idx="13">
                  <c:v>21157</c:v>
                </c:pt>
                <c:pt idx="14">
                  <c:v>24747</c:v>
                </c:pt>
                <c:pt idx="15">
                  <c:v>27980</c:v>
                </c:pt>
                <c:pt idx="16">
                  <c:v>31506</c:v>
                </c:pt>
                <c:pt idx="17">
                  <c:v>35713</c:v>
                </c:pt>
                <c:pt idx="18">
                  <c:v>41035</c:v>
                </c:pt>
                <c:pt idx="19">
                  <c:v>47021</c:v>
                </c:pt>
                <c:pt idx="20">
                  <c:v>53578</c:v>
                </c:pt>
                <c:pt idx="21">
                  <c:v>59138</c:v>
                </c:pt>
                <c:pt idx="22">
                  <c:v>63927</c:v>
                </c:pt>
                <c:pt idx="23">
                  <c:v>69176</c:v>
                </c:pt>
                <c:pt idx="24">
                  <c:v>74386</c:v>
                </c:pt>
                <c:pt idx="25">
                  <c:v>80589</c:v>
                </c:pt>
                <c:pt idx="26">
                  <c:v>86498</c:v>
                </c:pt>
                <c:pt idx="27">
                  <c:v>92472</c:v>
                </c:pt>
                <c:pt idx="28">
                  <c:v>97689</c:v>
                </c:pt>
                <c:pt idx="29">
                  <c:v>101739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Overview!$A$19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Overview!$B$19:$BR$19</c:f>
              <c:numCache>
                <c:formatCode>General</c:formatCode>
                <c:ptCount val="30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959</c:v>
                </c:pt>
                <c:pt idx="7">
                  <c:v>1136</c:v>
                </c:pt>
                <c:pt idx="8">
                  <c:v>1219</c:v>
                </c:pt>
                <c:pt idx="9">
                  <c:v>1794</c:v>
                </c:pt>
                <c:pt idx="10">
                  <c:v>2293</c:v>
                </c:pt>
                <c:pt idx="11">
                  <c:v>2293</c:v>
                </c:pt>
                <c:pt idx="12">
                  <c:v>3681</c:v>
                </c:pt>
                <c:pt idx="13">
                  <c:v>4496</c:v>
                </c:pt>
                <c:pt idx="14">
                  <c:v>4532</c:v>
                </c:pt>
                <c:pt idx="15">
                  <c:v>6683</c:v>
                </c:pt>
                <c:pt idx="16">
                  <c:v>7715</c:v>
                </c:pt>
                <c:pt idx="17">
                  <c:v>9124</c:v>
                </c:pt>
                <c:pt idx="18">
                  <c:v>10970</c:v>
                </c:pt>
                <c:pt idx="19">
                  <c:v>12758</c:v>
                </c:pt>
                <c:pt idx="20">
                  <c:v>14463</c:v>
                </c:pt>
                <c:pt idx="21">
                  <c:v>16243</c:v>
                </c:pt>
                <c:pt idx="22">
                  <c:v>20123</c:v>
                </c:pt>
                <c:pt idx="23">
                  <c:v>22622</c:v>
                </c:pt>
                <c:pt idx="24">
                  <c:v>25600</c:v>
                </c:pt>
                <c:pt idx="25">
                  <c:v>29551</c:v>
                </c:pt>
                <c:pt idx="26">
                  <c:v>33402</c:v>
                </c:pt>
                <c:pt idx="27">
                  <c:v>38105</c:v>
                </c:pt>
                <c:pt idx="28">
                  <c:v>40708</c:v>
                </c:pt>
                <c:pt idx="29">
                  <c:v>45170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Overview!$A$20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Overview!$B$20:$BR$20</c:f>
              <c:numCache>
                <c:formatCode>General</c:formatCode>
                <c:ptCount val="30"/>
                <c:pt idx="0">
                  <c:v>3736</c:v>
                </c:pt>
                <c:pt idx="1">
                  <c:v>4335</c:v>
                </c:pt>
                <c:pt idx="2">
                  <c:v>5186</c:v>
                </c:pt>
                <c:pt idx="3">
                  <c:v>5621</c:v>
                </c:pt>
                <c:pt idx="4">
                  <c:v>6088</c:v>
                </c:pt>
                <c:pt idx="5">
                  <c:v>6593</c:v>
                </c:pt>
                <c:pt idx="6">
                  <c:v>7041</c:v>
                </c:pt>
                <c:pt idx="7">
                  <c:v>7314</c:v>
                </c:pt>
                <c:pt idx="8">
                  <c:v>7478</c:v>
                </c:pt>
                <c:pt idx="9">
                  <c:v>7513</c:v>
                </c:pt>
                <c:pt idx="10">
                  <c:v>7755</c:v>
                </c:pt>
                <c:pt idx="11">
                  <c:v>7869</c:v>
                </c:pt>
                <c:pt idx="12">
                  <c:v>7979</c:v>
                </c:pt>
                <c:pt idx="13">
                  <c:v>8086</c:v>
                </c:pt>
                <c:pt idx="14">
                  <c:v>8162</c:v>
                </c:pt>
                <c:pt idx="15">
                  <c:v>8236</c:v>
                </c:pt>
                <c:pt idx="16">
                  <c:v>8320</c:v>
                </c:pt>
                <c:pt idx="17">
                  <c:v>8413</c:v>
                </c:pt>
                <c:pt idx="18">
                  <c:v>8565</c:v>
                </c:pt>
                <c:pt idx="19">
                  <c:v>8652</c:v>
                </c:pt>
                <c:pt idx="20">
                  <c:v>8799</c:v>
                </c:pt>
                <c:pt idx="21">
                  <c:v>8961</c:v>
                </c:pt>
                <c:pt idx="22">
                  <c:v>8961</c:v>
                </c:pt>
                <c:pt idx="23">
                  <c:v>9037</c:v>
                </c:pt>
                <c:pt idx="24">
                  <c:v>9137</c:v>
                </c:pt>
                <c:pt idx="25">
                  <c:v>9241</c:v>
                </c:pt>
                <c:pt idx="26">
                  <c:v>9332</c:v>
                </c:pt>
                <c:pt idx="27">
                  <c:v>9478</c:v>
                </c:pt>
                <c:pt idx="28">
                  <c:v>9583</c:v>
                </c:pt>
                <c:pt idx="29">
                  <c:v>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Overview!$A$21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Overview!$B$21:$BR$21</c:f>
              <c:numCache>
                <c:formatCode>General</c:formatCode>
                <c:ptCount val="3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  <c:pt idx="29">
                  <c:v>87956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Overview!$A$22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Overview!$B$22:$BR$22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Overview!$A$38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Overview!$B$38:$BR$38</c:f>
              <c:numCache>
                <c:formatCode>0</c:formatCode>
                <c:ptCount val="30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  <c:pt idx="29">
                  <c:v>13500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Overview!$A$39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Overview!$B$39:$BR$39</c:f>
              <c:numCache>
                <c:formatCode>0</c:formatCode>
                <c:ptCount val="3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  <c:pt idx="29">
                  <c:v>5644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Overview!$A$40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Overview!$B$40:$BR$40</c:f>
              <c:numCache>
                <c:formatCode>0</c:formatCode>
                <c:ptCount val="30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  <c:pt idx="26">
                  <c:v>10950</c:v>
                </c:pt>
                <c:pt idx="27">
                  <c:v>12384</c:v>
                </c:pt>
                <c:pt idx="28">
                  <c:v>13030</c:v>
                </c:pt>
                <c:pt idx="29">
                  <c:v>14620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Overview!$A$41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Overview!$B$41:$BR$41</c:f>
              <c:numCache>
                <c:formatCode>0</c:formatCode>
                <c:ptCount val="3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  <c:pt idx="26">
                  <c:v>5707</c:v>
                </c:pt>
                <c:pt idx="27">
                  <c:v>5724</c:v>
                </c:pt>
                <c:pt idx="28">
                  <c:v>7226</c:v>
                </c:pt>
                <c:pt idx="29">
                  <c:v>7964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Overview!$B$42:$BR$42</c:f>
              <c:numCache>
                <c:formatCode>0</c:formatCode>
                <c:ptCount val="3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  <c:pt idx="26">
                  <c:v>4528</c:v>
                </c:pt>
                <c:pt idx="27">
                  <c:v>4811</c:v>
                </c:pt>
                <c:pt idx="28">
                  <c:v>5033</c:v>
                </c:pt>
                <c:pt idx="29">
                  <c:v>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Overview!$A$43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Overview!$B$43:$BR$43</c:f>
              <c:numCache>
                <c:formatCode>0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  <c:pt idx="29">
                  <c:v>16780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Overview!$B$44:$BR$44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Overview!$A$27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Overview!$B$27:$BR$27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Overview!$A$28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Overview!$B$28:$BR$28</c:f>
              <c:numCache>
                <c:formatCode>0</c:formatCode>
                <c:ptCount val="30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  <c:pt idx="29">
                  <c:v>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Overview!$A$29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Overview!$B$29:$BR$29</c:f>
              <c:numCache>
                <c:formatCode>0</c:formatCode>
                <c:ptCount val="30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  <c:pt idx="26">
                  <c:v>9134</c:v>
                </c:pt>
                <c:pt idx="27">
                  <c:v>10023</c:v>
                </c:pt>
                <c:pt idx="28">
                  <c:v>10779</c:v>
                </c:pt>
                <c:pt idx="29">
                  <c:v>11591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Overview!$A$30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Overview!$B$30:$BR$30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  <c:pt idx="26">
                  <c:v>1997</c:v>
                </c:pt>
                <c:pt idx="27">
                  <c:v>2317</c:v>
                </c:pt>
                <c:pt idx="28">
                  <c:v>2611</c:v>
                </c:pt>
                <c:pt idx="29">
                  <c:v>3030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Overview!$A$31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Overview!$B$31:$BR$31</c:f>
              <c:numCache>
                <c:formatCode>0</c:formatCode>
                <c:ptCount val="30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  <c:pt idx="26">
                  <c:v>139</c:v>
                </c:pt>
                <c:pt idx="27">
                  <c:v>144</c:v>
                </c:pt>
                <c:pt idx="28">
                  <c:v>152</c:v>
                </c:pt>
                <c:pt idx="29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Overview!$A$32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Overview!$B$32:$BR$32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  <c:pt idx="29">
                  <c:v>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Overview!$B$33:$BR$33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Overview!$B$4:$BR$4</c:f>
              <c:numCache>
                <c:formatCode>0</c:formatCode>
                <c:ptCount val="30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  <c:pt idx="26">
                  <c:v>101657</c:v>
                </c:pt>
                <c:pt idx="27">
                  <c:v>121478</c:v>
                </c:pt>
                <c:pt idx="28">
                  <c:v>140886</c:v>
                </c:pt>
                <c:pt idx="29">
                  <c:v>161807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Overview!$B$5:$BR$5</c:f>
              <c:numCache>
                <c:formatCode>0</c:formatCode>
                <c:ptCount val="30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  <c:pt idx="29">
                  <c:v>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Overview!$B$6:$BR$6</c:f>
              <c:numCache>
                <c:formatCode>0</c:formatCode>
                <c:ptCount val="3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  <c:pt idx="29">
                  <c:v>5644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A-46CF-8DCE-39E0E4783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Overview!$B$7:$BR$7</c:f>
              <c:numCache>
                <c:formatCode>0</c:formatCode>
                <c:ptCount val="30"/>
                <c:pt idx="0">
                  <c:v>6</c:v>
                </c:pt>
                <c:pt idx="1">
                  <c:v>24</c:v>
                </c:pt>
                <c:pt idx="2">
                  <c:v>20</c:v>
                </c:pt>
                <c:pt idx="3">
                  <c:v>31</c:v>
                </c:pt>
                <c:pt idx="4">
                  <c:v>68</c:v>
                </c:pt>
                <c:pt idx="5">
                  <c:v>45</c:v>
                </c:pt>
                <c:pt idx="6">
                  <c:v>140</c:v>
                </c:pt>
                <c:pt idx="7">
                  <c:v>116</c:v>
                </c:pt>
                <c:pt idx="8">
                  <c:v>65</c:v>
                </c:pt>
                <c:pt idx="9">
                  <c:v>376</c:v>
                </c:pt>
                <c:pt idx="10">
                  <c:v>322</c:v>
                </c:pt>
                <c:pt idx="11">
                  <c:v>382</c:v>
                </c:pt>
                <c:pt idx="12">
                  <c:v>516</c:v>
                </c:pt>
                <c:pt idx="13">
                  <c:v>548</c:v>
                </c:pt>
                <c:pt idx="14">
                  <c:v>772</c:v>
                </c:pt>
                <c:pt idx="15">
                  <c:v>1133</c:v>
                </c:pt>
                <c:pt idx="16">
                  <c:v>1789</c:v>
                </c:pt>
                <c:pt idx="17">
                  <c:v>1362</c:v>
                </c:pt>
                <c:pt idx="18">
                  <c:v>5894</c:v>
                </c:pt>
                <c:pt idx="19">
                  <c:v>5423</c:v>
                </c:pt>
                <c:pt idx="20">
                  <c:v>6389</c:v>
                </c:pt>
                <c:pt idx="21">
                  <c:v>7787</c:v>
                </c:pt>
                <c:pt idx="22">
                  <c:v>10571</c:v>
                </c:pt>
                <c:pt idx="23">
                  <c:v>9893</c:v>
                </c:pt>
                <c:pt idx="24">
                  <c:v>12038</c:v>
                </c:pt>
                <c:pt idx="25">
                  <c:v>18058</c:v>
                </c:pt>
                <c:pt idx="26">
                  <c:v>17821</c:v>
                </c:pt>
                <c:pt idx="27">
                  <c:v>19821</c:v>
                </c:pt>
                <c:pt idx="28">
                  <c:v>19408</c:v>
                </c:pt>
                <c:pt idx="29">
                  <c:v>20921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Overview!$A$8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Overview!$B$8:$BR$8</c:f>
              <c:numCache>
                <c:formatCode>0</c:formatCode>
                <c:ptCount val="30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4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22</c:v>
                </c:pt>
                <c:pt idx="16">
                  <c:v>23</c:v>
                </c:pt>
                <c:pt idx="17">
                  <c:v>10</c:v>
                </c:pt>
                <c:pt idx="18">
                  <c:v>82</c:v>
                </c:pt>
                <c:pt idx="19">
                  <c:v>44</c:v>
                </c:pt>
                <c:pt idx="20">
                  <c:v>63</c:v>
                </c:pt>
                <c:pt idx="21">
                  <c:v>110</c:v>
                </c:pt>
                <c:pt idx="22">
                  <c:v>140</c:v>
                </c:pt>
                <c:pt idx="23">
                  <c:v>149</c:v>
                </c:pt>
                <c:pt idx="24">
                  <c:v>236</c:v>
                </c:pt>
                <c:pt idx="25">
                  <c:v>267</c:v>
                </c:pt>
                <c:pt idx="26">
                  <c:v>372</c:v>
                </c:pt>
                <c:pt idx="27">
                  <c:v>445</c:v>
                </c:pt>
                <c:pt idx="28">
                  <c:v>441</c:v>
                </c:pt>
                <c:pt idx="29">
                  <c:v>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Overview!$B$9:$BR$9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0</c:v>
                </c:pt>
                <c:pt idx="17">
                  <c:v>88</c:v>
                </c:pt>
                <c:pt idx="18">
                  <c:v>16</c:v>
                </c:pt>
                <c:pt idx="19">
                  <c:v>26</c:v>
                </c:pt>
                <c:pt idx="20">
                  <c:v>29</c:v>
                </c:pt>
                <c:pt idx="21">
                  <c:v>2</c:v>
                </c:pt>
                <c:pt idx="22">
                  <c:v>0</c:v>
                </c:pt>
                <c:pt idx="23">
                  <c:v>170</c:v>
                </c:pt>
                <c:pt idx="24">
                  <c:v>13</c:v>
                </c:pt>
                <c:pt idx="25">
                  <c:v>320</c:v>
                </c:pt>
                <c:pt idx="26">
                  <c:v>188</c:v>
                </c:pt>
                <c:pt idx="27">
                  <c:v>203</c:v>
                </c:pt>
                <c:pt idx="28">
                  <c:v>1593</c:v>
                </c:pt>
                <c:pt idx="29">
                  <c:v>2979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1952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Overview!$B$10:$BR$10</c:f>
              <c:numCache>
                <c:formatCode>0.00%</c:formatCode>
                <c:ptCount val="30"/>
                <c:pt idx="0">
                  <c:v>1.3513513513513514E-2</c:v>
                </c:pt>
                <c:pt idx="1">
                  <c:v>6.1224489795918366E-2</c:v>
                </c:pt>
                <c:pt idx="2">
                  <c:v>5.9322033898305086E-2</c:v>
                </c:pt>
                <c:pt idx="3">
                  <c:v>7.3825503355704702E-2</c:v>
                </c:pt>
                <c:pt idx="4">
                  <c:v>5.5299539170506916E-2</c:v>
                </c:pt>
                <c:pt idx="5">
                  <c:v>5.3435114503816793E-2</c:v>
                </c:pt>
                <c:pt idx="6">
                  <c:v>4.228855721393035E-2</c:v>
                </c:pt>
                <c:pt idx="7">
                  <c:v>4.0540540540540543E-2</c:v>
                </c:pt>
                <c:pt idx="8">
                  <c:v>3.7735849056603772E-2</c:v>
                </c:pt>
                <c:pt idx="9">
                  <c:v>2.9197080291970802E-2</c:v>
                </c:pt>
                <c:pt idx="10">
                  <c:v>2.8103044496487119E-2</c:v>
                </c:pt>
                <c:pt idx="11">
                  <c:v>2.4052916416115455E-2</c:v>
                </c:pt>
                <c:pt idx="12">
                  <c:v>2.1569527306103717E-2</c:v>
                </c:pt>
                <c:pt idx="13">
                  <c:v>1.9801980198019802E-2</c:v>
                </c:pt>
                <c:pt idx="14">
                  <c:v>1.8005144326950558E-2</c:v>
                </c:pt>
                <c:pt idx="15">
                  <c:v>1.8350604490500865E-2</c:v>
                </c:pt>
                <c:pt idx="16">
                  <c:v>1.6819809998442611E-2</c:v>
                </c:pt>
                <c:pt idx="17">
                  <c:v>1.5161248875754851E-2</c:v>
                </c:pt>
                <c:pt idx="18">
                  <c:v>1.4623089858887182E-2</c:v>
                </c:pt>
                <c:pt idx="19">
                  <c:v>1.2774869109947644E-2</c:v>
                </c:pt>
                <c:pt idx="20">
                  <c:v>1.2044411314684766E-2</c:v>
                </c:pt>
                <c:pt idx="21">
                  <c:v>1.2531554273350162E-2</c:v>
                </c:pt>
                <c:pt idx="22">
                  <c:v>1.2703263621228362E-2</c:v>
                </c:pt>
                <c:pt idx="23">
                  <c:v>1.313732787495348E-2</c:v>
                </c:pt>
                <c:pt idx="24">
                  <c:v>1.4320897564535254E-2</c:v>
                </c:pt>
                <c:pt idx="25">
                  <c:v>1.4421012452884203E-2</c:v>
                </c:pt>
                <c:pt idx="26">
                  <c:v>1.5552298415259156E-2</c:v>
                </c:pt>
                <c:pt idx="27">
                  <c:v>1.6677916989084444E-2</c:v>
                </c:pt>
                <c:pt idx="28">
                  <c:v>1.7510611416322416E-2</c:v>
                </c:pt>
                <c:pt idx="29">
                  <c:v>1.8404642567997676E-2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ser>
          <c:idx val="2"/>
          <c:order val="2"/>
          <c:tx>
            <c:strRef>
              <c:f>Overview!$A$12</c:f>
              <c:strCache>
                <c:ptCount val="1"/>
                <c:pt idx="0">
                  <c:v>Percent Recovered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Overview!$B$12:$BR$12</c:f>
              <c:numCache>
                <c:formatCode>0.00%</c:formatCode>
                <c:ptCount val="30"/>
                <c:pt idx="0">
                  <c:v>9.45945945945946E-2</c:v>
                </c:pt>
                <c:pt idx="1">
                  <c:v>7.1428571428571425E-2</c:v>
                </c:pt>
                <c:pt idx="2">
                  <c:v>5.9322033898305086E-2</c:v>
                </c:pt>
                <c:pt idx="3">
                  <c:v>4.6979865771812082E-2</c:v>
                </c:pt>
                <c:pt idx="4">
                  <c:v>3.2258064516129031E-2</c:v>
                </c:pt>
                <c:pt idx="5">
                  <c:v>2.6717557251908396E-2</c:v>
                </c:pt>
                <c:pt idx="6">
                  <c:v>1.7412935323383085E-2</c:v>
                </c:pt>
                <c:pt idx="7">
                  <c:v>1.3513513513513514E-2</c:v>
                </c:pt>
                <c:pt idx="8">
                  <c:v>1.2006861063464836E-2</c:v>
                </c:pt>
                <c:pt idx="9">
                  <c:v>8.3420229405630868E-3</c:v>
                </c:pt>
                <c:pt idx="10">
                  <c:v>6.2451209992193599E-3</c:v>
                </c:pt>
                <c:pt idx="11">
                  <c:v>7.2158749248346366E-3</c:v>
                </c:pt>
                <c:pt idx="12">
                  <c:v>5.507113354749885E-3</c:v>
                </c:pt>
                <c:pt idx="13">
                  <c:v>4.4004400440044002E-3</c:v>
                </c:pt>
                <c:pt idx="14">
                  <c:v>3.4295513003715348E-3</c:v>
                </c:pt>
                <c:pt idx="15">
                  <c:v>3.6701208981001726E-3</c:v>
                </c:pt>
                <c:pt idx="16">
                  <c:v>2.6475626849400405E-3</c:v>
                </c:pt>
                <c:pt idx="17">
                  <c:v>1.3490941796222537E-2</c:v>
                </c:pt>
                <c:pt idx="18">
                  <c:v>8.8469693646267451E-3</c:v>
                </c:pt>
                <c:pt idx="19">
                  <c:v>7.6963350785340312E-3</c:v>
                </c:pt>
                <c:pt idx="20">
                  <c:v>6.9049393856173251E-3</c:v>
                </c:pt>
                <c:pt idx="21">
                  <c:v>5.3492006250751289E-3</c:v>
                </c:pt>
                <c:pt idx="22">
                  <c:v>4.0595707802130133E-3</c:v>
                </c:pt>
                <c:pt idx="23">
                  <c:v>6.4756233717901002E-3</c:v>
                </c:pt>
                <c:pt idx="24">
                  <c:v>5.4881571346042752E-3</c:v>
                </c:pt>
                <c:pt idx="25">
                  <c:v>8.1230020516246011E-3</c:v>
                </c:pt>
                <c:pt idx="26">
                  <c:v>8.5483537779001938E-3</c:v>
                </c:pt>
                <c:pt idx="27">
                  <c:v>8.8246431452608711E-3</c:v>
                </c:pt>
                <c:pt idx="28">
                  <c:v>1.8916003009525433E-2</c:v>
                </c:pt>
                <c:pt idx="29">
                  <c:v>3.4881062005970076E-2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3-430A-BF7E-966A57C7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</c:lineChart>
      <c:lineChart>
        <c:grouping val="standard"/>
        <c:varyColors val="0"/>
        <c:ser>
          <c:idx val="1"/>
          <c:order val="1"/>
          <c:tx>
            <c:strRef>
              <c:f>Overview!$A$11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val>
            <c:numRef>
              <c:f>Overview!$B$11:$BR$11</c:f>
              <c:numCache>
                <c:formatCode>0.00</c:formatCode>
                <c:ptCount val="30"/>
                <c:pt idx="0">
                  <c:v>11.333333333333334</c:v>
                </c:pt>
                <c:pt idx="1">
                  <c:v>3.0833333333333335</c:v>
                </c:pt>
                <c:pt idx="2">
                  <c:v>4.9000000000000004</c:v>
                </c:pt>
                <c:pt idx="3">
                  <c:v>3.806451612903226</c:v>
                </c:pt>
                <c:pt idx="4">
                  <c:v>2.1911764705882355</c:v>
                </c:pt>
                <c:pt idx="5">
                  <c:v>4.8222222222222229</c:v>
                </c:pt>
                <c:pt idx="6">
                  <c:v>1.8714285714285714</c:v>
                </c:pt>
                <c:pt idx="7">
                  <c:v>3.4655172413793105</c:v>
                </c:pt>
                <c:pt idx="8">
                  <c:v>7.9692307692307693</c:v>
                </c:pt>
                <c:pt idx="9">
                  <c:v>1.550531914893617</c:v>
                </c:pt>
                <c:pt idx="10">
                  <c:v>2.9782608695652173</c:v>
                </c:pt>
                <c:pt idx="11">
                  <c:v>3.3534031413612566</c:v>
                </c:pt>
                <c:pt idx="12">
                  <c:v>3.2228682170542635</c:v>
                </c:pt>
                <c:pt idx="13">
                  <c:v>3.9762773722627736</c:v>
                </c:pt>
                <c:pt idx="14">
                  <c:v>3.5323834196891193</c:v>
                </c:pt>
                <c:pt idx="15">
                  <c:v>3.0882612533097968</c:v>
                </c:pt>
                <c:pt idx="16">
                  <c:v>2.5891559530463946</c:v>
                </c:pt>
                <c:pt idx="17">
                  <c:v>4.7143906020558006</c:v>
                </c:pt>
                <c:pt idx="18">
                  <c:v>1.3204954190702409</c:v>
                </c:pt>
                <c:pt idx="19">
                  <c:v>2.5220357735570715</c:v>
                </c:pt>
                <c:pt idx="20">
                  <c:v>2.9895132258569417</c:v>
                </c:pt>
                <c:pt idx="21">
                  <c:v>3.2732759727751382</c:v>
                </c:pt>
                <c:pt idx="22">
                  <c:v>3.1478573455680636</c:v>
                </c:pt>
                <c:pt idx="23">
                  <c:v>4.4321237238451427</c:v>
                </c:pt>
                <c:pt idx="24">
                  <c:v>4.4641967104170126</c:v>
                </c:pt>
                <c:pt idx="25">
                  <c:v>3.6425960793000334</c:v>
                </c:pt>
                <c:pt idx="26">
                  <c:v>4.7043375792604234</c:v>
                </c:pt>
                <c:pt idx="27">
                  <c:v>5.128752333383785</c:v>
                </c:pt>
                <c:pt idx="28">
                  <c:v>6.259171475680132</c:v>
                </c:pt>
                <c:pt idx="29">
                  <c:v>6.7341905262654747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404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103655</xdr:rowOff>
    </xdr:from>
    <xdr:to>
      <xdr:col>0</xdr:col>
      <xdr:colOff>1524002</xdr:colOff>
      <xdr:row>0</xdr:row>
      <xdr:rowOff>363070</xdr:rowOff>
    </xdr:to>
    <xdr:sp macro="[0]!UpdateDataAndCharts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103655"/>
          <a:ext cx="1402684" cy="25941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361950</xdr:rowOff>
    </xdr:from>
    <xdr:to>
      <xdr:col>47</xdr:col>
      <xdr:colOff>181592</xdr:colOff>
      <xdr:row>1</xdr:row>
      <xdr:rowOff>371070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361950</xdr:rowOff>
    </xdr:from>
    <xdr:to>
      <xdr:col>62</xdr:col>
      <xdr:colOff>16426</xdr:colOff>
      <xdr:row>1</xdr:row>
      <xdr:rowOff>371070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361950</xdr:rowOff>
    </xdr:from>
    <xdr:to>
      <xdr:col>54</xdr:col>
      <xdr:colOff>363809</xdr:colOff>
      <xdr:row>1</xdr:row>
      <xdr:rowOff>371070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62</xdr:col>
      <xdr:colOff>16566</xdr:colOff>
      <xdr:row>0</xdr:row>
      <xdr:rowOff>361950</xdr:rowOff>
    </xdr:from>
    <xdr:to>
      <xdr:col>69</xdr:col>
      <xdr:colOff>8282</xdr:colOff>
      <xdr:row>2</xdr:row>
      <xdr:rowOff>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69</xdr:col>
      <xdr:colOff>0</xdr:colOff>
      <xdr:row>0</xdr:row>
      <xdr:rowOff>361950</xdr:rowOff>
    </xdr:from>
    <xdr:to>
      <xdr:col>75</xdr:col>
      <xdr:colOff>525116</xdr:colOff>
      <xdr:row>2</xdr:row>
      <xdr:rowOff>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76</xdr:col>
      <xdr:colOff>0</xdr:colOff>
      <xdr:row>0</xdr:row>
      <xdr:rowOff>361950</xdr:rowOff>
    </xdr:from>
    <xdr:to>
      <xdr:col>82</xdr:col>
      <xdr:colOff>525116</xdr:colOff>
      <xdr:row>2</xdr:row>
      <xdr:rowOff>0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5:CE22" totalsRowShown="0" headerRowDxfId="270" dataDxfId="268" headerRowBorderDxfId="269" tableBorderDxfId="267" totalsRowBorderDxfId="266">
  <autoFilter ref="A15:CE22" xr:uid="{479694DE-0E9C-41A7-946D-48560B0B3579}"/>
  <tableColumns count="83">
    <tableColumn id="2" xr3:uid="{C453FAE5-63DB-4A22-8C0E-1DC6C9518C2A}" name="Country/Region" dataDxfId="265"/>
    <tableColumn id="3" xr3:uid="{A7A21713-F1DE-4AA5-92C7-957354E4D421}" name="22.1" dataDxfId="264">
      <calculatedColumnFormula>SUMIF(RAW_Cases!$B:$B,Tabelle2[[#This Row],[Country/Region]],RAW_Cases!C:C)</calculatedColumnFormula>
    </tableColumn>
    <tableColumn id="4" xr3:uid="{857167DE-1947-408C-B65D-7ACB1505E8E1}" name="23.1" dataDxfId="263">
      <calculatedColumnFormula>SUMIF(RAW_Cases!$B:$B,Tabelle2[[#This Row],[Country/Region]],RAW_Cases!D:D)</calculatedColumnFormula>
    </tableColumn>
    <tableColumn id="5" xr3:uid="{F8E78670-3EF7-456A-89A0-03D9ACF0EC4C}" name="24.1" dataDxfId="262">
      <calculatedColumnFormula>SUMIF(RAW_Cases!$B:$B,Tabelle2[[#This Row],[Country/Region]],RAW_Cases!E:E)</calculatedColumnFormula>
    </tableColumn>
    <tableColumn id="6" xr3:uid="{30522FF7-3A42-424B-A134-D3C14528DDBF}" name="25.1" dataDxfId="261">
      <calculatedColumnFormula>SUMIF(RAW_Cases!$B:$B,Tabelle2[[#This Row],[Country/Region]],RAW_Cases!F:F)</calculatedColumnFormula>
    </tableColumn>
    <tableColumn id="7" xr3:uid="{3CCBCA53-F3D1-46D3-92D0-B627B8ED5FD2}" name="26.1" dataDxfId="260">
      <calculatedColumnFormula>SUMIF(RAW_Cases!$B:$B,Tabelle2[[#This Row],[Country/Region]],RAW_Cases!G:G)</calculatedColumnFormula>
    </tableColumn>
    <tableColumn id="8" xr3:uid="{4BC5C632-1874-4C99-8205-270324B3DFB0}" name="27.1" dataDxfId="259">
      <calculatedColumnFormula>SUMIF(RAW_Cases!$B:$B,Tabelle2[[#This Row],[Country/Region]],RAW_Cases!H:H)</calculatedColumnFormula>
    </tableColumn>
    <tableColumn id="9" xr3:uid="{62F11B24-A322-4576-816F-EAB1D8B93829}" name="28.1" dataDxfId="258">
      <calculatedColumnFormula>SUMIF(RAW_Cases!$B:$B,Tabelle2[[#This Row],[Country/Region]],RAW_Cases!I:I)</calculatedColumnFormula>
    </tableColumn>
    <tableColumn id="10" xr3:uid="{6B869DF8-90AB-45DC-8C8C-B336B68D8EFA}" name="29.1" dataDxfId="257">
      <calculatedColumnFormula>SUMIF(RAW_Cases!$B:$B,Tabelle2[[#This Row],[Country/Region]],RAW_Cases!J:J)</calculatedColumnFormula>
    </tableColumn>
    <tableColumn id="11" xr3:uid="{468B4A4E-6FAC-4EC0-8969-1BA4CDD7F04E}" name="30.1" dataDxfId="256">
      <calculatedColumnFormula>SUMIF(RAW_Cases!$B:$B,Tabelle2[[#This Row],[Country/Region]],RAW_Cases!K:K)</calculatedColumnFormula>
    </tableColumn>
    <tableColumn id="12" xr3:uid="{E06B9B5C-E00A-4012-96D0-0D27233C08E9}" name="31.1" dataDxfId="255">
      <calculatedColumnFormula>SUMIF(RAW_Cases!$B:$B,Tabelle2[[#This Row],[Country/Region]],RAW_Cases!L:L)</calculatedColumnFormula>
    </tableColumn>
    <tableColumn id="13" xr3:uid="{EEC40170-2309-45AF-B0AD-F00A34E177E0}" name="1.2" dataDxfId="254">
      <calculatedColumnFormula>SUMIF(RAW_Cases!$B:$B,Tabelle2[[#This Row],[Country/Region]],RAW_Cases!M:M)</calculatedColumnFormula>
    </tableColumn>
    <tableColumn id="14" xr3:uid="{4304D166-9286-48CA-A410-A61DEA20BF97}" name="2.2" dataDxfId="253">
      <calculatedColumnFormula>SUMIF(RAW_Cases!$B:$B,Tabelle2[[#This Row],[Country/Region]],RAW_Cases!N:N)</calculatedColumnFormula>
    </tableColumn>
    <tableColumn id="15" xr3:uid="{35D37D9C-8B23-4BBC-AE75-BB30F782CA6C}" name="3.2" dataDxfId="252">
      <calculatedColumnFormula>SUMIF(RAW_Cases!$B:$B,Tabelle2[[#This Row],[Country/Region]],RAW_Cases!O:O)</calculatedColumnFormula>
    </tableColumn>
    <tableColumn id="16" xr3:uid="{EE8CEEA8-E965-4ED8-81C0-177817AB2F34}" name="4.2" dataDxfId="251">
      <calculatedColumnFormula>SUMIF(RAW_Cases!$B:$B,Tabelle2[[#This Row],[Country/Region]],RAW_Cases!P:P)</calculatedColumnFormula>
    </tableColumn>
    <tableColumn id="17" xr3:uid="{F316B922-983F-46FA-AC84-5C6BBC346B82}" name="5.2" dataDxfId="250">
      <calculatedColumnFormula>SUMIF(RAW_Cases!$B:$B,Tabelle2[[#This Row],[Country/Region]],RAW_Cases!Q:Q)</calculatedColumnFormula>
    </tableColumn>
    <tableColumn id="18" xr3:uid="{1ADBF8D9-0DE0-4AE3-AC61-6F4D87559F36}" name="6.2" dataDxfId="249">
      <calculatedColumnFormula>SUMIF(RAW_Cases!$B:$B,Tabelle2[[#This Row],[Country/Region]],RAW_Cases!R:R)</calculatedColumnFormula>
    </tableColumn>
    <tableColumn id="19" xr3:uid="{F0EE1986-6262-41EC-9B01-ED94DE053880}" name="7.2" dataDxfId="248">
      <calculatedColumnFormula>SUMIF(RAW_Cases!$B:$B,Tabelle2[[#This Row],[Country/Region]],RAW_Cases!S:S)</calculatedColumnFormula>
    </tableColumn>
    <tableColumn id="20" xr3:uid="{BEECEFAD-95FA-4B00-B78A-520A3DAA28FA}" name="8.2" dataDxfId="247">
      <calculatedColumnFormula>SUMIF(RAW_Cases!$B:$B,Tabelle2[[#This Row],[Country/Region]],RAW_Cases!T:T)</calculatedColumnFormula>
    </tableColumn>
    <tableColumn id="21" xr3:uid="{E861DB2B-D53C-4E5D-8872-AE159D48BEA5}" name="9.2" dataDxfId="246">
      <calculatedColumnFormula>SUMIF(RAW_Cases!$B:$B,Tabelle2[[#This Row],[Country/Region]],RAW_Cases!U:U)</calculatedColumnFormula>
    </tableColumn>
    <tableColumn id="22" xr3:uid="{A0CD3BDA-F932-44BF-8937-6116FB10349D}" name="10.2" dataDxfId="245">
      <calculatedColumnFormula>SUMIF(RAW_Cases!$B:$B,Tabelle2[[#This Row],[Country/Region]],RAW_Cases!V:V)</calculatedColumnFormula>
    </tableColumn>
    <tableColumn id="23" xr3:uid="{4E78FC45-437D-4610-B0B9-ABF3697956C9}" name="11.2" dataDxfId="244">
      <calculatedColumnFormula>SUMIF(RAW_Cases!$B:$B,Tabelle2[[#This Row],[Country/Region]],RAW_Cases!W:W)</calculatedColumnFormula>
    </tableColumn>
    <tableColumn id="24" xr3:uid="{BBF9B2CB-D34C-44CD-B109-131EF7F46A2E}" name="12.2" dataDxfId="243">
      <calculatedColumnFormula>SUMIF(RAW_Cases!$B:$B,Tabelle2[[#This Row],[Country/Region]],RAW_Cases!X:X)</calculatedColumnFormula>
    </tableColumn>
    <tableColumn id="25" xr3:uid="{9AC1C4CA-612A-47AC-978F-F763432503C0}" name="13.2" dataDxfId="242">
      <calculatedColumnFormula>SUMIF(RAW_Cases!$B:$B,Tabelle2[[#This Row],[Country/Region]],RAW_Cases!Y:Y)</calculatedColumnFormula>
    </tableColumn>
    <tableColumn id="26" xr3:uid="{29217B99-878E-4CB4-84CA-83B0F53B1D7B}" name="14.2" dataDxfId="241">
      <calculatedColumnFormula>SUMIF(RAW_Cases!$B:$B,Tabelle2[[#This Row],[Country/Region]],RAW_Cases!Z:Z)</calculatedColumnFormula>
    </tableColumn>
    <tableColumn id="27" xr3:uid="{86DE7BC2-5874-46D2-B09A-70082EE444AE}" name="15.2" dataDxfId="240">
      <calculatedColumnFormula>SUMIF(RAW_Cases!$B:$B,Tabelle2[[#This Row],[Country/Region]],RAW_Cases!AA:AA)</calculatedColumnFormula>
    </tableColumn>
    <tableColumn id="28" xr3:uid="{54FD4E5F-0D98-4662-8EFC-3DC6F691EE8E}" name="16.2" dataDxfId="239">
      <calculatedColumnFormula>SUMIF(RAW_Cases!$B:$B,Tabelle2[[#This Row],[Country/Region]],RAW_Cases!AB:AB)</calculatedColumnFormula>
    </tableColumn>
    <tableColumn id="29" xr3:uid="{B3D8BAA6-6220-4304-8219-20AF5563261D}" name="17.2" dataDxfId="238">
      <calculatedColumnFormula>SUMIF(RAW_Cases!$B:$B,Tabelle2[[#This Row],[Country/Region]],RAW_Cases!AC:AC)</calculatedColumnFormula>
    </tableColumn>
    <tableColumn id="30" xr3:uid="{0B418855-15A7-46C3-AD8E-00D70EF80311}" name="18.2" dataDxfId="237">
      <calculatedColumnFormula>SUMIF(RAW_Cases!$B:$B,Tabelle2[[#This Row],[Country/Region]],RAW_Cases!AD:AD)</calculatedColumnFormula>
    </tableColumn>
    <tableColumn id="31" xr3:uid="{8FA01BB9-7CDD-46A8-8FA3-49EF6CC84D0C}" name="19.2" dataDxfId="236">
      <calculatedColumnFormula>SUMIF(RAW_Cases!$B:$B,Tabelle2[[#This Row],[Country/Region]],RAW_Cases!AE:AE)</calculatedColumnFormula>
    </tableColumn>
    <tableColumn id="32" xr3:uid="{EF4EC6F7-0B68-4801-98D9-D5E1C39672FE}" name="20.2" dataDxfId="235">
      <calculatedColumnFormula>SUMIF(RAW_Cases!$B:$B,Tabelle2[[#This Row],[Country/Region]],RAW_Cases!AF:AF)</calculatedColumnFormula>
    </tableColumn>
    <tableColumn id="33" xr3:uid="{3BF86F5F-C9A4-4082-950B-04860B40E267}" name="21.2" dataDxfId="234">
      <calculatedColumnFormula>SUMIF(RAW_Cases!$B:$B,Tabelle2[[#This Row],[Country/Region]],RAW_Cases!AG:AG)</calculatedColumnFormula>
    </tableColumn>
    <tableColumn id="34" xr3:uid="{763ACDFD-2220-41E9-93C9-18E250F0B944}" name="22.2" dataDxfId="233">
      <calculatedColumnFormula>SUMIF(RAW_Cases!$B:$B,Tabelle2[[#This Row],[Country/Region]],RAW_Cases!AH:AH)</calculatedColumnFormula>
    </tableColumn>
    <tableColumn id="35" xr3:uid="{AE3DD834-997E-4BA7-8512-27E96EC15D9B}" name="23.2" dataDxfId="232">
      <calculatedColumnFormula>SUMIF(RAW_Cases!$B:$B,Tabelle2[[#This Row],[Country/Region]],RAW_Cases!AI:AI)</calculatedColumnFormula>
    </tableColumn>
    <tableColumn id="36" xr3:uid="{14B4DC24-1B3B-4F00-BAC0-47C022FB80E6}" name="24.2" dataDxfId="231">
      <calculatedColumnFormula>SUMIF(RAW_Cases!$B:$B,Tabelle2[[#This Row],[Country/Region]],RAW_Cases!AJ:AJ)</calculatedColumnFormula>
    </tableColumn>
    <tableColumn id="37" xr3:uid="{A42C1730-53DC-4038-8480-8C88B335E8C0}" name="25.2" dataDxfId="230">
      <calculatedColumnFormula>SUMIF(RAW_Cases!$B:$B,Tabelle2[[#This Row],[Country/Region]],RAW_Cases!AK:AK)</calculatedColumnFormula>
    </tableColumn>
    <tableColumn id="38" xr3:uid="{21835C47-59F8-4C33-802E-FBA766060E33}" name="26.2" dataDxfId="229">
      <calculatedColumnFormula>SUMIF(RAW_Cases!$B:$B,Tabelle2[[#This Row],[Country/Region]],RAW_Cases!AL:AL)</calculatedColumnFormula>
    </tableColumn>
    <tableColumn id="39" xr3:uid="{48BBE566-99A9-4EBA-B658-8EB79DCEF6F2}" name="27.2" dataDxfId="228">
      <calculatedColumnFormula>SUMIF(RAW_Cases!$B:$B,Tabelle2[[#This Row],[Country/Region]],RAW_Cases!AM:AM)</calculatedColumnFormula>
    </tableColumn>
    <tableColumn id="40" xr3:uid="{A391A52C-0565-4D34-8010-C20DB6BC9A10}" name="28.2" dataDxfId="227">
      <calculatedColumnFormula>SUMIF(RAW_Cases!$B:$B,Tabelle2[[#This Row],[Country/Region]],RAW_Cases!AN:AN)</calculatedColumnFormula>
    </tableColumn>
    <tableColumn id="41" xr3:uid="{57470AC0-DF33-43AC-AD21-19A367C9F2F7}" name="29.2" dataDxfId="226">
      <calculatedColumnFormula>SUMIF(RAW_Cases!$B:$B,Tabelle2[[#This Row],[Country/Region]],RAW_Cases!AO:AO)</calculatedColumnFormula>
    </tableColumn>
    <tableColumn id="42" xr3:uid="{87EAFAE8-73AE-422F-832B-A45D4B83666C}" name="1.3" dataDxfId="225">
      <calculatedColumnFormula>SUMIF(RAW_Cases!$B:$B,Tabelle2[[#This Row],[Country/Region]],RAW_Cases!AP:AP)</calculatedColumnFormula>
    </tableColumn>
    <tableColumn id="43" xr3:uid="{D33D560D-F2B4-476D-8131-145B72080C42}" name="2.3" dataDxfId="224">
      <calculatedColumnFormula>SUMIF(RAW_Cases!$B:$B,Tabelle2[[#This Row],[Country/Region]],RAW_Cases!AQ:AQ)</calculatedColumnFormula>
    </tableColumn>
    <tableColumn id="44" xr3:uid="{F07CBCF8-4AF6-4E59-B2C8-58241A9AD7A1}" name="3.3" dataDxfId="223">
      <calculatedColumnFormula>SUMIF(RAW_Cases!$B:$B,Tabelle2[[#This Row],[Country/Region]],RAW_Cases!AR:AR)</calculatedColumnFormula>
    </tableColumn>
    <tableColumn id="45" xr3:uid="{0424FA57-083E-4E64-A357-78FFE4B7B991}" name="4.3" dataDxfId="222">
      <calculatedColumnFormula>SUMIF(RAW_Cases!$B:$B,Tabelle2[[#This Row],[Country/Region]],RAW_Cases!AS:AS)</calculatedColumnFormula>
    </tableColumn>
    <tableColumn id="46" xr3:uid="{D6B74AD6-4F2D-4523-ADAD-90F91BF09FF9}" name="5.3" dataDxfId="221">
      <calculatedColumnFormula>SUMIF(RAW_Cases!$B:$B,Tabelle2[[#This Row],[Country/Region]],RAW_Cases!AT:AT)</calculatedColumnFormula>
    </tableColumn>
    <tableColumn id="47" xr3:uid="{5D1A4FC6-B397-4745-990A-4FCA60F9ADF1}" name="6.3" dataDxfId="220">
      <calculatedColumnFormula>SUMIF(RAW_Cases!$B:$B,Tabelle2[[#This Row],[Country/Region]],RAW_Cases!AU:AU)</calculatedColumnFormula>
    </tableColumn>
    <tableColumn id="48" xr3:uid="{FAB4A4C9-71A6-4530-AB3B-6545215C2DBC}" name="7.3" dataDxfId="219">
      <calculatedColumnFormula>SUMIF(RAW_Cases!$B:$B,Tabelle2[[#This Row],[Country/Region]],RAW_Cases!AV:AV)</calculatedColumnFormula>
    </tableColumn>
    <tableColumn id="49" xr3:uid="{60F98284-C2DB-4E68-AFAA-EA8D22BE38E1}" name="8.3" dataDxfId="218">
      <calculatedColumnFormula>SUMIF(RAW_Cases!$B:$B,Tabelle2[[#This Row],[Country/Region]],RAW_Cases!AW:AW)</calculatedColumnFormula>
    </tableColumn>
    <tableColumn id="50" xr3:uid="{6F813D42-3E92-43FD-AD8F-FE34D5AA3055}" name="9.3" dataDxfId="217">
      <calculatedColumnFormula>SUMIF(RAW_Cases!$B:$B,Tabelle2[[#This Row],[Country/Region]],RAW_Cases!AX:AX)</calculatedColumnFormula>
    </tableColumn>
    <tableColumn id="51" xr3:uid="{E677F887-9B0A-4658-9AB5-382D9300753E}" name="10.3" dataDxfId="216">
      <calculatedColumnFormula>SUMIF(RAW_Cases!$B:$B,Tabelle2[[#This Row],[Country/Region]],RAW_Cases!AY:AY)</calculatedColumnFormula>
    </tableColumn>
    <tableColumn id="52" xr3:uid="{8069B84E-7D4E-46F3-999C-BCC35E817D70}" name="11.3" dataDxfId="215">
      <calculatedColumnFormula>SUMIF(RAW_Cases!$B:$B,Tabelle2[[#This Row],[Country/Region]],RAW_Cases!AZ:AZ)</calculatedColumnFormula>
    </tableColumn>
    <tableColumn id="53" xr3:uid="{8C1A0CFC-6DE2-4897-9D54-DE3A3CFAC7E6}" name="12.3" dataDxfId="214">
      <calculatedColumnFormula>SUMIF(RAW_Cases!$B:$B,Tabelle2[[#This Row],[Country/Region]],RAW_Cases!BA:BA)</calculatedColumnFormula>
    </tableColumn>
    <tableColumn id="54" xr3:uid="{95DE7405-0ACD-470D-81F6-9F64AF2465A2}" name="13.3" dataDxfId="213">
      <calculatedColumnFormula>SUMIF(RAW_Cases!$B:$B,Tabelle2[[#This Row],[Country/Region]],RAW_Cases!BB:BB)</calculatedColumnFormula>
    </tableColumn>
    <tableColumn id="55" xr3:uid="{A40C9690-BAAD-48CF-8DB1-5933F317D0EE}" name="14.3" dataDxfId="212">
      <calculatedColumnFormula>SUMIF(RAW_Cases!$B:$B,Tabelle2[[#This Row],[Country/Region]],RAW_Cases!BC:BC)</calculatedColumnFormula>
    </tableColumn>
    <tableColumn id="56" xr3:uid="{4F0E91DE-E37C-48ED-A79D-4D60BE0A3D24}" name="15.3" dataDxfId="211">
      <calculatedColumnFormula>SUMIF(RAW_Cases!$B:$B,Tabelle2[[#This Row],[Country/Region]],RAW_Cases!BD:BD)</calculatedColumnFormula>
    </tableColumn>
    <tableColumn id="57" xr3:uid="{5ED81050-F8E4-445C-B8AB-FD9626AF5986}" name="16.3" dataDxfId="210">
      <calculatedColumnFormula>SUMIF(RAW_Cases!$B:$B,Tabelle2[[#This Row],[Country/Region]],RAW_Cases!BE:BE)</calculatedColumnFormula>
    </tableColumn>
    <tableColumn id="58" xr3:uid="{5910FC6A-ADE5-4E25-B71D-84A3D1CB106B}" name="17.3" dataDxfId="209">
      <calculatedColumnFormula>SUMIF(RAW_Cases!$B:$B,Tabelle2[[#This Row],[Country/Region]],RAW_Cases!BF:BF)</calculatedColumnFormula>
    </tableColumn>
    <tableColumn id="59" xr3:uid="{DA058AD8-6700-4554-855B-5A52532D8EF3}" name="18.3" dataDxfId="208">
      <calculatedColumnFormula>SUMIF(RAW_Cases!$B:$B,Tabelle2[[#This Row],[Country/Region]],RAW_Cases!BG:BG)</calculatedColumnFormula>
    </tableColumn>
    <tableColumn id="60" xr3:uid="{06D6999B-C32E-407D-972B-EBD6E100AD38}" name="19.3" dataDxfId="207">
      <calculatedColumnFormula>SUMIF(RAW_Cases!$B:$B,Tabelle2[[#This Row],[Country/Region]],RAW_Cases!BH:BH)</calculatedColumnFormula>
    </tableColumn>
    <tableColumn id="61" xr3:uid="{946BAECD-DD0E-4AD2-B118-D2CB7298228A}" name="20.3" dataDxfId="206">
      <calculatedColumnFormula>SUMIF(RAW_Cases!$B:$B,Tabelle2[[#This Row],[Country/Region]],RAW_Cases!BI:BI)</calculatedColumnFormula>
    </tableColumn>
    <tableColumn id="62" xr3:uid="{70184CB8-5161-449A-87F6-D694A525A3A3}" name="21.3" dataDxfId="205">
      <calculatedColumnFormula>SUMIF(RAW_Cases!$B:$B,Tabelle2[[#This Row],[Country/Region]],RAW_Cases!BJ:BJ)</calculatedColumnFormula>
    </tableColumn>
    <tableColumn id="351" xr3:uid="{16B5C153-95F4-4F4C-9B90-527502C5CF9F}" name="22.3" dataDxfId="204">
      <calculatedColumnFormula>SUMIF(RAW_Cases!$B:$B,Tabelle2[[#This Row],[Country/Region]],RAW_Cases!BK:BK)</calculatedColumnFormula>
    </tableColumn>
    <tableColumn id="352" xr3:uid="{AB1FD542-E831-4DF8-8992-43B10E0F107E}" name="23.3" dataDxfId="203">
      <calculatedColumnFormula>SUMIF(RAW_Cases!$B:$B,Tabelle2[[#This Row],[Country/Region]],RAW_Cases!BL:BL)</calculatedColumnFormula>
    </tableColumn>
    <tableColumn id="353" xr3:uid="{409E99E6-8167-43B3-9545-AFAC769916D2}" name="24.3" dataDxfId="202">
      <calculatedColumnFormula>SUMIF(RAW_Cases!$B:$B,Tabelle2[[#This Row],[Country/Region]],RAW_Cases!BM:BM)</calculatedColumnFormula>
    </tableColumn>
    <tableColumn id="354" xr3:uid="{35285EC4-AF01-45C6-8164-56173A1C2E0F}" name="25.3" dataDxfId="201">
      <calculatedColumnFormula>SUMIF(RAW_Cases!$B:$B,Tabelle2[[#This Row],[Country/Region]],RAW_Cases!BN:BN)</calculatedColumnFormula>
    </tableColumn>
    <tableColumn id="355" xr3:uid="{288192FA-096F-4B63-94DA-C8552B603185}" name="26.3" dataDxfId="200">
      <calculatedColumnFormula>SUMIF(RAW_Cases!$B:$B,Tabelle2[[#This Row],[Country/Region]],RAW_Cases!BO:BO)</calculatedColumnFormula>
    </tableColumn>
    <tableColumn id="356" xr3:uid="{D8243BF1-51E0-4022-8D25-2D772650ACD9}" name="27.3" dataDxfId="199">
      <calculatedColumnFormula>SUMIF(RAW_Cases!$B:$B,Tabelle2[[#This Row],[Country/Region]],RAW_Cases!BP:BP)</calculatedColumnFormula>
    </tableColumn>
    <tableColumn id="357" xr3:uid="{7D584CBF-FAC9-46DD-9F4D-D5AC6145098A}" name="28.3" dataDxfId="198">
      <calculatedColumnFormula>SUMIF(RAW_Cases!$B:$B,Tabelle2[[#This Row],[Country/Region]],RAW_Cases!BQ:BQ)</calculatedColumnFormula>
    </tableColumn>
    <tableColumn id="358" xr3:uid="{5F641188-9BD6-4963-BF24-281BC2A23043}" name="29.3" dataDxfId="197">
      <calculatedColumnFormula>SUMIF(RAW_Cases!$B:$B,Tabelle2[[#This Row],[Country/Region]],RAW_Cases!BR:BR)</calculatedColumnFormula>
    </tableColumn>
    <tableColumn id="359" xr3:uid="{F72EF6B9-5644-47F0-B570-412A491CF2D1}" name="30.3" dataDxfId="196">
      <calculatedColumnFormula>SUMIF(RAW_Cases!$B:$B,Tabelle2[[#This Row],[Country/Region]],RAW_Cases!BS:BS)</calculatedColumnFormula>
    </tableColumn>
    <tableColumn id="360" xr3:uid="{179C4372-D028-403D-8E6E-0DF448E255BC}" name="31.3" dataDxfId="195">
      <calculatedColumnFormula>SUMIF(RAW_Cases!$B:$B,Tabelle2[[#This Row],[Country/Region]],RAW_Cases!BT:BT)</calculatedColumnFormula>
    </tableColumn>
    <tableColumn id="361" xr3:uid="{8979ECCE-3E01-44A4-A29A-0BFCD8C6986B}" name="1.4" dataDxfId="194">
      <calculatedColumnFormula>SUMIF(RAW_Cases!$B:$B,Tabelle2[[#This Row],[Country/Region]],RAW_Cases!BU:BU)</calculatedColumnFormula>
    </tableColumn>
    <tableColumn id="362" xr3:uid="{AEF9AAD7-BD74-4F9E-91F6-5C39B12FF4B6}" name="2.4" dataDxfId="193">
      <calculatedColumnFormula>SUMIF(RAW_Cases!$B:$B,Tabelle2[[#This Row],[Country/Region]],RAW_Cases!BV:BV)</calculatedColumnFormula>
    </tableColumn>
    <tableColumn id="363" xr3:uid="{FB7F3F05-F205-48B2-825D-E0B6FC0BD5F0}" name="3.4" dataDxfId="192">
      <calculatedColumnFormula>SUMIF(RAW_Cases!$B:$B,Tabelle2[[#This Row],[Country/Region]],RAW_Cases!BW:BW)</calculatedColumnFormula>
    </tableColumn>
    <tableColumn id="364" xr3:uid="{BCA4B39D-E264-48B3-934E-CB186DF88E4C}" name="4.4" dataDxfId="191">
      <calculatedColumnFormula>SUMIF(RAW_Cases!$B:$B,Tabelle2[[#This Row],[Country/Region]],RAW_Cases!BX:BX)</calculatedColumnFormula>
    </tableColumn>
    <tableColumn id="365" xr3:uid="{B38D5038-BD9C-41E7-B0DF-A385C4AA6EB6}" name="5.4" dataDxfId="190">
      <calculatedColumnFormula>SUMIF(RAW_Cases!$B:$B,Tabelle2[[#This Row],[Country/Region]],RAW_Cases!BY:BY)</calculatedColumnFormula>
    </tableColumn>
    <tableColumn id="366" xr3:uid="{8017BA23-2AA0-4682-BC54-3E8CABC8FC85}" name="6.4" dataDxfId="189">
      <calculatedColumnFormula>SUMIF(RAW_Cases!$B:$B,Tabelle2[[#This Row],[Country/Region]],RAW_Cases!BZ:BZ)</calculatedColumnFormula>
    </tableColumn>
    <tableColumn id="367" xr3:uid="{7528B312-DD75-4CE6-997D-F699709C11DB}" name="7.4" dataDxfId="188">
      <calculatedColumnFormula>SUMIF(RAW_Cases!$B:$B,Tabelle2[[#This Row],[Country/Region]],RAW_Cases!CA:CA)</calculatedColumnFormula>
    </tableColumn>
    <tableColumn id="368" xr3:uid="{63C9228C-8FFB-43CD-B16E-8ECDF23307E8}" name="8.4" dataDxfId="187">
      <calculatedColumnFormula>SUMIF(RAW_Cases!$B:$B,Tabelle2[[#This Row],[Country/Region]],RAW_Cases!CB:CB)</calculatedColumnFormula>
    </tableColumn>
    <tableColumn id="369" xr3:uid="{733E940A-E721-438D-91D4-65557FB0B0E4}" name="9.4" dataDxfId="186">
      <calculatedColumnFormula>SUMIF(RAW_Cases!$B:$B,Tabelle2[[#This Row],[Country/Region]],RAW_Cases!CC:CC)</calculatedColumnFormula>
    </tableColumn>
    <tableColumn id="370" xr3:uid="{E52EFFEF-A96E-4A20-A457-A43749241658}" name="10.4" dataDxfId="185">
      <calculatedColumnFormula>SUMIF(RAW_Cases!$B:$B,Tabelle2[[#This Row],[Country/Region]],RAW_Cases!CD:CD)</calculatedColumnFormula>
    </tableColumn>
    <tableColumn id="371" xr3:uid="{4B815666-EE77-40EC-9857-4BF52B30078C}" name="11.4" dataDxfId="184">
      <calculatedColumnFormula>SUMIF(RAW_Cases!$B:$B,Tabelle2[[#This Row],[Country/Region]],RAW_Cases!CE:CE)</calculatedColumnFormula>
    </tableColumn>
    <tableColumn id="372" xr3:uid="{0CC670F7-1475-488A-BDC7-80E22A5E5294}" name="12.4" dataDxfId="183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6:CE33" totalsRowShown="0" headerRowDxfId="182" dataDxfId="180" headerRowBorderDxfId="181" tableBorderDxfId="179" totalsRowBorderDxfId="178">
  <autoFilter ref="A26:CE33" xr:uid="{CE810C95-31BD-4D00-A6C4-74794F901D5E}"/>
  <tableColumns count="83">
    <tableColumn id="2" xr3:uid="{CF1A0C10-347C-489E-8BCB-4EDF0DB15BC7}" name="Country/Region" dataDxfId="177">
      <calculatedColumnFormula>IF(ISBLANK(A16),"",A16)</calculatedColumnFormula>
    </tableColumn>
    <tableColumn id="3" xr3:uid="{700C12F8-1A42-449F-98FA-DE64D91427EA}" name="22.1" dataDxfId="176">
      <calculatedColumnFormula>SUMIF(RAW_DEATHS!$B:$B,Tabelle28[[#This Row],[Country/Region]],RAW_DEATHS!C:C)</calculatedColumnFormula>
    </tableColumn>
    <tableColumn id="4" xr3:uid="{49D926BD-C8DF-4305-905B-2DE988E1D221}" name="23.1" dataDxfId="175">
      <calculatedColumnFormula>SUMIF(RAW_DEATHS!$B:$B,Tabelle28[[#This Row],[Country/Region]],RAW_DEATHS!D:D)</calculatedColumnFormula>
    </tableColumn>
    <tableColumn id="5" xr3:uid="{4233FA7A-DFB4-40E1-ACB9-EF4DCA5D2856}" name="24.1" dataDxfId="174">
      <calculatedColumnFormula>SUMIF(RAW_DEATHS!$B:$B,Tabelle28[[#This Row],[Country/Region]],RAW_DEATHS!E:E)</calculatedColumnFormula>
    </tableColumn>
    <tableColumn id="6" xr3:uid="{7BDF3EBD-6EBD-46A5-950A-67254E850B3B}" name="25.1" dataDxfId="173">
      <calculatedColumnFormula>SUMIF(RAW_DEATHS!$B:$B,Tabelle28[[#This Row],[Country/Region]],RAW_DEATHS!F:F)</calculatedColumnFormula>
    </tableColumn>
    <tableColumn id="7" xr3:uid="{B5FAAF7B-0E7F-47F7-BC4A-FB3F907EFA13}" name="26.1" dataDxfId="172">
      <calculatedColumnFormula>SUMIF(RAW_DEATHS!$B:$B,Tabelle28[[#This Row],[Country/Region]],RAW_DEATHS!G:G)</calculatedColumnFormula>
    </tableColumn>
    <tableColumn id="8" xr3:uid="{4FB381EB-DE9D-442F-813E-BDB9218B5B00}" name="27.1" dataDxfId="171">
      <calculatedColumnFormula>SUMIF(RAW_DEATHS!$B:$B,Tabelle28[[#This Row],[Country/Region]],RAW_DEATHS!H:H)</calculatedColumnFormula>
    </tableColumn>
    <tableColumn id="9" xr3:uid="{34A578D2-2D14-4749-A5E7-24B966051202}" name="28.1" dataDxfId="170">
      <calculatedColumnFormula>SUMIF(RAW_DEATHS!$B:$B,Tabelle28[[#This Row],[Country/Region]],RAW_DEATHS!I:I)</calculatedColumnFormula>
    </tableColumn>
    <tableColumn id="10" xr3:uid="{4A4F114D-7B45-4B4F-8F46-0E79CFFE5085}" name="29.1" dataDxfId="169">
      <calculatedColumnFormula>SUMIF(RAW_DEATHS!$B:$B,Tabelle28[[#This Row],[Country/Region]],RAW_DEATHS!J:J)</calculatedColumnFormula>
    </tableColumn>
    <tableColumn id="11" xr3:uid="{C91A39BC-D070-43AF-A214-0CC4EBD7F98A}" name="30.1" dataDxfId="168">
      <calculatedColumnFormula>SUMIF(RAW_DEATHS!$B:$B,Tabelle28[[#This Row],[Country/Region]],RAW_DEATHS!K:K)</calculatedColumnFormula>
    </tableColumn>
    <tableColumn id="12" xr3:uid="{3CE53426-066D-48EF-8473-0E890A53F7F5}" name="31.1" dataDxfId="167">
      <calculatedColumnFormula>SUMIF(RAW_DEATHS!$B:$B,Tabelle28[[#This Row],[Country/Region]],RAW_DEATHS!L:L)</calculatedColumnFormula>
    </tableColumn>
    <tableColumn id="13" xr3:uid="{4F0ED8A2-E507-4F51-BC97-C77A9EB7C88A}" name="1.2" dataDxfId="166">
      <calculatedColumnFormula>SUMIF(RAW_DEATHS!$B:$B,Tabelle28[[#This Row],[Country/Region]],RAW_DEATHS!M:M)</calculatedColumnFormula>
    </tableColumn>
    <tableColumn id="14" xr3:uid="{53E85650-535C-4E04-A8D9-865CA52DD32A}" name="2.2" dataDxfId="165">
      <calculatedColumnFormula>SUMIF(RAW_DEATHS!$B:$B,Tabelle28[[#This Row],[Country/Region]],RAW_DEATHS!N:N)</calculatedColumnFormula>
    </tableColumn>
    <tableColumn id="15" xr3:uid="{FCC26E11-6F00-4D9C-802B-9E94B33D3554}" name="3.2" dataDxfId="164">
      <calculatedColumnFormula>SUMIF(RAW_DEATHS!$B:$B,Tabelle28[[#This Row],[Country/Region]],RAW_DEATHS!O:O)</calculatedColumnFormula>
    </tableColumn>
    <tableColumn id="16" xr3:uid="{05FF9661-5588-4EF3-A4C6-19DDFAC26E9A}" name="4.2" dataDxfId="163">
      <calculatedColumnFormula>SUMIF(RAW_DEATHS!$B:$B,Tabelle28[[#This Row],[Country/Region]],RAW_DEATHS!P:P)</calculatedColumnFormula>
    </tableColumn>
    <tableColumn id="17" xr3:uid="{1599F1BD-7691-4E35-8922-F5E051635A23}" name="5.2" dataDxfId="162">
      <calculatedColumnFormula>SUMIF(RAW_DEATHS!$B:$B,Tabelle28[[#This Row],[Country/Region]],RAW_DEATHS!Q:Q)</calculatedColumnFormula>
    </tableColumn>
    <tableColumn id="18" xr3:uid="{6658B577-F452-48C8-828A-F09B6E34D98A}" name="6.2" dataDxfId="161">
      <calculatedColumnFormula>SUMIF(RAW_DEATHS!$B:$B,Tabelle28[[#This Row],[Country/Region]],RAW_DEATHS!R:R)</calculatedColumnFormula>
    </tableColumn>
    <tableColumn id="19" xr3:uid="{D1DD9DA3-3D71-4869-A0C9-AD569E66B677}" name="7.2" dataDxfId="160">
      <calculatedColumnFormula>SUMIF(RAW_DEATHS!$B:$B,Tabelle28[[#This Row],[Country/Region]],RAW_DEATHS!S:S)</calculatedColumnFormula>
    </tableColumn>
    <tableColumn id="20" xr3:uid="{10744F4B-70C3-484C-8731-E85914876D89}" name="8.2" dataDxfId="159">
      <calculatedColumnFormula>SUMIF(RAW_DEATHS!$B:$B,Tabelle28[[#This Row],[Country/Region]],RAW_DEATHS!T:T)</calculatedColumnFormula>
    </tableColumn>
    <tableColumn id="21" xr3:uid="{870B5D68-7341-4AA6-BF63-64D8B5C4C620}" name="9.2" dataDxfId="158">
      <calculatedColumnFormula>SUMIF(RAW_DEATHS!$B:$B,Tabelle28[[#This Row],[Country/Region]],RAW_DEATHS!U:U)</calculatedColumnFormula>
    </tableColumn>
    <tableColumn id="22" xr3:uid="{95EE1065-BF7E-49C4-85C6-BD933CD96E66}" name="10.2" dataDxfId="157">
      <calculatedColumnFormula>SUMIF(RAW_DEATHS!$B:$B,Tabelle28[[#This Row],[Country/Region]],RAW_DEATHS!V:V)</calculatedColumnFormula>
    </tableColumn>
    <tableColumn id="23" xr3:uid="{CFC5CEE7-CBCD-4653-A80C-9C42FBEA6CF4}" name="11.2" dataDxfId="156">
      <calculatedColumnFormula>SUMIF(RAW_DEATHS!$B:$B,Tabelle28[[#This Row],[Country/Region]],RAW_DEATHS!W:W)</calculatedColumnFormula>
    </tableColumn>
    <tableColumn id="24" xr3:uid="{7328B9F8-B25B-470D-BE10-A409343A9D9B}" name="12.2" dataDxfId="155">
      <calculatedColumnFormula>SUMIF(RAW_DEATHS!$B:$B,Tabelle28[[#This Row],[Country/Region]],RAW_DEATHS!X:X)</calculatedColumnFormula>
    </tableColumn>
    <tableColumn id="25" xr3:uid="{06818E91-74A5-4DCC-BD49-D25F0C8DFE6A}" name="13.2" dataDxfId="154">
      <calculatedColumnFormula>SUMIF(RAW_DEATHS!$B:$B,Tabelle28[[#This Row],[Country/Region]],RAW_DEATHS!Y:Y)</calculatedColumnFormula>
    </tableColumn>
    <tableColumn id="26" xr3:uid="{79ABE462-5A43-4D95-BD16-3BD90B27CB3D}" name="14.2" dataDxfId="153">
      <calculatedColumnFormula>SUMIF(RAW_DEATHS!$B:$B,Tabelle28[[#This Row],[Country/Region]],RAW_DEATHS!Z:Z)</calculatedColumnFormula>
    </tableColumn>
    <tableColumn id="27" xr3:uid="{BB22EF78-522A-4F24-AED3-AD6D7035AEA1}" name="15.2" dataDxfId="152">
      <calculatedColumnFormula>SUMIF(RAW_DEATHS!$B:$B,Tabelle28[[#This Row],[Country/Region]],RAW_DEATHS!AA:AA)</calculatedColumnFormula>
    </tableColumn>
    <tableColumn id="28" xr3:uid="{9BA02568-AC3D-4223-9EE5-3FBD03015576}" name="16.2" dataDxfId="151">
      <calculatedColumnFormula>SUMIF(RAW_DEATHS!$B:$B,Tabelle28[[#This Row],[Country/Region]],RAW_DEATHS!AB:AB)</calculatedColumnFormula>
    </tableColumn>
    <tableColumn id="29" xr3:uid="{04874829-3081-4420-AA9F-4AC07AD39AEF}" name="17.2" dataDxfId="150">
      <calculatedColumnFormula>SUMIF(RAW_DEATHS!$B:$B,Tabelle28[[#This Row],[Country/Region]],RAW_DEATHS!AC:AC)</calculatedColumnFormula>
    </tableColumn>
    <tableColumn id="30" xr3:uid="{292DE63E-4B9B-4ACE-BB02-C1BD5B048891}" name="18.2" dataDxfId="149">
      <calculatedColumnFormula>SUMIF(RAW_DEATHS!$B:$B,Tabelle28[[#This Row],[Country/Region]],RAW_DEATHS!AD:AD)</calculatedColumnFormula>
    </tableColumn>
    <tableColumn id="31" xr3:uid="{D3F29433-99D6-45F4-B18F-765D568A27E0}" name="19.2" dataDxfId="148">
      <calculatedColumnFormula>SUMIF(RAW_DEATHS!$B:$B,Tabelle28[[#This Row],[Country/Region]],RAW_DEATHS!AE:AE)</calculatedColumnFormula>
    </tableColumn>
    <tableColumn id="32" xr3:uid="{DDFC7F72-403C-465F-8990-A2EED1706E67}" name="20.2" dataDxfId="147">
      <calculatedColumnFormula>SUMIF(RAW_DEATHS!$B:$B,Tabelle28[[#This Row],[Country/Region]],RAW_DEATHS!AF:AF)</calculatedColumnFormula>
    </tableColumn>
    <tableColumn id="33" xr3:uid="{6AD045B5-6522-4C91-8AE1-E07662FA8136}" name="21.2" dataDxfId="146">
      <calculatedColumnFormula>SUMIF(RAW_DEATHS!$B:$B,Tabelle28[[#This Row],[Country/Region]],RAW_DEATHS!AG:AG)</calculatedColumnFormula>
    </tableColumn>
    <tableColumn id="34" xr3:uid="{3B37FA0F-55E0-46E7-99F7-E4573816A9F0}" name="22.2" dataDxfId="145">
      <calculatedColumnFormula>SUMIF(RAW_DEATHS!$B:$B,Tabelle28[[#This Row],[Country/Region]],RAW_DEATHS!AH:AH)</calculatedColumnFormula>
    </tableColumn>
    <tableColumn id="35" xr3:uid="{66479DD0-1A4F-4010-ACB2-50D8999E721A}" name="23.2" dataDxfId="144">
      <calculatedColumnFormula>SUMIF(RAW_DEATHS!$B:$B,Tabelle28[[#This Row],[Country/Region]],RAW_DEATHS!AI:AI)</calculatedColumnFormula>
    </tableColumn>
    <tableColumn id="36" xr3:uid="{5DFD23DC-1589-40A1-B311-DBEB22C822A4}" name="24.2" dataDxfId="143">
      <calculatedColumnFormula>SUMIF(RAW_DEATHS!$B:$B,Tabelle28[[#This Row],[Country/Region]],RAW_DEATHS!AJ:AJ)</calculatedColumnFormula>
    </tableColumn>
    <tableColumn id="37" xr3:uid="{AA711967-C5D7-46AD-9E49-A3A34E3F0B75}" name="25.2" dataDxfId="142">
      <calculatedColumnFormula>SUMIF(RAW_DEATHS!$B:$B,Tabelle28[[#This Row],[Country/Region]],RAW_DEATHS!AK:AK)</calculatedColumnFormula>
    </tableColumn>
    <tableColumn id="38" xr3:uid="{23B4138B-BF63-4AFD-8911-0BD308BC8B16}" name="26.2" dataDxfId="141">
      <calculatedColumnFormula>SUMIF(RAW_DEATHS!$B:$B,Tabelle28[[#This Row],[Country/Region]],RAW_DEATHS!AL:AL)</calculatedColumnFormula>
    </tableColumn>
    <tableColumn id="39" xr3:uid="{6CF5A6A3-B3CE-4F8D-B8BF-05708EF87616}" name="27.2" dataDxfId="140">
      <calculatedColumnFormula>SUMIF(RAW_DEATHS!$B:$B,Tabelle28[[#This Row],[Country/Region]],RAW_DEATHS!AM:AM)</calculatedColumnFormula>
    </tableColumn>
    <tableColumn id="40" xr3:uid="{385F232D-7419-4849-A04F-6F77464801FD}" name="28.2" dataDxfId="139">
      <calculatedColumnFormula>SUMIF(RAW_DEATHS!$B:$B,Tabelle28[[#This Row],[Country/Region]],RAW_DEATHS!AN:AN)</calculatedColumnFormula>
    </tableColumn>
    <tableColumn id="41" xr3:uid="{E2CA688E-6EEC-41B7-AFA4-A4F3B41E81A9}" name="29.2" dataDxfId="138">
      <calculatedColumnFormula>SUMIF(RAW_DEATHS!$B:$B,Tabelle28[[#This Row],[Country/Region]],RAW_DEATHS!AO:AO)</calculatedColumnFormula>
    </tableColumn>
    <tableColumn id="42" xr3:uid="{B3C453CA-D2A2-4321-9140-F47EAF255AFE}" name="1.3" dataDxfId="137">
      <calculatedColumnFormula>SUMIF(RAW_DEATHS!$B:$B,Tabelle28[[#This Row],[Country/Region]],RAW_DEATHS!AP:AP)</calculatedColumnFormula>
    </tableColumn>
    <tableColumn id="43" xr3:uid="{B4CFBC8F-F58D-4E7E-90D6-FE3B3F2A3877}" name="2.3" dataDxfId="136">
      <calculatedColumnFormula>SUMIF(RAW_DEATHS!$B:$B,Tabelle28[[#This Row],[Country/Region]],RAW_DEATHS!AQ:AQ)</calculatedColumnFormula>
    </tableColumn>
    <tableColumn id="44" xr3:uid="{22F8823A-FA66-45B8-89A7-90630D8C5962}" name="3.3" dataDxfId="135">
      <calculatedColumnFormula>SUMIF(RAW_DEATHS!$B:$B,Tabelle28[[#This Row],[Country/Region]],RAW_DEATHS!AR:AR)</calculatedColumnFormula>
    </tableColumn>
    <tableColumn id="45" xr3:uid="{3EFB5DA2-6519-444C-AA94-5046DB201B6B}" name="4.3" dataDxfId="134">
      <calculatedColumnFormula>SUMIF(RAW_DEATHS!$B:$B,Tabelle28[[#This Row],[Country/Region]],RAW_DEATHS!AS:AS)</calculatedColumnFormula>
    </tableColumn>
    <tableColumn id="46" xr3:uid="{E4B05F32-0131-4724-8067-E8D23F7A790D}" name="5.3" dataDxfId="133">
      <calculatedColumnFormula>SUMIF(RAW_DEATHS!$B:$B,Tabelle28[[#This Row],[Country/Region]],RAW_DEATHS!AT:AT)</calculatedColumnFormula>
    </tableColumn>
    <tableColumn id="47" xr3:uid="{E2B682C3-396C-45EB-A736-FE38D578E96E}" name="6.3" dataDxfId="132">
      <calculatedColumnFormula>SUMIF(RAW_DEATHS!$B:$B,Tabelle28[[#This Row],[Country/Region]],RAW_DEATHS!AU:AU)</calculatedColumnFormula>
    </tableColumn>
    <tableColumn id="48" xr3:uid="{09E2A84B-70F4-4265-B420-8DC324297153}" name="7.3" dataDxfId="131">
      <calculatedColumnFormula>SUMIF(RAW_DEATHS!$B:$B,Tabelle28[[#This Row],[Country/Region]],RAW_DEATHS!AV:AV)</calculatedColumnFormula>
    </tableColumn>
    <tableColumn id="49" xr3:uid="{A16EEBA0-1A8A-40D3-9B3C-8CF0F969470F}" name="8.3" dataDxfId="130">
      <calculatedColumnFormula>SUMIF(RAW_DEATHS!$B:$B,Tabelle28[[#This Row],[Country/Region]],RAW_DEATHS!AW:AW)</calculatedColumnFormula>
    </tableColumn>
    <tableColumn id="50" xr3:uid="{C106F981-3933-4185-AA35-35325BDFB7DC}" name="9.3" dataDxfId="129">
      <calculatedColumnFormula>SUMIF(RAW_DEATHS!$B:$B,Tabelle28[[#This Row],[Country/Region]],RAW_DEATHS!AX:AX)</calculatedColumnFormula>
    </tableColumn>
    <tableColumn id="51" xr3:uid="{F75B1F40-C9FF-4C87-94FD-D0CF017F5AAB}" name="10.3" dataDxfId="128">
      <calculatedColumnFormula>SUMIF(RAW_DEATHS!$B:$B,Tabelle28[[#This Row],[Country/Region]],RAW_DEATHS!AY:AY)</calculatedColumnFormula>
    </tableColumn>
    <tableColumn id="52" xr3:uid="{7A87999B-DE99-494F-8FAF-B59FF73626B5}" name="11.3" dataDxfId="127">
      <calculatedColumnFormula>SUMIF(RAW_DEATHS!$B:$B,Tabelle28[[#This Row],[Country/Region]],RAW_DEATHS!AZ:AZ)</calculatedColumnFormula>
    </tableColumn>
    <tableColumn id="53" xr3:uid="{E195AC08-8FA0-496D-94C8-1280945F1141}" name="12.3" dataDxfId="126">
      <calculatedColumnFormula>SUMIF(RAW_DEATHS!$B:$B,Tabelle28[[#This Row],[Country/Region]],RAW_DEATHS!BA:BA)</calculatedColumnFormula>
    </tableColumn>
    <tableColumn id="54" xr3:uid="{A4F4A51F-1198-4132-94B9-FE4638C2640C}" name="13.3" dataDxfId="125">
      <calculatedColumnFormula>SUMIF(RAW_DEATHS!$B:$B,Tabelle28[[#This Row],[Country/Region]],RAW_DEATHS!BB:BB)</calculatedColumnFormula>
    </tableColumn>
    <tableColumn id="55" xr3:uid="{1B080934-48EE-4461-972D-B58541942226}" name="14.3" dataDxfId="124">
      <calculatedColumnFormula>SUMIF(RAW_DEATHS!$B:$B,Tabelle28[[#This Row],[Country/Region]],RAW_DEATHS!BC:BC)</calculatedColumnFormula>
    </tableColumn>
    <tableColumn id="56" xr3:uid="{0CFF2BC8-0186-4D4D-B976-16A16C7CAC66}" name="15.3" dataDxfId="123">
      <calculatedColumnFormula>SUMIF(RAW_DEATHS!$B:$B,Tabelle28[[#This Row],[Country/Region]],RAW_DEATHS!BD:BD)</calculatedColumnFormula>
    </tableColumn>
    <tableColumn id="57" xr3:uid="{47880024-0798-469C-B7D2-6152554BB45C}" name="16.3" dataDxfId="122">
      <calculatedColumnFormula>SUMIF(RAW_DEATHS!$B:$B,Tabelle28[[#This Row],[Country/Region]],RAW_DEATHS!BE:BE)</calculatedColumnFormula>
    </tableColumn>
    <tableColumn id="58" xr3:uid="{324528CC-6656-416A-83B6-218C7A520BE2}" name="17.3" dataDxfId="121">
      <calculatedColumnFormula>SUMIF(RAW_DEATHS!$B:$B,Tabelle28[[#This Row],[Country/Region]],RAW_DEATHS!BF:BF)</calculatedColumnFormula>
    </tableColumn>
    <tableColumn id="59" xr3:uid="{3ED636D6-B700-4E33-86BF-33481DC3F6D5}" name="18.3" dataDxfId="120">
      <calculatedColumnFormula>SUMIF(RAW_DEATHS!$B:$B,Tabelle28[[#This Row],[Country/Region]],RAW_DEATHS!BG:BG)</calculatedColumnFormula>
    </tableColumn>
    <tableColumn id="60" xr3:uid="{F2F7D9E9-21B3-4C08-A250-2DBD74B22F08}" name="19.3" dataDxfId="119">
      <calculatedColumnFormula>SUMIF(RAW_DEATHS!$B:$B,Tabelle28[[#This Row],[Country/Region]],RAW_DEATHS!BH:BH)</calculatedColumnFormula>
    </tableColumn>
    <tableColumn id="61" xr3:uid="{51090AB2-91F3-4C50-87AC-1348AE698E42}" name="20.3" dataDxfId="118">
      <calculatedColumnFormula>SUMIF(RAW_DEATHS!$B:$B,Tabelle28[[#This Row],[Country/Region]],RAW_DEATHS!BI:BI)</calculatedColumnFormula>
    </tableColumn>
    <tableColumn id="62" xr3:uid="{8D4408A7-7B21-4803-87C9-BCB588F4600F}" name="21.3" dataDxfId="117">
      <calculatedColumnFormula>SUMIF(RAW_DEATHS!$B:$B,Tabelle28[[#This Row],[Country/Region]],RAW_DEATHS!BJ:BJ)</calculatedColumnFormula>
    </tableColumn>
    <tableColumn id="72" xr3:uid="{86610AE6-D058-4210-9409-0F7A6885FD36}" name="22.3" dataDxfId="116">
      <calculatedColumnFormula>SUMIF(RAW_DEATHS!$B:$B,Tabelle28[[#This Row],[Country/Region]],RAW_DEATHS!BK:BK)</calculatedColumnFormula>
    </tableColumn>
    <tableColumn id="1" xr3:uid="{1E97E7EE-BDED-414F-B73F-7CEBE751DA97}" name="23.3" dataDxfId="115">
      <calculatedColumnFormula>SUMIF(RAW_DEATHS!$B:$B,Tabelle28[[#This Row],[Country/Region]],RAW_DEATHS!BL:BL)</calculatedColumnFormula>
    </tableColumn>
    <tableColumn id="63" xr3:uid="{92108045-D29A-40BE-8C3D-0A572A234ED7}" name="24.3" dataDxfId="114">
      <calculatedColumnFormula>SUMIF(RAW_DEATHS!$B:$B,Tabelle28[[#This Row],[Country/Region]],RAW_DEATHS!BM:BM)</calculatedColumnFormula>
    </tableColumn>
    <tableColumn id="64" xr3:uid="{68D4ADBC-3572-467D-9AED-2A86012D49D3}" name="25.3" dataDxfId="113">
      <calculatedColumnFormula>SUMIF(RAW_DEATHS!$B:$B,Tabelle28[[#This Row],[Country/Region]],RAW_DEATHS!BN:BN)</calculatedColumnFormula>
    </tableColumn>
    <tableColumn id="65" xr3:uid="{DFD890AB-14A5-484C-818D-D4CA08EDFFB3}" name="26.3" dataDxfId="112">
      <calculatedColumnFormula>SUMIF(RAW_DEATHS!$B:$B,Tabelle28[[#This Row],[Country/Region]],RAW_DEATHS!BO:BO)</calculatedColumnFormula>
    </tableColumn>
    <tableColumn id="66" xr3:uid="{9809ED54-F824-4C4C-983B-180FD7E56D63}" name="27.3" dataDxfId="111">
      <calculatedColumnFormula>SUMIF(RAW_DEATHS!$B:$B,Tabelle28[[#This Row],[Country/Region]],RAW_DEATHS!BP:BP)</calculatedColumnFormula>
    </tableColumn>
    <tableColumn id="67" xr3:uid="{E7D80551-97E2-4127-9E5A-5A3CC4D6DA19}" name="28.3" dataDxfId="110">
      <calculatedColumnFormula>SUMIF(RAW_DEATHS!$B:$B,Tabelle28[[#This Row],[Country/Region]],RAW_DEATHS!BQ:BQ)</calculatedColumnFormula>
    </tableColumn>
    <tableColumn id="68" xr3:uid="{7F6240CE-C9C9-41DA-803A-7E0B8C4E12FF}" name="29.3" dataDxfId="109">
      <calculatedColumnFormula>SUMIF(RAW_DEATHS!$B:$B,Tabelle28[[#This Row],[Country/Region]],RAW_DEATHS!BR:BR)</calculatedColumnFormula>
    </tableColumn>
    <tableColumn id="69" xr3:uid="{5EE52292-6278-4E82-A94C-62509AB5E6FB}" name="30.3" dataDxfId="108">
      <calculatedColumnFormula>SUMIF(RAW_DEATHS!$B:$B,Tabelle28[[#This Row],[Country/Region]],RAW_DEATHS!BS:BS)</calculatedColumnFormula>
    </tableColumn>
    <tableColumn id="70" xr3:uid="{04FF6527-B216-4D92-8C51-E5E63F4ED83D}" name="31.3" dataDxfId="107">
      <calculatedColumnFormula>SUMIF(RAW_DEATHS!$B:$B,Tabelle28[[#This Row],[Country/Region]],RAW_DEATHS!BT:BT)</calculatedColumnFormula>
    </tableColumn>
    <tableColumn id="71" xr3:uid="{1A6F9AE8-1E90-454F-8FE7-950C1C8F1DEB}" name="1.4" dataDxfId="106">
      <calculatedColumnFormula>SUMIF(RAW_DEATHS!$B:$B,Tabelle28[[#This Row],[Country/Region]],RAW_DEATHS!BU:BU)</calculatedColumnFormula>
    </tableColumn>
    <tableColumn id="73" xr3:uid="{BD91B85E-6C49-4690-BFA6-287D98F451EF}" name="2.4" dataDxfId="105">
      <calculatedColumnFormula>SUMIF(RAW_DEATHS!$B:$B,Tabelle28[[#This Row],[Country/Region]],RAW_DEATHS!BV:BV)</calculatedColumnFormula>
    </tableColumn>
    <tableColumn id="74" xr3:uid="{39D80297-E0DE-4CCE-893D-D223299516F7}" name="3.4" dataDxfId="104">
      <calculatedColumnFormula>SUMIF(RAW_DEATHS!$B:$B,Tabelle28[[#This Row],[Country/Region]],RAW_DEATHS!BW:BW)</calculatedColumnFormula>
    </tableColumn>
    <tableColumn id="75" xr3:uid="{C0F79EE3-2E30-456A-A30D-A4076FEC9E28}" name="4.4" dataDxfId="103">
      <calculatedColumnFormula>SUMIF(RAW_DEATHS!$B:$B,Tabelle28[[#This Row],[Country/Region]],RAW_DEATHS!BX:BX)</calculatedColumnFormula>
    </tableColumn>
    <tableColumn id="76" xr3:uid="{D3806252-1CB0-467F-99EC-C7533B69D031}" name="5.4" dataDxfId="102">
      <calculatedColumnFormula>SUMIF(RAW_DEATHS!$B:$B,Tabelle28[[#This Row],[Country/Region]],RAW_DEATHS!BY:BY)</calculatedColumnFormula>
    </tableColumn>
    <tableColumn id="77" xr3:uid="{3ADCBED4-A8A1-4FD6-B3AE-8D25AED2A20D}" name="6.4" dataDxfId="101">
      <calculatedColumnFormula>SUMIF(RAW_DEATHS!$B:$B,Tabelle28[[#This Row],[Country/Region]],RAW_DEATHS!BZ:BZ)</calculatedColumnFormula>
    </tableColumn>
    <tableColumn id="78" xr3:uid="{40288D33-ACF7-4C97-939F-7D94A984318C}" name="7.4" dataDxfId="100">
      <calculatedColumnFormula>SUMIF(RAW_DEATHS!$B:$B,Tabelle28[[#This Row],[Country/Region]],RAW_DEATHS!CA:CA)</calculatedColumnFormula>
    </tableColumn>
    <tableColumn id="79" xr3:uid="{EAD2E14D-90B4-414F-8BAB-EFF712FDC653}" name="8.4" dataDxfId="99">
      <calculatedColumnFormula>SUMIF(RAW_DEATHS!$B:$B,Tabelle28[[#This Row],[Country/Region]],RAW_DEATHS!CB:CB)</calculatedColumnFormula>
    </tableColumn>
    <tableColumn id="80" xr3:uid="{672CB2A3-4F47-491D-B48C-D6502628CAEE}" name="9.4" dataDxfId="98">
      <calculatedColumnFormula>SUMIF(RAW_DEATHS!$B:$B,Tabelle28[[#This Row],[Country/Region]],RAW_DEATHS!CC:CC)</calculatedColumnFormula>
    </tableColumn>
    <tableColumn id="81" xr3:uid="{1A90596E-F1E0-4D52-AE50-52BA68E7F841}" name="10.4" dataDxfId="97">
      <calculatedColumnFormula>SUMIF(RAW_DEATHS!$B:$B,Tabelle28[[#This Row],[Country/Region]],RAW_DEATHS!CD:CD)</calculatedColumnFormula>
    </tableColumn>
    <tableColumn id="82" xr3:uid="{433A021B-42CB-4BFF-946F-88BC8CADD4D6}" name="11.4" dataDxfId="96">
      <calculatedColumnFormula>SUMIF(RAW_DEATHS!$B:$B,Tabelle28[[#This Row],[Country/Region]],RAW_DEATHS!CE:CE)</calculatedColumnFormula>
    </tableColumn>
    <tableColumn id="83" xr3:uid="{86D43399-2F22-4D7F-9635-A0551CD5999C}" name="12.4" dataDxfId="9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7:CE44" totalsRowShown="0" headerRowDxfId="94" dataDxfId="92" headerRowBorderDxfId="93" tableBorderDxfId="91" totalsRowBorderDxfId="90">
  <autoFilter ref="A37:CE44" xr:uid="{6C98DDCA-7971-4F79-ABF6-0C1E4F39B536}"/>
  <tableColumns count="83">
    <tableColumn id="2" xr3:uid="{88AB28EB-6A99-4362-9C5F-F38AE633C068}" name="Country/Region" dataDxfId="89">
      <calculatedColumnFormula>IF(ISBLANK(A27),"",A27)</calculatedColumnFormula>
    </tableColumn>
    <tableColumn id="3" xr3:uid="{90BE727C-9533-4BD1-9376-553167238EC0}" name="22.1" dataDxfId="88"/>
    <tableColumn id="4" xr3:uid="{7D49603C-9971-4DE8-8124-3E77E751200D}" name="23.1" dataDxfId="87"/>
    <tableColumn id="5" xr3:uid="{36FD2100-2C0A-4791-9B61-B55F76465082}" name="24.1" dataDxfId="86"/>
    <tableColumn id="6" xr3:uid="{BC6CE168-F95B-4962-AB8C-09CE19C9A0BA}" name="25.1" dataDxfId="85"/>
    <tableColumn id="7" xr3:uid="{98D9D321-9FED-4D83-AF96-392F3DC05EE9}" name="26.1" dataDxfId="84"/>
    <tableColumn id="8" xr3:uid="{4B6A915D-8604-41F1-9BB5-75FE15C7D019}" name="27.1" dataDxfId="83"/>
    <tableColumn id="9" xr3:uid="{ACE8102E-118F-43CD-91A1-21426F9CBA4B}" name="28.1" dataDxfId="82"/>
    <tableColumn id="10" xr3:uid="{A110F14D-B7D8-419F-BDA0-330C6407BE37}" name="29.1" dataDxfId="81"/>
    <tableColumn id="11" xr3:uid="{23E2FFFF-456C-4560-B7A3-C2E52EF4ACEA}" name="30.1" dataDxfId="80"/>
    <tableColumn id="12" xr3:uid="{DBF61881-C471-4CF7-B191-4DD5D8D9F68C}" name="31.1" dataDxfId="79"/>
    <tableColumn id="13" xr3:uid="{60ADAE47-0C7E-4DC2-9DD3-F7456DCDB252}" name="1.2" dataDxfId="78"/>
    <tableColumn id="14" xr3:uid="{66CFE482-9541-4744-B9C4-A53A84124D6C}" name="2.2" dataDxfId="77"/>
    <tableColumn id="15" xr3:uid="{6CC4ACEB-BD6D-4164-AF6C-64291CCBE8A1}" name="3.2" dataDxfId="76"/>
    <tableColumn id="16" xr3:uid="{55245ED9-4E7B-47C0-9584-98E8E72FDE78}" name="4.2" dataDxfId="75"/>
    <tableColumn id="17" xr3:uid="{21F6CC89-3FA9-4BA8-B2DA-618E0EDE7FD7}" name="5.2" dataDxfId="74"/>
    <tableColumn id="18" xr3:uid="{1E8AEBF4-49D0-4B9A-AFBA-7EFE7FB2528F}" name="6.2" dataDxfId="73"/>
    <tableColumn id="19" xr3:uid="{337D9115-F326-4797-9B29-65F55A93170B}" name="7.2" dataDxfId="72"/>
    <tableColumn id="20" xr3:uid="{53C31F3B-E0F5-439A-9AFB-C2F4C52EE4E4}" name="8.2" dataDxfId="71"/>
    <tableColumn id="21" xr3:uid="{69BD5044-B4F4-4D57-9549-77FD4EBFEEF6}" name="9.2" dataDxfId="70"/>
    <tableColumn id="22" xr3:uid="{ACBDF14D-900E-476E-A24E-D2E2EC39CD07}" name="10.2" dataDxfId="69"/>
    <tableColumn id="23" xr3:uid="{589416F3-BEFC-466E-A468-942FA1E8DF6B}" name="11.2" dataDxfId="68"/>
    <tableColumn id="24" xr3:uid="{984C7DA7-59F9-46EB-8415-71AFD6ED9927}" name="12.2" dataDxfId="67"/>
    <tableColumn id="25" xr3:uid="{48C8CF82-A314-4FFD-92D8-935827EB8176}" name="13.2" dataDxfId="66"/>
    <tableColumn id="26" xr3:uid="{475F3C92-02AC-4B0F-9BCE-8D0092D398BB}" name="14.2" dataDxfId="65"/>
    <tableColumn id="27" xr3:uid="{A77036CC-AD7A-4300-ACC8-36EF5F0B9E22}" name="15.2" dataDxfId="64"/>
    <tableColumn id="28" xr3:uid="{8410960C-58D3-4702-8D61-DCA825CDF623}" name="16.2" dataDxfId="63"/>
    <tableColumn id="29" xr3:uid="{F3FB2D63-F8FC-46FC-9D87-124EBA6D9F0D}" name="17.2" dataDxfId="62"/>
    <tableColumn id="30" xr3:uid="{6F20A026-13C4-4DA7-B595-C69F2F1991E3}" name="18.2" dataDxfId="61"/>
    <tableColumn id="31" xr3:uid="{7BFF5209-487C-4126-B489-9761B6E49671}" name="19.2" dataDxfId="60"/>
    <tableColumn id="32" xr3:uid="{9D0E888C-4EED-4230-8603-EE26450A4B42}" name="20.2" dataDxfId="59"/>
    <tableColumn id="33" xr3:uid="{2E5EFFDA-0379-40FE-926B-6D2ADA88C6F6}" name="21.2" dataDxfId="58"/>
    <tableColumn id="34" xr3:uid="{36647928-02BA-4200-8727-4DA28DB248AA}" name="22.2" dataDxfId="57"/>
    <tableColumn id="35" xr3:uid="{1592F4A9-8CD3-46BA-8852-469CC4168526}" name="23.2" dataDxfId="56"/>
    <tableColumn id="36" xr3:uid="{F84EC5D0-60EC-48A0-9C30-FE60E0169F7A}" name="24.2" dataDxfId="55"/>
    <tableColumn id="37" xr3:uid="{C205CD95-1048-4FFF-B9AD-6DAEB1E8E1CA}" name="25.2" dataDxfId="54"/>
    <tableColumn id="38" xr3:uid="{064763C5-9418-457D-9AF4-0C2CDB89464B}" name="26.2" dataDxfId="53"/>
    <tableColumn id="39" xr3:uid="{9D93DBB9-5A83-478C-AC7E-17F9B703F6EA}" name="27.2" dataDxfId="52"/>
    <tableColumn id="40" xr3:uid="{24E3E392-B8DB-4A8B-9719-CC93070DB7EB}" name="28.2" dataDxfId="51"/>
    <tableColumn id="41" xr3:uid="{0A7ABA6B-627E-468A-8552-B2A543F5EDC5}" name="29.2" dataDxfId="50"/>
    <tableColumn id="42" xr3:uid="{CC62D3C1-4132-4A59-985C-0D0B960D021F}" name="1.3" dataDxfId="49"/>
    <tableColumn id="43" xr3:uid="{F393C3E1-16A6-468F-B52D-3363C2D7ACDB}" name="2.3" dataDxfId="48"/>
    <tableColumn id="44" xr3:uid="{1297B883-4AC9-4DBF-93B5-6CEF1F67E12F}" name="3.3" dataDxfId="47"/>
    <tableColumn id="45" xr3:uid="{CDED8757-B3A3-4381-BBAC-8760ED5EF08D}" name="4.3" dataDxfId="46"/>
    <tableColumn id="46" xr3:uid="{EF9AC2B1-479D-4298-96F9-597C63EDECF1}" name="5.3" dataDxfId="45"/>
    <tableColumn id="47" xr3:uid="{21B3659B-57CD-456A-B23E-06E6A6B82EEF}" name="6.3" dataDxfId="44"/>
    <tableColumn id="48" xr3:uid="{AAB0B237-ED9A-411F-A64B-E2F50C410719}" name="7.3" dataDxfId="43"/>
    <tableColumn id="49" xr3:uid="{690FEDC8-7C98-4C44-AFDC-C927CAF962F5}" name="8.3" dataDxfId="42"/>
    <tableColumn id="50" xr3:uid="{30AF0795-352E-40EC-B50A-89D9B11359E9}" name="9.3" dataDxfId="41"/>
    <tableColumn id="51" xr3:uid="{AF58394F-9675-4ED3-BE00-905F20BDF515}" name="10.3" dataDxfId="40"/>
    <tableColumn id="52" xr3:uid="{2F7C7F04-118B-4461-A75B-D526C7BFD539}" name="11.3" dataDxfId="39"/>
    <tableColumn id="53" xr3:uid="{E7FEA2AE-1C87-4F90-8835-27BB3E70C676}" name="12.3" dataDxfId="38"/>
    <tableColumn id="54" xr3:uid="{93F32828-144E-453D-864D-9F1A8B1E5DBA}" name="13.3" dataDxfId="37"/>
    <tableColumn id="55" xr3:uid="{CBB41D50-311E-47A8-947C-5B540F17FC78}" name="14.3" dataDxfId="36"/>
    <tableColumn id="56" xr3:uid="{46E27493-8B78-40CF-A65D-8321DC46B7D9}" name="15.3" dataDxfId="35"/>
    <tableColumn id="57" xr3:uid="{DE8A77B5-1111-42C2-B68C-361F57A6DD01}" name="16.3" dataDxfId="34"/>
    <tableColumn id="58" xr3:uid="{C9D587CF-DF56-47A1-8292-F7437BF79AED}" name="17.3" dataDxfId="33"/>
    <tableColumn id="59" xr3:uid="{5E869B92-9A9C-48F5-8377-59217E2596E9}" name="18.3" dataDxfId="32"/>
    <tableColumn id="60" xr3:uid="{0CFA360E-3CF4-4F66-96D6-2C82A3A99018}" name="19.3" dataDxfId="31"/>
    <tableColumn id="61" xr3:uid="{314C4BC1-EC2F-4C38-A40F-7AD990416C9D}" name="20.3" dataDxfId="30"/>
    <tableColumn id="62" xr3:uid="{8CAD326C-BAF1-414A-9500-01EB8E570C47}" name="21.3" dataDxfId="29"/>
    <tableColumn id="72" xr3:uid="{4036B6F4-CF6A-4F5B-9933-087F938167EE}" name="22.3" dataDxfId="28"/>
    <tableColumn id="1" xr3:uid="{B4B22A01-F8C2-4F1D-A169-6160E2D00E3E}" name="23.3" dataDxfId="27"/>
    <tableColumn id="63" xr3:uid="{0BCBF29A-7C75-47C7-BFA0-F08BA197BA16}" name="24.3" dataDxfId="26"/>
    <tableColumn id="64" xr3:uid="{D1604A77-DE7E-4F6B-A3BA-FE14DD532196}" name="25.3" dataDxfId="25"/>
    <tableColumn id="65" xr3:uid="{919D0F08-8424-4C0B-A29C-A106AAD64491}" name="26.3" dataDxfId="24"/>
    <tableColumn id="66" xr3:uid="{114BA22E-FA76-44C2-86E4-49E9F4404D6B}" name="27.3" dataDxfId="23"/>
    <tableColumn id="67" xr3:uid="{1D03E61E-BC3E-4002-8B71-7BBA535D09A8}" name="28.3" dataDxfId="22"/>
    <tableColumn id="68" xr3:uid="{8B9F50A5-9A53-4BC1-A059-EB84025091B4}" name="29.3" dataDxfId="21"/>
    <tableColumn id="69" xr3:uid="{C28C2217-E833-43B2-B2CD-265894D55B49}" name="30.3" dataDxfId="20"/>
    <tableColumn id="70" xr3:uid="{1E41A68B-9717-443E-96F4-6C6429878873}" name="31.3" dataDxfId="19"/>
    <tableColumn id="71" xr3:uid="{761EDBCE-1193-4A77-B245-CA897527DA46}" name="1.4" dataDxfId="18"/>
    <tableColumn id="73" xr3:uid="{99B2CA00-C327-4425-B759-7E5CAFD681E3}" name="2.4" dataDxfId="17"/>
    <tableColumn id="74" xr3:uid="{44B3D655-805A-442E-B64F-BD6C68ED2A2A}" name="3.4" dataDxfId="16"/>
    <tableColumn id="75" xr3:uid="{34F743B1-0C25-4F59-A51B-1AA081C844AE}" name="4.4" dataDxfId="15"/>
    <tableColumn id="76" xr3:uid="{63FC194D-57A6-441F-BC66-A02994716FF6}" name="5.4" dataDxfId="14"/>
    <tableColumn id="77" xr3:uid="{1F720840-066E-4345-AC39-40345D454FE3}" name="6.4" dataDxfId="13"/>
    <tableColumn id="78" xr3:uid="{A90B4D76-388C-4378-AEE0-DA281714C6D7}" name="7.4" dataDxfId="12"/>
    <tableColumn id="79" xr3:uid="{B9AC97AD-5789-419B-A057-6AEC53087D49}" name="8.4" dataDxfId="11"/>
    <tableColumn id="80" xr3:uid="{78867786-8960-4EB1-AD70-52F3F628D64E}" name="9.4" dataDxfId="10"/>
    <tableColumn id="81" xr3:uid="{C7BA93F1-3DCB-4D11-8702-9649D755BCC7}" name="10.4" dataDxfId="9"/>
    <tableColumn id="82" xr3:uid="{F6557F06-CDE3-4A15-B486-02531A9B8203}" name="11.4" dataDxfId="8"/>
    <tableColumn id="83" xr3:uid="{1F5181E8-51C3-4234-8279-074FD92B999B}" name="12.4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55" tableType="queryTable" totalsRowShown="0">
  <autoFilter ref="A1:CT255" xr:uid="{2392CF0B-C000-4089-9A21-F7907BA7F5A7}"/>
  <tableColumns count="98">
    <tableColumn id="67" xr3:uid="{C63C67E1-ECCC-421A-8CDC-FC12500235DC}" uniqueName="67" name="Column1" queryTableFieldId="204" dataDxfId="5"/>
    <tableColumn id="68" xr3:uid="{F3E2BE74-548E-4C4E-802E-7BE98C4905D1}" uniqueName="68" name="Column2" queryTableFieldId="205" dataDxfId="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55" tableType="queryTable" totalsRowShown="0">
  <autoFilter ref="A1:CT255" xr:uid="{BBAF64FF-FFFD-4F30-9EE9-8FC504F03BFC}"/>
  <tableColumns count="98">
    <tableColumn id="67" xr3:uid="{84F638BD-6CEA-497E-94AE-35F08C91E44C}" uniqueName="67" name="Column1" queryTableFieldId="67" dataDxfId="3"/>
    <tableColumn id="68" xr3:uid="{4D4DD18A-4EBB-4120-B201-12E46CE78962}" uniqueName="68" name="Column2" queryTableFieldId="68" dataDxfId="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41" tableType="queryTable" totalsRowShown="0">
  <autoFilter ref="A1:CT241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5"/>
  <sheetViews>
    <sheetView tabSelected="1" zoomScaleNormal="100" workbookViewId="0">
      <pane xSplit="1" topLeftCell="AO1" activePane="topRight" state="frozen"/>
      <selection pane="topRight" activeCell="A3" sqref="A3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42578125" style="3"/>
  </cols>
  <sheetData>
    <row r="1" spans="1:83" ht="254.2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4" t="s">
        <v>449</v>
      </c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</row>
    <row r="2" spans="1:83" s="2" customFormat="1" ht="29.25" customHeight="1" x14ac:dyDescent="0.25">
      <c r="A2" s="4" t="s">
        <v>244</v>
      </c>
      <c r="B2" s="6"/>
    </row>
    <row r="3" spans="1:83" s="12" customFormat="1" ht="18.75" x14ac:dyDescent="0.3">
      <c r="A3" s="23" t="s">
        <v>101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241</v>
      </c>
      <c r="B4" s="28">
        <f>SUMIF(RAW_Cases!$B:$B,$A$3,RAW_Cases!C:C)</f>
        <v>1</v>
      </c>
      <c r="C4" s="28">
        <f>SUMIF(RAW_Cases!$B:$B,$A$3,RAW_Cases!D:D)</f>
        <v>1</v>
      </c>
      <c r="D4" s="28">
        <f>SUMIF(RAW_Cases!$B:$B,$A$3,RAW_Cases!E:E)</f>
        <v>2</v>
      </c>
      <c r="E4" s="28">
        <f>SUMIF(RAW_Cases!$B:$B,$A$3,RAW_Cases!F:F)</f>
        <v>2</v>
      </c>
      <c r="F4" s="28">
        <f>SUMIF(RAW_Cases!$B:$B,$A$3,RAW_Cases!G:G)</f>
        <v>5</v>
      </c>
      <c r="G4" s="28">
        <f>SUMIF(RAW_Cases!$B:$B,$A$3,RAW_Cases!H:H)</f>
        <v>5</v>
      </c>
      <c r="H4" s="28">
        <f>SUMIF(RAW_Cases!$B:$B,$A$3,RAW_Cases!I:I)</f>
        <v>5</v>
      </c>
      <c r="I4" s="28">
        <f>SUMIF(RAW_Cases!$B:$B,$A$3,RAW_Cases!J:J)</f>
        <v>5</v>
      </c>
      <c r="J4" s="28">
        <f>SUMIF(RAW_Cases!$B:$B,$A$3,RAW_Cases!K:K)</f>
        <v>5</v>
      </c>
      <c r="K4" s="28">
        <f>SUMIF(RAW_Cases!$B:$B,$A$3,RAW_Cases!L:L)</f>
        <v>7</v>
      </c>
      <c r="L4" s="28">
        <f>SUMIF(RAW_Cases!$B:$B,$A$3,RAW_Cases!M:M)</f>
        <v>8</v>
      </c>
      <c r="M4" s="28">
        <f>SUMIF(RAW_Cases!$B:$B,$A$3,RAW_Cases!N:N)</f>
        <v>8</v>
      </c>
      <c r="N4" s="28">
        <f>SUMIF(RAW_Cases!$B:$B,$A$3,RAW_Cases!O:O)</f>
        <v>11</v>
      </c>
      <c r="O4" s="28">
        <f>SUMIF(RAW_Cases!$B:$B,$A$3,RAW_Cases!P:P)</f>
        <v>11</v>
      </c>
      <c r="P4" s="28">
        <f>SUMIF(RAW_Cases!$B:$B,$A$3,RAW_Cases!Q:Q)</f>
        <v>11</v>
      </c>
      <c r="Q4" s="28">
        <f>SUMIF(RAW_Cases!$B:$B,$A$3,RAW_Cases!R:R)</f>
        <v>11</v>
      </c>
      <c r="R4" s="28">
        <f>SUMIF(RAW_Cases!$B:$B,$A$3,RAW_Cases!S:S)</f>
        <v>11</v>
      </c>
      <c r="S4" s="28">
        <f>SUMIF(RAW_Cases!$B:$B,$A$3,RAW_Cases!T:T)</f>
        <v>11</v>
      </c>
      <c r="T4" s="28">
        <f>SUMIF(RAW_Cases!$B:$B,$A$3,RAW_Cases!U:U)</f>
        <v>11</v>
      </c>
      <c r="U4" s="28">
        <f>SUMIF(RAW_Cases!$B:$B,$A$3,RAW_Cases!V:V)</f>
        <v>11</v>
      </c>
      <c r="V4" s="28">
        <f>SUMIF(RAW_Cases!$B:$B,$A$3,RAW_Cases!W:W)</f>
        <v>12</v>
      </c>
      <c r="W4" s="28">
        <f>SUMIF(RAW_Cases!$B:$B,$A$3,RAW_Cases!X:X)</f>
        <v>12</v>
      </c>
      <c r="X4" s="28">
        <f>SUMIF(RAW_Cases!$B:$B,$A$3,RAW_Cases!Y:Y)</f>
        <v>13</v>
      </c>
      <c r="Y4" s="28">
        <f>SUMIF(RAW_Cases!$B:$B,$A$3,RAW_Cases!Z:Z)</f>
        <v>13</v>
      </c>
      <c r="Z4" s="28">
        <f>SUMIF(RAW_Cases!$B:$B,$A$3,RAW_Cases!AA:AA)</f>
        <v>13</v>
      </c>
      <c r="AA4" s="28">
        <f>SUMIF(RAW_Cases!$B:$B,$A$3,RAW_Cases!AB:AB)</f>
        <v>13</v>
      </c>
      <c r="AB4" s="28">
        <f>SUMIF(RAW_Cases!$B:$B,$A$3,RAW_Cases!AC:AC)</f>
        <v>13</v>
      </c>
      <c r="AC4" s="28">
        <f>SUMIF(RAW_Cases!$B:$B,$A$3,RAW_Cases!AD:AD)</f>
        <v>13</v>
      </c>
      <c r="AD4" s="28">
        <f>SUMIF(RAW_Cases!$B:$B,$A$3,RAW_Cases!AE:AE)</f>
        <v>13</v>
      </c>
      <c r="AE4" s="28">
        <f>SUMIF(RAW_Cases!$B:$B,$A$3,RAW_Cases!AF:AF)</f>
        <v>13</v>
      </c>
      <c r="AF4" s="28">
        <f>SUMIF(RAW_Cases!$B:$B,$A$3,RAW_Cases!AG:AG)</f>
        <v>15</v>
      </c>
      <c r="AG4" s="28">
        <f>SUMIF(RAW_Cases!$B:$B,$A$3,RAW_Cases!AH:AH)</f>
        <v>15</v>
      </c>
      <c r="AH4" s="28">
        <f>SUMIF(RAW_Cases!$B:$B,$A$3,RAW_Cases!AI:AI)</f>
        <v>15</v>
      </c>
      <c r="AI4" s="28">
        <f>SUMIF(RAW_Cases!$B:$B,$A$3,RAW_Cases!AJ:AJ)</f>
        <v>51</v>
      </c>
      <c r="AJ4" s="28">
        <f>SUMIF(RAW_Cases!$B:$B,$A$3,RAW_Cases!AK:AK)</f>
        <v>51</v>
      </c>
      <c r="AK4" s="28">
        <f>SUMIF(RAW_Cases!$B:$B,$A$3,RAW_Cases!AL:AL)</f>
        <v>57</v>
      </c>
      <c r="AL4" s="28">
        <f>SUMIF(RAW_Cases!$B:$B,$A$3,RAW_Cases!AM:AM)</f>
        <v>58</v>
      </c>
      <c r="AM4" s="28">
        <f>SUMIF(RAW_Cases!$B:$B,$A$3,RAW_Cases!AN:AN)</f>
        <v>60</v>
      </c>
      <c r="AN4" s="28">
        <f>SUMIF(RAW_Cases!$B:$B,$A$3,RAW_Cases!AO:AO)</f>
        <v>68</v>
      </c>
      <c r="AO4" s="28">
        <f>SUMIF(RAW_Cases!$B:$B,$A$3,RAW_Cases!AP:AP)</f>
        <v>74</v>
      </c>
      <c r="AP4" s="28">
        <f>SUMIF(RAW_Cases!$B:$B,$A$3,RAW_Cases!AQ:AQ)</f>
        <v>98</v>
      </c>
      <c r="AQ4" s="28">
        <f>SUMIF(RAW_Cases!$B:$B,$A$3,RAW_Cases!AR:AR)</f>
        <v>118</v>
      </c>
      <c r="AR4" s="28">
        <f>SUMIF(RAW_Cases!$B:$B,$A$3,RAW_Cases!AS:AS)</f>
        <v>149</v>
      </c>
      <c r="AS4" s="28">
        <f>SUMIF(RAW_Cases!$B:$B,$A$3,RAW_Cases!AT:AT)</f>
        <v>217</v>
      </c>
      <c r="AT4" s="28">
        <f>SUMIF(RAW_Cases!$B:$B,$A$3,RAW_Cases!AU:AU)</f>
        <v>262</v>
      </c>
      <c r="AU4" s="28">
        <f>SUMIF(RAW_Cases!$B:$B,$A$3,RAW_Cases!AV:AV)</f>
        <v>402</v>
      </c>
      <c r="AV4" s="28">
        <f>SUMIF(RAW_Cases!$B:$B,$A$3,RAW_Cases!AW:AW)</f>
        <v>518</v>
      </c>
      <c r="AW4" s="28">
        <f>SUMIF(RAW_Cases!$B:$B,$A$3,RAW_Cases!AX:AX)</f>
        <v>583</v>
      </c>
      <c r="AX4" s="28">
        <f>SUMIF(RAW_Cases!$B:$B,$A$3,RAW_Cases!AY:AY)</f>
        <v>959</v>
      </c>
      <c r="AY4" s="28">
        <f>SUMIF(RAW_Cases!$B:$B,$A$3,RAW_Cases!AZ:AZ)</f>
        <v>1281</v>
      </c>
      <c r="AZ4" s="28">
        <f>SUMIF(RAW_Cases!$B:$B,$A$3,RAW_Cases!BA:BA)</f>
        <v>1663</v>
      </c>
      <c r="BA4" s="28">
        <f>SUMIF(RAW_Cases!$B:$B,$A$3,RAW_Cases!BB:BB)</f>
        <v>2179</v>
      </c>
      <c r="BB4" s="28">
        <f>SUMIF(RAW_Cases!$B:$B,$A$3,RAW_Cases!BC:BC)</f>
        <v>2727</v>
      </c>
      <c r="BC4" s="28">
        <f>SUMIF(RAW_Cases!$B:$B,$A$3,RAW_Cases!BD:BD)</f>
        <v>3499</v>
      </c>
      <c r="BD4" s="28">
        <f>SUMIF(RAW_Cases!$B:$B,$A$3,RAW_Cases!BE:BE)</f>
        <v>4632</v>
      </c>
      <c r="BE4" s="28">
        <f>SUMIF(RAW_Cases!$B:$B,$A$3,RAW_Cases!BF:BF)</f>
        <v>6421</v>
      </c>
      <c r="BF4" s="28">
        <f>SUMIF(RAW_Cases!$B:$B,$A$3,RAW_Cases!BG:BG)</f>
        <v>7783</v>
      </c>
      <c r="BG4" s="28">
        <f>SUMIF(RAW_Cases!$B:$B,$A$3,RAW_Cases!BH:BH)</f>
        <v>13677</v>
      </c>
      <c r="BH4" s="28">
        <f>SUMIF(RAW_Cases!$B:$B,$A$3,RAW_Cases!BI:BI)</f>
        <v>19100</v>
      </c>
      <c r="BI4" s="28">
        <f>SUMIF(RAW_Cases!$B:$B,$A$3,RAW_Cases!BJ:BJ)</f>
        <v>25489</v>
      </c>
      <c r="BJ4" s="28">
        <f>SUMIF(RAW_Cases!$B:$B,$A$3,RAW_Cases!BK:BK)</f>
        <v>33276</v>
      </c>
      <c r="BK4" s="28">
        <f>SUMIF(RAW_Cases!$B:$B,$A$3,RAW_Cases!BL:BL)</f>
        <v>43847</v>
      </c>
      <c r="BL4" s="28">
        <f>SUMIF(RAW_Cases!$B:$B,$A$3,RAW_Cases!BM:BM)</f>
        <v>53740</v>
      </c>
      <c r="BM4" s="28">
        <f>SUMIF(RAW_Cases!$B:$B,$A$3,RAW_Cases!BN:BN)</f>
        <v>65778</v>
      </c>
      <c r="BN4" s="28">
        <f>SUMIF(RAW_Cases!$B:$B,$A$3,RAW_Cases!BO:BO)</f>
        <v>83836</v>
      </c>
      <c r="BO4" s="28">
        <f>SUMIF(RAW_Cases!$B:$B,$A$3,RAW_Cases!BP:BP)</f>
        <v>101657</v>
      </c>
      <c r="BP4" s="28">
        <f>SUMIF(RAW_Cases!$B:$B,$A$3,RAW_Cases!BQ:BQ)</f>
        <v>121478</v>
      </c>
      <c r="BQ4" s="28">
        <f>SUMIF(RAW_Cases!$B:$B,$A$3,RAW_Cases!BR:BR)</f>
        <v>140886</v>
      </c>
      <c r="BR4" s="28">
        <f>SUMIF(RAW_Cases!$B:$B,$A$3,RAW_Cases!BS:BS)</f>
        <v>161807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1</v>
      </c>
      <c r="AO5" s="28">
        <f>SUMIF(RAW_DEATHS!$B:$B,$A$3,RAW_DEATHS!AP:AP)</f>
        <v>1</v>
      </c>
      <c r="AP5" s="28">
        <f>SUMIF(RAW_DEATHS!$B:$B,$A$3,RAW_DEATHS!AQ:AQ)</f>
        <v>6</v>
      </c>
      <c r="AQ5" s="28">
        <f>SUMIF(RAW_DEATHS!$B:$B,$A$3,RAW_DEATHS!AR:AR)</f>
        <v>7</v>
      </c>
      <c r="AR5" s="28">
        <f>SUMIF(RAW_DEATHS!$B:$B,$A$3,RAW_DEATHS!AS:AS)</f>
        <v>11</v>
      </c>
      <c r="AS5" s="28">
        <f>SUMIF(RAW_DEATHS!$B:$B,$A$3,RAW_DEATHS!AT:AT)</f>
        <v>12</v>
      </c>
      <c r="AT5" s="28">
        <f>SUMIF(RAW_DEATHS!$B:$B,$A$3,RAW_DEATHS!AU:AU)</f>
        <v>14</v>
      </c>
      <c r="AU5" s="28">
        <f>SUMIF(RAW_DEATHS!$B:$B,$A$3,RAW_DEATHS!AV:AV)</f>
        <v>17</v>
      </c>
      <c r="AV5" s="28">
        <f>SUMIF(RAW_DEATHS!$B:$B,$A$3,RAW_DEATHS!AW:AW)</f>
        <v>21</v>
      </c>
      <c r="AW5" s="28">
        <f>SUMIF(RAW_DEATHS!$B:$B,$A$3,RAW_DEATHS!AX:AX)</f>
        <v>22</v>
      </c>
      <c r="AX5" s="28">
        <f>SUMIF(RAW_DEATHS!$B:$B,$A$3,RAW_DEATHS!AY:AY)</f>
        <v>28</v>
      </c>
      <c r="AY5" s="28">
        <f>SUMIF(RAW_DEATHS!$B:$B,$A$3,RAW_DEATHS!AZ:AZ)</f>
        <v>36</v>
      </c>
      <c r="AZ5" s="28">
        <f>SUMIF(RAW_DEATHS!$B:$B,$A$3,RAW_DEATHS!BA:BA)</f>
        <v>40</v>
      </c>
      <c r="BA5" s="28">
        <f>SUMIF(RAW_DEATHS!$B:$B,$A$3,RAW_DEATHS!BB:BB)</f>
        <v>47</v>
      </c>
      <c r="BB5" s="28">
        <f>SUMIF(RAW_DEATHS!$B:$B,$A$3,RAW_DEATHS!BC:BC)</f>
        <v>54</v>
      </c>
      <c r="BC5" s="28">
        <f>SUMIF(RAW_DEATHS!$B:$B,$A$3,RAW_DEATHS!BD:BD)</f>
        <v>63</v>
      </c>
      <c r="BD5" s="28">
        <f>SUMIF(RAW_DEATHS!$B:$B,$A$3,RAW_DEATHS!BE:BE)</f>
        <v>85</v>
      </c>
      <c r="BE5" s="28">
        <f>SUMIF(RAW_DEATHS!$B:$B,$A$3,RAW_DEATHS!BF:BF)</f>
        <v>108</v>
      </c>
      <c r="BF5" s="28">
        <f>SUMIF(RAW_DEATHS!$B:$B,$A$3,RAW_DEATHS!BG:BG)</f>
        <v>118</v>
      </c>
      <c r="BG5" s="28">
        <f>SUMIF(RAW_DEATHS!$B:$B,$A$3,RAW_DEATHS!BH:BH)</f>
        <v>200</v>
      </c>
      <c r="BH5" s="28">
        <f>SUMIF(RAW_DEATHS!$B:$B,$A$3,RAW_DEATHS!BI:BI)</f>
        <v>244</v>
      </c>
      <c r="BI5" s="28">
        <f>SUMIF(RAW_DEATHS!$B:$B,$A$3,RAW_DEATHS!BJ:BJ)</f>
        <v>307</v>
      </c>
      <c r="BJ5" s="28">
        <f>SUMIF(RAW_DEATHS!$B:$B,$A$3,RAW_DEATHS!BK:BK)</f>
        <v>417</v>
      </c>
      <c r="BK5" s="28">
        <f>SUMIF(RAW_DEATHS!$B:$B,$A$3,RAW_DEATHS!BL:BL)</f>
        <v>557</v>
      </c>
      <c r="BL5" s="28">
        <f>SUMIF(RAW_DEATHS!$B:$B,$A$3,RAW_DEATHS!BM:BM)</f>
        <v>706</v>
      </c>
      <c r="BM5" s="28">
        <f>SUMIF(RAW_DEATHS!$B:$B,$A$3,RAW_DEATHS!BN:BN)</f>
        <v>942</v>
      </c>
      <c r="BN5" s="28">
        <f>SUMIF(RAW_DEATHS!$B:$B,$A$3,RAW_DEATHS!BO:BO)</f>
        <v>1209</v>
      </c>
      <c r="BO5" s="28">
        <f>SUMIF(RAW_DEATHS!$B:$B,$A$3,RAW_DEATHS!BP:BP)</f>
        <v>1581</v>
      </c>
      <c r="BP5" s="28">
        <f>SUMIF(RAW_DEATHS!$B:$B,$A$3,RAW_DEATHS!BQ:BQ)</f>
        <v>2026</v>
      </c>
      <c r="BQ5" s="28">
        <f>SUMIF(RAW_DEATHS!$B:$B,$A$3,RAW_DEATHS!BR:BR)</f>
        <v>2467</v>
      </c>
      <c r="BR5" s="28">
        <f>SUMIF(RAW_DEATHS!$B:$B,$A$3,RAW_DEATHS!BS:BS)</f>
        <v>2978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3</v>
      </c>
      <c r="U6" s="28">
        <f>SUMIF(RAW_RECOVERED!$B:$B,$A$3,RAW_RECOVERED!V:V)</f>
        <v>3</v>
      </c>
      <c r="V6" s="28">
        <f>SUMIF(RAW_RECOVERED!$B:$B,$A$3,RAW_RECOVERED!W:W)</f>
        <v>3</v>
      </c>
      <c r="W6" s="28">
        <f>SUMIF(RAW_RECOVERED!$B:$B,$A$3,RAW_RECOVERED!X:X)</f>
        <v>3</v>
      </c>
      <c r="X6" s="28">
        <f>SUMIF(RAW_RECOVERED!$B:$B,$A$3,RAW_RECOVERED!Y:Y)</f>
        <v>3</v>
      </c>
      <c r="Y6" s="28">
        <f>SUMIF(RAW_RECOVERED!$B:$B,$A$3,RAW_RECOVERED!Z:Z)</f>
        <v>3</v>
      </c>
      <c r="Z6" s="28">
        <f>SUMIF(RAW_RECOVERED!$B:$B,$A$3,RAW_RECOVERED!AA:AA)</f>
        <v>3</v>
      </c>
      <c r="AA6" s="28">
        <f>SUMIF(RAW_RECOVERED!$B:$B,$A$3,RAW_RECOVERED!AB:AB)</f>
        <v>3</v>
      </c>
      <c r="AB6" s="28">
        <f>SUMIF(RAW_RECOVERED!$B:$B,$A$3,RAW_RECOVERED!AC:AC)</f>
        <v>3</v>
      </c>
      <c r="AC6" s="28">
        <f>SUMIF(RAW_RECOVERED!$B:$B,$A$3,RAW_RECOVERED!AD:AD)</f>
        <v>3</v>
      </c>
      <c r="AD6" s="28">
        <f>SUMIF(RAW_RECOVERED!$B:$B,$A$3,RAW_RECOVERED!AE:AE)</f>
        <v>3</v>
      </c>
      <c r="AE6" s="28">
        <f>SUMIF(RAW_RECOVERED!$B:$B,$A$3,RAW_RECOVERED!AF:AF)</f>
        <v>3</v>
      </c>
      <c r="AF6" s="28">
        <f>SUMIF(RAW_RECOVERED!$B:$B,$A$3,RAW_RECOVERED!AG:AG)</f>
        <v>5</v>
      </c>
      <c r="AG6" s="28">
        <f>SUMIF(RAW_RECOVERED!$B:$B,$A$3,RAW_RECOVERED!AH:AH)</f>
        <v>5</v>
      </c>
      <c r="AH6" s="28">
        <f>SUMIF(RAW_RECOVERED!$B:$B,$A$3,RAW_RECOVERED!AI:AI)</f>
        <v>5</v>
      </c>
      <c r="AI6" s="28">
        <f>SUMIF(RAW_RECOVERED!$B:$B,$A$3,RAW_RECOVERED!AJ:AJ)</f>
        <v>5</v>
      </c>
      <c r="AJ6" s="28">
        <f>SUMIF(RAW_RECOVERED!$B:$B,$A$3,RAW_RECOVERED!AK:AK)</f>
        <v>6</v>
      </c>
      <c r="AK6" s="28">
        <f>SUMIF(RAW_RECOVERED!$B:$B,$A$3,RAW_RECOVERED!AL:AL)</f>
        <v>6</v>
      </c>
      <c r="AL6" s="28">
        <f>SUMIF(RAW_RECOVERED!$B:$B,$A$3,RAW_RECOVERED!AM:AM)</f>
        <v>6</v>
      </c>
      <c r="AM6" s="28">
        <f>SUMIF(RAW_RECOVERED!$B:$B,$A$3,RAW_RECOVERED!AN:AN)</f>
        <v>7</v>
      </c>
      <c r="AN6" s="28">
        <f>SUMIF(RAW_RECOVERED!$B:$B,$A$3,RAW_RECOVERED!AO:AO)</f>
        <v>7</v>
      </c>
      <c r="AO6" s="28">
        <f>SUMIF(RAW_RECOVERED!$B:$B,$A$3,RAW_RECOVERED!AP:AP)</f>
        <v>7</v>
      </c>
      <c r="AP6" s="28">
        <f>SUMIF(RAW_RECOVERED!$B:$B,$A$3,RAW_RECOVERED!AQ:AQ)</f>
        <v>7</v>
      </c>
      <c r="AQ6" s="28">
        <f>SUMIF(RAW_RECOVERED!$B:$B,$A$3,RAW_RECOVERED!AR:AR)</f>
        <v>7</v>
      </c>
      <c r="AR6" s="28">
        <f>SUMIF(RAW_RECOVERED!$B:$B,$A$3,RAW_RECOVERED!AS:AS)</f>
        <v>7</v>
      </c>
      <c r="AS6" s="28">
        <f>SUMIF(RAW_RECOVERED!$B:$B,$A$3,RAW_RECOVERED!AT:AT)</f>
        <v>7</v>
      </c>
      <c r="AT6" s="28">
        <f>SUMIF(RAW_RECOVERED!$B:$B,$A$3,RAW_RECOVERED!AU:AU)</f>
        <v>7</v>
      </c>
      <c r="AU6" s="28">
        <f>SUMIF(RAW_RECOVERED!$B:$B,$A$3,RAW_RECOVERED!AV:AV)</f>
        <v>7</v>
      </c>
      <c r="AV6" s="28">
        <f>SUMIF(RAW_RECOVERED!$B:$B,$A$3,RAW_RECOVERED!AW:AW)</f>
        <v>7</v>
      </c>
      <c r="AW6" s="28">
        <f>SUMIF(RAW_RECOVERED!$B:$B,$A$3,RAW_RECOVERED!AX:AX)</f>
        <v>7</v>
      </c>
      <c r="AX6" s="28">
        <f>SUMIF(RAW_RECOVERED!$B:$B,$A$3,RAW_RECOVERED!AY:AY)</f>
        <v>8</v>
      </c>
      <c r="AY6" s="28">
        <f>SUMIF(RAW_RECOVERED!$B:$B,$A$3,RAW_RECOVERED!AZ:AZ)</f>
        <v>8</v>
      </c>
      <c r="AZ6" s="28">
        <f>SUMIF(RAW_RECOVERED!$B:$B,$A$3,RAW_RECOVERED!BA:BA)</f>
        <v>12</v>
      </c>
      <c r="BA6" s="28">
        <f>SUMIF(RAW_RECOVERED!$B:$B,$A$3,RAW_RECOVERED!BB:BB)</f>
        <v>12</v>
      </c>
      <c r="BB6" s="28">
        <f>SUMIF(RAW_RECOVERED!$B:$B,$A$3,RAW_RECOVERED!BC:BC)</f>
        <v>12</v>
      </c>
      <c r="BC6" s="28">
        <f>SUMIF(RAW_RECOVERED!$B:$B,$A$3,RAW_RECOVERED!BD:BD)</f>
        <v>12</v>
      </c>
      <c r="BD6" s="28">
        <f>SUMIF(RAW_RECOVERED!$B:$B,$A$3,RAW_RECOVERED!BE:BE)</f>
        <v>17</v>
      </c>
      <c r="BE6" s="28">
        <f>SUMIF(RAW_RECOVERED!$B:$B,$A$3,RAW_RECOVERED!BF:BF)</f>
        <v>17</v>
      </c>
      <c r="BF6" s="28">
        <f>SUMIF(RAW_RECOVERED!$B:$B,$A$3,RAW_RECOVERED!BG:BG)</f>
        <v>105</v>
      </c>
      <c r="BG6" s="28">
        <f>SUMIF(RAW_RECOVERED!$B:$B,$A$3,RAW_RECOVERED!BH:BH)</f>
        <v>121</v>
      </c>
      <c r="BH6" s="28">
        <f>SUMIF(RAW_RECOVERED!$B:$B,$A$3,RAW_RECOVERED!BI:BI)</f>
        <v>147</v>
      </c>
      <c r="BI6" s="28">
        <f>SUMIF(RAW_RECOVERED!$B:$B,$A$3,RAW_RECOVERED!BJ:BJ)</f>
        <v>176</v>
      </c>
      <c r="BJ6" s="28">
        <f>SUMIF(RAW_RECOVERED!$B:$B,$A$3,RAW_RECOVERED!BK:BK)</f>
        <v>178</v>
      </c>
      <c r="BK6" s="28">
        <f>SUMIF(RAW_RECOVERED!$B:$B,$A$3,RAW_RECOVERED!BL:BL)</f>
        <v>178</v>
      </c>
      <c r="BL6" s="28">
        <f>SUMIF(RAW_RECOVERED!$B:$B,$A$3,RAW_RECOVERED!BM:BM)</f>
        <v>348</v>
      </c>
      <c r="BM6" s="28">
        <f>SUMIF(RAW_RECOVERED!$B:$B,$A$3,RAW_RECOVERED!BN:BN)</f>
        <v>361</v>
      </c>
      <c r="BN6" s="28">
        <f>SUMIF(RAW_RECOVERED!$B:$B,$A$3,RAW_RECOVERED!BO:BO)</f>
        <v>681</v>
      </c>
      <c r="BO6" s="28">
        <f>SUMIF(RAW_RECOVERED!$B:$B,$A$3,RAW_RECOVERED!BP:BP)</f>
        <v>869</v>
      </c>
      <c r="BP6" s="28">
        <f>SUMIF(RAW_RECOVERED!$B:$B,$A$3,RAW_RECOVERED!BQ:BQ)</f>
        <v>1072</v>
      </c>
      <c r="BQ6" s="28">
        <f>SUMIF(RAW_RECOVERED!$B:$B,$A$3,RAW_RECOVERED!BR:BR)</f>
        <v>2665</v>
      </c>
      <c r="BR6" s="28">
        <f>SUMIF(RAW_RECOVERED!$B:$B,$A$3,RAW_RECOVERED!BS:BS)</f>
        <v>5644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437</v>
      </c>
      <c r="B7" s="28"/>
      <c r="C7" s="28">
        <f t="shared" ref="C7:AH7" si="0">C4-B4</f>
        <v>0</v>
      </c>
      <c r="D7" s="28">
        <f t="shared" si="0"/>
        <v>1</v>
      </c>
      <c r="E7" s="28">
        <f t="shared" si="0"/>
        <v>0</v>
      </c>
      <c r="F7" s="28">
        <f t="shared" si="0"/>
        <v>3</v>
      </c>
      <c r="G7" s="28">
        <f t="shared" si="0"/>
        <v>0</v>
      </c>
      <c r="H7" s="28">
        <f t="shared" si="0"/>
        <v>0</v>
      </c>
      <c r="I7" s="28">
        <f t="shared" si="0"/>
        <v>0</v>
      </c>
      <c r="J7" s="28">
        <f t="shared" si="0"/>
        <v>0</v>
      </c>
      <c r="K7" s="28">
        <f t="shared" si="0"/>
        <v>2</v>
      </c>
      <c r="L7" s="28">
        <f t="shared" si="0"/>
        <v>1</v>
      </c>
      <c r="M7" s="28">
        <f t="shared" si="0"/>
        <v>0</v>
      </c>
      <c r="N7" s="28">
        <f t="shared" si="0"/>
        <v>3</v>
      </c>
      <c r="O7" s="28">
        <f t="shared" si="0"/>
        <v>0</v>
      </c>
      <c r="P7" s="28">
        <f t="shared" si="0"/>
        <v>0</v>
      </c>
      <c r="Q7" s="28">
        <f t="shared" si="0"/>
        <v>0</v>
      </c>
      <c r="R7" s="28">
        <f t="shared" si="0"/>
        <v>0</v>
      </c>
      <c r="S7" s="28">
        <f t="shared" si="0"/>
        <v>0</v>
      </c>
      <c r="T7" s="28">
        <f t="shared" si="0"/>
        <v>0</v>
      </c>
      <c r="U7" s="28">
        <f t="shared" si="0"/>
        <v>0</v>
      </c>
      <c r="V7" s="28">
        <f t="shared" si="0"/>
        <v>1</v>
      </c>
      <c r="W7" s="28">
        <f t="shared" si="0"/>
        <v>0</v>
      </c>
      <c r="X7" s="28">
        <f t="shared" si="0"/>
        <v>1</v>
      </c>
      <c r="Y7" s="28">
        <f t="shared" si="0"/>
        <v>0</v>
      </c>
      <c r="Z7" s="28">
        <f t="shared" si="0"/>
        <v>0</v>
      </c>
      <c r="AA7" s="28">
        <f t="shared" si="0"/>
        <v>0</v>
      </c>
      <c r="AB7" s="28">
        <f t="shared" si="0"/>
        <v>0</v>
      </c>
      <c r="AC7" s="28">
        <f t="shared" si="0"/>
        <v>0</v>
      </c>
      <c r="AD7" s="28">
        <f t="shared" si="0"/>
        <v>0</v>
      </c>
      <c r="AE7" s="28">
        <f t="shared" si="0"/>
        <v>0</v>
      </c>
      <c r="AF7" s="28">
        <f t="shared" si="0"/>
        <v>2</v>
      </c>
      <c r="AG7" s="28">
        <f t="shared" si="0"/>
        <v>0</v>
      </c>
      <c r="AH7" s="28">
        <f t="shared" si="0"/>
        <v>0</v>
      </c>
      <c r="AI7" s="28">
        <f t="shared" ref="AI7:BN7" si="1">AI4-AH4</f>
        <v>36</v>
      </c>
      <c r="AJ7" s="28">
        <f t="shared" si="1"/>
        <v>0</v>
      </c>
      <c r="AK7" s="28">
        <f t="shared" si="1"/>
        <v>6</v>
      </c>
      <c r="AL7" s="28">
        <f t="shared" si="1"/>
        <v>1</v>
      </c>
      <c r="AM7" s="28">
        <f t="shared" si="1"/>
        <v>2</v>
      </c>
      <c r="AN7" s="28">
        <f t="shared" si="1"/>
        <v>8</v>
      </c>
      <c r="AO7" s="28">
        <f t="shared" si="1"/>
        <v>6</v>
      </c>
      <c r="AP7" s="28">
        <f t="shared" si="1"/>
        <v>24</v>
      </c>
      <c r="AQ7" s="28">
        <f t="shared" si="1"/>
        <v>20</v>
      </c>
      <c r="AR7" s="28">
        <f t="shared" si="1"/>
        <v>31</v>
      </c>
      <c r="AS7" s="28">
        <f t="shared" si="1"/>
        <v>68</v>
      </c>
      <c r="AT7" s="28">
        <f t="shared" si="1"/>
        <v>45</v>
      </c>
      <c r="AU7" s="28">
        <f t="shared" si="1"/>
        <v>140</v>
      </c>
      <c r="AV7" s="28">
        <f t="shared" si="1"/>
        <v>116</v>
      </c>
      <c r="AW7" s="28">
        <f t="shared" si="1"/>
        <v>65</v>
      </c>
      <c r="AX7" s="28">
        <f t="shared" si="1"/>
        <v>376</v>
      </c>
      <c r="AY7" s="28">
        <f t="shared" si="1"/>
        <v>322</v>
      </c>
      <c r="AZ7" s="28">
        <f t="shared" si="1"/>
        <v>382</v>
      </c>
      <c r="BA7" s="28">
        <f t="shared" si="1"/>
        <v>516</v>
      </c>
      <c r="BB7" s="28">
        <f t="shared" si="1"/>
        <v>548</v>
      </c>
      <c r="BC7" s="28">
        <f t="shared" si="1"/>
        <v>772</v>
      </c>
      <c r="BD7" s="28">
        <f t="shared" si="1"/>
        <v>1133</v>
      </c>
      <c r="BE7" s="28">
        <f t="shared" si="1"/>
        <v>1789</v>
      </c>
      <c r="BF7" s="28">
        <f t="shared" si="1"/>
        <v>1362</v>
      </c>
      <c r="BG7" s="28">
        <f t="shared" si="1"/>
        <v>5894</v>
      </c>
      <c r="BH7" s="28">
        <f t="shared" si="1"/>
        <v>5423</v>
      </c>
      <c r="BI7" s="28">
        <f t="shared" si="1"/>
        <v>6389</v>
      </c>
      <c r="BJ7" s="28">
        <f t="shared" si="1"/>
        <v>7787</v>
      </c>
      <c r="BK7" s="28">
        <f t="shared" si="1"/>
        <v>10571</v>
      </c>
      <c r="BL7" s="28">
        <f t="shared" si="1"/>
        <v>9893</v>
      </c>
      <c r="BM7" s="28">
        <f t="shared" si="1"/>
        <v>12038</v>
      </c>
      <c r="BN7" s="28">
        <f t="shared" si="1"/>
        <v>18058</v>
      </c>
      <c r="BO7" s="28">
        <f t="shared" ref="BO7:CE7" si="2">BO4-BN4</f>
        <v>17821</v>
      </c>
      <c r="BP7" s="28">
        <f t="shared" si="2"/>
        <v>19821</v>
      </c>
      <c r="BQ7" s="28">
        <f t="shared" si="2"/>
        <v>19408</v>
      </c>
      <c r="BR7" s="28">
        <f t="shared" si="2"/>
        <v>20921</v>
      </c>
      <c r="BS7" s="28">
        <f t="shared" si="2"/>
        <v>-161807</v>
      </c>
      <c r="BT7" s="28">
        <f t="shared" si="2"/>
        <v>0</v>
      </c>
      <c r="BU7" s="28">
        <f t="shared" si="2"/>
        <v>0</v>
      </c>
      <c r="BV7" s="28">
        <f t="shared" si="2"/>
        <v>0</v>
      </c>
      <c r="BW7" s="28">
        <f t="shared" si="2"/>
        <v>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28">
        <f t="shared" si="2"/>
        <v>0</v>
      </c>
    </row>
    <row r="8" spans="1:83" s="11" customFormat="1" ht="12.75" x14ac:dyDescent="0.2">
      <c r="A8" s="26" t="s">
        <v>436</v>
      </c>
      <c r="B8" s="28"/>
      <c r="C8" s="28">
        <f t="shared" ref="C8:AH8" si="3">C5-B5</f>
        <v>0</v>
      </c>
      <c r="D8" s="28">
        <f t="shared" si="3"/>
        <v>0</v>
      </c>
      <c r="E8" s="28">
        <f t="shared" si="3"/>
        <v>0</v>
      </c>
      <c r="F8" s="28">
        <f t="shared" si="3"/>
        <v>0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0</v>
      </c>
      <c r="L8" s="28">
        <f t="shared" si="3"/>
        <v>0</v>
      </c>
      <c r="M8" s="28">
        <f t="shared" si="3"/>
        <v>0</v>
      </c>
      <c r="N8" s="28">
        <f t="shared" si="3"/>
        <v>0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0</v>
      </c>
      <c r="AG8" s="28">
        <f t="shared" si="3"/>
        <v>0</v>
      </c>
      <c r="AH8" s="28">
        <f t="shared" si="3"/>
        <v>0</v>
      </c>
      <c r="AI8" s="28">
        <f t="shared" ref="AI8:BN8" si="4">AI5-AH5</f>
        <v>0</v>
      </c>
      <c r="AJ8" s="28">
        <f t="shared" si="4"/>
        <v>0</v>
      </c>
      <c r="AK8" s="28">
        <f t="shared" si="4"/>
        <v>0</v>
      </c>
      <c r="AL8" s="28">
        <f t="shared" si="4"/>
        <v>0</v>
      </c>
      <c r="AM8" s="28">
        <f t="shared" si="4"/>
        <v>0</v>
      </c>
      <c r="AN8" s="28">
        <f t="shared" si="4"/>
        <v>1</v>
      </c>
      <c r="AO8" s="28">
        <f t="shared" si="4"/>
        <v>0</v>
      </c>
      <c r="AP8" s="28">
        <f t="shared" si="4"/>
        <v>5</v>
      </c>
      <c r="AQ8" s="28">
        <f t="shared" si="4"/>
        <v>1</v>
      </c>
      <c r="AR8" s="28">
        <f t="shared" si="4"/>
        <v>4</v>
      </c>
      <c r="AS8" s="28">
        <f t="shared" si="4"/>
        <v>1</v>
      </c>
      <c r="AT8" s="28">
        <f t="shared" si="4"/>
        <v>2</v>
      </c>
      <c r="AU8" s="28">
        <f t="shared" si="4"/>
        <v>3</v>
      </c>
      <c r="AV8" s="28">
        <f t="shared" si="4"/>
        <v>4</v>
      </c>
      <c r="AW8" s="28">
        <f t="shared" si="4"/>
        <v>1</v>
      </c>
      <c r="AX8" s="28">
        <f t="shared" si="4"/>
        <v>6</v>
      </c>
      <c r="AY8" s="28">
        <f t="shared" si="4"/>
        <v>8</v>
      </c>
      <c r="AZ8" s="28">
        <f t="shared" si="4"/>
        <v>4</v>
      </c>
      <c r="BA8" s="28">
        <f t="shared" si="4"/>
        <v>7</v>
      </c>
      <c r="BB8" s="28">
        <f t="shared" si="4"/>
        <v>7</v>
      </c>
      <c r="BC8" s="28">
        <f t="shared" si="4"/>
        <v>9</v>
      </c>
      <c r="BD8" s="28">
        <f t="shared" si="4"/>
        <v>22</v>
      </c>
      <c r="BE8" s="28">
        <f t="shared" si="4"/>
        <v>23</v>
      </c>
      <c r="BF8" s="28">
        <f t="shared" si="4"/>
        <v>10</v>
      </c>
      <c r="BG8" s="28">
        <f t="shared" si="4"/>
        <v>82</v>
      </c>
      <c r="BH8" s="28">
        <f t="shared" si="4"/>
        <v>44</v>
      </c>
      <c r="BI8" s="28">
        <f t="shared" si="4"/>
        <v>63</v>
      </c>
      <c r="BJ8" s="28">
        <f t="shared" si="4"/>
        <v>110</v>
      </c>
      <c r="BK8" s="28">
        <f t="shared" si="4"/>
        <v>140</v>
      </c>
      <c r="BL8" s="28">
        <f t="shared" si="4"/>
        <v>149</v>
      </c>
      <c r="BM8" s="28">
        <f t="shared" si="4"/>
        <v>236</v>
      </c>
      <c r="BN8" s="28">
        <f t="shared" si="4"/>
        <v>267</v>
      </c>
      <c r="BO8" s="28">
        <f t="shared" ref="BO8:CE8" si="5">BO5-BN5</f>
        <v>372</v>
      </c>
      <c r="BP8" s="28">
        <f t="shared" si="5"/>
        <v>445</v>
      </c>
      <c r="BQ8" s="28">
        <f t="shared" si="5"/>
        <v>441</v>
      </c>
      <c r="BR8" s="28">
        <f t="shared" si="5"/>
        <v>511</v>
      </c>
      <c r="BS8" s="28">
        <f t="shared" si="5"/>
        <v>-2978</v>
      </c>
      <c r="BT8" s="28">
        <f t="shared" si="5"/>
        <v>0</v>
      </c>
      <c r="BU8" s="28">
        <f t="shared" si="5"/>
        <v>0</v>
      </c>
      <c r="BV8" s="28">
        <f t="shared" si="5"/>
        <v>0</v>
      </c>
      <c r="BW8" s="28">
        <f t="shared" si="5"/>
        <v>0</v>
      </c>
      <c r="BX8" s="28">
        <f t="shared" si="5"/>
        <v>0</v>
      </c>
      <c r="BY8" s="28">
        <f t="shared" si="5"/>
        <v>0</v>
      </c>
      <c r="BZ8" s="28">
        <f t="shared" si="5"/>
        <v>0</v>
      </c>
      <c r="CA8" s="28">
        <f t="shared" si="5"/>
        <v>0</v>
      </c>
      <c r="CB8" s="28">
        <f t="shared" si="5"/>
        <v>0</v>
      </c>
      <c r="CC8" s="28">
        <f t="shared" si="5"/>
        <v>0</v>
      </c>
      <c r="CD8" s="28">
        <f t="shared" si="5"/>
        <v>0</v>
      </c>
      <c r="CE8" s="28">
        <f t="shared" si="5"/>
        <v>0</v>
      </c>
    </row>
    <row r="9" spans="1:83" s="11" customFormat="1" ht="12.75" x14ac:dyDescent="0.2">
      <c r="A9" s="26" t="s">
        <v>438</v>
      </c>
      <c r="B9" s="28"/>
      <c r="C9" s="28">
        <f t="shared" ref="C9:AH9" si="6">C6-B6</f>
        <v>0</v>
      </c>
      <c r="D9" s="28">
        <f t="shared" si="6"/>
        <v>0</v>
      </c>
      <c r="E9" s="28">
        <f t="shared" si="6"/>
        <v>0</v>
      </c>
      <c r="F9" s="28">
        <f t="shared" si="6"/>
        <v>0</v>
      </c>
      <c r="G9" s="28">
        <f t="shared" si="6"/>
        <v>0</v>
      </c>
      <c r="H9" s="28">
        <f t="shared" si="6"/>
        <v>0</v>
      </c>
      <c r="I9" s="28">
        <f t="shared" si="6"/>
        <v>0</v>
      </c>
      <c r="J9" s="28">
        <f t="shared" si="6"/>
        <v>0</v>
      </c>
      <c r="K9" s="28">
        <f t="shared" si="6"/>
        <v>0</v>
      </c>
      <c r="L9" s="28">
        <f t="shared" si="6"/>
        <v>0</v>
      </c>
      <c r="M9" s="28">
        <f t="shared" si="6"/>
        <v>0</v>
      </c>
      <c r="N9" s="28">
        <f t="shared" si="6"/>
        <v>0</v>
      </c>
      <c r="O9" s="28">
        <f t="shared" si="6"/>
        <v>0</v>
      </c>
      <c r="P9" s="28">
        <f t="shared" si="6"/>
        <v>0</v>
      </c>
      <c r="Q9" s="28">
        <f t="shared" si="6"/>
        <v>0</v>
      </c>
      <c r="R9" s="28">
        <f t="shared" si="6"/>
        <v>0</v>
      </c>
      <c r="S9" s="28">
        <f t="shared" si="6"/>
        <v>0</v>
      </c>
      <c r="T9" s="28">
        <f t="shared" si="6"/>
        <v>3</v>
      </c>
      <c r="U9" s="28">
        <f t="shared" si="6"/>
        <v>0</v>
      </c>
      <c r="V9" s="28">
        <f t="shared" si="6"/>
        <v>0</v>
      </c>
      <c r="W9" s="28">
        <f t="shared" si="6"/>
        <v>0</v>
      </c>
      <c r="X9" s="28">
        <f t="shared" si="6"/>
        <v>0</v>
      </c>
      <c r="Y9" s="28">
        <f t="shared" si="6"/>
        <v>0</v>
      </c>
      <c r="Z9" s="28">
        <f t="shared" si="6"/>
        <v>0</v>
      </c>
      <c r="AA9" s="28">
        <f t="shared" si="6"/>
        <v>0</v>
      </c>
      <c r="AB9" s="28">
        <f t="shared" si="6"/>
        <v>0</v>
      </c>
      <c r="AC9" s="28">
        <f t="shared" si="6"/>
        <v>0</v>
      </c>
      <c r="AD9" s="28">
        <f t="shared" si="6"/>
        <v>0</v>
      </c>
      <c r="AE9" s="28">
        <f t="shared" si="6"/>
        <v>0</v>
      </c>
      <c r="AF9" s="28">
        <f t="shared" si="6"/>
        <v>2</v>
      </c>
      <c r="AG9" s="28">
        <f t="shared" si="6"/>
        <v>0</v>
      </c>
      <c r="AH9" s="28">
        <f t="shared" si="6"/>
        <v>0</v>
      </c>
      <c r="AI9" s="28">
        <f t="shared" ref="AI9:BN9" si="7">AI6-AH6</f>
        <v>0</v>
      </c>
      <c r="AJ9" s="28">
        <f t="shared" si="7"/>
        <v>1</v>
      </c>
      <c r="AK9" s="28">
        <f t="shared" si="7"/>
        <v>0</v>
      </c>
      <c r="AL9" s="28">
        <f t="shared" si="7"/>
        <v>0</v>
      </c>
      <c r="AM9" s="28">
        <f t="shared" si="7"/>
        <v>1</v>
      </c>
      <c r="AN9" s="28">
        <f t="shared" si="7"/>
        <v>0</v>
      </c>
      <c r="AO9" s="28">
        <f t="shared" si="7"/>
        <v>0</v>
      </c>
      <c r="AP9" s="28">
        <f t="shared" si="7"/>
        <v>0</v>
      </c>
      <c r="AQ9" s="28">
        <f t="shared" si="7"/>
        <v>0</v>
      </c>
      <c r="AR9" s="28">
        <f t="shared" si="7"/>
        <v>0</v>
      </c>
      <c r="AS9" s="28">
        <f t="shared" si="7"/>
        <v>0</v>
      </c>
      <c r="AT9" s="28">
        <f t="shared" si="7"/>
        <v>0</v>
      </c>
      <c r="AU9" s="28">
        <f t="shared" si="7"/>
        <v>0</v>
      </c>
      <c r="AV9" s="28">
        <f t="shared" si="7"/>
        <v>0</v>
      </c>
      <c r="AW9" s="28">
        <f t="shared" si="7"/>
        <v>0</v>
      </c>
      <c r="AX9" s="28">
        <f t="shared" si="7"/>
        <v>1</v>
      </c>
      <c r="AY9" s="28">
        <f t="shared" si="7"/>
        <v>0</v>
      </c>
      <c r="AZ9" s="28">
        <f t="shared" si="7"/>
        <v>4</v>
      </c>
      <c r="BA9" s="28">
        <f t="shared" si="7"/>
        <v>0</v>
      </c>
      <c r="BB9" s="28">
        <f t="shared" si="7"/>
        <v>0</v>
      </c>
      <c r="BC9" s="28">
        <f t="shared" si="7"/>
        <v>0</v>
      </c>
      <c r="BD9" s="28">
        <f t="shared" si="7"/>
        <v>5</v>
      </c>
      <c r="BE9" s="28">
        <f t="shared" si="7"/>
        <v>0</v>
      </c>
      <c r="BF9" s="28">
        <f t="shared" si="7"/>
        <v>88</v>
      </c>
      <c r="BG9" s="28">
        <f t="shared" si="7"/>
        <v>16</v>
      </c>
      <c r="BH9" s="28">
        <f t="shared" si="7"/>
        <v>26</v>
      </c>
      <c r="BI9" s="28">
        <f t="shared" si="7"/>
        <v>29</v>
      </c>
      <c r="BJ9" s="28">
        <f t="shared" si="7"/>
        <v>2</v>
      </c>
      <c r="BK9" s="28">
        <f t="shared" si="7"/>
        <v>0</v>
      </c>
      <c r="BL9" s="28">
        <f t="shared" si="7"/>
        <v>170</v>
      </c>
      <c r="BM9" s="28">
        <f t="shared" si="7"/>
        <v>13</v>
      </c>
      <c r="BN9" s="28">
        <f t="shared" si="7"/>
        <v>320</v>
      </c>
      <c r="BO9" s="28">
        <f t="shared" ref="BO9:CE9" si="8">BO6-BN6</f>
        <v>188</v>
      </c>
      <c r="BP9" s="28">
        <f t="shared" si="8"/>
        <v>203</v>
      </c>
      <c r="BQ9" s="28">
        <f t="shared" si="8"/>
        <v>1593</v>
      </c>
      <c r="BR9" s="28">
        <f t="shared" si="8"/>
        <v>2979</v>
      </c>
      <c r="BS9" s="28">
        <f t="shared" si="8"/>
        <v>-5644</v>
      </c>
      <c r="BT9" s="28">
        <f t="shared" si="8"/>
        <v>0</v>
      </c>
      <c r="BU9" s="28">
        <f t="shared" si="8"/>
        <v>0</v>
      </c>
      <c r="BV9" s="28">
        <f t="shared" si="8"/>
        <v>0</v>
      </c>
      <c r="BW9" s="28">
        <f t="shared" si="8"/>
        <v>0</v>
      </c>
      <c r="BX9" s="28">
        <f t="shared" si="8"/>
        <v>0</v>
      </c>
      <c r="BY9" s="28">
        <f t="shared" si="8"/>
        <v>0</v>
      </c>
      <c r="BZ9" s="28">
        <f t="shared" si="8"/>
        <v>0</v>
      </c>
      <c r="CA9" s="28">
        <f t="shared" si="8"/>
        <v>0</v>
      </c>
      <c r="CB9" s="28">
        <f t="shared" si="8"/>
        <v>0</v>
      </c>
      <c r="CC9" s="28">
        <f t="shared" si="8"/>
        <v>0</v>
      </c>
      <c r="CD9" s="28">
        <f t="shared" si="8"/>
        <v>0</v>
      </c>
      <c r="CE9" s="28">
        <f t="shared" si="8"/>
        <v>0</v>
      </c>
    </row>
    <row r="10" spans="1:83" s="11" customFormat="1" ht="12.75" x14ac:dyDescent="0.2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 t="shared" ref="AO10:CE10" si="9">IF(AO4=0,"",AO5/AO4)</f>
        <v>1.3513513513513514E-2</v>
      </c>
      <c r="AP10" s="32">
        <f t="shared" si="9"/>
        <v>6.1224489795918366E-2</v>
      </c>
      <c r="AQ10" s="32">
        <f t="shared" si="9"/>
        <v>5.9322033898305086E-2</v>
      </c>
      <c r="AR10" s="32">
        <f t="shared" si="9"/>
        <v>7.3825503355704702E-2</v>
      </c>
      <c r="AS10" s="32">
        <f t="shared" si="9"/>
        <v>5.5299539170506916E-2</v>
      </c>
      <c r="AT10" s="32">
        <f t="shared" si="9"/>
        <v>5.3435114503816793E-2</v>
      </c>
      <c r="AU10" s="32">
        <f t="shared" si="9"/>
        <v>4.228855721393035E-2</v>
      </c>
      <c r="AV10" s="32">
        <f t="shared" si="9"/>
        <v>4.0540540540540543E-2</v>
      </c>
      <c r="AW10" s="32">
        <f t="shared" si="9"/>
        <v>3.7735849056603772E-2</v>
      </c>
      <c r="AX10" s="32">
        <f t="shared" si="9"/>
        <v>2.9197080291970802E-2</v>
      </c>
      <c r="AY10" s="32">
        <f t="shared" si="9"/>
        <v>2.8103044496487119E-2</v>
      </c>
      <c r="AZ10" s="32">
        <f t="shared" si="9"/>
        <v>2.4052916416115455E-2</v>
      </c>
      <c r="BA10" s="32">
        <f t="shared" si="9"/>
        <v>2.1569527306103717E-2</v>
      </c>
      <c r="BB10" s="32">
        <f t="shared" si="9"/>
        <v>1.9801980198019802E-2</v>
      </c>
      <c r="BC10" s="32">
        <f t="shared" si="9"/>
        <v>1.8005144326950558E-2</v>
      </c>
      <c r="BD10" s="32">
        <f t="shared" si="9"/>
        <v>1.8350604490500865E-2</v>
      </c>
      <c r="BE10" s="32">
        <f t="shared" si="9"/>
        <v>1.6819809998442611E-2</v>
      </c>
      <c r="BF10" s="32">
        <f t="shared" si="9"/>
        <v>1.5161248875754851E-2</v>
      </c>
      <c r="BG10" s="32">
        <f t="shared" si="9"/>
        <v>1.4623089858887182E-2</v>
      </c>
      <c r="BH10" s="32">
        <f t="shared" si="9"/>
        <v>1.2774869109947644E-2</v>
      </c>
      <c r="BI10" s="32">
        <f t="shared" si="9"/>
        <v>1.2044411314684766E-2</v>
      </c>
      <c r="BJ10" s="32">
        <f t="shared" si="9"/>
        <v>1.2531554273350162E-2</v>
      </c>
      <c r="BK10" s="32">
        <f t="shared" si="9"/>
        <v>1.2703263621228362E-2</v>
      </c>
      <c r="BL10" s="32">
        <f t="shared" si="9"/>
        <v>1.313732787495348E-2</v>
      </c>
      <c r="BM10" s="32">
        <f t="shared" si="9"/>
        <v>1.4320897564535254E-2</v>
      </c>
      <c r="BN10" s="32">
        <f t="shared" si="9"/>
        <v>1.4421012452884203E-2</v>
      </c>
      <c r="BO10" s="32">
        <f t="shared" si="9"/>
        <v>1.5552298415259156E-2</v>
      </c>
      <c r="BP10" s="32">
        <f t="shared" si="9"/>
        <v>1.6677916989084444E-2</v>
      </c>
      <c r="BQ10" s="32">
        <f t="shared" si="9"/>
        <v>1.7510611416322416E-2</v>
      </c>
      <c r="BR10" s="32">
        <f t="shared" si="9"/>
        <v>1.8404642567997676E-2</v>
      </c>
      <c r="BS10" s="32" t="str">
        <f t="shared" si="9"/>
        <v/>
      </c>
      <c r="BT10" s="32" t="str">
        <f t="shared" si="9"/>
        <v/>
      </c>
      <c r="BU10" s="32" t="str">
        <f t="shared" si="9"/>
        <v/>
      </c>
      <c r="BV10" s="32" t="str">
        <f t="shared" si="9"/>
        <v/>
      </c>
      <c r="BW10" s="32" t="str">
        <f t="shared" si="9"/>
        <v/>
      </c>
      <c r="BX10" s="32" t="str">
        <f t="shared" si="9"/>
        <v/>
      </c>
      <c r="BY10" s="32" t="str">
        <f t="shared" si="9"/>
        <v/>
      </c>
      <c r="BZ10" s="32" t="str">
        <f t="shared" si="9"/>
        <v/>
      </c>
      <c r="CA10" s="32" t="str">
        <f t="shared" si="9"/>
        <v/>
      </c>
      <c r="CB10" s="32" t="str">
        <f t="shared" si="9"/>
        <v/>
      </c>
      <c r="CC10" s="32" t="str">
        <f t="shared" si="9"/>
        <v/>
      </c>
      <c r="CD10" s="32" t="str">
        <f t="shared" si="9"/>
        <v/>
      </c>
      <c r="CE10" s="32" t="str">
        <f t="shared" si="9"/>
        <v/>
      </c>
    </row>
    <row r="11" spans="1:83" s="11" customFormat="1" ht="12.75" x14ac:dyDescent="0.2">
      <c r="A11" s="26" t="s">
        <v>307</v>
      </c>
      <c r="B11" s="31"/>
      <c r="C11" s="31" t="str">
        <f>IF(C4-B4,(2*B4-C4)/(C4-B4)+1,"infinite")</f>
        <v>infinite</v>
      </c>
      <c r="D11" s="31">
        <f>IF(D4-C4,(2*C4-D4)/(D4-C4)+1,"infinite")</f>
        <v>1</v>
      </c>
      <c r="E11" s="31" t="str">
        <f>IF(E4-D4,(2*D4-E4)/(E4-D4)+1,"infinite")</f>
        <v>infinite</v>
      </c>
      <c r="F11" s="31">
        <f>IF(F4-E4,(2*E4-F4)/(F4-E4)+1,"infinite")</f>
        <v>0.66666666666666674</v>
      </c>
      <c r="G11" s="31" t="str">
        <f>IF(G4-F4,(2*F4-G4)/(G4-F4)+1,"infinite")</f>
        <v>infinite</v>
      </c>
      <c r="H11" s="31" t="str">
        <f>IF(H4-G4,(2*G4-H4)/(H4-G4)+1,"infinite")</f>
        <v>infinite</v>
      </c>
      <c r="I11" s="31" t="str">
        <f>IF(I4-H4,(2*H4-I4)/(I4-H4)+1,"infinite")</f>
        <v>infinite</v>
      </c>
      <c r="J11" s="31" t="str">
        <f>IF(J4-I4,(2*I4-J4)/(J4-I4)+1,"infinite")</f>
        <v>infinite</v>
      </c>
      <c r="K11" s="31">
        <f>IF(K4-J4,(2*J4-K4)/(K4-J4)+1,"infinite")</f>
        <v>2.5</v>
      </c>
      <c r="L11" s="31">
        <f>IF(L4-K4,(2*K4-L4)/(L4-K4)+1,"infinite")</f>
        <v>7</v>
      </c>
      <c r="M11" s="31" t="str">
        <f>IF(M4-L4,(2*L4-M4)/(M4-L4)+1,"infinite")</f>
        <v>infinite</v>
      </c>
      <c r="N11" s="31">
        <f>IF(N4-M4,(2*M4-N4)/(N4-M4)+1,"infinite")</f>
        <v>2.666666666666667</v>
      </c>
      <c r="O11" s="31" t="str">
        <f>IF(O4-N4,(2*N4-O4)/(O4-N4)+1,"infinite")</f>
        <v>infinite</v>
      </c>
      <c r="P11" s="31" t="str">
        <f>IF(P4-O4,(2*O4-P4)/(P4-O4)+1,"infinite")</f>
        <v>infinite</v>
      </c>
      <c r="Q11" s="31" t="str">
        <f>IF(Q4-P4,(2*P4-Q4)/(Q4-P4)+1,"infinite")</f>
        <v>infinite</v>
      </c>
      <c r="R11" s="31" t="str">
        <f>IF(R4-Q4,(2*Q4-R4)/(R4-Q4)+1,"infinite")</f>
        <v>infinite</v>
      </c>
      <c r="S11" s="31" t="str">
        <f>IF(S4-R4,(2*R4-S4)/(S4-R4)+1,"infinite")</f>
        <v>infinite</v>
      </c>
      <c r="T11" s="31" t="str">
        <f>IF(T4-S4,(2*S4-T4)/(T4-S4)+1,"infinite")</f>
        <v>infinite</v>
      </c>
      <c r="U11" s="31" t="str">
        <f>IF(U4-T4,(2*T4-U4)/(U4-T4)+1,"infinite")</f>
        <v>infinite</v>
      </c>
      <c r="V11" s="31">
        <f>IF(V4-U4,(2*U4-V4)/(V4-U4)+1,"infinite")</f>
        <v>11</v>
      </c>
      <c r="W11" s="31" t="str">
        <f>IF(W4-V4,(2*V4-W4)/(W4-V4)+1,"infinite")</f>
        <v>infinite</v>
      </c>
      <c r="X11" s="31">
        <f>IF(X4-W4,(2*W4-X4)/(X4-W4)+1,"infinite")</f>
        <v>12</v>
      </c>
      <c r="Y11" s="31" t="str">
        <f>IF(Y4-X4,(2*X4-Y4)/(Y4-X4)+1,"infinite")</f>
        <v>infinite</v>
      </c>
      <c r="Z11" s="31" t="str">
        <f>IF(Z4-Y4,(2*Y4-Z4)/(Z4-Y4)+1,"infinite")</f>
        <v>infinite</v>
      </c>
      <c r="AA11" s="31" t="str">
        <f>IF(AA4-Z4,(2*Z4-AA4)/(AA4-Z4)+1,"infinite")</f>
        <v>infinite</v>
      </c>
      <c r="AB11" s="31" t="str">
        <f>IF(AB4-AA4,(2*AA4-AB4)/(AB4-AA4)+1,"infinite")</f>
        <v>infinite</v>
      </c>
      <c r="AC11" s="31" t="str">
        <f>IF(AC4-AB4,(2*AB4-AC4)/(AC4-AB4)+1,"infinite")</f>
        <v>infinite</v>
      </c>
      <c r="AD11" s="31" t="str">
        <f>IF(AD4-AC4,(2*AC4-AD4)/(AD4-AC4)+1,"infinite")</f>
        <v>infinite</v>
      </c>
      <c r="AE11" s="31" t="str">
        <f>IF(AE4-AD4,(2*AD4-AE4)/(AE4-AD4)+1,"infinite")</f>
        <v>infinite</v>
      </c>
      <c r="AF11" s="31">
        <f>IF(AF4-AE4,(2*AE4-AF4)/(AF4-AE4)+1,"infinite")</f>
        <v>6.5</v>
      </c>
      <c r="AG11" s="31" t="str">
        <f>IF(AG4-AF4,(2*AF4-AG4)/(AG4-AF4)+1,"infinite")</f>
        <v>infinite</v>
      </c>
      <c r="AH11" s="31" t="str">
        <f>IF(AH4-AG4,(2*AG4-AH4)/(AH4-AG4)+1,"infinite")</f>
        <v>infinite</v>
      </c>
      <c r="AI11" s="31">
        <f>IF(AI4-AH4,(2*AH4-AI4)/(AI4-AH4)+1,"infinite")</f>
        <v>0.41666666666666663</v>
      </c>
      <c r="AJ11" s="31" t="str">
        <f>IF(AJ4-AI4,(2*AI4-AJ4)/(AJ4-AI4)+1,"infinite")</f>
        <v>infinite</v>
      </c>
      <c r="AK11" s="31">
        <f>IF(AK4-AJ4,(2*AJ4-AK4)/(AK4-AJ4)+1,"infinite")</f>
        <v>8.5</v>
      </c>
      <c r="AL11" s="31">
        <f>IF(AL4-AK4,(2*AK4-AL4)/(AL4-AK4)+1,"infinite")</f>
        <v>57</v>
      </c>
      <c r="AM11" s="31">
        <f>IF(AM4-AL4,(2*AL4-AM4)/(AM4-AL4)+1,"infinite")</f>
        <v>29</v>
      </c>
      <c r="AN11" s="31">
        <f>IF(AN4-AM4,(2*AM4-AN4)/(AN4-AM4)+1,"infinite")</f>
        <v>7.5</v>
      </c>
      <c r="AO11" s="31">
        <f>IF(AO4-AN4,(2*AN4-AO4)/(AO4-AN4)+1,"infinite")</f>
        <v>11.333333333333334</v>
      </c>
      <c r="AP11" s="31">
        <f>IF(AP4-AO4,(2*AO4-AP4)/(AP4-AO4)+1,"infinite")</f>
        <v>3.0833333333333335</v>
      </c>
      <c r="AQ11" s="31">
        <f>IF(AQ4-AP4,(2*AP4-AQ4)/(AQ4-AP4)+1,"infinite")</f>
        <v>4.9000000000000004</v>
      </c>
      <c r="AR11" s="31">
        <f>IF(AR4-AQ4,(2*AQ4-AR4)/(AR4-AQ4)+1,"infinite")</f>
        <v>3.806451612903226</v>
      </c>
      <c r="AS11" s="31">
        <f>IF(AS4-AR4,(2*AR4-AS4)/(AS4-AR4)+1,"infinite")</f>
        <v>2.1911764705882355</v>
      </c>
      <c r="AT11" s="31">
        <f>IF(AT4-AS4,(2*AS4-AT4)/(AT4-AS4)+1,"infinite")</f>
        <v>4.8222222222222229</v>
      </c>
      <c r="AU11" s="31">
        <f>IF(AU4-AT4,(2*AT4-AU4)/(AU4-AT4)+1,"infinite")</f>
        <v>1.8714285714285714</v>
      </c>
      <c r="AV11" s="31">
        <f>IF(AV4-AU4,(2*AU4-AV4)/(AV4-AU4)+1,"infinite")</f>
        <v>3.4655172413793105</v>
      </c>
      <c r="AW11" s="31">
        <f>IF(AW4-AV4,(2*AV4-AW4)/(AW4-AV4)+1,"infinite")</f>
        <v>7.9692307692307693</v>
      </c>
      <c r="AX11" s="31">
        <f>IF(AX4-AW4,(2*AW4-AX4)/(AX4-AW4)+1,"infinite")</f>
        <v>1.550531914893617</v>
      </c>
      <c r="AY11" s="31">
        <f>IF(AY4-AX4,(2*AX4-AY4)/(AY4-AX4)+1,"infinite")</f>
        <v>2.9782608695652173</v>
      </c>
      <c r="AZ11" s="31">
        <f>IF(AZ4-AY4,(2*AY4-AZ4)/(AZ4-AY4)+1,"infinite")</f>
        <v>3.3534031413612566</v>
      </c>
      <c r="BA11" s="31">
        <f>IF(BA4-AZ4,(2*AZ4-BA4)/(BA4-AZ4)+1,"infinite")</f>
        <v>3.2228682170542635</v>
      </c>
      <c r="BB11" s="31">
        <f>IF(BB4-BA4,(2*BA4-BB4)/(BB4-BA4)+1,"infinite")</f>
        <v>3.9762773722627736</v>
      </c>
      <c r="BC11" s="31">
        <f>IF(BC4-BB4,(2*BB4-BC4)/(BC4-BB4)+1,"infinite")</f>
        <v>3.5323834196891193</v>
      </c>
      <c r="BD11" s="31">
        <f>IF(BD4-BC4,(2*BC4-BD4)/(BD4-BC4)+1,"infinite")</f>
        <v>3.0882612533097968</v>
      </c>
      <c r="BE11" s="31">
        <f>IF(BE4-BD4,(2*BD4-BE4)/(BE4-BD4)+1,"infinite")</f>
        <v>2.5891559530463946</v>
      </c>
      <c r="BF11" s="31">
        <f>IF(BF4-BE4,(2*BE4-BF4)/(BF4-BE4)+1,"infinite")</f>
        <v>4.7143906020558006</v>
      </c>
      <c r="BG11" s="31">
        <f>IF(BG4-BF4,(2*BF4-BG4)/(BG4-BF4)+1,"infinite")</f>
        <v>1.3204954190702409</v>
      </c>
      <c r="BH11" s="31">
        <f>IF(BH4-BG4,(2*BG4-BH4)/(BH4-BG4)+1,"infinite")</f>
        <v>2.5220357735570715</v>
      </c>
      <c r="BI11" s="31">
        <f>IF(BI4-BH4,(2*BH4-BI4)/(BI4-BH4)+1,"infinite")</f>
        <v>2.9895132258569417</v>
      </c>
      <c r="BJ11" s="31">
        <f>IF(BJ4-BI4,(2*BI4-BJ4)/(BJ4-BI4)+1,"infinite")</f>
        <v>3.2732759727751382</v>
      </c>
      <c r="BK11" s="31">
        <f>IF(BK4-BJ4,(2*BJ4-BK4)/(BK4-BJ4)+1,"infinite")</f>
        <v>3.1478573455680636</v>
      </c>
      <c r="BL11" s="31">
        <f>IF(BL4-BK4,(2*BK4-BL4)/(BL4-BK4)+1,"infinite")</f>
        <v>4.4321237238451427</v>
      </c>
      <c r="BM11" s="31">
        <f>IF(BM4-BL4,(2*BL4-BM4)/(BM4-BL4)+1,"infinite")</f>
        <v>4.4641967104170126</v>
      </c>
      <c r="BN11" s="31">
        <f>IF(BN4-BM4,(2*BM4-BN4)/(BN4-BM4)+1,"infinite")</f>
        <v>3.6425960793000334</v>
      </c>
      <c r="BO11" s="31">
        <f>IF(BO4-BN4,(2*BN4-BO4)/(BO4-BN4)+1,"infinite")</f>
        <v>4.7043375792604234</v>
      </c>
      <c r="BP11" s="31">
        <f>IF(BP4-BO4,(2*BO4-BP4)/(BP4-BO4)+1,"infinite")</f>
        <v>5.128752333383785</v>
      </c>
      <c r="BQ11" s="31">
        <f>IF(BQ4-BP4,(2*BP4-BQ4)/(BQ4-BP4)+1,"infinite")</f>
        <v>6.259171475680132</v>
      </c>
      <c r="BR11" s="31">
        <f>IF(BR4-BQ4,(2*BQ4-BR4)/(BR4-BQ4)+1,"infinite")</f>
        <v>6.7341905262654747</v>
      </c>
      <c r="BS11" s="31">
        <f>IF(BS4-BR4,(2*BR4-BS4)/(BS4-BR4)+1,"infinite")</f>
        <v>-1</v>
      </c>
      <c r="BT11" s="31" t="str">
        <f>IF(BT4-BS4,(2*BS4-BT4)/(BT4-BS4)+1,"infinite")</f>
        <v>infinite</v>
      </c>
      <c r="BU11" s="31" t="str">
        <f>IF(BU4-BT4,(2*BT4-BU4)/(BU4-BT4)+1,"infinite")</f>
        <v>infinite</v>
      </c>
      <c r="BV11" s="31" t="str">
        <f>IF(BV4-BU4,(2*BU4-BV4)/(BV4-BU4)+1,"infinite")</f>
        <v>infinite</v>
      </c>
      <c r="BW11" s="31" t="str">
        <f>IF(BW4-BV4,(2*BV4-BW4)/(BW4-BV4)+1,"infinite")</f>
        <v>infinite</v>
      </c>
      <c r="BX11" s="31" t="str">
        <f>IF(BX4-BW4,(2*BW4-BX4)/(BX4-BW4)+1,"infinite")</f>
        <v>infinite</v>
      </c>
      <c r="BY11" s="31" t="str">
        <f>IF(BY4-BX4,(2*BX4-BY4)/(BY4-BX4)+1,"infinite")</f>
        <v>infinite</v>
      </c>
      <c r="BZ11" s="31" t="str">
        <f>IF(BZ4-BY4,(2*BY4-BZ4)/(BZ4-BY4)+1,"infinite")</f>
        <v>infinite</v>
      </c>
      <c r="CA11" s="31" t="str">
        <f>IF(CA4-BZ4,(2*BZ4-CA4)/(CA4-BZ4)+1,"infinite")</f>
        <v>infinite</v>
      </c>
      <c r="CB11" s="31" t="str">
        <f>IF(CB4-CA4,(2*CA4-CB4)/(CB4-CA4)+1,"infinite")</f>
        <v>infinite</v>
      </c>
      <c r="CC11" s="31" t="str">
        <f>IF(CC4-CB4,(2*CB4-CC4)/(CC4-CB4)+1,"infinite")</f>
        <v>infinite</v>
      </c>
      <c r="CD11" s="31" t="str">
        <f>IF(CD4-CC4,(2*CC4-CD4)/(CD4-CC4)+1,"infinite")</f>
        <v>infinite</v>
      </c>
      <c r="CE11" s="31" t="str">
        <f>IF(CE4-CD4,(2*CD4-CE4)/(CE4-CD4)+1,"infinite")</f>
        <v>infinite</v>
      </c>
    </row>
    <row r="12" spans="1:83" s="11" customFormat="1" ht="12.75" x14ac:dyDescent="0.2">
      <c r="A12" s="26" t="s">
        <v>447</v>
      </c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32">
        <f>IF(AO4=0,"",AO6/AO4)</f>
        <v>9.45945945945946E-2</v>
      </c>
      <c r="AP12" s="32">
        <f>IF(AP4=0,"",AP6/AP4)</f>
        <v>7.1428571428571425E-2</v>
      </c>
      <c r="AQ12" s="32">
        <f>IF(AQ4=0,"",AQ6/AQ4)</f>
        <v>5.9322033898305086E-2</v>
      </c>
      <c r="AR12" s="32">
        <f>IF(AR4=0,"",AR6/AR4)</f>
        <v>4.6979865771812082E-2</v>
      </c>
      <c r="AS12" s="32">
        <f>IF(AS4=0,"",AS6/AS4)</f>
        <v>3.2258064516129031E-2</v>
      </c>
      <c r="AT12" s="32">
        <f>IF(AT4=0,"",AT6/AT4)</f>
        <v>2.6717557251908396E-2</v>
      </c>
      <c r="AU12" s="32">
        <f>IF(AU4=0,"",AU6/AU4)</f>
        <v>1.7412935323383085E-2</v>
      </c>
      <c r="AV12" s="32">
        <f>IF(AV4=0,"",AV6/AV4)</f>
        <v>1.3513513513513514E-2</v>
      </c>
      <c r="AW12" s="32">
        <f>IF(AW4=0,"",AW6/AW4)</f>
        <v>1.2006861063464836E-2</v>
      </c>
      <c r="AX12" s="32">
        <f>IF(AX4=0,"",AX6/AX4)</f>
        <v>8.3420229405630868E-3</v>
      </c>
      <c r="AY12" s="32">
        <f>IF(AY4=0,"",AY6/AY4)</f>
        <v>6.2451209992193599E-3</v>
      </c>
      <c r="AZ12" s="32">
        <f>IF(AZ4=0,"",AZ6/AZ4)</f>
        <v>7.2158749248346366E-3</v>
      </c>
      <c r="BA12" s="32">
        <f>IF(BA4=0,"",BA6/BA4)</f>
        <v>5.507113354749885E-3</v>
      </c>
      <c r="BB12" s="32">
        <f>IF(BB4=0,"",BB6/BB4)</f>
        <v>4.4004400440044002E-3</v>
      </c>
      <c r="BC12" s="32">
        <f>IF(BC4=0,"",BC6/BC4)</f>
        <v>3.4295513003715348E-3</v>
      </c>
      <c r="BD12" s="32">
        <f>IF(BD4=0,"",BD6/BD4)</f>
        <v>3.6701208981001726E-3</v>
      </c>
      <c r="BE12" s="32">
        <f>IF(BE4=0,"",BE6/BE4)</f>
        <v>2.6475626849400405E-3</v>
      </c>
      <c r="BF12" s="32">
        <f>IF(BF4=0,"",BF6/BF4)</f>
        <v>1.3490941796222537E-2</v>
      </c>
      <c r="BG12" s="32">
        <f>IF(BG4=0,"",BG6/BG4)</f>
        <v>8.8469693646267451E-3</v>
      </c>
      <c r="BH12" s="32">
        <f>IF(BH4=0,"",BH6/BH4)</f>
        <v>7.6963350785340312E-3</v>
      </c>
      <c r="BI12" s="32">
        <f>IF(BI4=0,"",BI6/BI4)</f>
        <v>6.9049393856173251E-3</v>
      </c>
      <c r="BJ12" s="32">
        <f>IF(BJ4=0,"",BJ6/BJ4)</f>
        <v>5.3492006250751289E-3</v>
      </c>
      <c r="BK12" s="32">
        <f>IF(BK4=0,"",BK6/BK4)</f>
        <v>4.0595707802130133E-3</v>
      </c>
      <c r="BL12" s="32">
        <f>IF(BL4=0,"",BL6/BL4)</f>
        <v>6.4756233717901002E-3</v>
      </c>
      <c r="BM12" s="32">
        <f>IF(BM4=0,"",BM6/BM4)</f>
        <v>5.4881571346042752E-3</v>
      </c>
      <c r="BN12" s="32">
        <f>IF(BN4=0,"",BN6/BN4)</f>
        <v>8.1230020516246011E-3</v>
      </c>
      <c r="BO12" s="32">
        <f>IF(BO4=0,"",BO6/BO4)</f>
        <v>8.5483537779001938E-3</v>
      </c>
      <c r="BP12" s="32">
        <f>IF(BP4=0,"",BP6/BP4)</f>
        <v>8.8246431452608711E-3</v>
      </c>
      <c r="BQ12" s="32">
        <f>IF(BQ4=0,"",BQ6/BQ4)</f>
        <v>1.8916003009525433E-2</v>
      </c>
      <c r="BR12" s="32">
        <f>IF(BR4=0,"",BR6/BR4)</f>
        <v>3.4881062005970076E-2</v>
      </c>
      <c r="BS12" s="32" t="str">
        <f>IF(BS4=0,"",BS6/BS4)</f>
        <v/>
      </c>
      <c r="BT12" s="32" t="str">
        <f>IF(BT4=0,"",BT6/BT4)</f>
        <v/>
      </c>
      <c r="BU12" s="32" t="str">
        <f>IF(BU4=0,"",BU6/BU4)</f>
        <v/>
      </c>
      <c r="BV12" s="32" t="str">
        <f>IF(BV4=0,"",BV6/BV4)</f>
        <v/>
      </c>
      <c r="BW12" s="32" t="str">
        <f>IF(BW4=0,"",BW6/BW4)</f>
        <v/>
      </c>
      <c r="BX12" s="32" t="str">
        <f>IF(BX4=0,"",BX6/BX4)</f>
        <v/>
      </c>
      <c r="BY12" s="32" t="str">
        <f>IF(BY4=0,"",BY6/BY4)</f>
        <v/>
      </c>
      <c r="BZ12" s="32" t="str">
        <f>IF(BZ4=0,"",BZ6/BZ4)</f>
        <v/>
      </c>
      <c r="CA12" s="32" t="str">
        <f>IF(CA4=0,"",CA6/CA4)</f>
        <v/>
      </c>
      <c r="CB12" s="32" t="str">
        <f>IF(CB4=0,"",CB6/CB4)</f>
        <v/>
      </c>
      <c r="CC12" s="32" t="str">
        <f>IF(CC4=0,"",CC6/CC4)</f>
        <v/>
      </c>
      <c r="CD12" s="32" t="str">
        <f>IF(CD4=0,"",CD6/CD4)</f>
        <v/>
      </c>
      <c r="CE12" s="32" t="str">
        <f>IF(CE4=0,"",CE6/CE4)</f>
        <v/>
      </c>
    </row>
    <row r="13" spans="1:83" s="12" customFormat="1" x14ac:dyDescent="0.25">
      <c r="B13" s="13"/>
    </row>
    <row r="14" spans="1:83" s="16" customFormat="1" ht="29.25" customHeight="1" x14ac:dyDescent="0.25">
      <c r="A14" s="14" t="s">
        <v>241</v>
      </c>
      <c r="B14" s="15"/>
    </row>
    <row r="15" spans="1:83" s="30" customFormat="1" ht="24.75" customHeight="1" x14ac:dyDescent="0.25">
      <c r="A15" s="22" t="s">
        <v>0</v>
      </c>
      <c r="B15" s="20" t="s">
        <v>246</v>
      </c>
      <c r="C15" s="21" t="s">
        <v>247</v>
      </c>
      <c r="D15" s="21" t="s">
        <v>248</v>
      </c>
      <c r="E15" s="21" t="s">
        <v>249</v>
      </c>
      <c r="F15" s="21" t="s">
        <v>250</v>
      </c>
      <c r="G15" s="21" t="s">
        <v>251</v>
      </c>
      <c r="H15" s="21" t="s">
        <v>252</v>
      </c>
      <c r="I15" s="21" t="s">
        <v>253</v>
      </c>
      <c r="J15" s="21" t="s">
        <v>254</v>
      </c>
      <c r="K15" s="21" t="s">
        <v>255</v>
      </c>
      <c r="L15" s="21" t="s">
        <v>256</v>
      </c>
      <c r="M15" s="21" t="s">
        <v>257</v>
      </c>
      <c r="N15" s="21" t="s">
        <v>258</v>
      </c>
      <c r="O15" s="21" t="s">
        <v>259</v>
      </c>
      <c r="P15" s="21" t="s">
        <v>260</v>
      </c>
      <c r="Q15" s="21" t="s">
        <v>261</v>
      </c>
      <c r="R15" s="21" t="s">
        <v>262</v>
      </c>
      <c r="S15" s="21" t="s">
        <v>263</v>
      </c>
      <c r="T15" s="21" t="s">
        <v>264</v>
      </c>
      <c r="U15" s="21" t="s">
        <v>265</v>
      </c>
      <c r="V15" s="21" t="s">
        <v>266</v>
      </c>
      <c r="W15" s="21" t="s">
        <v>267</v>
      </c>
      <c r="X15" s="21" t="s">
        <v>268</v>
      </c>
      <c r="Y15" s="21" t="s">
        <v>269</v>
      </c>
      <c r="Z15" s="21" t="s">
        <v>270</v>
      </c>
      <c r="AA15" s="21" t="s">
        <v>271</v>
      </c>
      <c r="AB15" s="21" t="s">
        <v>272</v>
      </c>
      <c r="AC15" s="21" t="s">
        <v>273</v>
      </c>
      <c r="AD15" s="21" t="s">
        <v>274</v>
      </c>
      <c r="AE15" s="21" t="s">
        <v>275</v>
      </c>
      <c r="AF15" s="21" t="s">
        <v>276</v>
      </c>
      <c r="AG15" s="21" t="s">
        <v>277</v>
      </c>
      <c r="AH15" s="21" t="s">
        <v>278</v>
      </c>
      <c r="AI15" s="21" t="s">
        <v>279</v>
      </c>
      <c r="AJ15" s="21" t="s">
        <v>280</v>
      </c>
      <c r="AK15" s="21" t="s">
        <v>281</v>
      </c>
      <c r="AL15" s="21" t="s">
        <v>282</v>
      </c>
      <c r="AM15" s="21" t="s">
        <v>283</v>
      </c>
      <c r="AN15" s="21" t="s">
        <v>284</v>
      </c>
      <c r="AO15" s="21" t="s">
        <v>285</v>
      </c>
      <c r="AP15" s="21" t="s">
        <v>286</v>
      </c>
      <c r="AQ15" s="21" t="s">
        <v>287</v>
      </c>
      <c r="AR15" s="21" t="s">
        <v>288</v>
      </c>
      <c r="AS15" s="21" t="s">
        <v>289</v>
      </c>
      <c r="AT15" s="21" t="s">
        <v>290</v>
      </c>
      <c r="AU15" s="21" t="s">
        <v>291</v>
      </c>
      <c r="AV15" s="21" t="s">
        <v>292</v>
      </c>
      <c r="AW15" s="21" t="s">
        <v>293</v>
      </c>
      <c r="AX15" s="21" t="s">
        <v>294</v>
      </c>
      <c r="AY15" s="21" t="s">
        <v>295</v>
      </c>
      <c r="AZ15" s="21" t="s">
        <v>296</v>
      </c>
      <c r="BA15" s="21" t="s">
        <v>297</v>
      </c>
      <c r="BB15" s="21" t="s">
        <v>298</v>
      </c>
      <c r="BC15" s="21" t="s">
        <v>299</v>
      </c>
      <c r="BD15" s="21" t="s">
        <v>300</v>
      </c>
      <c r="BE15" s="21" t="s">
        <v>301</v>
      </c>
      <c r="BF15" s="21" t="s">
        <v>302</v>
      </c>
      <c r="BG15" s="21" t="s">
        <v>303</v>
      </c>
      <c r="BH15" s="21" t="s">
        <v>304</v>
      </c>
      <c r="BI15" s="21" t="s">
        <v>305</v>
      </c>
      <c r="BJ15" s="21" t="s">
        <v>306</v>
      </c>
      <c r="BK15" s="21" t="s">
        <v>308</v>
      </c>
      <c r="BL15" s="21" t="s">
        <v>309</v>
      </c>
      <c r="BM15" s="21" t="s">
        <v>310</v>
      </c>
      <c r="BN15" s="21" t="s">
        <v>311</v>
      </c>
      <c r="BO15" s="21" t="s">
        <v>312</v>
      </c>
      <c r="BP15" s="21" t="s">
        <v>313</v>
      </c>
      <c r="BQ15" s="21" t="s">
        <v>314</v>
      </c>
      <c r="BR15" s="21" t="s">
        <v>315</v>
      </c>
      <c r="BS15" s="21" t="s">
        <v>316</v>
      </c>
      <c r="BT15" s="21" t="s">
        <v>317</v>
      </c>
      <c r="BU15" s="21" t="s">
        <v>318</v>
      </c>
      <c r="BV15" s="21" t="s">
        <v>319</v>
      </c>
      <c r="BW15" s="21" t="s">
        <v>320</v>
      </c>
      <c r="BX15" s="21" t="s">
        <v>321</v>
      </c>
      <c r="BY15" s="21" t="s">
        <v>322</v>
      </c>
      <c r="BZ15" s="21" t="s">
        <v>323</v>
      </c>
      <c r="CA15" s="21" t="s">
        <v>324</v>
      </c>
      <c r="CB15" s="21" t="s">
        <v>325</v>
      </c>
      <c r="CC15" s="21" t="s">
        <v>326</v>
      </c>
      <c r="CD15" s="21" t="s">
        <v>327</v>
      </c>
      <c r="CE15" s="21" t="s">
        <v>328</v>
      </c>
    </row>
    <row r="16" spans="1:83" s="11" customFormat="1" ht="12.75" x14ac:dyDescent="0.2">
      <c r="A16" s="27" t="s">
        <v>15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1</v>
      </c>
      <c r="H16" s="9">
        <f>SUMIF(RAW_Cases!$B:$B,Tabelle2[[#This Row],[Country/Region]],RAW_Cases!I:I)</f>
        <v>4</v>
      </c>
      <c r="I16" s="9">
        <f>SUMIF(RAW_Cases!$B:$B,Tabelle2[[#This Row],[Country/Region]],RAW_Cases!J:J)</f>
        <v>4</v>
      </c>
      <c r="J16" s="9">
        <f>SUMIF(RAW_Cases!$B:$B,Tabelle2[[#This Row],[Country/Region]],RAW_Cases!K:K)</f>
        <v>4</v>
      </c>
      <c r="K16" s="9">
        <f>SUMIF(RAW_Cases!$B:$B,Tabelle2[[#This Row],[Country/Region]],RAW_Cases!L:L)</f>
        <v>5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10</v>
      </c>
      <c r="N16" s="9">
        <f>SUMIF(RAW_Cases!$B:$B,Tabelle2[[#This Row],[Country/Region]],RAW_Cases!O:O)</f>
        <v>12</v>
      </c>
      <c r="O16" s="9">
        <f>SUMIF(RAW_Cases!$B:$B,Tabelle2[[#This Row],[Country/Region]],RAW_Cases!P:P)</f>
        <v>12</v>
      </c>
      <c r="P16" s="9">
        <f>SUMIF(RAW_Cases!$B:$B,Tabelle2[[#This Row],[Country/Region]],RAW_Cases!Q:Q)</f>
        <v>12</v>
      </c>
      <c r="Q16" s="9">
        <f>SUMIF(RAW_Cases!$B:$B,Tabelle2[[#This Row],[Country/Region]],RAW_Cases!R:R)</f>
        <v>12</v>
      </c>
      <c r="R16" s="9">
        <f>SUMIF(RAW_Cases!$B:$B,Tabelle2[[#This Row],[Country/Region]],RAW_Cases!S:S)</f>
        <v>13</v>
      </c>
      <c r="S16" s="9">
        <f>SUMIF(RAW_Cases!$B:$B,Tabelle2[[#This Row],[Country/Region]],RAW_Cases!T:T)</f>
        <v>13</v>
      </c>
      <c r="T16" s="9">
        <f>SUMIF(RAW_Cases!$B:$B,Tabelle2[[#This Row],[Country/Region]],RAW_Cases!U:U)</f>
        <v>14</v>
      </c>
      <c r="U16" s="9">
        <f>SUMIF(RAW_Cases!$B:$B,Tabelle2[[#This Row],[Country/Region]],RAW_Cases!V:V)</f>
        <v>14</v>
      </c>
      <c r="V16" s="9">
        <f>SUMIF(RAW_Cases!$B:$B,Tabelle2[[#This Row],[Country/Region]],RAW_Cases!W:W)</f>
        <v>16</v>
      </c>
      <c r="W16" s="9">
        <f>SUMIF(RAW_Cases!$B:$B,Tabelle2[[#This Row],[Country/Region]],RAW_Cases!X:X)</f>
        <v>16</v>
      </c>
      <c r="X16" s="9">
        <f>SUMIF(RAW_Cases!$B:$B,Tabelle2[[#This Row],[Country/Region]],RAW_Cases!Y:Y)</f>
        <v>16</v>
      </c>
      <c r="Y16" s="9">
        <f>SUMIF(RAW_Cases!$B:$B,Tabelle2[[#This Row],[Country/Region]],RAW_Cases!Z:Z)</f>
        <v>16</v>
      </c>
      <c r="Z16" s="9">
        <f>SUMIF(RAW_Cases!$B:$B,Tabelle2[[#This Row],[Country/Region]],RAW_Cases!AA:AA)</f>
        <v>16</v>
      </c>
      <c r="AA16" s="9">
        <f>SUMIF(RAW_Cases!$B:$B,Tabelle2[[#This Row],[Country/Region]],RAW_Cases!AB:AB)</f>
        <v>16</v>
      </c>
      <c r="AB16" s="9">
        <f>SUMIF(RAW_Cases!$B:$B,Tabelle2[[#This Row],[Country/Region]],RAW_Cases!AC:AC)</f>
        <v>16</v>
      </c>
      <c r="AC16" s="9">
        <f>SUMIF(RAW_Cases!$B:$B,Tabelle2[[#This Row],[Country/Region]],RAW_Cases!AD:AD)</f>
        <v>16</v>
      </c>
      <c r="AD16" s="9">
        <f>SUMIF(RAW_Cases!$B:$B,Tabelle2[[#This Row],[Country/Region]],RAW_Cases!AE:AE)</f>
        <v>16</v>
      </c>
      <c r="AE16" s="9">
        <f>SUMIF(RAW_Cases!$B:$B,Tabelle2[[#This Row],[Country/Region]],RAW_Cases!AF:AF)</f>
        <v>16</v>
      </c>
      <c r="AF16" s="9">
        <f>SUMIF(RAW_Cases!$B:$B,Tabelle2[[#This Row],[Country/Region]],RAW_Cases!AG:AG)</f>
        <v>16</v>
      </c>
      <c r="AG16" s="9">
        <f>SUMIF(RAW_Cases!$B:$B,Tabelle2[[#This Row],[Country/Region]],RAW_Cases!AH:AH)</f>
        <v>16</v>
      </c>
      <c r="AH16" s="9">
        <f>SUMIF(RAW_Cases!$B:$B,Tabelle2[[#This Row],[Country/Region]],RAW_Cases!AI:AI)</f>
        <v>16</v>
      </c>
      <c r="AI16" s="9">
        <f>SUMIF(RAW_Cases!$B:$B,Tabelle2[[#This Row],[Country/Region]],RAW_Cases!AJ:AJ)</f>
        <v>16</v>
      </c>
      <c r="AJ16" s="9">
        <f>SUMIF(RAW_Cases!$B:$B,Tabelle2[[#This Row],[Country/Region]],RAW_Cases!AK:AK)</f>
        <v>17</v>
      </c>
      <c r="AK16" s="9">
        <f>SUMIF(RAW_Cases!$B:$B,Tabelle2[[#This Row],[Country/Region]],RAW_Cases!AL:AL)</f>
        <v>27</v>
      </c>
      <c r="AL16" s="9">
        <f>SUMIF(RAW_Cases!$B:$B,Tabelle2[[#This Row],[Country/Region]],RAW_Cases!AM:AM)</f>
        <v>46</v>
      </c>
      <c r="AM16" s="9">
        <f>SUMIF(RAW_Cases!$B:$B,Tabelle2[[#This Row],[Country/Region]],RAW_Cases!AN:AN)</f>
        <v>48</v>
      </c>
      <c r="AN16" s="9">
        <f>SUMIF(RAW_Cases!$B:$B,Tabelle2[[#This Row],[Country/Region]],RAW_Cases!AO:AO)</f>
        <v>79</v>
      </c>
      <c r="AO16" s="9">
        <f>SUMIF(RAW_Cases!$B:$B,Tabelle2[[#This Row],[Country/Region]],RAW_Cases!AP:AP)</f>
        <v>130</v>
      </c>
      <c r="AP16" s="9">
        <f>SUMIF(RAW_Cases!$B:$B,Tabelle2[[#This Row],[Country/Region]],RAW_Cases!AQ:AQ)</f>
        <v>159</v>
      </c>
      <c r="AQ16" s="9">
        <f>SUMIF(RAW_Cases!$B:$B,Tabelle2[[#This Row],[Country/Region]],RAW_Cases!AR:AR)</f>
        <v>196</v>
      </c>
      <c r="AR16" s="9">
        <f>SUMIF(RAW_Cases!$B:$B,Tabelle2[[#This Row],[Country/Region]],RAW_Cases!AS:AS)</f>
        <v>262</v>
      </c>
      <c r="AS16" s="9">
        <f>SUMIF(RAW_Cases!$B:$B,Tabelle2[[#This Row],[Country/Region]],RAW_Cases!AT:AT)</f>
        <v>482</v>
      </c>
      <c r="AT16" s="9">
        <f>SUMIF(RAW_Cases!$B:$B,Tabelle2[[#This Row],[Country/Region]],RAW_Cases!AU:AU)</f>
        <v>670</v>
      </c>
      <c r="AU16" s="9">
        <f>SUMIF(RAW_Cases!$B:$B,Tabelle2[[#This Row],[Country/Region]],RAW_Cases!AV:AV)</f>
        <v>799</v>
      </c>
      <c r="AV16" s="9">
        <f>SUMIF(RAW_Cases!$B:$B,Tabelle2[[#This Row],[Country/Region]],RAW_Cases!AW:AW)</f>
        <v>1040</v>
      </c>
      <c r="AW16" s="9">
        <f>SUMIF(RAW_Cases!$B:$B,Tabelle2[[#This Row],[Country/Region]],RAW_Cases!AX:AX)</f>
        <v>1176</v>
      </c>
      <c r="AX16" s="9">
        <f>SUMIF(RAW_Cases!$B:$B,Tabelle2[[#This Row],[Country/Region]],RAW_Cases!AY:AY)</f>
        <v>1457</v>
      </c>
      <c r="AY16" s="9">
        <f>SUMIF(RAW_Cases!$B:$B,Tabelle2[[#This Row],[Country/Region]],RAW_Cases!AZ:AZ)</f>
        <v>1908</v>
      </c>
      <c r="AZ16" s="9">
        <f>SUMIF(RAW_Cases!$B:$B,Tabelle2[[#This Row],[Country/Region]],RAW_Cases!BA:BA)</f>
        <v>2078</v>
      </c>
      <c r="BA16" s="9">
        <f>SUMIF(RAW_Cases!$B:$B,Tabelle2[[#This Row],[Country/Region]],RAW_Cases!BB:BB)</f>
        <v>3675</v>
      </c>
      <c r="BB16" s="9">
        <f>SUMIF(RAW_Cases!$B:$B,Tabelle2[[#This Row],[Country/Region]],RAW_Cases!BC:BC)</f>
        <v>4585</v>
      </c>
      <c r="BC16" s="9">
        <f>SUMIF(RAW_Cases!$B:$B,Tabelle2[[#This Row],[Country/Region]],RAW_Cases!BD:BD)</f>
        <v>5795</v>
      </c>
      <c r="BD16" s="9">
        <f>SUMIF(RAW_Cases!$B:$B,Tabelle2[[#This Row],[Country/Region]],RAW_Cases!BE:BE)</f>
        <v>7272</v>
      </c>
      <c r="BE16" s="9">
        <f>SUMIF(RAW_Cases!$B:$B,Tabelle2[[#This Row],[Country/Region]],RAW_Cases!BF:BF)</f>
        <v>9257</v>
      </c>
      <c r="BF16" s="9">
        <f>SUMIF(RAW_Cases!$B:$B,Tabelle2[[#This Row],[Country/Region]],RAW_Cases!BG:BG)</f>
        <v>12327</v>
      </c>
      <c r="BG16" s="9">
        <f>SUMIF(RAW_Cases!$B:$B,Tabelle2[[#This Row],[Country/Region]],RAW_Cases!BH:BH)</f>
        <v>15320</v>
      </c>
      <c r="BH16" s="9">
        <f>SUMIF(RAW_Cases!$B:$B,Tabelle2[[#This Row],[Country/Region]],RAW_Cases!BI:BI)</f>
        <v>19848</v>
      </c>
      <c r="BI16" s="9">
        <f>SUMIF(RAW_Cases!$B:$B,Tabelle2[[#This Row],[Country/Region]],RAW_Cases!BJ:BJ)</f>
        <v>22213</v>
      </c>
      <c r="BJ16" s="9">
        <f>SUMIF(RAW_Cases!$B:$B,Tabelle2[[#This Row],[Country/Region]],RAW_Cases!BK:BK)</f>
        <v>24873</v>
      </c>
      <c r="BK16" s="9">
        <f>SUMIF(RAW_Cases!$B:$B,Tabelle2[[#This Row],[Country/Region]],RAW_Cases!BL:BL)</f>
        <v>29056</v>
      </c>
      <c r="BL16" s="9">
        <f>SUMIF(RAW_Cases!$B:$B,Tabelle2[[#This Row],[Country/Region]],RAW_Cases!BM:BM)</f>
        <v>32986</v>
      </c>
      <c r="BM16" s="9">
        <f>SUMIF(RAW_Cases!$B:$B,Tabelle2[[#This Row],[Country/Region]],RAW_Cases!BN:BN)</f>
        <v>37323</v>
      </c>
      <c r="BN16" s="9">
        <f>SUMIF(RAW_Cases!$B:$B,Tabelle2[[#This Row],[Country/Region]],RAW_Cases!BO:BO)</f>
        <v>43938</v>
      </c>
      <c r="BO16" s="9">
        <f>SUMIF(RAW_Cases!$B:$B,Tabelle2[[#This Row],[Country/Region]],RAW_Cases!BP:BP)</f>
        <v>50871</v>
      </c>
      <c r="BP16" s="9">
        <f>SUMIF(RAW_Cases!$B:$B,Tabelle2[[#This Row],[Country/Region]],RAW_Cases!BQ:BQ)</f>
        <v>57695</v>
      </c>
      <c r="BQ16" s="9">
        <f>SUMIF(RAW_Cases!$B:$B,Tabelle2[[#This Row],[Country/Region]],RAW_Cases!BR:BR)</f>
        <v>62095</v>
      </c>
      <c r="BR16" s="9">
        <f>SUMIF(RAW_Cases!$B:$B,Tabelle2[[#This Row],[Country/Region]],RAW_Cases!BS:BS)</f>
        <v>66885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101</v>
      </c>
      <c r="B17" s="9">
        <f>SUMIF(RAW_Cases!$B:$B,Tabelle2[[#This Row],[Country/Region]],RAW_Cases!C:C)</f>
        <v>1</v>
      </c>
      <c r="C17" s="9">
        <f>SUMIF(RAW_Cases!$B:$B,Tabelle2[[#This Row],[Country/Region]],RAW_Cases!D:D)</f>
        <v>1</v>
      </c>
      <c r="D17" s="9">
        <f>SUMIF(RAW_Cases!$B:$B,Tabelle2[[#This Row],[Country/Region]],RAW_Cases!E:E)</f>
        <v>2</v>
      </c>
      <c r="E17" s="9">
        <f>SUMIF(RAW_Cases!$B:$B,Tabelle2[[#This Row],[Country/Region]],RAW_Cases!F:F)</f>
        <v>2</v>
      </c>
      <c r="F17" s="9">
        <f>SUMIF(RAW_Cases!$B:$B,Tabelle2[[#This Row],[Country/Region]],RAW_Cases!G:G)</f>
        <v>5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5</v>
      </c>
      <c r="J17" s="9">
        <f>SUMIF(RAW_Cases!$B:$B,Tabelle2[[#This Row],[Country/Region]],RAW_Cases!K:K)</f>
        <v>5</v>
      </c>
      <c r="K17" s="9">
        <f>SUMIF(RAW_Cases!$B:$B,Tabelle2[[#This Row],[Country/Region]],RAW_Cases!L:L)</f>
        <v>7</v>
      </c>
      <c r="L17" s="9">
        <f>SUMIF(RAW_Cases!$B:$B,Tabelle2[[#This Row],[Country/Region]],RAW_Cases!M:M)</f>
        <v>8</v>
      </c>
      <c r="M17" s="9">
        <f>SUMIF(RAW_Cases!$B:$B,Tabelle2[[#This Row],[Country/Region]],RAW_Cases!N:N)</f>
        <v>8</v>
      </c>
      <c r="N17" s="9">
        <f>SUMIF(RAW_Cases!$B:$B,Tabelle2[[#This Row],[Country/Region]],RAW_Cases!O:O)</f>
        <v>11</v>
      </c>
      <c r="O17" s="9">
        <f>SUMIF(RAW_Cases!$B:$B,Tabelle2[[#This Row],[Country/Region]],RAW_Cases!P:P)</f>
        <v>11</v>
      </c>
      <c r="P17" s="9">
        <f>SUMIF(RAW_Cases!$B:$B,Tabelle2[[#This Row],[Country/Region]],RAW_Cases!Q:Q)</f>
        <v>11</v>
      </c>
      <c r="Q17" s="9">
        <f>SUMIF(RAW_Cases!$B:$B,Tabelle2[[#This Row],[Country/Region]],RAW_Cases!R:R)</f>
        <v>11</v>
      </c>
      <c r="R17" s="9">
        <f>SUMIF(RAW_Cases!$B:$B,Tabelle2[[#This Row],[Country/Region]],RAW_Cases!S:S)</f>
        <v>11</v>
      </c>
      <c r="S17" s="9">
        <f>SUMIF(RAW_Cases!$B:$B,Tabelle2[[#This Row],[Country/Region]],RAW_Cases!T:T)</f>
        <v>11</v>
      </c>
      <c r="T17" s="9">
        <f>SUMIF(RAW_Cases!$B:$B,Tabelle2[[#This Row],[Country/Region]],RAW_Cases!U:U)</f>
        <v>11</v>
      </c>
      <c r="U17" s="9">
        <f>SUMIF(RAW_Cases!$B:$B,Tabelle2[[#This Row],[Country/Region]],RAW_Cases!V:V)</f>
        <v>11</v>
      </c>
      <c r="V17" s="9">
        <f>SUMIF(RAW_Cases!$B:$B,Tabelle2[[#This Row],[Country/Region]],RAW_Cases!W:W)</f>
        <v>12</v>
      </c>
      <c r="W17" s="9">
        <f>SUMIF(RAW_Cases!$B:$B,Tabelle2[[#This Row],[Country/Region]],RAW_Cases!X:X)</f>
        <v>12</v>
      </c>
      <c r="X17" s="9">
        <f>SUMIF(RAW_Cases!$B:$B,Tabelle2[[#This Row],[Country/Region]],RAW_Cases!Y:Y)</f>
        <v>13</v>
      </c>
      <c r="Y17" s="9">
        <f>SUMIF(RAW_Cases!$B:$B,Tabelle2[[#This Row],[Country/Region]],RAW_Cases!Z:Z)</f>
        <v>13</v>
      </c>
      <c r="Z17" s="9">
        <f>SUMIF(RAW_Cases!$B:$B,Tabelle2[[#This Row],[Country/Region]],RAW_Cases!AA:AA)</f>
        <v>13</v>
      </c>
      <c r="AA17" s="9">
        <f>SUMIF(RAW_Cases!$B:$B,Tabelle2[[#This Row],[Country/Region]],RAW_Cases!AB:AB)</f>
        <v>13</v>
      </c>
      <c r="AB17" s="9">
        <f>SUMIF(RAW_Cases!$B:$B,Tabelle2[[#This Row],[Country/Region]],RAW_Cases!AC:AC)</f>
        <v>13</v>
      </c>
      <c r="AC17" s="9">
        <f>SUMIF(RAW_Cases!$B:$B,Tabelle2[[#This Row],[Country/Region]],RAW_Cases!AD:AD)</f>
        <v>13</v>
      </c>
      <c r="AD17" s="9">
        <f>SUMIF(RAW_Cases!$B:$B,Tabelle2[[#This Row],[Country/Region]],RAW_Cases!AE:AE)</f>
        <v>13</v>
      </c>
      <c r="AE17" s="9">
        <f>SUMIF(RAW_Cases!$B:$B,Tabelle2[[#This Row],[Country/Region]],RAW_Cases!AF:AF)</f>
        <v>13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51</v>
      </c>
      <c r="AJ17" s="9">
        <f>SUMIF(RAW_Cases!$B:$B,Tabelle2[[#This Row],[Country/Region]],RAW_Cases!AK:AK)</f>
        <v>51</v>
      </c>
      <c r="AK17" s="9">
        <f>SUMIF(RAW_Cases!$B:$B,Tabelle2[[#This Row],[Country/Region]],RAW_Cases!AL:AL)</f>
        <v>57</v>
      </c>
      <c r="AL17" s="9">
        <f>SUMIF(RAW_Cases!$B:$B,Tabelle2[[#This Row],[Country/Region]],RAW_Cases!AM:AM)</f>
        <v>58</v>
      </c>
      <c r="AM17" s="9">
        <f>SUMIF(RAW_Cases!$B:$B,Tabelle2[[#This Row],[Country/Region]],RAW_Cases!AN:AN)</f>
        <v>60</v>
      </c>
      <c r="AN17" s="9">
        <f>SUMIF(RAW_Cases!$B:$B,Tabelle2[[#This Row],[Country/Region]],RAW_Cases!AO:AO)</f>
        <v>68</v>
      </c>
      <c r="AO17" s="9">
        <f>SUMIF(RAW_Cases!$B:$B,Tabelle2[[#This Row],[Country/Region]],RAW_Cases!AP:AP)</f>
        <v>74</v>
      </c>
      <c r="AP17" s="9">
        <f>SUMIF(RAW_Cases!$B:$B,Tabelle2[[#This Row],[Country/Region]],RAW_Cases!AQ:AQ)</f>
        <v>98</v>
      </c>
      <c r="AQ17" s="9">
        <f>SUMIF(RAW_Cases!$B:$B,Tabelle2[[#This Row],[Country/Region]],RAW_Cases!AR:AR)</f>
        <v>118</v>
      </c>
      <c r="AR17" s="9">
        <f>SUMIF(RAW_Cases!$B:$B,Tabelle2[[#This Row],[Country/Region]],RAW_Cases!AS:AS)</f>
        <v>149</v>
      </c>
      <c r="AS17" s="9">
        <f>SUMIF(RAW_Cases!$B:$B,Tabelle2[[#This Row],[Country/Region]],RAW_Cases!AT:AT)</f>
        <v>217</v>
      </c>
      <c r="AT17" s="9">
        <f>SUMIF(RAW_Cases!$B:$B,Tabelle2[[#This Row],[Country/Region]],RAW_Cases!AU:AU)</f>
        <v>262</v>
      </c>
      <c r="AU17" s="9">
        <f>SUMIF(RAW_Cases!$B:$B,Tabelle2[[#This Row],[Country/Region]],RAW_Cases!AV:AV)</f>
        <v>402</v>
      </c>
      <c r="AV17" s="9">
        <f>SUMIF(RAW_Cases!$B:$B,Tabelle2[[#This Row],[Country/Region]],RAW_Cases!AW:AW)</f>
        <v>518</v>
      </c>
      <c r="AW17" s="9">
        <f>SUMIF(RAW_Cases!$B:$B,Tabelle2[[#This Row],[Country/Region]],RAW_Cases!AX:AX)</f>
        <v>583</v>
      </c>
      <c r="AX17" s="9">
        <f>SUMIF(RAW_Cases!$B:$B,Tabelle2[[#This Row],[Country/Region]],RAW_Cases!AY:AY)</f>
        <v>959</v>
      </c>
      <c r="AY17" s="9">
        <f>SUMIF(RAW_Cases!$B:$B,Tabelle2[[#This Row],[Country/Region]],RAW_Cases!AZ:AZ)</f>
        <v>1281</v>
      </c>
      <c r="AZ17" s="9">
        <f>SUMIF(RAW_Cases!$B:$B,Tabelle2[[#This Row],[Country/Region]],RAW_Cases!BA:BA)</f>
        <v>1663</v>
      </c>
      <c r="BA17" s="9">
        <f>SUMIF(RAW_Cases!$B:$B,Tabelle2[[#This Row],[Country/Region]],RAW_Cases!BB:BB)</f>
        <v>2179</v>
      </c>
      <c r="BB17" s="9">
        <f>SUMIF(RAW_Cases!$B:$B,Tabelle2[[#This Row],[Country/Region]],RAW_Cases!BC:BC)</f>
        <v>2727</v>
      </c>
      <c r="BC17" s="9">
        <f>SUMIF(RAW_Cases!$B:$B,Tabelle2[[#This Row],[Country/Region]],RAW_Cases!BD:BD)</f>
        <v>3499</v>
      </c>
      <c r="BD17" s="9">
        <f>SUMIF(RAW_Cases!$B:$B,Tabelle2[[#This Row],[Country/Region]],RAW_Cases!BE:BE)</f>
        <v>4632</v>
      </c>
      <c r="BE17" s="9">
        <f>SUMIF(RAW_Cases!$B:$B,Tabelle2[[#This Row],[Country/Region]],RAW_Cases!BF:BF)</f>
        <v>6421</v>
      </c>
      <c r="BF17" s="9">
        <f>SUMIF(RAW_Cases!$B:$B,Tabelle2[[#This Row],[Country/Region]],RAW_Cases!BG:BG)</f>
        <v>7783</v>
      </c>
      <c r="BG17" s="9">
        <f>SUMIF(RAW_Cases!$B:$B,Tabelle2[[#This Row],[Country/Region]],RAW_Cases!BH:BH)</f>
        <v>13677</v>
      </c>
      <c r="BH17" s="9">
        <f>SUMIF(RAW_Cases!$B:$B,Tabelle2[[#This Row],[Country/Region]],RAW_Cases!BI:BI)</f>
        <v>19100</v>
      </c>
      <c r="BI17" s="9">
        <f>SUMIF(RAW_Cases!$B:$B,Tabelle2[[#This Row],[Country/Region]],RAW_Cases!BJ:BJ)</f>
        <v>25489</v>
      </c>
      <c r="BJ17" s="9">
        <f>SUMIF(RAW_Cases!$B:$B,Tabelle2[[#This Row],[Country/Region]],RAW_Cases!BK:BK)</f>
        <v>33276</v>
      </c>
      <c r="BK17" s="9">
        <f>SUMIF(RAW_Cases!$B:$B,Tabelle2[[#This Row],[Country/Region]],RAW_Cases!BL:BL)</f>
        <v>43847</v>
      </c>
      <c r="BL17" s="9">
        <f>SUMIF(RAW_Cases!$B:$B,Tabelle2[[#This Row],[Country/Region]],RAW_Cases!BM:BM)</f>
        <v>53740</v>
      </c>
      <c r="BM17" s="9">
        <f>SUMIF(RAW_Cases!$B:$B,Tabelle2[[#This Row],[Country/Region]],RAW_Cases!BN:BN)</f>
        <v>65778</v>
      </c>
      <c r="BN17" s="9">
        <f>SUMIF(RAW_Cases!$B:$B,Tabelle2[[#This Row],[Country/Region]],RAW_Cases!BO:BO)</f>
        <v>83836</v>
      </c>
      <c r="BO17" s="9">
        <f>SUMIF(RAW_Cases!$B:$B,Tabelle2[[#This Row],[Country/Region]],RAW_Cases!BP:BP)</f>
        <v>101657</v>
      </c>
      <c r="BP17" s="9">
        <f>SUMIF(RAW_Cases!$B:$B,Tabelle2[[#This Row],[Country/Region]],RAW_Cases!BQ:BQ)</f>
        <v>121478</v>
      </c>
      <c r="BQ17" s="9">
        <f>SUMIF(RAW_Cases!$B:$B,Tabelle2[[#This Row],[Country/Region]],RAW_Cases!BR:BR)</f>
        <v>140886</v>
      </c>
      <c r="BR17" s="9">
        <f>SUMIF(RAW_Cases!$B:$B,Tabelle2[[#This Row],[Country/Region]],RAW_Cases!BS:BS)</f>
        <v>161807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20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0</v>
      </c>
      <c r="G18" s="9">
        <f>SUMIF(RAW_Cases!$B:$B,Tabelle2[[#This Row],[Country/Region]],RAW_Cases!H:H)</f>
        <v>0</v>
      </c>
      <c r="H18" s="9">
        <f>SUMIF(RAW_Cases!$B:$B,Tabelle2[[#This Row],[Country/Region]],RAW_Cases!I:I)</f>
        <v>0</v>
      </c>
      <c r="I18" s="9">
        <f>SUMIF(RAW_Cases!$B:$B,Tabelle2[[#This Row],[Country/Region]],RAW_Cases!J:J)</f>
        <v>0</v>
      </c>
      <c r="J18" s="9">
        <f>SUMIF(RAW_Cases!$B:$B,Tabelle2[[#This Row],[Country/Region]],RAW_Cases!K:K)</f>
        <v>0</v>
      </c>
      <c r="K18" s="9">
        <f>SUMIF(RAW_Cases!$B:$B,Tabelle2[[#This Row],[Country/Region]],RAW_Cases!L:L)</f>
        <v>2</v>
      </c>
      <c r="L18" s="9">
        <f>SUMIF(RAW_Cases!$B:$B,Tabelle2[[#This Row],[Country/Region]],RAW_Cases!M:M)</f>
        <v>2</v>
      </c>
      <c r="M18" s="9">
        <f>SUMIF(RAW_Cases!$B:$B,Tabelle2[[#This Row],[Country/Region]],RAW_Cases!N:N)</f>
        <v>2</v>
      </c>
      <c r="N18" s="9">
        <f>SUMIF(RAW_Cases!$B:$B,Tabelle2[[#This Row],[Country/Region]],RAW_Cases!O:O)</f>
        <v>2</v>
      </c>
      <c r="O18" s="9">
        <f>SUMIF(RAW_Cases!$B:$B,Tabelle2[[#This Row],[Country/Region]],RAW_Cases!P:P)</f>
        <v>2</v>
      </c>
      <c r="P18" s="9">
        <f>SUMIF(RAW_Cases!$B:$B,Tabelle2[[#This Row],[Country/Region]],RAW_Cases!Q:Q)</f>
        <v>2</v>
      </c>
      <c r="Q18" s="9">
        <f>SUMIF(RAW_Cases!$B:$B,Tabelle2[[#This Row],[Country/Region]],RAW_Cases!R:R)</f>
        <v>2</v>
      </c>
      <c r="R18" s="9">
        <f>SUMIF(RAW_Cases!$B:$B,Tabelle2[[#This Row],[Country/Region]],RAW_Cases!S:S)</f>
        <v>3</v>
      </c>
      <c r="S18" s="9">
        <f>SUMIF(RAW_Cases!$B:$B,Tabelle2[[#This Row],[Country/Region]],RAW_Cases!T:T)</f>
        <v>3</v>
      </c>
      <c r="T18" s="9">
        <f>SUMIF(RAW_Cases!$B:$B,Tabelle2[[#This Row],[Country/Region]],RAW_Cases!U:U)</f>
        <v>3</v>
      </c>
      <c r="U18" s="9">
        <f>SUMIF(RAW_Cases!$B:$B,Tabelle2[[#This Row],[Country/Region]],RAW_Cases!V:V)</f>
        <v>3</v>
      </c>
      <c r="V18" s="9">
        <f>SUMIF(RAW_Cases!$B:$B,Tabelle2[[#This Row],[Country/Region]],RAW_Cases!W:W)</f>
        <v>3</v>
      </c>
      <c r="W18" s="9">
        <f>SUMIF(RAW_Cases!$B:$B,Tabelle2[[#This Row],[Country/Region]],RAW_Cases!X:X)</f>
        <v>3</v>
      </c>
      <c r="X18" s="9">
        <f>SUMIF(RAW_Cases!$B:$B,Tabelle2[[#This Row],[Country/Region]],RAW_Cases!Y:Y)</f>
        <v>3</v>
      </c>
      <c r="Y18" s="9">
        <f>SUMIF(RAW_Cases!$B:$B,Tabelle2[[#This Row],[Country/Region]],RAW_Cases!Z:Z)</f>
        <v>3</v>
      </c>
      <c r="Z18" s="9">
        <f>SUMIF(RAW_Cases!$B:$B,Tabelle2[[#This Row],[Country/Region]],RAW_Cases!AA:AA)</f>
        <v>3</v>
      </c>
      <c r="AA18" s="9">
        <f>SUMIF(RAW_Cases!$B:$B,Tabelle2[[#This Row],[Country/Region]],RAW_Cases!AB:AB)</f>
        <v>3</v>
      </c>
      <c r="AB18" s="9">
        <f>SUMIF(RAW_Cases!$B:$B,Tabelle2[[#This Row],[Country/Region]],RAW_Cases!AC:AC)</f>
        <v>3</v>
      </c>
      <c r="AC18" s="9">
        <f>SUMIF(RAW_Cases!$B:$B,Tabelle2[[#This Row],[Country/Region]],RAW_Cases!AD:AD)</f>
        <v>3</v>
      </c>
      <c r="AD18" s="9">
        <f>SUMIF(RAW_Cases!$B:$B,Tabelle2[[#This Row],[Country/Region]],RAW_Cases!AE:AE)</f>
        <v>3</v>
      </c>
      <c r="AE18" s="9">
        <f>SUMIF(RAW_Cases!$B:$B,Tabelle2[[#This Row],[Country/Region]],RAW_Cases!AF:AF)</f>
        <v>3</v>
      </c>
      <c r="AF18" s="9">
        <f>SUMIF(RAW_Cases!$B:$B,Tabelle2[[#This Row],[Country/Region]],RAW_Cases!AG:AG)</f>
        <v>20</v>
      </c>
      <c r="AG18" s="9">
        <f>SUMIF(RAW_Cases!$B:$B,Tabelle2[[#This Row],[Country/Region]],RAW_Cases!AH:AH)</f>
        <v>62</v>
      </c>
      <c r="AH18" s="9">
        <f>SUMIF(RAW_Cases!$B:$B,Tabelle2[[#This Row],[Country/Region]],RAW_Cases!AI:AI)</f>
        <v>155</v>
      </c>
      <c r="AI18" s="9">
        <f>SUMIF(RAW_Cases!$B:$B,Tabelle2[[#This Row],[Country/Region]],RAW_Cases!AJ:AJ)</f>
        <v>229</v>
      </c>
      <c r="AJ18" s="9">
        <f>SUMIF(RAW_Cases!$B:$B,Tabelle2[[#This Row],[Country/Region]],RAW_Cases!AK:AK)</f>
        <v>322</v>
      </c>
      <c r="AK18" s="9">
        <f>SUMIF(RAW_Cases!$B:$B,Tabelle2[[#This Row],[Country/Region]],RAW_Cases!AL:AL)</f>
        <v>453</v>
      </c>
      <c r="AL18" s="9">
        <f>SUMIF(RAW_Cases!$B:$B,Tabelle2[[#This Row],[Country/Region]],RAW_Cases!AM:AM)</f>
        <v>655</v>
      </c>
      <c r="AM18" s="9">
        <f>SUMIF(RAW_Cases!$B:$B,Tabelle2[[#This Row],[Country/Region]],RAW_Cases!AN:AN)</f>
        <v>888</v>
      </c>
      <c r="AN18" s="9">
        <f>SUMIF(RAW_Cases!$B:$B,Tabelle2[[#This Row],[Country/Region]],RAW_Cases!AO:AO)</f>
        <v>1128</v>
      </c>
      <c r="AO18" s="9">
        <f>SUMIF(RAW_Cases!$B:$B,Tabelle2[[#This Row],[Country/Region]],RAW_Cases!AP:AP)</f>
        <v>1694</v>
      </c>
      <c r="AP18" s="9">
        <f>SUMIF(RAW_Cases!$B:$B,Tabelle2[[#This Row],[Country/Region]],RAW_Cases!AQ:AQ)</f>
        <v>2036</v>
      </c>
      <c r="AQ18" s="9">
        <f>SUMIF(RAW_Cases!$B:$B,Tabelle2[[#This Row],[Country/Region]],RAW_Cases!AR:AR)</f>
        <v>2502</v>
      </c>
      <c r="AR18" s="9">
        <f>SUMIF(RAW_Cases!$B:$B,Tabelle2[[#This Row],[Country/Region]],RAW_Cases!AS:AS)</f>
        <v>3089</v>
      </c>
      <c r="AS18" s="9">
        <f>SUMIF(RAW_Cases!$B:$B,Tabelle2[[#This Row],[Country/Region]],RAW_Cases!AT:AT)</f>
        <v>3858</v>
      </c>
      <c r="AT18" s="9">
        <f>SUMIF(RAW_Cases!$B:$B,Tabelle2[[#This Row],[Country/Region]],RAW_Cases!AU:AU)</f>
        <v>4636</v>
      </c>
      <c r="AU18" s="9">
        <f>SUMIF(RAW_Cases!$B:$B,Tabelle2[[#This Row],[Country/Region]],RAW_Cases!AV:AV)</f>
        <v>5883</v>
      </c>
      <c r="AV18" s="9">
        <f>SUMIF(RAW_Cases!$B:$B,Tabelle2[[#This Row],[Country/Region]],RAW_Cases!AW:AW)</f>
        <v>7375</v>
      </c>
      <c r="AW18" s="9">
        <f>SUMIF(RAW_Cases!$B:$B,Tabelle2[[#This Row],[Country/Region]],RAW_Cases!AX:AX)</f>
        <v>9172</v>
      </c>
      <c r="AX18" s="9">
        <f>SUMIF(RAW_Cases!$B:$B,Tabelle2[[#This Row],[Country/Region]],RAW_Cases!AY:AY)</f>
        <v>10149</v>
      </c>
      <c r="AY18" s="9">
        <f>SUMIF(RAW_Cases!$B:$B,Tabelle2[[#This Row],[Country/Region]],RAW_Cases!AZ:AZ)</f>
        <v>12462</v>
      </c>
      <c r="AZ18" s="9">
        <f>SUMIF(RAW_Cases!$B:$B,Tabelle2[[#This Row],[Country/Region]],RAW_Cases!BA:BA)</f>
        <v>12462</v>
      </c>
      <c r="BA18" s="9">
        <f>SUMIF(RAW_Cases!$B:$B,Tabelle2[[#This Row],[Country/Region]],RAW_Cases!BB:BB)</f>
        <v>17660</v>
      </c>
      <c r="BB18" s="9">
        <f>SUMIF(RAW_Cases!$B:$B,Tabelle2[[#This Row],[Country/Region]],RAW_Cases!BC:BC)</f>
        <v>21157</v>
      </c>
      <c r="BC18" s="9">
        <f>SUMIF(RAW_Cases!$B:$B,Tabelle2[[#This Row],[Country/Region]],RAW_Cases!BD:BD)</f>
        <v>24747</v>
      </c>
      <c r="BD18" s="9">
        <f>SUMIF(RAW_Cases!$B:$B,Tabelle2[[#This Row],[Country/Region]],RAW_Cases!BE:BE)</f>
        <v>27980</v>
      </c>
      <c r="BE18" s="9">
        <f>SUMIF(RAW_Cases!$B:$B,Tabelle2[[#This Row],[Country/Region]],RAW_Cases!BF:BF)</f>
        <v>31506</v>
      </c>
      <c r="BF18" s="9">
        <f>SUMIF(RAW_Cases!$B:$B,Tabelle2[[#This Row],[Country/Region]],RAW_Cases!BG:BG)</f>
        <v>35713</v>
      </c>
      <c r="BG18" s="9">
        <f>SUMIF(RAW_Cases!$B:$B,Tabelle2[[#This Row],[Country/Region]],RAW_Cases!BH:BH)</f>
        <v>41035</v>
      </c>
      <c r="BH18" s="9">
        <f>SUMIF(RAW_Cases!$B:$B,Tabelle2[[#This Row],[Country/Region]],RAW_Cases!BI:BI)</f>
        <v>47021</v>
      </c>
      <c r="BI18" s="9">
        <f>SUMIF(RAW_Cases!$B:$B,Tabelle2[[#This Row],[Country/Region]],RAW_Cases!BJ:BJ)</f>
        <v>53578</v>
      </c>
      <c r="BJ18" s="9">
        <f>SUMIF(RAW_Cases!$B:$B,Tabelle2[[#This Row],[Country/Region]],RAW_Cases!BK:BK)</f>
        <v>59138</v>
      </c>
      <c r="BK18" s="9">
        <f>SUMIF(RAW_Cases!$B:$B,Tabelle2[[#This Row],[Country/Region]],RAW_Cases!BL:BL)</f>
        <v>63927</v>
      </c>
      <c r="BL18" s="9">
        <f>SUMIF(RAW_Cases!$B:$B,Tabelle2[[#This Row],[Country/Region]],RAW_Cases!BM:BM)</f>
        <v>69176</v>
      </c>
      <c r="BM18" s="9">
        <f>SUMIF(RAW_Cases!$B:$B,Tabelle2[[#This Row],[Country/Region]],RAW_Cases!BN:BN)</f>
        <v>74386</v>
      </c>
      <c r="BN18" s="9">
        <f>SUMIF(RAW_Cases!$B:$B,Tabelle2[[#This Row],[Country/Region]],RAW_Cases!BO:BO)</f>
        <v>80589</v>
      </c>
      <c r="BO18" s="9">
        <f>SUMIF(RAW_Cases!$B:$B,Tabelle2[[#This Row],[Country/Region]],RAW_Cases!BP:BP)</f>
        <v>86498</v>
      </c>
      <c r="BP18" s="9">
        <f>SUMIF(RAW_Cases!$B:$B,Tabelle2[[#This Row],[Country/Region]],RAW_Cases!BQ:BQ)</f>
        <v>92472</v>
      </c>
      <c r="BQ18" s="9">
        <f>SUMIF(RAW_Cases!$B:$B,Tabelle2[[#This Row],[Country/Region]],RAW_Cases!BR:BR)</f>
        <v>97689</v>
      </c>
      <c r="BR18" s="9">
        <f>SUMIF(RAW_Cases!$B:$B,Tabelle2[[#This Row],[Country/Region]],RAW_Cases!BS:BS)</f>
        <v>101739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112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2</v>
      </c>
      <c r="E19" s="9">
        <f>SUMIF(RAW_Cases!$B:$B,Tabelle2[[#This Row],[Country/Region]],RAW_Cases!F:F)</f>
        <v>3</v>
      </c>
      <c r="F19" s="9">
        <f>SUMIF(RAW_Cases!$B:$B,Tabelle2[[#This Row],[Country/Region]],RAW_Cases!G:G)</f>
        <v>3</v>
      </c>
      <c r="G19" s="9">
        <f>SUMIF(RAW_Cases!$B:$B,Tabelle2[[#This Row],[Country/Region]],RAW_Cases!H:H)</f>
        <v>3</v>
      </c>
      <c r="H19" s="9">
        <f>SUMIF(RAW_Cases!$B:$B,Tabelle2[[#This Row],[Country/Region]],RAW_Cases!I:I)</f>
        <v>4</v>
      </c>
      <c r="I19" s="9">
        <f>SUMIF(RAW_Cases!$B:$B,Tabelle2[[#This Row],[Country/Region]],RAW_Cases!J:J)</f>
        <v>5</v>
      </c>
      <c r="J19" s="9">
        <f>SUMIF(RAW_Cases!$B:$B,Tabelle2[[#This Row],[Country/Region]],RAW_Cases!K:K)</f>
        <v>5</v>
      </c>
      <c r="K19" s="9">
        <f>SUMIF(RAW_Cases!$B:$B,Tabelle2[[#This Row],[Country/Region]],RAW_Cases!L:L)</f>
        <v>5</v>
      </c>
      <c r="L19" s="9">
        <f>SUMIF(RAW_Cases!$B:$B,Tabelle2[[#This Row],[Country/Region]],RAW_Cases!M:M)</f>
        <v>6</v>
      </c>
      <c r="M19" s="9">
        <f>SUMIF(RAW_Cases!$B:$B,Tabelle2[[#This Row],[Country/Region]],RAW_Cases!N:N)</f>
        <v>6</v>
      </c>
      <c r="N19" s="9">
        <f>SUMIF(RAW_Cases!$B:$B,Tabelle2[[#This Row],[Country/Region]],RAW_Cases!O:O)</f>
        <v>6</v>
      </c>
      <c r="O19" s="9">
        <f>SUMIF(RAW_Cases!$B:$B,Tabelle2[[#This Row],[Country/Region]],RAW_Cases!P:P)</f>
        <v>6</v>
      </c>
      <c r="P19" s="9">
        <f>SUMIF(RAW_Cases!$B:$B,Tabelle2[[#This Row],[Country/Region]],RAW_Cases!Q:Q)</f>
        <v>6</v>
      </c>
      <c r="Q19" s="9">
        <f>SUMIF(RAW_Cases!$B:$B,Tabelle2[[#This Row],[Country/Region]],RAW_Cases!R:R)</f>
        <v>6</v>
      </c>
      <c r="R19" s="9">
        <f>SUMIF(RAW_Cases!$B:$B,Tabelle2[[#This Row],[Country/Region]],RAW_Cases!S:S)</f>
        <v>6</v>
      </c>
      <c r="S19" s="9">
        <f>SUMIF(RAW_Cases!$B:$B,Tabelle2[[#This Row],[Country/Region]],RAW_Cases!T:T)</f>
        <v>11</v>
      </c>
      <c r="T19" s="9">
        <f>SUMIF(RAW_Cases!$B:$B,Tabelle2[[#This Row],[Country/Region]],RAW_Cases!U:U)</f>
        <v>11</v>
      </c>
      <c r="U19" s="9">
        <f>SUMIF(RAW_Cases!$B:$B,Tabelle2[[#This Row],[Country/Region]],RAW_Cases!V:V)</f>
        <v>11</v>
      </c>
      <c r="V19" s="9">
        <f>SUMIF(RAW_Cases!$B:$B,Tabelle2[[#This Row],[Country/Region]],RAW_Cases!W:W)</f>
        <v>11</v>
      </c>
      <c r="W19" s="9">
        <f>SUMIF(RAW_Cases!$B:$B,Tabelle2[[#This Row],[Country/Region]],RAW_Cases!X:X)</f>
        <v>11</v>
      </c>
      <c r="X19" s="9">
        <f>SUMIF(RAW_Cases!$B:$B,Tabelle2[[#This Row],[Country/Region]],RAW_Cases!Y:Y)</f>
        <v>11</v>
      </c>
      <c r="Y19" s="9">
        <f>SUMIF(RAW_Cases!$B:$B,Tabelle2[[#This Row],[Country/Region]],RAW_Cases!Z:Z)</f>
        <v>11</v>
      </c>
      <c r="Z19" s="9">
        <f>SUMIF(RAW_Cases!$B:$B,Tabelle2[[#This Row],[Country/Region]],RAW_Cases!AA:AA)</f>
        <v>12</v>
      </c>
      <c r="AA19" s="9">
        <f>SUMIF(RAW_Cases!$B:$B,Tabelle2[[#This Row],[Country/Region]],RAW_Cases!AB:AB)</f>
        <v>12</v>
      </c>
      <c r="AB19" s="9">
        <f>SUMIF(RAW_Cases!$B:$B,Tabelle2[[#This Row],[Country/Region]],RAW_Cases!AC:AC)</f>
        <v>12</v>
      </c>
      <c r="AC19" s="9">
        <f>SUMIF(RAW_Cases!$B:$B,Tabelle2[[#This Row],[Country/Region]],RAW_Cases!AD:AD)</f>
        <v>12</v>
      </c>
      <c r="AD19" s="9">
        <f>SUMIF(RAW_Cases!$B:$B,Tabelle2[[#This Row],[Country/Region]],RAW_Cases!AE:AE)</f>
        <v>12</v>
      </c>
      <c r="AE19" s="9">
        <f>SUMIF(RAW_Cases!$B:$B,Tabelle2[[#This Row],[Country/Region]],RAW_Cases!AF:AF)</f>
        <v>12</v>
      </c>
      <c r="AF19" s="9">
        <f>SUMIF(RAW_Cases!$B:$B,Tabelle2[[#This Row],[Country/Region]],RAW_Cases!AG:AG)</f>
        <v>12</v>
      </c>
      <c r="AG19" s="9">
        <f>SUMIF(RAW_Cases!$B:$B,Tabelle2[[#This Row],[Country/Region]],RAW_Cases!AH:AH)</f>
        <v>12</v>
      </c>
      <c r="AH19" s="9">
        <f>SUMIF(RAW_Cases!$B:$B,Tabelle2[[#This Row],[Country/Region]],RAW_Cases!AI:AI)</f>
        <v>12</v>
      </c>
      <c r="AI19" s="9">
        <f>SUMIF(RAW_Cases!$B:$B,Tabelle2[[#This Row],[Country/Region]],RAW_Cases!AJ:AJ)</f>
        <v>12</v>
      </c>
      <c r="AJ19" s="9">
        <f>SUMIF(RAW_Cases!$B:$B,Tabelle2[[#This Row],[Country/Region]],RAW_Cases!AK:AK)</f>
        <v>14</v>
      </c>
      <c r="AK19" s="9">
        <f>SUMIF(RAW_Cases!$B:$B,Tabelle2[[#This Row],[Country/Region]],RAW_Cases!AL:AL)</f>
        <v>18</v>
      </c>
      <c r="AL19" s="9">
        <f>SUMIF(RAW_Cases!$B:$B,Tabelle2[[#This Row],[Country/Region]],RAW_Cases!AM:AM)</f>
        <v>38</v>
      </c>
      <c r="AM19" s="9">
        <f>SUMIF(RAW_Cases!$B:$B,Tabelle2[[#This Row],[Country/Region]],RAW_Cases!AN:AN)</f>
        <v>57</v>
      </c>
      <c r="AN19" s="9">
        <f>SUMIF(RAW_Cases!$B:$B,Tabelle2[[#This Row],[Country/Region]],RAW_Cases!AO:AO)</f>
        <v>100</v>
      </c>
      <c r="AO19" s="9">
        <f>SUMIF(RAW_Cases!$B:$B,Tabelle2[[#This Row],[Country/Region]],RAW_Cases!AP:AP)</f>
        <v>130</v>
      </c>
      <c r="AP19" s="9">
        <f>SUMIF(RAW_Cases!$B:$B,Tabelle2[[#This Row],[Country/Region]],RAW_Cases!AQ:AQ)</f>
        <v>191</v>
      </c>
      <c r="AQ19" s="9">
        <f>SUMIF(RAW_Cases!$B:$B,Tabelle2[[#This Row],[Country/Region]],RAW_Cases!AR:AR)</f>
        <v>204</v>
      </c>
      <c r="AR19" s="9">
        <f>SUMIF(RAW_Cases!$B:$B,Tabelle2[[#This Row],[Country/Region]],RAW_Cases!AS:AS)</f>
        <v>288</v>
      </c>
      <c r="AS19" s="9">
        <f>SUMIF(RAW_Cases!$B:$B,Tabelle2[[#This Row],[Country/Region]],RAW_Cases!AT:AT)</f>
        <v>380</v>
      </c>
      <c r="AT19" s="9">
        <f>SUMIF(RAW_Cases!$B:$B,Tabelle2[[#This Row],[Country/Region]],RAW_Cases!AU:AU)</f>
        <v>656</v>
      </c>
      <c r="AU19" s="9">
        <f>SUMIF(RAW_Cases!$B:$B,Tabelle2[[#This Row],[Country/Region]],RAW_Cases!AV:AV)</f>
        <v>959</v>
      </c>
      <c r="AV19" s="9">
        <f>SUMIF(RAW_Cases!$B:$B,Tabelle2[[#This Row],[Country/Region]],RAW_Cases!AW:AW)</f>
        <v>1136</v>
      </c>
      <c r="AW19" s="9">
        <f>SUMIF(RAW_Cases!$B:$B,Tabelle2[[#This Row],[Country/Region]],RAW_Cases!AX:AX)</f>
        <v>1219</v>
      </c>
      <c r="AX19" s="9">
        <f>SUMIF(RAW_Cases!$B:$B,Tabelle2[[#This Row],[Country/Region]],RAW_Cases!AY:AY)</f>
        <v>1794</v>
      </c>
      <c r="AY19" s="9">
        <f>SUMIF(RAW_Cases!$B:$B,Tabelle2[[#This Row],[Country/Region]],RAW_Cases!AZ:AZ)</f>
        <v>2293</v>
      </c>
      <c r="AZ19" s="9">
        <f>SUMIF(RAW_Cases!$B:$B,Tabelle2[[#This Row],[Country/Region]],RAW_Cases!BA:BA)</f>
        <v>2293</v>
      </c>
      <c r="BA19" s="9">
        <f>SUMIF(RAW_Cases!$B:$B,Tabelle2[[#This Row],[Country/Region]],RAW_Cases!BB:BB)</f>
        <v>3681</v>
      </c>
      <c r="BB19" s="9">
        <f>SUMIF(RAW_Cases!$B:$B,Tabelle2[[#This Row],[Country/Region]],RAW_Cases!BC:BC)</f>
        <v>4496</v>
      </c>
      <c r="BC19" s="9">
        <f>SUMIF(RAW_Cases!$B:$B,Tabelle2[[#This Row],[Country/Region]],RAW_Cases!BD:BD)</f>
        <v>4532</v>
      </c>
      <c r="BD19" s="9">
        <f>SUMIF(RAW_Cases!$B:$B,Tabelle2[[#This Row],[Country/Region]],RAW_Cases!BE:BE)</f>
        <v>6683</v>
      </c>
      <c r="BE19" s="9">
        <f>SUMIF(RAW_Cases!$B:$B,Tabelle2[[#This Row],[Country/Region]],RAW_Cases!BF:BF)</f>
        <v>7715</v>
      </c>
      <c r="BF19" s="9">
        <f>SUMIF(RAW_Cases!$B:$B,Tabelle2[[#This Row],[Country/Region]],RAW_Cases!BG:BG)</f>
        <v>9124</v>
      </c>
      <c r="BG19" s="9">
        <f>SUMIF(RAW_Cases!$B:$B,Tabelle2[[#This Row],[Country/Region]],RAW_Cases!BH:BH)</f>
        <v>10970</v>
      </c>
      <c r="BH19" s="9">
        <f>SUMIF(RAW_Cases!$B:$B,Tabelle2[[#This Row],[Country/Region]],RAW_Cases!BI:BI)</f>
        <v>12758</v>
      </c>
      <c r="BI19" s="9">
        <f>SUMIF(RAW_Cases!$B:$B,Tabelle2[[#This Row],[Country/Region]],RAW_Cases!BJ:BJ)</f>
        <v>14463</v>
      </c>
      <c r="BJ19" s="9">
        <f>SUMIF(RAW_Cases!$B:$B,Tabelle2[[#This Row],[Country/Region]],RAW_Cases!BK:BK)</f>
        <v>16243</v>
      </c>
      <c r="BK19" s="9">
        <f>SUMIF(RAW_Cases!$B:$B,Tabelle2[[#This Row],[Country/Region]],RAW_Cases!BL:BL)</f>
        <v>20123</v>
      </c>
      <c r="BL19" s="9">
        <f>SUMIF(RAW_Cases!$B:$B,Tabelle2[[#This Row],[Country/Region]],RAW_Cases!BM:BM)</f>
        <v>22622</v>
      </c>
      <c r="BM19" s="9">
        <f>SUMIF(RAW_Cases!$B:$B,Tabelle2[[#This Row],[Country/Region]],RAW_Cases!BN:BN)</f>
        <v>25600</v>
      </c>
      <c r="BN19" s="9">
        <f>SUMIF(RAW_Cases!$B:$B,Tabelle2[[#This Row],[Country/Region]],RAW_Cases!BO:BO)</f>
        <v>29551</v>
      </c>
      <c r="BO19" s="9">
        <f>SUMIF(RAW_Cases!$B:$B,Tabelle2[[#This Row],[Country/Region]],RAW_Cases!BP:BP)</f>
        <v>33402</v>
      </c>
      <c r="BP19" s="9">
        <f>SUMIF(RAW_Cases!$B:$B,Tabelle2[[#This Row],[Country/Region]],RAW_Cases!BQ:BQ)</f>
        <v>38105</v>
      </c>
      <c r="BQ19" s="9">
        <f>SUMIF(RAW_Cases!$B:$B,Tabelle2[[#This Row],[Country/Region]],RAW_Cases!BR:BR)</f>
        <v>40708</v>
      </c>
      <c r="BR19" s="9">
        <f>SUMIF(RAW_Cases!$B:$B,Tabelle2[[#This Row],[Country/Region]],RAW_Cases!BS:BS)</f>
        <v>45170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111</v>
      </c>
      <c r="B20" s="9">
        <f>SUMIF(RAW_Cases!$B:$B,Tabelle2[[#This Row],[Country/Region]],RAW_Cases!C:C)</f>
        <v>1</v>
      </c>
      <c r="C20" s="9">
        <f>SUMIF(RAW_Cases!$B:$B,Tabelle2[[#This Row],[Country/Region]],RAW_Cases!D:D)</f>
        <v>1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2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4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4</v>
      </c>
      <c r="J20" s="9">
        <f>SUMIF(RAW_Cases!$B:$B,Tabelle2[[#This Row],[Country/Region]],RAW_Cases!K:K)</f>
        <v>4</v>
      </c>
      <c r="K20" s="9">
        <f>SUMIF(RAW_Cases!$B:$B,Tabelle2[[#This Row],[Country/Region]],RAW_Cases!L:L)</f>
        <v>11</v>
      </c>
      <c r="L20" s="9">
        <f>SUMIF(RAW_Cases!$B:$B,Tabelle2[[#This Row],[Country/Region]],RAW_Cases!M:M)</f>
        <v>12</v>
      </c>
      <c r="M20" s="9">
        <f>SUMIF(RAW_Cases!$B:$B,Tabelle2[[#This Row],[Country/Region]],RAW_Cases!N:N)</f>
        <v>15</v>
      </c>
      <c r="N20" s="9">
        <f>SUMIF(RAW_Cases!$B:$B,Tabelle2[[#This Row],[Country/Region]],RAW_Cases!O:O)</f>
        <v>15</v>
      </c>
      <c r="O20" s="9">
        <f>SUMIF(RAW_Cases!$B:$B,Tabelle2[[#This Row],[Country/Region]],RAW_Cases!P:P)</f>
        <v>16</v>
      </c>
      <c r="P20" s="9">
        <f>SUMIF(RAW_Cases!$B:$B,Tabelle2[[#This Row],[Country/Region]],RAW_Cases!Q:Q)</f>
        <v>19</v>
      </c>
      <c r="Q20" s="9">
        <f>SUMIF(RAW_Cases!$B:$B,Tabelle2[[#This Row],[Country/Region]],RAW_Cases!R:R)</f>
        <v>23</v>
      </c>
      <c r="R20" s="9">
        <f>SUMIF(RAW_Cases!$B:$B,Tabelle2[[#This Row],[Country/Region]],RAW_Cases!S:S)</f>
        <v>24</v>
      </c>
      <c r="S20" s="9">
        <f>SUMIF(RAW_Cases!$B:$B,Tabelle2[[#This Row],[Country/Region]],RAW_Cases!T:T)</f>
        <v>24</v>
      </c>
      <c r="T20" s="9">
        <f>SUMIF(RAW_Cases!$B:$B,Tabelle2[[#This Row],[Country/Region]],RAW_Cases!U:U)</f>
        <v>25</v>
      </c>
      <c r="U20" s="9">
        <f>SUMIF(RAW_Cases!$B:$B,Tabelle2[[#This Row],[Country/Region]],RAW_Cases!V:V)</f>
        <v>27</v>
      </c>
      <c r="V20" s="9">
        <f>SUMIF(RAW_Cases!$B:$B,Tabelle2[[#This Row],[Country/Region]],RAW_Cases!W:W)</f>
        <v>28</v>
      </c>
      <c r="W20" s="9">
        <f>SUMIF(RAW_Cases!$B:$B,Tabelle2[[#This Row],[Country/Region]],RAW_Cases!X:X)</f>
        <v>28</v>
      </c>
      <c r="X20" s="9">
        <f>SUMIF(RAW_Cases!$B:$B,Tabelle2[[#This Row],[Country/Region]],RAW_Cases!Y:Y)</f>
        <v>28</v>
      </c>
      <c r="Y20" s="9">
        <f>SUMIF(RAW_Cases!$B:$B,Tabelle2[[#This Row],[Country/Region]],RAW_Cases!Z:Z)</f>
        <v>28</v>
      </c>
      <c r="Z20" s="9">
        <f>SUMIF(RAW_Cases!$B:$B,Tabelle2[[#This Row],[Country/Region]],RAW_Cases!AA:AA)</f>
        <v>28</v>
      </c>
      <c r="AA20" s="9">
        <f>SUMIF(RAW_Cases!$B:$B,Tabelle2[[#This Row],[Country/Region]],RAW_Cases!AB:AB)</f>
        <v>29</v>
      </c>
      <c r="AB20" s="9">
        <f>SUMIF(RAW_Cases!$B:$B,Tabelle2[[#This Row],[Country/Region]],RAW_Cases!AC:AC)</f>
        <v>30</v>
      </c>
      <c r="AC20" s="9">
        <f>SUMIF(RAW_Cases!$B:$B,Tabelle2[[#This Row],[Country/Region]],RAW_Cases!AD:AD)</f>
        <v>31</v>
      </c>
      <c r="AD20" s="9">
        <f>SUMIF(RAW_Cases!$B:$B,Tabelle2[[#This Row],[Country/Region]],RAW_Cases!AE:AE)</f>
        <v>31</v>
      </c>
      <c r="AE20" s="9">
        <f>SUMIF(RAW_Cases!$B:$B,Tabelle2[[#This Row],[Country/Region]],RAW_Cases!AF:AF)</f>
        <v>104</v>
      </c>
      <c r="AF20" s="9">
        <f>SUMIF(RAW_Cases!$B:$B,Tabelle2[[#This Row],[Country/Region]],RAW_Cases!AG:AG)</f>
        <v>204</v>
      </c>
      <c r="AG20" s="9">
        <f>SUMIF(RAW_Cases!$B:$B,Tabelle2[[#This Row],[Country/Region]],RAW_Cases!AH:AH)</f>
        <v>433</v>
      </c>
      <c r="AH20" s="9">
        <f>SUMIF(RAW_Cases!$B:$B,Tabelle2[[#This Row],[Country/Region]],RAW_Cases!AI:AI)</f>
        <v>602</v>
      </c>
      <c r="AI20" s="9">
        <f>SUMIF(RAW_Cases!$B:$B,Tabelle2[[#This Row],[Country/Region]],RAW_Cases!AJ:AJ)</f>
        <v>833</v>
      </c>
      <c r="AJ20" s="9">
        <f>SUMIF(RAW_Cases!$B:$B,Tabelle2[[#This Row],[Country/Region]],RAW_Cases!AK:AK)</f>
        <v>977</v>
      </c>
      <c r="AK20" s="9">
        <f>SUMIF(RAW_Cases!$B:$B,Tabelle2[[#This Row],[Country/Region]],RAW_Cases!AL:AL)</f>
        <v>1261</v>
      </c>
      <c r="AL20" s="9">
        <f>SUMIF(RAW_Cases!$B:$B,Tabelle2[[#This Row],[Country/Region]],RAW_Cases!AM:AM)</f>
        <v>1766</v>
      </c>
      <c r="AM20" s="9">
        <f>SUMIF(RAW_Cases!$B:$B,Tabelle2[[#This Row],[Country/Region]],RAW_Cases!AN:AN)</f>
        <v>2337</v>
      </c>
      <c r="AN20" s="9">
        <f>SUMIF(RAW_Cases!$B:$B,Tabelle2[[#This Row],[Country/Region]],RAW_Cases!AO:AO)</f>
        <v>3150</v>
      </c>
      <c r="AO20" s="9">
        <f>SUMIF(RAW_Cases!$B:$B,Tabelle2[[#This Row],[Country/Region]],RAW_Cases!AP:AP)</f>
        <v>3736</v>
      </c>
      <c r="AP20" s="9">
        <f>SUMIF(RAW_Cases!$B:$B,Tabelle2[[#This Row],[Country/Region]],RAW_Cases!AQ:AQ)</f>
        <v>4335</v>
      </c>
      <c r="AQ20" s="9">
        <f>SUMIF(RAW_Cases!$B:$B,Tabelle2[[#This Row],[Country/Region]],RAW_Cases!AR:AR)</f>
        <v>5186</v>
      </c>
      <c r="AR20" s="9">
        <f>SUMIF(RAW_Cases!$B:$B,Tabelle2[[#This Row],[Country/Region]],RAW_Cases!AS:AS)</f>
        <v>5621</v>
      </c>
      <c r="AS20" s="9">
        <f>SUMIF(RAW_Cases!$B:$B,Tabelle2[[#This Row],[Country/Region]],RAW_Cases!AT:AT)</f>
        <v>6088</v>
      </c>
      <c r="AT20" s="9">
        <f>SUMIF(RAW_Cases!$B:$B,Tabelle2[[#This Row],[Country/Region]],RAW_Cases!AU:AU)</f>
        <v>6593</v>
      </c>
      <c r="AU20" s="9">
        <f>SUMIF(RAW_Cases!$B:$B,Tabelle2[[#This Row],[Country/Region]],RAW_Cases!AV:AV)</f>
        <v>7041</v>
      </c>
      <c r="AV20" s="9">
        <f>SUMIF(RAW_Cases!$B:$B,Tabelle2[[#This Row],[Country/Region]],RAW_Cases!AW:AW)</f>
        <v>7314</v>
      </c>
      <c r="AW20" s="9">
        <f>SUMIF(RAW_Cases!$B:$B,Tabelle2[[#This Row],[Country/Region]],RAW_Cases!AX:AX)</f>
        <v>7478</v>
      </c>
      <c r="AX20" s="9">
        <f>SUMIF(RAW_Cases!$B:$B,Tabelle2[[#This Row],[Country/Region]],RAW_Cases!AY:AY)</f>
        <v>7513</v>
      </c>
      <c r="AY20" s="9">
        <f>SUMIF(RAW_Cases!$B:$B,Tabelle2[[#This Row],[Country/Region]],RAW_Cases!AZ:AZ)</f>
        <v>7755</v>
      </c>
      <c r="AZ20" s="9">
        <f>SUMIF(RAW_Cases!$B:$B,Tabelle2[[#This Row],[Country/Region]],RAW_Cases!BA:BA)</f>
        <v>7869</v>
      </c>
      <c r="BA20" s="9">
        <f>SUMIF(RAW_Cases!$B:$B,Tabelle2[[#This Row],[Country/Region]],RAW_Cases!BB:BB)</f>
        <v>7979</v>
      </c>
      <c r="BB20" s="9">
        <f>SUMIF(RAW_Cases!$B:$B,Tabelle2[[#This Row],[Country/Region]],RAW_Cases!BC:BC)</f>
        <v>8086</v>
      </c>
      <c r="BC20" s="9">
        <f>SUMIF(RAW_Cases!$B:$B,Tabelle2[[#This Row],[Country/Region]],RAW_Cases!BD:BD)</f>
        <v>8162</v>
      </c>
      <c r="BD20" s="9">
        <f>SUMIF(RAW_Cases!$B:$B,Tabelle2[[#This Row],[Country/Region]],RAW_Cases!BE:BE)</f>
        <v>8236</v>
      </c>
      <c r="BE20" s="9">
        <f>SUMIF(RAW_Cases!$B:$B,Tabelle2[[#This Row],[Country/Region]],RAW_Cases!BF:BF)</f>
        <v>8320</v>
      </c>
      <c r="BF20" s="9">
        <f>SUMIF(RAW_Cases!$B:$B,Tabelle2[[#This Row],[Country/Region]],RAW_Cases!BG:BG)</f>
        <v>8413</v>
      </c>
      <c r="BG20" s="9">
        <f>SUMIF(RAW_Cases!$B:$B,Tabelle2[[#This Row],[Country/Region]],RAW_Cases!BH:BH)</f>
        <v>8565</v>
      </c>
      <c r="BH20" s="9">
        <f>SUMIF(RAW_Cases!$B:$B,Tabelle2[[#This Row],[Country/Region]],RAW_Cases!BI:BI)</f>
        <v>8652</v>
      </c>
      <c r="BI20" s="9">
        <f>SUMIF(RAW_Cases!$B:$B,Tabelle2[[#This Row],[Country/Region]],RAW_Cases!BJ:BJ)</f>
        <v>8799</v>
      </c>
      <c r="BJ20" s="9">
        <f>SUMIF(RAW_Cases!$B:$B,Tabelle2[[#This Row],[Country/Region]],RAW_Cases!BK:BK)</f>
        <v>8961</v>
      </c>
      <c r="BK20" s="9">
        <f>SUMIF(RAW_Cases!$B:$B,Tabelle2[[#This Row],[Country/Region]],RAW_Cases!BL:BL)</f>
        <v>8961</v>
      </c>
      <c r="BL20" s="9">
        <f>SUMIF(RAW_Cases!$B:$B,Tabelle2[[#This Row],[Country/Region]],RAW_Cases!BM:BM)</f>
        <v>9037</v>
      </c>
      <c r="BM20" s="9">
        <f>SUMIF(RAW_Cases!$B:$B,Tabelle2[[#This Row],[Country/Region]],RAW_Cases!BN:BN)</f>
        <v>9137</v>
      </c>
      <c r="BN20" s="9">
        <f>SUMIF(RAW_Cases!$B:$B,Tabelle2[[#This Row],[Country/Region]],RAW_Cases!BO:BO)</f>
        <v>9241</v>
      </c>
      <c r="BO20" s="9">
        <f>SUMIF(RAW_Cases!$B:$B,Tabelle2[[#This Row],[Country/Region]],RAW_Cases!BP:BP)</f>
        <v>9332</v>
      </c>
      <c r="BP20" s="9">
        <f>SUMIF(RAW_Cases!$B:$B,Tabelle2[[#This Row],[Country/Region]],RAW_Cases!BQ:BQ)</f>
        <v>9478</v>
      </c>
      <c r="BQ20" s="9">
        <f>SUMIF(RAW_Cases!$B:$B,Tabelle2[[#This Row],[Country/Region]],RAW_Cases!BR:BR)</f>
        <v>9583</v>
      </c>
      <c r="BR20" s="9">
        <f>SUMIF(RAW_Cases!$B:$B,Tabelle2[[#This Row],[Country/Region]],RAW_Cases!BS:BS)</f>
        <v>9661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2.75" x14ac:dyDescent="0.2">
      <c r="A21" s="27" t="s">
        <v>22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0</v>
      </c>
      <c r="E21" s="9">
        <f>SUMIF(RAW_Cases!$B:$B,Tabelle2[[#This Row],[Country/Region]],RAW_Cases!F:F)</f>
        <v>0</v>
      </c>
      <c r="F21" s="9">
        <f>SUMIF(RAW_Cases!$B:$B,Tabelle2[[#This Row],[Country/Region]],RAW_Cases!G:G)</f>
        <v>0</v>
      </c>
      <c r="G21" s="9">
        <f>SUMIF(RAW_Cases!$B:$B,Tabelle2[[#This Row],[Country/Region]],RAW_Cases!H:H)</f>
        <v>0</v>
      </c>
      <c r="H21" s="9">
        <f>SUMIF(RAW_Cases!$B:$B,Tabelle2[[#This Row],[Country/Region]],RAW_Cases!I:I)</f>
        <v>0</v>
      </c>
      <c r="I21" s="9">
        <f>SUMIF(RAW_Cases!$B:$B,Tabelle2[[#This Row],[Country/Region]],RAW_Cases!J:J)</f>
        <v>0</v>
      </c>
      <c r="J21" s="9">
        <f>SUMIF(RAW_Cases!$B:$B,Tabelle2[[#This Row],[Country/Region]],RAW_Cases!K:K)</f>
        <v>0</v>
      </c>
      <c r="K21" s="9">
        <f>SUMIF(RAW_Cases!$B:$B,Tabelle2[[#This Row],[Country/Region]],RAW_Cases!L:L)</f>
        <v>0</v>
      </c>
      <c r="L21" s="9">
        <f>SUMIF(RAW_Cases!$B:$B,Tabelle2[[#This Row],[Country/Region]],RAW_Cases!M:M)</f>
        <v>1</v>
      </c>
      <c r="M21" s="9">
        <f>SUMIF(RAW_Cases!$B:$B,Tabelle2[[#This Row],[Country/Region]],RAW_Cases!N:N)</f>
        <v>1</v>
      </c>
      <c r="N21" s="9">
        <f>SUMIF(RAW_Cases!$B:$B,Tabelle2[[#This Row],[Country/Region]],RAW_Cases!O:O)</f>
        <v>1</v>
      </c>
      <c r="O21" s="9">
        <f>SUMIF(RAW_Cases!$B:$B,Tabelle2[[#This Row],[Country/Region]],RAW_Cases!P:P)</f>
        <v>1</v>
      </c>
      <c r="P21" s="9">
        <f>SUMIF(RAW_Cases!$B:$B,Tabelle2[[#This Row],[Country/Region]],RAW_Cases!Q:Q)</f>
        <v>1</v>
      </c>
      <c r="Q21" s="9">
        <f>SUMIF(RAW_Cases!$B:$B,Tabelle2[[#This Row],[Country/Region]],RAW_Cases!R:R)</f>
        <v>1</v>
      </c>
      <c r="R21" s="9">
        <f>SUMIF(RAW_Cases!$B:$B,Tabelle2[[#This Row],[Country/Region]],RAW_Cases!S:S)</f>
        <v>1</v>
      </c>
      <c r="S21" s="9">
        <f>SUMIF(RAW_Cases!$B:$B,Tabelle2[[#This Row],[Country/Region]],RAW_Cases!T:T)</f>
        <v>1</v>
      </c>
      <c r="T21" s="9">
        <f>SUMIF(RAW_Cases!$B:$B,Tabelle2[[#This Row],[Country/Region]],RAW_Cases!U:U)</f>
        <v>2</v>
      </c>
      <c r="U21" s="9">
        <f>SUMIF(RAW_Cases!$B:$B,Tabelle2[[#This Row],[Country/Region]],RAW_Cases!V:V)</f>
        <v>2</v>
      </c>
      <c r="V21" s="9">
        <f>SUMIF(RAW_Cases!$B:$B,Tabelle2[[#This Row],[Country/Region]],RAW_Cases!W:W)</f>
        <v>2</v>
      </c>
      <c r="W21" s="9">
        <f>SUMIF(RAW_Cases!$B:$B,Tabelle2[[#This Row],[Country/Region]],RAW_Cases!X:X)</f>
        <v>2</v>
      </c>
      <c r="X21" s="9">
        <f>SUMIF(RAW_Cases!$B:$B,Tabelle2[[#This Row],[Country/Region]],RAW_Cases!Y:Y)</f>
        <v>2</v>
      </c>
      <c r="Y21" s="9">
        <f>SUMIF(RAW_Cases!$B:$B,Tabelle2[[#This Row],[Country/Region]],RAW_Cases!Z:Z)</f>
        <v>2</v>
      </c>
      <c r="Z21" s="9">
        <f>SUMIF(RAW_Cases!$B:$B,Tabelle2[[#This Row],[Country/Region]],RAW_Cases!AA:AA)</f>
        <v>2</v>
      </c>
      <c r="AA21" s="9">
        <f>SUMIF(RAW_Cases!$B:$B,Tabelle2[[#This Row],[Country/Region]],RAW_Cases!AB:AB)</f>
        <v>2</v>
      </c>
      <c r="AB21" s="9">
        <f>SUMIF(RAW_Cases!$B:$B,Tabelle2[[#This Row],[Country/Region]],RAW_Cases!AC:AC)</f>
        <v>2</v>
      </c>
      <c r="AC21" s="9">
        <f>SUMIF(RAW_Cases!$B:$B,Tabelle2[[#This Row],[Country/Region]],RAW_Cases!AD:AD)</f>
        <v>2</v>
      </c>
      <c r="AD21" s="9">
        <f>SUMIF(RAW_Cases!$B:$B,Tabelle2[[#This Row],[Country/Region]],RAW_Cases!AE:AE)</f>
        <v>2</v>
      </c>
      <c r="AE21" s="9">
        <f>SUMIF(RAW_Cases!$B:$B,Tabelle2[[#This Row],[Country/Region]],RAW_Cases!AF:AF)</f>
        <v>2</v>
      </c>
      <c r="AF21" s="9">
        <f>SUMIF(RAW_Cases!$B:$B,Tabelle2[[#This Row],[Country/Region]],RAW_Cases!AG:AG)</f>
        <v>2</v>
      </c>
      <c r="AG21" s="9">
        <f>SUMIF(RAW_Cases!$B:$B,Tabelle2[[#This Row],[Country/Region]],RAW_Cases!AH:AH)</f>
        <v>2</v>
      </c>
      <c r="AH21" s="9">
        <f>SUMIF(RAW_Cases!$B:$B,Tabelle2[[#This Row],[Country/Region]],RAW_Cases!AI:AI)</f>
        <v>2</v>
      </c>
      <c r="AI21" s="9">
        <f>SUMIF(RAW_Cases!$B:$B,Tabelle2[[#This Row],[Country/Region]],RAW_Cases!AJ:AJ)</f>
        <v>2</v>
      </c>
      <c r="AJ21" s="9">
        <f>SUMIF(RAW_Cases!$B:$B,Tabelle2[[#This Row],[Country/Region]],RAW_Cases!AK:AK)</f>
        <v>6</v>
      </c>
      <c r="AK21" s="9">
        <f>SUMIF(RAW_Cases!$B:$B,Tabelle2[[#This Row],[Country/Region]],RAW_Cases!AL:AL)</f>
        <v>13</v>
      </c>
      <c r="AL21" s="9">
        <f>SUMIF(RAW_Cases!$B:$B,Tabelle2[[#This Row],[Country/Region]],RAW_Cases!AM:AM)</f>
        <v>15</v>
      </c>
      <c r="AM21" s="9">
        <f>SUMIF(RAW_Cases!$B:$B,Tabelle2[[#This Row],[Country/Region]],RAW_Cases!AN:AN)</f>
        <v>32</v>
      </c>
      <c r="AN21" s="9">
        <f>SUMIF(RAW_Cases!$B:$B,Tabelle2[[#This Row],[Country/Region]],RAW_Cases!AO:AO)</f>
        <v>45</v>
      </c>
      <c r="AO21" s="9">
        <f>SUMIF(RAW_Cases!$B:$B,Tabelle2[[#This Row],[Country/Region]],RAW_Cases!AP:AP)</f>
        <v>84</v>
      </c>
      <c r="AP21" s="9">
        <f>SUMIF(RAW_Cases!$B:$B,Tabelle2[[#This Row],[Country/Region]],RAW_Cases!AQ:AQ)</f>
        <v>120</v>
      </c>
      <c r="AQ21" s="9">
        <f>SUMIF(RAW_Cases!$B:$B,Tabelle2[[#This Row],[Country/Region]],RAW_Cases!AR:AR)</f>
        <v>165</v>
      </c>
      <c r="AR21" s="9">
        <f>SUMIF(RAW_Cases!$B:$B,Tabelle2[[#This Row],[Country/Region]],RAW_Cases!AS:AS)</f>
        <v>222</v>
      </c>
      <c r="AS21" s="9">
        <f>SUMIF(RAW_Cases!$B:$B,Tabelle2[[#This Row],[Country/Region]],RAW_Cases!AT:AT)</f>
        <v>259</v>
      </c>
      <c r="AT21" s="9">
        <f>SUMIF(RAW_Cases!$B:$B,Tabelle2[[#This Row],[Country/Region]],RAW_Cases!AU:AU)</f>
        <v>400</v>
      </c>
      <c r="AU21" s="9">
        <f>SUMIF(RAW_Cases!$B:$B,Tabelle2[[#This Row],[Country/Region]],RAW_Cases!AV:AV)</f>
        <v>500</v>
      </c>
      <c r="AV21" s="9">
        <f>SUMIF(RAW_Cases!$B:$B,Tabelle2[[#This Row],[Country/Region]],RAW_Cases!AW:AW)</f>
        <v>673</v>
      </c>
      <c r="AW21" s="9">
        <f>SUMIF(RAW_Cases!$B:$B,Tabelle2[[#This Row],[Country/Region]],RAW_Cases!AX:AX)</f>
        <v>1073</v>
      </c>
      <c r="AX21" s="9">
        <f>SUMIF(RAW_Cases!$B:$B,Tabelle2[[#This Row],[Country/Region]],RAW_Cases!AY:AY)</f>
        <v>1695</v>
      </c>
      <c r="AY21" s="9">
        <f>SUMIF(RAW_Cases!$B:$B,Tabelle2[[#This Row],[Country/Region]],RAW_Cases!AZ:AZ)</f>
        <v>2277</v>
      </c>
      <c r="AZ21" s="9">
        <f>SUMIF(RAW_Cases!$B:$B,Tabelle2[[#This Row],[Country/Region]],RAW_Cases!BA:BA)</f>
        <v>2277</v>
      </c>
      <c r="BA21" s="9">
        <f>SUMIF(RAW_Cases!$B:$B,Tabelle2[[#This Row],[Country/Region]],RAW_Cases!BB:BB)</f>
        <v>5232</v>
      </c>
      <c r="BB21" s="9">
        <f>SUMIF(RAW_Cases!$B:$B,Tabelle2[[#This Row],[Country/Region]],RAW_Cases!BC:BC)</f>
        <v>6391</v>
      </c>
      <c r="BC21" s="9">
        <f>SUMIF(RAW_Cases!$B:$B,Tabelle2[[#This Row],[Country/Region]],RAW_Cases!BD:BD)</f>
        <v>7798</v>
      </c>
      <c r="BD21" s="9">
        <f>SUMIF(RAW_Cases!$B:$B,Tabelle2[[#This Row],[Country/Region]],RAW_Cases!BE:BE)</f>
        <v>9942</v>
      </c>
      <c r="BE21" s="9">
        <f>SUMIF(RAW_Cases!$B:$B,Tabelle2[[#This Row],[Country/Region]],RAW_Cases!BF:BF)</f>
        <v>11748</v>
      </c>
      <c r="BF21" s="9">
        <f>SUMIF(RAW_Cases!$B:$B,Tabelle2[[#This Row],[Country/Region]],RAW_Cases!BG:BG)</f>
        <v>13910</v>
      </c>
      <c r="BG21" s="9">
        <f>SUMIF(RAW_Cases!$B:$B,Tabelle2[[#This Row],[Country/Region]],RAW_Cases!BH:BH)</f>
        <v>17963</v>
      </c>
      <c r="BH21" s="9">
        <f>SUMIF(RAW_Cases!$B:$B,Tabelle2[[#This Row],[Country/Region]],RAW_Cases!BI:BI)</f>
        <v>20410</v>
      </c>
      <c r="BI21" s="9">
        <f>SUMIF(RAW_Cases!$B:$B,Tabelle2[[#This Row],[Country/Region]],RAW_Cases!BJ:BJ)</f>
        <v>25374</v>
      </c>
      <c r="BJ21" s="9">
        <f>SUMIF(RAW_Cases!$B:$B,Tabelle2[[#This Row],[Country/Region]],RAW_Cases!BK:BK)</f>
        <v>28768</v>
      </c>
      <c r="BK21" s="9">
        <f>SUMIF(RAW_Cases!$B:$B,Tabelle2[[#This Row],[Country/Region]],RAW_Cases!BL:BL)</f>
        <v>35136</v>
      </c>
      <c r="BL21" s="9">
        <f>SUMIF(RAW_Cases!$B:$B,Tabelle2[[#This Row],[Country/Region]],RAW_Cases!BM:BM)</f>
        <v>39885</v>
      </c>
      <c r="BM21" s="9">
        <f>SUMIF(RAW_Cases!$B:$B,Tabelle2[[#This Row],[Country/Region]],RAW_Cases!BN:BN)</f>
        <v>49515</v>
      </c>
      <c r="BN21" s="9">
        <f>SUMIF(RAW_Cases!$B:$B,Tabelle2[[#This Row],[Country/Region]],RAW_Cases!BO:BO)</f>
        <v>57786</v>
      </c>
      <c r="BO21" s="9">
        <f>SUMIF(RAW_Cases!$B:$B,Tabelle2[[#This Row],[Country/Region]],RAW_Cases!BP:BP)</f>
        <v>65719</v>
      </c>
      <c r="BP21" s="9">
        <f>SUMIF(RAW_Cases!$B:$B,Tabelle2[[#This Row],[Country/Region]],RAW_Cases!BQ:BQ)</f>
        <v>73235</v>
      </c>
      <c r="BQ21" s="9">
        <f>SUMIF(RAW_Cases!$B:$B,Tabelle2[[#This Row],[Country/Region]],RAW_Cases!BR:BR)</f>
        <v>80110</v>
      </c>
      <c r="BR21" s="9">
        <f>SUMIF(RAW_Cases!$B:$B,Tabelle2[[#This Row],[Country/Region]],RAW_Cases!BS:BS)</f>
        <v>87956</v>
      </c>
      <c r="BS21" s="9">
        <f>SUMIF(RAW_Cases!$B:$B,Tabelle2[[#This Row],[Country/Region]],RAW_Cases!BT:BT)</f>
        <v>0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1" customFormat="1" ht="12.75" x14ac:dyDescent="0.2">
      <c r="A22" s="27"/>
      <c r="B22" s="9">
        <f>SUMIF(RAW_Cases!$B:$B,Tabelle2[[#This Row],[Country/Region]],RAW_Cases!C:C)</f>
        <v>0</v>
      </c>
      <c r="C22" s="9">
        <f>SUMIF(RAW_Cases!$B:$B,Tabelle2[[#This Row],[Country/Region]],RAW_Cases!D:D)</f>
        <v>0</v>
      </c>
      <c r="D22" s="9">
        <f>SUMIF(RAW_Cases!$B:$B,Tabelle2[[#This Row],[Country/Region]],RAW_Cases!E:E)</f>
        <v>0</v>
      </c>
      <c r="E22" s="9">
        <f>SUMIF(RAW_Cases!$B:$B,Tabelle2[[#This Row],[Country/Region]],RAW_Cases!F:F)</f>
        <v>0</v>
      </c>
      <c r="F22" s="9">
        <f>SUMIF(RAW_Cases!$B:$B,Tabelle2[[#This Row],[Country/Region]],RAW_Cases!G:G)</f>
        <v>0</v>
      </c>
      <c r="G22" s="9">
        <f>SUMIF(RAW_Cases!$B:$B,Tabelle2[[#This Row],[Country/Region]],RAW_Cases!H:H)</f>
        <v>0</v>
      </c>
      <c r="H22" s="9">
        <f>SUMIF(RAW_Cases!$B:$B,Tabelle2[[#This Row],[Country/Region]],RAW_Cases!I:I)</f>
        <v>0</v>
      </c>
      <c r="I22" s="9">
        <f>SUMIF(RAW_Cases!$B:$B,Tabelle2[[#This Row],[Country/Region]],RAW_Cases!J:J)</f>
        <v>0</v>
      </c>
      <c r="J22" s="9">
        <f>SUMIF(RAW_Cases!$B:$B,Tabelle2[[#This Row],[Country/Region]],RAW_Cases!K:K)</f>
        <v>0</v>
      </c>
      <c r="K22" s="9">
        <f>SUMIF(RAW_Cases!$B:$B,Tabelle2[[#This Row],[Country/Region]],RAW_Cases!L:L)</f>
        <v>0</v>
      </c>
      <c r="L22" s="9">
        <f>SUMIF(RAW_Cases!$B:$B,Tabelle2[[#This Row],[Country/Region]],RAW_Cases!M:M)</f>
        <v>0</v>
      </c>
      <c r="M22" s="9">
        <f>SUMIF(RAW_Cases!$B:$B,Tabelle2[[#This Row],[Country/Region]],RAW_Cases!N:N)</f>
        <v>0</v>
      </c>
      <c r="N22" s="9">
        <f>SUMIF(RAW_Cases!$B:$B,Tabelle2[[#This Row],[Country/Region]],RAW_Cases!O:O)</f>
        <v>0</v>
      </c>
      <c r="O22" s="9">
        <f>SUMIF(RAW_Cases!$B:$B,Tabelle2[[#This Row],[Country/Region]],RAW_Cases!P:P)</f>
        <v>0</v>
      </c>
      <c r="P22" s="9">
        <f>SUMIF(RAW_Cases!$B:$B,Tabelle2[[#This Row],[Country/Region]],RAW_Cases!Q:Q)</f>
        <v>0</v>
      </c>
      <c r="Q22" s="9">
        <f>SUMIF(RAW_Cases!$B:$B,Tabelle2[[#This Row],[Country/Region]],RAW_Cases!R:R)</f>
        <v>0</v>
      </c>
      <c r="R22" s="9">
        <f>SUMIF(RAW_Cases!$B:$B,Tabelle2[[#This Row],[Country/Region]],RAW_Cases!S:S)</f>
        <v>0</v>
      </c>
      <c r="S22" s="9">
        <f>SUMIF(RAW_Cases!$B:$B,Tabelle2[[#This Row],[Country/Region]],RAW_Cases!T:T)</f>
        <v>0</v>
      </c>
      <c r="T22" s="9">
        <f>SUMIF(RAW_Cases!$B:$B,Tabelle2[[#This Row],[Country/Region]],RAW_Cases!U:U)</f>
        <v>0</v>
      </c>
      <c r="U22" s="9">
        <f>SUMIF(RAW_Cases!$B:$B,Tabelle2[[#This Row],[Country/Region]],RAW_Cases!V:V)</f>
        <v>0</v>
      </c>
      <c r="V22" s="9">
        <f>SUMIF(RAW_Cases!$B:$B,Tabelle2[[#This Row],[Country/Region]],RAW_Cases!W:W)</f>
        <v>0</v>
      </c>
      <c r="W22" s="9">
        <f>SUMIF(RAW_Cases!$B:$B,Tabelle2[[#This Row],[Country/Region]],RAW_Cases!X:X)</f>
        <v>0</v>
      </c>
      <c r="X22" s="9">
        <f>SUMIF(RAW_Cases!$B:$B,Tabelle2[[#This Row],[Country/Region]],RAW_Cases!Y:Y)</f>
        <v>0</v>
      </c>
      <c r="Y22" s="9">
        <f>SUMIF(RAW_Cases!$B:$B,Tabelle2[[#This Row],[Country/Region]],RAW_Cases!Z:Z)</f>
        <v>0</v>
      </c>
      <c r="Z22" s="9">
        <f>SUMIF(RAW_Cases!$B:$B,Tabelle2[[#This Row],[Country/Region]],RAW_Cases!AA:AA)</f>
        <v>0</v>
      </c>
      <c r="AA22" s="9">
        <f>SUMIF(RAW_Cases!$B:$B,Tabelle2[[#This Row],[Country/Region]],RAW_Cases!AB:AB)</f>
        <v>0</v>
      </c>
      <c r="AB22" s="9">
        <f>SUMIF(RAW_Cases!$B:$B,Tabelle2[[#This Row],[Country/Region]],RAW_Cases!AC:AC)</f>
        <v>0</v>
      </c>
      <c r="AC22" s="9">
        <f>SUMIF(RAW_Cases!$B:$B,Tabelle2[[#This Row],[Country/Region]],RAW_Cases!AD:AD)</f>
        <v>0</v>
      </c>
      <c r="AD22" s="9">
        <f>SUMIF(RAW_Cases!$B:$B,Tabelle2[[#This Row],[Country/Region]],RAW_Cases!AE:AE)</f>
        <v>0</v>
      </c>
      <c r="AE22" s="9">
        <f>SUMIF(RAW_Cases!$B:$B,Tabelle2[[#This Row],[Country/Region]],RAW_Cases!AF:AF)</f>
        <v>0</v>
      </c>
      <c r="AF22" s="9">
        <f>SUMIF(RAW_Cases!$B:$B,Tabelle2[[#This Row],[Country/Region]],RAW_Cases!AG:AG)</f>
        <v>0</v>
      </c>
      <c r="AG22" s="9">
        <f>SUMIF(RAW_Cases!$B:$B,Tabelle2[[#This Row],[Country/Region]],RAW_Cases!AH:AH)</f>
        <v>0</v>
      </c>
      <c r="AH22" s="9">
        <f>SUMIF(RAW_Cases!$B:$B,Tabelle2[[#This Row],[Country/Region]],RAW_Cases!AI:AI)</f>
        <v>0</v>
      </c>
      <c r="AI22" s="9">
        <f>SUMIF(RAW_Cases!$B:$B,Tabelle2[[#This Row],[Country/Region]],RAW_Cases!AJ:AJ)</f>
        <v>0</v>
      </c>
      <c r="AJ22" s="9">
        <f>SUMIF(RAW_Cases!$B:$B,Tabelle2[[#This Row],[Country/Region]],RAW_Cases!AK:AK)</f>
        <v>0</v>
      </c>
      <c r="AK22" s="9">
        <f>SUMIF(RAW_Cases!$B:$B,Tabelle2[[#This Row],[Country/Region]],RAW_Cases!AL:AL)</f>
        <v>0</v>
      </c>
      <c r="AL22" s="9">
        <f>SUMIF(RAW_Cases!$B:$B,Tabelle2[[#This Row],[Country/Region]],RAW_Cases!AM:AM)</f>
        <v>0</v>
      </c>
      <c r="AM22" s="9">
        <f>SUMIF(RAW_Cases!$B:$B,Tabelle2[[#This Row],[Country/Region]],RAW_Cases!AN:AN)</f>
        <v>0</v>
      </c>
      <c r="AN22" s="9">
        <f>SUMIF(RAW_Cases!$B:$B,Tabelle2[[#This Row],[Country/Region]],RAW_Cases!AO:AO)</f>
        <v>0</v>
      </c>
      <c r="AO22" s="9">
        <f>SUMIF(RAW_Cases!$B:$B,Tabelle2[[#This Row],[Country/Region]],RAW_Cases!AP:AP)</f>
        <v>0</v>
      </c>
      <c r="AP22" s="9">
        <f>SUMIF(RAW_Cases!$B:$B,Tabelle2[[#This Row],[Country/Region]],RAW_Cases!AQ:AQ)</f>
        <v>0</v>
      </c>
      <c r="AQ22" s="9">
        <f>SUMIF(RAW_Cases!$B:$B,Tabelle2[[#This Row],[Country/Region]],RAW_Cases!AR:AR)</f>
        <v>0</v>
      </c>
      <c r="AR22" s="9">
        <f>SUMIF(RAW_Cases!$B:$B,Tabelle2[[#This Row],[Country/Region]],RAW_Cases!AS:AS)</f>
        <v>0</v>
      </c>
      <c r="AS22" s="9">
        <f>SUMIF(RAW_Cases!$B:$B,Tabelle2[[#This Row],[Country/Region]],RAW_Cases!AT:AT)</f>
        <v>0</v>
      </c>
      <c r="AT22" s="9">
        <f>SUMIF(RAW_Cases!$B:$B,Tabelle2[[#This Row],[Country/Region]],RAW_Cases!AU:AU)</f>
        <v>0</v>
      </c>
      <c r="AU22" s="9">
        <f>SUMIF(RAW_Cases!$B:$B,Tabelle2[[#This Row],[Country/Region]],RAW_Cases!AV:AV)</f>
        <v>0</v>
      </c>
      <c r="AV22" s="9">
        <f>SUMIF(RAW_Cases!$B:$B,Tabelle2[[#This Row],[Country/Region]],RAW_Cases!AW:AW)</f>
        <v>0</v>
      </c>
      <c r="AW22" s="9">
        <f>SUMIF(RAW_Cases!$B:$B,Tabelle2[[#This Row],[Country/Region]],RAW_Cases!AX:AX)</f>
        <v>0</v>
      </c>
      <c r="AX22" s="9">
        <f>SUMIF(RAW_Cases!$B:$B,Tabelle2[[#This Row],[Country/Region]],RAW_Cases!AY:AY)</f>
        <v>0</v>
      </c>
      <c r="AY22" s="9">
        <f>SUMIF(RAW_Cases!$B:$B,Tabelle2[[#This Row],[Country/Region]],RAW_Cases!AZ:AZ)</f>
        <v>0</v>
      </c>
      <c r="AZ22" s="9">
        <f>SUMIF(RAW_Cases!$B:$B,Tabelle2[[#This Row],[Country/Region]],RAW_Cases!BA:BA)</f>
        <v>0</v>
      </c>
      <c r="BA22" s="9">
        <f>SUMIF(RAW_Cases!$B:$B,Tabelle2[[#This Row],[Country/Region]],RAW_Cases!BB:BB)</f>
        <v>0</v>
      </c>
      <c r="BB22" s="9">
        <f>SUMIF(RAW_Cases!$B:$B,Tabelle2[[#This Row],[Country/Region]],RAW_Cases!BC:BC)</f>
        <v>0</v>
      </c>
      <c r="BC22" s="9">
        <f>SUMIF(RAW_Cases!$B:$B,Tabelle2[[#This Row],[Country/Region]],RAW_Cases!BD:BD)</f>
        <v>0</v>
      </c>
      <c r="BD22" s="9">
        <f>SUMIF(RAW_Cases!$B:$B,Tabelle2[[#This Row],[Country/Region]],RAW_Cases!BE:BE)</f>
        <v>0</v>
      </c>
      <c r="BE22" s="9">
        <f>SUMIF(RAW_Cases!$B:$B,Tabelle2[[#This Row],[Country/Region]],RAW_Cases!BF:BF)</f>
        <v>0</v>
      </c>
      <c r="BF22" s="9">
        <f>SUMIF(RAW_Cases!$B:$B,Tabelle2[[#This Row],[Country/Region]],RAW_Cases!BG:BG)</f>
        <v>0</v>
      </c>
      <c r="BG22" s="9">
        <f>SUMIF(RAW_Cases!$B:$B,Tabelle2[[#This Row],[Country/Region]],RAW_Cases!BH:BH)</f>
        <v>0</v>
      </c>
      <c r="BH22" s="9">
        <f>SUMIF(RAW_Cases!$B:$B,Tabelle2[[#This Row],[Country/Region]],RAW_Cases!BI:BI)</f>
        <v>0</v>
      </c>
      <c r="BI22" s="9">
        <f>SUMIF(RAW_Cases!$B:$B,Tabelle2[[#This Row],[Country/Region]],RAW_Cases!BJ:BJ)</f>
        <v>0</v>
      </c>
      <c r="BJ22" s="9">
        <f>SUMIF(RAW_Cases!$B:$B,Tabelle2[[#This Row],[Country/Region]],RAW_Cases!BK:BK)</f>
        <v>0</v>
      </c>
      <c r="BK22" s="9">
        <f>SUMIF(RAW_Cases!$B:$B,Tabelle2[[#This Row],[Country/Region]],RAW_Cases!BL:BL)</f>
        <v>0</v>
      </c>
      <c r="BL22" s="9">
        <f>SUMIF(RAW_Cases!$B:$B,Tabelle2[[#This Row],[Country/Region]],RAW_Cases!BM:BM)</f>
        <v>0</v>
      </c>
      <c r="BM22" s="9">
        <f>SUMIF(RAW_Cases!$B:$B,Tabelle2[[#This Row],[Country/Region]],RAW_Cases!BN:BN)</f>
        <v>0</v>
      </c>
      <c r="BN22" s="9">
        <f>SUMIF(RAW_Cases!$B:$B,Tabelle2[[#This Row],[Country/Region]],RAW_Cases!BO:BO)</f>
        <v>0</v>
      </c>
      <c r="BO22" s="9">
        <f>SUMIF(RAW_Cases!$B:$B,Tabelle2[[#This Row],[Country/Region]],RAW_Cases!BP:BP)</f>
        <v>0</v>
      </c>
      <c r="BP22" s="9">
        <f>SUMIF(RAW_Cases!$B:$B,Tabelle2[[#This Row],[Country/Region]],RAW_Cases!BQ:BQ)</f>
        <v>0</v>
      </c>
      <c r="BQ22" s="9">
        <f>SUMIF(RAW_Cases!$B:$B,Tabelle2[[#This Row],[Country/Region]],RAW_Cases!BR:BR)</f>
        <v>0</v>
      </c>
      <c r="BR22" s="9">
        <f>SUMIF(RAW_Cases!$B:$B,Tabelle2[[#This Row],[Country/Region]],RAW_Cases!BS:BS)</f>
        <v>0</v>
      </c>
      <c r="BS22" s="9">
        <f>SUMIF(RAW_Cases!$B:$B,Tabelle2[[#This Row],[Country/Region]],RAW_Cases!BT:BT)</f>
        <v>0</v>
      </c>
      <c r="BT22" s="9">
        <f>SUMIF(RAW_Cases!$B:$B,Tabelle2[[#This Row],[Country/Region]],RAW_Cases!BU:BU)</f>
        <v>0</v>
      </c>
      <c r="BU22" s="9">
        <f>SUMIF(RAW_Cases!$B:$B,Tabelle2[[#This Row],[Country/Region]],RAW_Cases!BV:BV)</f>
        <v>0</v>
      </c>
      <c r="BV22" s="9">
        <f>SUMIF(RAW_Cases!$B:$B,Tabelle2[[#This Row],[Country/Region]],RAW_Cases!BW:BW)</f>
        <v>0</v>
      </c>
      <c r="BW22" s="9">
        <f>SUMIF(RAW_Cases!$B:$B,Tabelle2[[#This Row],[Country/Region]],RAW_Cases!BX:BX)</f>
        <v>0</v>
      </c>
      <c r="BX22" s="9">
        <f>SUMIF(RAW_Cases!$B:$B,Tabelle2[[#This Row],[Country/Region]],RAW_Cases!BY:BY)</f>
        <v>0</v>
      </c>
      <c r="BY22" s="9">
        <f>SUMIF(RAW_Cases!$B:$B,Tabelle2[[#This Row],[Country/Region]],RAW_Cases!BZ:BZ)</f>
        <v>0</v>
      </c>
      <c r="BZ22" s="9">
        <f>SUMIF(RAW_Cases!$B:$B,Tabelle2[[#This Row],[Country/Region]],RAW_Cases!CA:CA)</f>
        <v>0</v>
      </c>
      <c r="CA22" s="9">
        <f>SUMIF(RAW_Cases!$B:$B,Tabelle2[[#This Row],[Country/Region]],RAW_Cases!CB:CB)</f>
        <v>0</v>
      </c>
      <c r="CB22" s="9">
        <f>SUMIF(RAW_Cases!$B:$B,Tabelle2[[#This Row],[Country/Region]],RAW_Cases!CC:CC)</f>
        <v>0</v>
      </c>
      <c r="CC22" s="9">
        <f>SUMIF(RAW_Cases!$B:$B,Tabelle2[[#This Row],[Country/Region]],RAW_Cases!CD:CD)</f>
        <v>0</v>
      </c>
      <c r="CD22" s="9">
        <f>SUMIF(RAW_Cases!$B:$B,Tabelle2[[#This Row],[Country/Region]],RAW_Cases!CE:CE)</f>
        <v>0</v>
      </c>
      <c r="CE22" s="9">
        <f>SUMIF(RAW_Cases!$B:$B,Tabelle2[[#This Row],[Country/Region]],RAW_Cases!CF:CF)</f>
        <v>0</v>
      </c>
    </row>
    <row r="23" spans="1:87" s="17" customFormat="1" ht="12" x14ac:dyDescent="0.2">
      <c r="A23" s="17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145205</v>
      </c>
      <c r="BB23" s="8">
        <f>SUM(RAW_Cases!BC:BC)</f>
        <v>156101</v>
      </c>
      <c r="BC23" s="8">
        <f>SUM(RAW_Cases!BD:BD)</f>
        <v>167454</v>
      </c>
      <c r="BD23" s="8">
        <f>SUM(RAW_Cases!BE:BE)</f>
        <v>181574</v>
      </c>
      <c r="BE23" s="8">
        <f>SUM(RAW_Cases!BF:BF)</f>
        <v>197102</v>
      </c>
      <c r="BF23" s="8">
        <f>SUM(RAW_Cases!BG:BG)</f>
        <v>214821</v>
      </c>
      <c r="BG23" s="8">
        <f>SUM(RAW_Cases!BH:BH)</f>
        <v>242500</v>
      </c>
      <c r="BH23" s="8">
        <f>SUM(RAW_Cases!BI:BI)</f>
        <v>272035</v>
      </c>
      <c r="BI23" s="8">
        <f>SUM(RAW_Cases!BJ:BJ)</f>
        <v>304396</v>
      </c>
      <c r="BJ23" s="8">
        <f>SUM(RAW_Cases!BK:BK)</f>
        <v>336953</v>
      </c>
      <c r="BK23" s="8">
        <f>SUM(RAW_Cases!BL:BL)</f>
        <v>378235</v>
      </c>
      <c r="BL23" s="8">
        <f>SUM(RAW_Cases!BM:BM)</f>
        <v>418045</v>
      </c>
      <c r="BM23" s="8">
        <f>SUM(RAW_Cases!BN:BN)</f>
        <v>467653</v>
      </c>
      <c r="BN23" s="8">
        <f>SUM(RAW_Cases!BO:BO)</f>
        <v>529591</v>
      </c>
      <c r="BO23" s="8">
        <f>SUM(RAW_Cases!BP:BP)</f>
        <v>593291</v>
      </c>
      <c r="BP23" s="8">
        <f>SUM(RAW_Cases!BQ:BQ)</f>
        <v>660706</v>
      </c>
      <c r="BQ23" s="8">
        <f>SUM(RAW_Cases!BR:BR)</f>
        <v>720117</v>
      </c>
      <c r="BR23" s="8">
        <f>SUM(RAW_Cases!BS:BS)</f>
        <v>782365</v>
      </c>
      <c r="BS23" s="8">
        <f>SUM(RAW_Cases!BT:BT)</f>
        <v>0</v>
      </c>
      <c r="BT23" s="8">
        <f>SUM(RAW_Cases!BU:BU)</f>
        <v>0</v>
      </c>
      <c r="BU23" s="8">
        <f>SUM(RAW_Cases!BV:BV)</f>
        <v>0</v>
      </c>
      <c r="BV23" s="8">
        <f>SUM(RAW_Cases!BW:BW)</f>
        <v>0</v>
      </c>
      <c r="BW23" s="8">
        <f>SUM(RAW_Cases!BX:BX)</f>
        <v>0</v>
      </c>
      <c r="BX23" s="8">
        <f>SUM(RAW_Cases!BY:BY)</f>
        <v>0</v>
      </c>
      <c r="BY23" s="8">
        <f>SUM(RAW_Cases!BZ:BZ)</f>
        <v>0</v>
      </c>
      <c r="BZ23" s="8">
        <f>SUM(RAW_Cases!CA:CA)</f>
        <v>0</v>
      </c>
      <c r="CA23" s="8">
        <f>SUM(RAW_Cases!CB:CB)</f>
        <v>0</v>
      </c>
      <c r="CB23" s="8">
        <f>SUM(RAW_Cases!CC:CC)</f>
        <v>0</v>
      </c>
      <c r="CC23" s="8">
        <f>SUM(RAW_Cases!CD:CD)</f>
        <v>0</v>
      </c>
      <c r="CD23" s="8">
        <f>SUM(RAW_Cases!CE:CE)</f>
        <v>0</v>
      </c>
      <c r="CE23" s="8">
        <f>SUM(RAW_Cases!CF:CF)</f>
        <v>0</v>
      </c>
      <c r="CF23" s="8">
        <f>SUM(RAW_Cases!CG:CG)</f>
        <v>0</v>
      </c>
      <c r="CG23" s="8">
        <f>SUM(RAW_Cases!CH:CH)</f>
        <v>0</v>
      </c>
      <c r="CH23" s="8">
        <f>SUM(RAW_Cases!CI:CI)</f>
        <v>0</v>
      </c>
      <c r="CI23" s="8">
        <f>SUM(RAW_Cases!CJ:CJ)</f>
        <v>0</v>
      </c>
    </row>
    <row r="24" spans="1:87" s="18" customFormat="1" x14ac:dyDescent="0.25">
      <c r="B24" s="19"/>
    </row>
    <row r="25" spans="1:87" s="16" customFormat="1" ht="29.25" customHeight="1" x14ac:dyDescent="0.25">
      <c r="A25" s="14" t="s">
        <v>242</v>
      </c>
      <c r="B25" s="15"/>
    </row>
    <row r="26" spans="1:87" s="30" customFormat="1" ht="25.5" customHeight="1" x14ac:dyDescent="0.25">
      <c r="A26" s="22" t="s">
        <v>0</v>
      </c>
      <c r="B26" s="20" t="s">
        <v>246</v>
      </c>
      <c r="C26" s="21" t="s">
        <v>247</v>
      </c>
      <c r="D26" s="21" t="s">
        <v>248</v>
      </c>
      <c r="E26" s="21" t="s">
        <v>249</v>
      </c>
      <c r="F26" s="21" t="s">
        <v>250</v>
      </c>
      <c r="G26" s="21" t="s">
        <v>251</v>
      </c>
      <c r="H26" s="21" t="s">
        <v>252</v>
      </c>
      <c r="I26" s="21" t="s">
        <v>253</v>
      </c>
      <c r="J26" s="21" t="s">
        <v>254</v>
      </c>
      <c r="K26" s="21" t="s">
        <v>255</v>
      </c>
      <c r="L26" s="21" t="s">
        <v>256</v>
      </c>
      <c r="M26" s="21" t="s">
        <v>257</v>
      </c>
      <c r="N26" s="21" t="s">
        <v>258</v>
      </c>
      <c r="O26" s="21" t="s">
        <v>259</v>
      </c>
      <c r="P26" s="21" t="s">
        <v>260</v>
      </c>
      <c r="Q26" s="21" t="s">
        <v>261</v>
      </c>
      <c r="R26" s="21" t="s">
        <v>262</v>
      </c>
      <c r="S26" s="21" t="s">
        <v>263</v>
      </c>
      <c r="T26" s="21" t="s">
        <v>264</v>
      </c>
      <c r="U26" s="21" t="s">
        <v>265</v>
      </c>
      <c r="V26" s="21" t="s">
        <v>266</v>
      </c>
      <c r="W26" s="21" t="s">
        <v>267</v>
      </c>
      <c r="X26" s="21" t="s">
        <v>268</v>
      </c>
      <c r="Y26" s="21" t="s">
        <v>269</v>
      </c>
      <c r="Z26" s="21" t="s">
        <v>270</v>
      </c>
      <c r="AA26" s="21" t="s">
        <v>271</v>
      </c>
      <c r="AB26" s="21" t="s">
        <v>272</v>
      </c>
      <c r="AC26" s="21" t="s">
        <v>273</v>
      </c>
      <c r="AD26" s="21" t="s">
        <v>274</v>
      </c>
      <c r="AE26" s="21" t="s">
        <v>275</v>
      </c>
      <c r="AF26" s="21" t="s">
        <v>276</v>
      </c>
      <c r="AG26" s="21" t="s">
        <v>277</v>
      </c>
      <c r="AH26" s="21" t="s">
        <v>278</v>
      </c>
      <c r="AI26" s="21" t="s">
        <v>279</v>
      </c>
      <c r="AJ26" s="21" t="s">
        <v>280</v>
      </c>
      <c r="AK26" s="21" t="s">
        <v>281</v>
      </c>
      <c r="AL26" s="21" t="s">
        <v>282</v>
      </c>
      <c r="AM26" s="21" t="s">
        <v>283</v>
      </c>
      <c r="AN26" s="21" t="s">
        <v>284</v>
      </c>
      <c r="AO26" s="21" t="s">
        <v>285</v>
      </c>
      <c r="AP26" s="21" t="s">
        <v>286</v>
      </c>
      <c r="AQ26" s="21" t="s">
        <v>287</v>
      </c>
      <c r="AR26" s="21" t="s">
        <v>288</v>
      </c>
      <c r="AS26" s="21" t="s">
        <v>289</v>
      </c>
      <c r="AT26" s="21" t="s">
        <v>290</v>
      </c>
      <c r="AU26" s="21" t="s">
        <v>291</v>
      </c>
      <c r="AV26" s="21" t="s">
        <v>292</v>
      </c>
      <c r="AW26" s="21" t="s">
        <v>293</v>
      </c>
      <c r="AX26" s="21" t="s">
        <v>294</v>
      </c>
      <c r="AY26" s="21" t="s">
        <v>295</v>
      </c>
      <c r="AZ26" s="21" t="s">
        <v>296</v>
      </c>
      <c r="BA26" s="21" t="s">
        <v>297</v>
      </c>
      <c r="BB26" s="21" t="s">
        <v>298</v>
      </c>
      <c r="BC26" s="21" t="s">
        <v>299</v>
      </c>
      <c r="BD26" s="21" t="s">
        <v>300</v>
      </c>
      <c r="BE26" s="21" t="s">
        <v>301</v>
      </c>
      <c r="BF26" s="21" t="s">
        <v>302</v>
      </c>
      <c r="BG26" s="21" t="s">
        <v>303</v>
      </c>
      <c r="BH26" s="21" t="s">
        <v>304</v>
      </c>
      <c r="BI26" s="21" t="s">
        <v>305</v>
      </c>
      <c r="BJ26" s="21" t="s">
        <v>306</v>
      </c>
      <c r="BK26" s="21" t="s">
        <v>308</v>
      </c>
      <c r="BL26" s="21" t="s">
        <v>309</v>
      </c>
      <c r="BM26" s="21" t="s">
        <v>310</v>
      </c>
      <c r="BN26" s="21" t="s">
        <v>311</v>
      </c>
      <c r="BO26" s="21" t="s">
        <v>312</v>
      </c>
      <c r="BP26" s="21" t="s">
        <v>313</v>
      </c>
      <c r="BQ26" s="21" t="s">
        <v>314</v>
      </c>
      <c r="BR26" s="21" t="s">
        <v>315</v>
      </c>
      <c r="BS26" s="21" t="s">
        <v>316</v>
      </c>
      <c r="BT26" s="21" t="s">
        <v>317</v>
      </c>
      <c r="BU26" s="21" t="s">
        <v>318</v>
      </c>
      <c r="BV26" s="21" t="s">
        <v>319</v>
      </c>
      <c r="BW26" s="21" t="s">
        <v>320</v>
      </c>
      <c r="BX26" s="21" t="s">
        <v>321</v>
      </c>
      <c r="BY26" s="21" t="s">
        <v>322</v>
      </c>
      <c r="BZ26" s="21" t="s">
        <v>323</v>
      </c>
      <c r="CA26" s="21" t="s">
        <v>324</v>
      </c>
      <c r="CB26" s="21" t="s">
        <v>325</v>
      </c>
      <c r="CC26" s="21" t="s">
        <v>326</v>
      </c>
      <c r="CD26" s="21" t="s">
        <v>327</v>
      </c>
      <c r="CE26" s="21" t="s">
        <v>328</v>
      </c>
    </row>
    <row r="27" spans="1:87" s="11" customFormat="1" ht="12.75" x14ac:dyDescent="0.2">
      <c r="A27" s="27" t="str">
        <f t="shared" ref="A27:A31" si="10">IF(ISBLANK(A16),"",A16)</f>
        <v>Germany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0</v>
      </c>
      <c r="AT27" s="28">
        <f>SUMIF(RAW_DEATHS!$B:$B,Tabelle28[[#This Row],[Country/Region]],RAW_DEATHS!AU:AU)</f>
        <v>0</v>
      </c>
      <c r="AU27" s="28">
        <f>SUMIF(RAW_DEATHS!$B:$B,Tabelle28[[#This Row],[Country/Region]],RAW_DEATHS!AV:AV)</f>
        <v>0</v>
      </c>
      <c r="AV27" s="28">
        <f>SUMIF(RAW_DEATHS!$B:$B,Tabelle28[[#This Row],[Country/Region]],RAW_DEATHS!AW:AW)</f>
        <v>0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2</v>
      </c>
      <c r="AY27" s="28">
        <f>SUMIF(RAW_DEATHS!$B:$B,Tabelle28[[#This Row],[Country/Region]],RAW_DEATHS!AZ:AZ)</f>
        <v>3</v>
      </c>
      <c r="AZ27" s="28">
        <f>SUMIF(RAW_DEATHS!$B:$B,Tabelle28[[#This Row],[Country/Region]],RAW_DEATHS!BA:BA)</f>
        <v>3</v>
      </c>
      <c r="BA27" s="28">
        <f>SUMIF(RAW_DEATHS!$B:$B,Tabelle28[[#This Row],[Country/Region]],RAW_DEATHS!BB:BB)</f>
        <v>7</v>
      </c>
      <c r="BB27" s="28">
        <f>SUMIF(RAW_DEATHS!$B:$B,Tabelle28[[#This Row],[Country/Region]],RAW_DEATHS!BC:BC)</f>
        <v>9</v>
      </c>
      <c r="BC27" s="28">
        <f>SUMIF(RAW_DEATHS!$B:$B,Tabelle28[[#This Row],[Country/Region]],RAW_DEATHS!BD:BD)</f>
        <v>11</v>
      </c>
      <c r="BD27" s="28">
        <f>SUMIF(RAW_DEATHS!$B:$B,Tabelle28[[#This Row],[Country/Region]],RAW_DEATHS!BE:BE)</f>
        <v>17</v>
      </c>
      <c r="BE27" s="28">
        <f>SUMIF(RAW_DEATHS!$B:$B,Tabelle28[[#This Row],[Country/Region]],RAW_DEATHS!BF:BF)</f>
        <v>24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44</v>
      </c>
      <c r="BH27" s="28">
        <f>SUMIF(RAW_DEATHS!$B:$B,Tabelle28[[#This Row],[Country/Region]],RAW_DEATHS!BI:BI)</f>
        <v>67</v>
      </c>
      <c r="BI27" s="28">
        <f>SUMIF(RAW_DEATHS!$B:$B,Tabelle28[[#This Row],[Country/Region]],RAW_DEATHS!BJ:BJ)</f>
        <v>84</v>
      </c>
      <c r="BJ27" s="28">
        <f>SUMIF(RAW_DEATHS!$B:$B,Tabelle28[[#This Row],[Country/Region]],RAW_DEATHS!BK:BK)</f>
        <v>94</v>
      </c>
      <c r="BK27" s="28">
        <f>SUMIF(RAW_DEATHS!$B:$B,Tabelle28[[#This Row],[Country/Region]],RAW_DEATHS!BL:BL)</f>
        <v>123</v>
      </c>
      <c r="BL27" s="28">
        <f>SUMIF(RAW_DEATHS!$B:$B,Tabelle28[[#This Row],[Country/Region]],RAW_DEATHS!BM:BM)</f>
        <v>157</v>
      </c>
      <c r="BM27" s="28">
        <f>SUMIF(RAW_DEATHS!$B:$B,Tabelle28[[#This Row],[Country/Region]],RAW_DEATHS!BN:BN)</f>
        <v>206</v>
      </c>
      <c r="BN27" s="28">
        <f>SUMIF(RAW_DEATHS!$B:$B,Tabelle28[[#This Row],[Country/Region]],RAW_DEATHS!BO:BO)</f>
        <v>267</v>
      </c>
      <c r="BO27" s="28">
        <f>SUMIF(RAW_DEATHS!$B:$B,Tabelle28[[#This Row],[Country/Region]],RAW_DEATHS!BP:BP)</f>
        <v>342</v>
      </c>
      <c r="BP27" s="28">
        <f>SUMIF(RAW_DEATHS!$B:$B,Tabelle28[[#This Row],[Country/Region]],RAW_DEATHS!BQ:BQ)</f>
        <v>433</v>
      </c>
      <c r="BQ27" s="28">
        <f>SUMIF(RAW_DEATHS!$B:$B,Tabelle28[[#This Row],[Country/Region]],RAW_DEATHS!BR:BR)</f>
        <v>533</v>
      </c>
      <c r="BR27" s="28">
        <f>SUMIF(RAW_DEATHS!$B:$B,Tabelle28[[#This Row],[Country/Region]],RAW_DEATHS!BS:BS)</f>
        <v>645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10"/>
        <v>US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1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6</v>
      </c>
      <c r="AQ28" s="28">
        <f>SUMIF(RAW_DEATHS!$B:$B,Tabelle28[[#This Row],[Country/Region]],RAW_DEATHS!AR:AR)</f>
        <v>7</v>
      </c>
      <c r="AR28" s="28">
        <f>SUMIF(RAW_DEATHS!$B:$B,Tabelle28[[#This Row],[Country/Region]],RAW_DEATHS!AS:AS)</f>
        <v>11</v>
      </c>
      <c r="AS28" s="28">
        <f>SUMIF(RAW_DEATHS!$B:$B,Tabelle28[[#This Row],[Country/Region]],RAW_DEATHS!AT:AT)</f>
        <v>12</v>
      </c>
      <c r="AT28" s="28">
        <f>SUMIF(RAW_DEATHS!$B:$B,Tabelle28[[#This Row],[Country/Region]],RAW_DEATHS!AU:AU)</f>
        <v>14</v>
      </c>
      <c r="AU28" s="28">
        <f>SUMIF(RAW_DEATHS!$B:$B,Tabelle28[[#This Row],[Country/Region]],RAW_DEATHS!AV:AV)</f>
        <v>17</v>
      </c>
      <c r="AV28" s="28">
        <f>SUMIF(RAW_DEATHS!$B:$B,Tabelle28[[#This Row],[Country/Region]],RAW_DEATHS!AW:AW)</f>
        <v>21</v>
      </c>
      <c r="AW28" s="28">
        <f>SUMIF(RAW_DEATHS!$B:$B,Tabelle28[[#This Row],[Country/Region]],RAW_DEATHS!AX:AX)</f>
        <v>22</v>
      </c>
      <c r="AX28" s="28">
        <f>SUMIF(RAW_DEATHS!$B:$B,Tabelle28[[#This Row],[Country/Region]],RAW_DEATHS!AY:AY)</f>
        <v>28</v>
      </c>
      <c r="AY28" s="28">
        <f>SUMIF(RAW_DEATHS!$B:$B,Tabelle28[[#This Row],[Country/Region]],RAW_DEATHS!AZ:AZ)</f>
        <v>36</v>
      </c>
      <c r="AZ28" s="28">
        <f>SUMIF(RAW_DEATHS!$B:$B,Tabelle28[[#This Row],[Country/Region]],RAW_DEATHS!BA:BA)</f>
        <v>40</v>
      </c>
      <c r="BA28" s="28">
        <f>SUMIF(RAW_DEATHS!$B:$B,Tabelle28[[#This Row],[Country/Region]],RAW_DEATHS!BB:BB)</f>
        <v>47</v>
      </c>
      <c r="BB28" s="28">
        <f>SUMIF(RAW_DEATHS!$B:$B,Tabelle28[[#This Row],[Country/Region]],RAW_DEATHS!BC:BC)</f>
        <v>54</v>
      </c>
      <c r="BC28" s="28">
        <f>SUMIF(RAW_DEATHS!$B:$B,Tabelle28[[#This Row],[Country/Region]],RAW_DEATHS!BD:BD)</f>
        <v>63</v>
      </c>
      <c r="BD28" s="28">
        <f>SUMIF(RAW_DEATHS!$B:$B,Tabelle28[[#This Row],[Country/Region]],RAW_DEATHS!BE:BE)</f>
        <v>85</v>
      </c>
      <c r="BE28" s="28">
        <f>SUMIF(RAW_DEATHS!$B:$B,Tabelle28[[#This Row],[Country/Region]],RAW_DEATHS!BF:BF)</f>
        <v>108</v>
      </c>
      <c r="BF28" s="28">
        <f>SUMIF(RAW_DEATHS!$B:$B,Tabelle28[[#This Row],[Country/Region]],RAW_DEATHS!BG:BG)</f>
        <v>118</v>
      </c>
      <c r="BG28" s="28">
        <f>SUMIF(RAW_DEATHS!$B:$B,Tabelle28[[#This Row],[Country/Region]],RAW_DEATHS!BH:BH)</f>
        <v>200</v>
      </c>
      <c r="BH28" s="28">
        <f>SUMIF(RAW_DEATHS!$B:$B,Tabelle28[[#This Row],[Country/Region]],RAW_DEATHS!BI:BI)</f>
        <v>244</v>
      </c>
      <c r="BI28" s="28">
        <f>SUMIF(RAW_DEATHS!$B:$B,Tabelle28[[#This Row],[Country/Region]],RAW_DEATHS!BJ:BJ)</f>
        <v>307</v>
      </c>
      <c r="BJ28" s="28">
        <f>SUMIF(RAW_DEATHS!$B:$B,Tabelle28[[#This Row],[Country/Region]],RAW_DEATHS!BK:BK)</f>
        <v>417</v>
      </c>
      <c r="BK28" s="28">
        <f>SUMIF(RAW_DEATHS!$B:$B,Tabelle28[[#This Row],[Country/Region]],RAW_DEATHS!BL:BL)</f>
        <v>557</v>
      </c>
      <c r="BL28" s="28">
        <f>SUMIF(RAW_DEATHS!$B:$B,Tabelle28[[#This Row],[Country/Region]],RAW_DEATHS!BM:BM)</f>
        <v>706</v>
      </c>
      <c r="BM28" s="28">
        <f>SUMIF(RAW_DEATHS!$B:$B,Tabelle28[[#This Row],[Country/Region]],RAW_DEATHS!BN:BN)</f>
        <v>942</v>
      </c>
      <c r="BN28" s="28">
        <f>SUMIF(RAW_DEATHS!$B:$B,Tabelle28[[#This Row],[Country/Region]],RAW_DEATHS!BO:BO)</f>
        <v>1209</v>
      </c>
      <c r="BO28" s="28">
        <f>SUMIF(RAW_DEATHS!$B:$B,Tabelle28[[#This Row],[Country/Region]],RAW_DEATHS!BP:BP)</f>
        <v>1581</v>
      </c>
      <c r="BP28" s="28">
        <f>SUMIF(RAW_DEATHS!$B:$B,Tabelle28[[#This Row],[Country/Region]],RAW_DEATHS!BQ:BQ)</f>
        <v>2026</v>
      </c>
      <c r="BQ28" s="28">
        <f>SUMIF(RAW_DEATHS!$B:$B,Tabelle28[[#This Row],[Country/Region]],RAW_DEATHS!BR:BR)</f>
        <v>2467</v>
      </c>
      <c r="BR28" s="28">
        <f>SUMIF(RAW_DEATHS!$B:$B,Tabelle28[[#This Row],[Country/Region]],RAW_DEATHS!BS:BS)</f>
        <v>2978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10"/>
        <v>Italy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1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3</v>
      </c>
      <c r="AI29" s="28">
        <f>SUMIF(RAW_DEATHS!$B:$B,Tabelle28[[#This Row],[Country/Region]],RAW_DEATHS!AJ:AJ)</f>
        <v>7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17</v>
      </c>
      <c r="AM29" s="28">
        <f>SUMIF(RAW_DEATHS!$B:$B,Tabelle28[[#This Row],[Country/Region]],RAW_DEATHS!AN:AN)</f>
        <v>21</v>
      </c>
      <c r="AN29" s="28">
        <f>SUMIF(RAW_DEATHS!$B:$B,Tabelle28[[#This Row],[Country/Region]],RAW_DEATHS!AO:AO)</f>
        <v>29</v>
      </c>
      <c r="AO29" s="28">
        <f>SUMIF(RAW_DEATHS!$B:$B,Tabelle28[[#This Row],[Country/Region]],RAW_DEATHS!AP:AP)</f>
        <v>34</v>
      </c>
      <c r="AP29" s="28">
        <f>SUMIF(RAW_DEATHS!$B:$B,Tabelle28[[#This Row],[Country/Region]],RAW_DEATHS!AQ:AQ)</f>
        <v>52</v>
      </c>
      <c r="AQ29" s="28">
        <f>SUMIF(RAW_DEATHS!$B:$B,Tabelle28[[#This Row],[Country/Region]],RAW_DEATHS!AR:AR)</f>
        <v>79</v>
      </c>
      <c r="AR29" s="28">
        <f>SUMIF(RAW_DEATHS!$B:$B,Tabelle28[[#This Row],[Country/Region]],RAW_DEATHS!AS:AS)</f>
        <v>107</v>
      </c>
      <c r="AS29" s="28">
        <f>SUMIF(RAW_DEATHS!$B:$B,Tabelle28[[#This Row],[Country/Region]],RAW_DEATHS!AT:AT)</f>
        <v>148</v>
      </c>
      <c r="AT29" s="28">
        <f>SUMIF(RAW_DEATHS!$B:$B,Tabelle28[[#This Row],[Country/Region]],RAW_DEATHS!AU:AU)</f>
        <v>197</v>
      </c>
      <c r="AU29" s="28">
        <f>SUMIF(RAW_DEATHS!$B:$B,Tabelle28[[#This Row],[Country/Region]],RAW_DEATHS!AV:AV)</f>
        <v>233</v>
      </c>
      <c r="AV29" s="28">
        <f>SUMIF(RAW_DEATHS!$B:$B,Tabelle28[[#This Row],[Country/Region]],RAW_DEATHS!AW:AW)</f>
        <v>366</v>
      </c>
      <c r="AW29" s="28">
        <f>SUMIF(RAW_DEATHS!$B:$B,Tabelle28[[#This Row],[Country/Region]],RAW_DEATHS!AX:AX)</f>
        <v>463</v>
      </c>
      <c r="AX29" s="28">
        <f>SUMIF(RAW_DEATHS!$B:$B,Tabelle28[[#This Row],[Country/Region]],RAW_DEATHS!AY:AY)</f>
        <v>631</v>
      </c>
      <c r="AY29" s="28">
        <f>SUMIF(RAW_DEATHS!$B:$B,Tabelle28[[#This Row],[Country/Region]],RAW_DEATHS!AZ:AZ)</f>
        <v>827</v>
      </c>
      <c r="AZ29" s="28">
        <f>SUMIF(RAW_DEATHS!$B:$B,Tabelle28[[#This Row],[Country/Region]],RAW_DEATHS!BA:BA)</f>
        <v>827</v>
      </c>
      <c r="BA29" s="28">
        <f>SUMIF(RAW_DEATHS!$B:$B,Tabelle28[[#This Row],[Country/Region]],RAW_DEATHS!BB:BB)</f>
        <v>1266</v>
      </c>
      <c r="BB29" s="28">
        <f>SUMIF(RAW_DEATHS!$B:$B,Tabelle28[[#This Row],[Country/Region]],RAW_DEATHS!BC:BC)</f>
        <v>1441</v>
      </c>
      <c r="BC29" s="28">
        <f>SUMIF(RAW_DEATHS!$B:$B,Tabelle28[[#This Row],[Country/Region]],RAW_DEATHS!BD:BD)</f>
        <v>1809</v>
      </c>
      <c r="BD29" s="28">
        <f>SUMIF(RAW_DEATHS!$B:$B,Tabelle28[[#This Row],[Country/Region]],RAW_DEATHS!BE:BE)</f>
        <v>2158</v>
      </c>
      <c r="BE29" s="28">
        <f>SUMIF(RAW_DEATHS!$B:$B,Tabelle28[[#This Row],[Country/Region]],RAW_DEATHS!BF:BF)</f>
        <v>2503</v>
      </c>
      <c r="BF29" s="28">
        <f>SUMIF(RAW_DEATHS!$B:$B,Tabelle28[[#This Row],[Country/Region]],RAW_DEATHS!BG:BG)</f>
        <v>2978</v>
      </c>
      <c r="BG29" s="28">
        <f>SUMIF(RAW_DEATHS!$B:$B,Tabelle28[[#This Row],[Country/Region]],RAW_DEATHS!BH:BH)</f>
        <v>3405</v>
      </c>
      <c r="BH29" s="28">
        <f>SUMIF(RAW_DEATHS!$B:$B,Tabelle28[[#This Row],[Country/Region]],RAW_DEATHS!BI:BI)</f>
        <v>4032</v>
      </c>
      <c r="BI29" s="28">
        <f>SUMIF(RAW_DEATHS!$B:$B,Tabelle28[[#This Row],[Country/Region]],RAW_DEATHS!BJ:BJ)</f>
        <v>4825</v>
      </c>
      <c r="BJ29" s="28">
        <f>SUMIF(RAW_DEATHS!$B:$B,Tabelle28[[#This Row],[Country/Region]],RAW_DEATHS!BK:BK)</f>
        <v>5476</v>
      </c>
      <c r="BK29" s="28">
        <f>SUMIF(RAW_DEATHS!$B:$B,Tabelle28[[#This Row],[Country/Region]],RAW_DEATHS!BL:BL)</f>
        <v>6077</v>
      </c>
      <c r="BL29" s="28">
        <f>SUMIF(RAW_DEATHS!$B:$B,Tabelle28[[#This Row],[Country/Region]],RAW_DEATHS!BM:BM)</f>
        <v>6820</v>
      </c>
      <c r="BM29" s="28">
        <f>SUMIF(RAW_DEATHS!$B:$B,Tabelle28[[#This Row],[Country/Region]],RAW_DEATHS!BN:BN)</f>
        <v>7503</v>
      </c>
      <c r="BN29" s="28">
        <f>SUMIF(RAW_DEATHS!$B:$B,Tabelle28[[#This Row],[Country/Region]],RAW_DEATHS!BO:BO)</f>
        <v>8215</v>
      </c>
      <c r="BO29" s="28">
        <f>SUMIF(RAW_DEATHS!$B:$B,Tabelle28[[#This Row],[Country/Region]],RAW_DEATHS!BP:BP)</f>
        <v>9134</v>
      </c>
      <c r="BP29" s="28">
        <f>SUMIF(RAW_DEATHS!$B:$B,Tabelle28[[#This Row],[Country/Region]],RAW_DEATHS!BQ:BQ)</f>
        <v>10023</v>
      </c>
      <c r="BQ29" s="28">
        <f>SUMIF(RAW_DEATHS!$B:$B,Tabelle28[[#This Row],[Country/Region]],RAW_DEATHS!BR:BR)</f>
        <v>10779</v>
      </c>
      <c r="BR29" s="28">
        <f>SUMIF(RAW_DEATHS!$B:$B,Tabelle28[[#This Row],[Country/Region]],RAW_DEATHS!BS:BS)</f>
        <v>11591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 t="shared" si="10"/>
        <v>France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1</v>
      </c>
      <c r="AA30" s="28">
        <f>SUMIF(RAW_DEATHS!$B:$B,Tabelle28[[#This Row],[Country/Region]],RAW_DEATHS!AB:AB)</f>
        <v>1</v>
      </c>
      <c r="AB30" s="28">
        <f>SUMIF(RAW_DEATHS!$B:$B,Tabelle28[[#This Row],[Country/Region]],RAW_DEATHS!AC:AC)</f>
        <v>1</v>
      </c>
      <c r="AC30" s="28">
        <f>SUMIF(RAW_DEATHS!$B:$B,Tabelle28[[#This Row],[Country/Region]],RAW_DEATHS!AD:AD)</f>
        <v>1</v>
      </c>
      <c r="AD30" s="28">
        <f>SUMIF(RAW_DEATHS!$B:$B,Tabelle28[[#This Row],[Country/Region]],RAW_DEATHS!AE:AE)</f>
        <v>1</v>
      </c>
      <c r="AE30" s="28">
        <f>SUMIF(RAW_DEATHS!$B:$B,Tabelle28[[#This Row],[Country/Region]],RAW_DEATHS!AF:AF)</f>
        <v>1</v>
      </c>
      <c r="AF30" s="28">
        <f>SUMIF(RAW_DEATHS!$B:$B,Tabelle28[[#This Row],[Country/Region]],RAW_DEATHS!AG:AG)</f>
        <v>1</v>
      </c>
      <c r="AG30" s="28">
        <f>SUMIF(RAW_DEATHS!$B:$B,Tabelle28[[#This Row],[Country/Region]],RAW_DEATHS!AH:AH)</f>
        <v>1</v>
      </c>
      <c r="AH30" s="28">
        <f>SUMIF(RAW_DEATHS!$B:$B,Tabelle28[[#This Row],[Country/Region]],RAW_DEATHS!AI:AI)</f>
        <v>1</v>
      </c>
      <c r="AI30" s="28">
        <f>SUMIF(RAW_DEATHS!$B:$B,Tabelle28[[#This Row],[Country/Region]],RAW_DEATHS!AJ:AJ)</f>
        <v>1</v>
      </c>
      <c r="AJ30" s="28">
        <f>SUMIF(RAW_DEATHS!$B:$B,Tabelle28[[#This Row],[Country/Region]],RAW_DEATHS!AK:AK)</f>
        <v>1</v>
      </c>
      <c r="AK30" s="28">
        <f>SUMIF(RAW_DEATHS!$B:$B,Tabelle28[[#This Row],[Country/Region]],RAW_DEATHS!AL:AL)</f>
        <v>2</v>
      </c>
      <c r="AL30" s="28">
        <f>SUMIF(RAW_DEATHS!$B:$B,Tabelle28[[#This Row],[Country/Region]],RAW_DEATHS!AM:AM)</f>
        <v>2</v>
      </c>
      <c r="AM30" s="28">
        <f>SUMIF(RAW_DEATHS!$B:$B,Tabelle28[[#This Row],[Country/Region]],RAW_DEATHS!AN:AN)</f>
        <v>2</v>
      </c>
      <c r="AN30" s="28">
        <f>SUMIF(RAW_DEATHS!$B:$B,Tabelle28[[#This Row],[Country/Region]],RAW_DEATHS!AO:AO)</f>
        <v>2</v>
      </c>
      <c r="AO30" s="28">
        <f>SUMIF(RAW_DEATHS!$B:$B,Tabelle28[[#This Row],[Country/Region]],RAW_DEATHS!AP:AP)</f>
        <v>2</v>
      </c>
      <c r="AP30" s="28">
        <f>SUMIF(RAW_DEATHS!$B:$B,Tabelle28[[#This Row],[Country/Region]],RAW_DEATHS!AQ:AQ)</f>
        <v>3</v>
      </c>
      <c r="AQ30" s="28">
        <f>SUMIF(RAW_DEATHS!$B:$B,Tabelle28[[#This Row],[Country/Region]],RAW_DEATHS!AR:AR)</f>
        <v>4</v>
      </c>
      <c r="AR30" s="28">
        <f>SUMIF(RAW_DEATHS!$B:$B,Tabelle28[[#This Row],[Country/Region]],RAW_DEATHS!AS:AS)</f>
        <v>4</v>
      </c>
      <c r="AS30" s="28">
        <f>SUMIF(RAW_DEATHS!$B:$B,Tabelle28[[#This Row],[Country/Region]],RAW_DEATHS!AT:AT)</f>
        <v>6</v>
      </c>
      <c r="AT30" s="28">
        <f>SUMIF(RAW_DEATHS!$B:$B,Tabelle28[[#This Row],[Country/Region]],RAW_DEATHS!AU:AU)</f>
        <v>9</v>
      </c>
      <c r="AU30" s="28">
        <f>SUMIF(RAW_DEATHS!$B:$B,Tabelle28[[#This Row],[Country/Region]],RAW_DEATHS!AV:AV)</f>
        <v>11</v>
      </c>
      <c r="AV30" s="28">
        <f>SUMIF(RAW_DEATHS!$B:$B,Tabelle28[[#This Row],[Country/Region]],RAW_DEATHS!AW:AW)</f>
        <v>19</v>
      </c>
      <c r="AW30" s="28">
        <f>SUMIF(RAW_DEATHS!$B:$B,Tabelle28[[#This Row],[Country/Region]],RAW_DEATHS!AX:AX)</f>
        <v>19</v>
      </c>
      <c r="AX30" s="28">
        <f>SUMIF(RAW_DEATHS!$B:$B,Tabelle28[[#This Row],[Country/Region]],RAW_DEATHS!AY:AY)</f>
        <v>33</v>
      </c>
      <c r="AY30" s="28">
        <f>SUMIF(RAW_DEATHS!$B:$B,Tabelle28[[#This Row],[Country/Region]],RAW_DEATHS!AZ:AZ)</f>
        <v>48</v>
      </c>
      <c r="AZ30" s="28">
        <f>SUMIF(RAW_DEATHS!$B:$B,Tabelle28[[#This Row],[Country/Region]],RAW_DEATHS!BA:BA)</f>
        <v>48</v>
      </c>
      <c r="BA30" s="28">
        <f>SUMIF(RAW_DEATHS!$B:$B,Tabelle28[[#This Row],[Country/Region]],RAW_DEATHS!BB:BB)</f>
        <v>79</v>
      </c>
      <c r="BB30" s="28">
        <f>SUMIF(RAW_DEATHS!$B:$B,Tabelle28[[#This Row],[Country/Region]],RAW_DEATHS!BC:BC)</f>
        <v>91</v>
      </c>
      <c r="BC30" s="28">
        <f>SUMIF(RAW_DEATHS!$B:$B,Tabelle28[[#This Row],[Country/Region]],RAW_DEATHS!BD:BD)</f>
        <v>91</v>
      </c>
      <c r="BD30" s="28">
        <f>SUMIF(RAW_DEATHS!$B:$B,Tabelle28[[#This Row],[Country/Region]],RAW_DEATHS!BE:BE)</f>
        <v>149</v>
      </c>
      <c r="BE30" s="28">
        <f>SUMIF(RAW_DEATHS!$B:$B,Tabelle28[[#This Row],[Country/Region]],RAW_DEATHS!BF:BF)</f>
        <v>149</v>
      </c>
      <c r="BF30" s="28">
        <f>SUMIF(RAW_DEATHS!$B:$B,Tabelle28[[#This Row],[Country/Region]],RAW_DEATHS!BG:BG)</f>
        <v>149</v>
      </c>
      <c r="BG30" s="28">
        <f>SUMIF(RAW_DEATHS!$B:$B,Tabelle28[[#This Row],[Country/Region]],RAW_DEATHS!BH:BH)</f>
        <v>244</v>
      </c>
      <c r="BH30" s="28">
        <f>SUMIF(RAW_DEATHS!$B:$B,Tabelle28[[#This Row],[Country/Region]],RAW_DEATHS!BI:BI)</f>
        <v>451</v>
      </c>
      <c r="BI30" s="28">
        <f>SUMIF(RAW_DEATHS!$B:$B,Tabelle28[[#This Row],[Country/Region]],RAW_DEATHS!BJ:BJ)</f>
        <v>563</v>
      </c>
      <c r="BJ30" s="28">
        <f>SUMIF(RAW_DEATHS!$B:$B,Tabelle28[[#This Row],[Country/Region]],RAW_DEATHS!BK:BK)</f>
        <v>676</v>
      </c>
      <c r="BK30" s="28">
        <f>SUMIF(RAW_DEATHS!$B:$B,Tabelle28[[#This Row],[Country/Region]],RAW_DEATHS!BL:BL)</f>
        <v>862</v>
      </c>
      <c r="BL30" s="28">
        <f>SUMIF(RAW_DEATHS!$B:$B,Tabelle28[[#This Row],[Country/Region]],RAW_DEATHS!BM:BM)</f>
        <v>1102</v>
      </c>
      <c r="BM30" s="28">
        <f>SUMIF(RAW_DEATHS!$B:$B,Tabelle28[[#This Row],[Country/Region]],RAW_DEATHS!BN:BN)</f>
        <v>1333</v>
      </c>
      <c r="BN30" s="28">
        <f>SUMIF(RAW_DEATHS!$B:$B,Tabelle28[[#This Row],[Country/Region]],RAW_DEATHS!BO:BO)</f>
        <v>1698</v>
      </c>
      <c r="BO30" s="28">
        <f>SUMIF(RAW_DEATHS!$B:$B,Tabelle28[[#This Row],[Country/Region]],RAW_DEATHS!BP:BP)</f>
        <v>1997</v>
      </c>
      <c r="BP30" s="28">
        <f>SUMIF(RAW_DEATHS!$B:$B,Tabelle28[[#This Row],[Country/Region]],RAW_DEATHS!BQ:BQ)</f>
        <v>2317</v>
      </c>
      <c r="BQ30" s="28">
        <f>SUMIF(RAW_DEATHS!$B:$B,Tabelle28[[#This Row],[Country/Region]],RAW_DEATHS!BR:BR)</f>
        <v>2611</v>
      </c>
      <c r="BR30" s="28">
        <f>SUMIF(RAW_DEATHS!$B:$B,Tabelle28[[#This Row],[Country/Region]],RAW_DEATHS!BS:BS)</f>
        <v>3030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 t="shared" si="10"/>
        <v>Korea, South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2</v>
      </c>
      <c r="AG31" s="28">
        <f>SUMIF(RAW_DEATHS!$B:$B,Tabelle28[[#This Row],[Country/Region]],RAW_DEATHS!AH:AH)</f>
        <v>2</v>
      </c>
      <c r="AH31" s="28">
        <f>SUMIF(RAW_DEATHS!$B:$B,Tabelle28[[#This Row],[Country/Region]],RAW_DEATHS!AI:AI)</f>
        <v>6</v>
      </c>
      <c r="AI31" s="28">
        <f>SUMIF(RAW_DEATHS!$B:$B,Tabelle28[[#This Row],[Country/Region]],RAW_DEATHS!AJ:AJ)</f>
        <v>8</v>
      </c>
      <c r="AJ31" s="28">
        <f>SUMIF(RAW_DEATHS!$B:$B,Tabelle28[[#This Row],[Country/Region]],RAW_DEATHS!AK:AK)</f>
        <v>10</v>
      </c>
      <c r="AK31" s="28">
        <f>SUMIF(RAW_DEATHS!$B:$B,Tabelle28[[#This Row],[Country/Region]],RAW_DEATHS!AL:AL)</f>
        <v>12</v>
      </c>
      <c r="AL31" s="28">
        <f>SUMIF(RAW_DEATHS!$B:$B,Tabelle28[[#This Row],[Country/Region]],RAW_DEATHS!AM:AM)</f>
        <v>13</v>
      </c>
      <c r="AM31" s="28">
        <f>SUMIF(RAW_DEATHS!$B:$B,Tabelle28[[#This Row],[Country/Region]],RAW_DEATHS!AN:AN)</f>
        <v>13</v>
      </c>
      <c r="AN31" s="28">
        <f>SUMIF(RAW_DEATHS!$B:$B,Tabelle28[[#This Row],[Country/Region]],RAW_DEATHS!AO:AO)</f>
        <v>16</v>
      </c>
      <c r="AO31" s="28">
        <f>SUMIF(RAW_DEATHS!$B:$B,Tabelle28[[#This Row],[Country/Region]],RAW_DEATHS!AP:AP)</f>
        <v>17</v>
      </c>
      <c r="AP31" s="28">
        <f>SUMIF(RAW_DEATHS!$B:$B,Tabelle28[[#This Row],[Country/Region]],RAW_DEATHS!AQ:AQ)</f>
        <v>28</v>
      </c>
      <c r="AQ31" s="28">
        <f>SUMIF(RAW_DEATHS!$B:$B,Tabelle28[[#This Row],[Country/Region]],RAW_DEATHS!AR:AR)</f>
        <v>28</v>
      </c>
      <c r="AR31" s="28">
        <f>SUMIF(RAW_DEATHS!$B:$B,Tabelle28[[#This Row],[Country/Region]],RAW_DEATHS!AS:AS)</f>
        <v>35</v>
      </c>
      <c r="AS31" s="28">
        <f>SUMIF(RAW_DEATHS!$B:$B,Tabelle28[[#This Row],[Country/Region]],RAW_DEATHS!AT:AT)</f>
        <v>35</v>
      </c>
      <c r="AT31" s="28">
        <f>SUMIF(RAW_DEATHS!$B:$B,Tabelle28[[#This Row],[Country/Region]],RAW_DEATHS!AU:AU)</f>
        <v>42</v>
      </c>
      <c r="AU31" s="28">
        <f>SUMIF(RAW_DEATHS!$B:$B,Tabelle28[[#This Row],[Country/Region]],RAW_DEATHS!AV:AV)</f>
        <v>44</v>
      </c>
      <c r="AV31" s="28">
        <f>SUMIF(RAW_DEATHS!$B:$B,Tabelle28[[#This Row],[Country/Region]],RAW_DEATHS!AW:AW)</f>
        <v>50</v>
      </c>
      <c r="AW31" s="28">
        <f>SUMIF(RAW_DEATHS!$B:$B,Tabelle28[[#This Row],[Country/Region]],RAW_DEATHS!AX:AX)</f>
        <v>53</v>
      </c>
      <c r="AX31" s="28">
        <f>SUMIF(RAW_DEATHS!$B:$B,Tabelle28[[#This Row],[Country/Region]],RAW_DEATHS!AY:AY)</f>
        <v>54</v>
      </c>
      <c r="AY31" s="28">
        <f>SUMIF(RAW_DEATHS!$B:$B,Tabelle28[[#This Row],[Country/Region]],RAW_DEATHS!AZ:AZ)</f>
        <v>60</v>
      </c>
      <c r="AZ31" s="28">
        <f>SUMIF(RAW_DEATHS!$B:$B,Tabelle28[[#This Row],[Country/Region]],RAW_DEATHS!BA:BA)</f>
        <v>66</v>
      </c>
      <c r="BA31" s="28">
        <f>SUMIF(RAW_DEATHS!$B:$B,Tabelle28[[#This Row],[Country/Region]],RAW_DEATHS!BB:BB)</f>
        <v>66</v>
      </c>
      <c r="BB31" s="28">
        <f>SUMIF(RAW_DEATHS!$B:$B,Tabelle28[[#This Row],[Country/Region]],RAW_DEATHS!BC:BC)</f>
        <v>72</v>
      </c>
      <c r="BC31" s="28">
        <f>SUMIF(RAW_DEATHS!$B:$B,Tabelle28[[#This Row],[Country/Region]],RAW_DEATHS!BD:BD)</f>
        <v>75</v>
      </c>
      <c r="BD31" s="28">
        <f>SUMIF(RAW_DEATHS!$B:$B,Tabelle28[[#This Row],[Country/Region]],RAW_DEATHS!BE:BE)</f>
        <v>75</v>
      </c>
      <c r="BE31" s="28">
        <f>SUMIF(RAW_DEATHS!$B:$B,Tabelle28[[#This Row],[Country/Region]],RAW_DEATHS!BF:BF)</f>
        <v>81</v>
      </c>
      <c r="BF31" s="28">
        <f>SUMIF(RAW_DEATHS!$B:$B,Tabelle28[[#This Row],[Country/Region]],RAW_DEATHS!BG:BG)</f>
        <v>84</v>
      </c>
      <c r="BG31" s="28">
        <f>SUMIF(RAW_DEATHS!$B:$B,Tabelle28[[#This Row],[Country/Region]],RAW_DEATHS!BH:BH)</f>
        <v>91</v>
      </c>
      <c r="BH31" s="28">
        <f>SUMIF(RAW_DEATHS!$B:$B,Tabelle28[[#This Row],[Country/Region]],RAW_DEATHS!BI:BI)</f>
        <v>94</v>
      </c>
      <c r="BI31" s="28">
        <f>SUMIF(RAW_DEATHS!$B:$B,Tabelle28[[#This Row],[Country/Region]],RAW_DEATHS!BJ:BJ)</f>
        <v>102</v>
      </c>
      <c r="BJ31" s="28">
        <f>SUMIF(RAW_DEATHS!$B:$B,Tabelle28[[#This Row],[Country/Region]],RAW_DEATHS!BK:BK)</f>
        <v>111</v>
      </c>
      <c r="BK31" s="28">
        <f>SUMIF(RAW_DEATHS!$B:$B,Tabelle28[[#This Row],[Country/Region]],RAW_DEATHS!BL:BL)</f>
        <v>111</v>
      </c>
      <c r="BL31" s="28">
        <f>SUMIF(RAW_DEATHS!$B:$B,Tabelle28[[#This Row],[Country/Region]],RAW_DEATHS!BM:BM)</f>
        <v>120</v>
      </c>
      <c r="BM31" s="28">
        <f>SUMIF(RAW_DEATHS!$B:$B,Tabelle28[[#This Row],[Country/Region]],RAW_DEATHS!BN:BN)</f>
        <v>126</v>
      </c>
      <c r="BN31" s="28">
        <f>SUMIF(RAW_DEATHS!$B:$B,Tabelle28[[#This Row],[Country/Region]],RAW_DEATHS!BO:BO)</f>
        <v>131</v>
      </c>
      <c r="BO31" s="28">
        <f>SUMIF(RAW_DEATHS!$B:$B,Tabelle28[[#This Row],[Country/Region]],RAW_DEATHS!BP:BP)</f>
        <v>139</v>
      </c>
      <c r="BP31" s="28">
        <f>SUMIF(RAW_DEATHS!$B:$B,Tabelle28[[#This Row],[Country/Region]],RAW_DEATHS!BQ:BQ)</f>
        <v>144</v>
      </c>
      <c r="BQ31" s="28">
        <f>SUMIF(RAW_DEATHS!$B:$B,Tabelle28[[#This Row],[Country/Region]],RAW_DEATHS!BR:BR)</f>
        <v>152</v>
      </c>
      <c r="BR31" s="28">
        <f>SUMIF(RAW_DEATHS!$B:$B,Tabelle28[[#This Row],[Country/Region]],RAW_DEATHS!BS:BS)</f>
        <v>158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2.75" x14ac:dyDescent="0.2">
      <c r="A32" s="27" t="str">
        <f>IF(ISBLANK(A21),"",A21)</f>
        <v>Spain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0</v>
      </c>
      <c r="AA32" s="28">
        <f>SUMIF(RAW_DEATHS!$B:$B,Tabelle28[[#This Row],[Country/Region]],RAW_DEATHS!AB:AB)</f>
        <v>0</v>
      </c>
      <c r="AB32" s="28">
        <f>SUMIF(RAW_DEATHS!$B:$B,Tabelle28[[#This Row],[Country/Region]],RAW_DEATHS!AC:AC)</f>
        <v>0</v>
      </c>
      <c r="AC32" s="28">
        <f>SUMIF(RAW_DEATHS!$B:$B,Tabelle28[[#This Row],[Country/Region]],RAW_DEATHS!AD:AD)</f>
        <v>0</v>
      </c>
      <c r="AD32" s="28">
        <f>SUMIF(RAW_DEATHS!$B:$B,Tabelle28[[#This Row],[Country/Region]],RAW_DEATHS!AE:AE)</f>
        <v>0</v>
      </c>
      <c r="AE32" s="28">
        <f>SUMIF(RAW_DEATHS!$B:$B,Tabelle28[[#This Row],[Country/Region]],RAW_DEATHS!AF:AF)</f>
        <v>0</v>
      </c>
      <c r="AF32" s="28">
        <f>SUMIF(RAW_DEATHS!$B:$B,Tabelle28[[#This Row],[Country/Region]],RAW_DEATHS!AG:AG)</f>
        <v>0</v>
      </c>
      <c r="AG32" s="28">
        <f>SUMIF(RAW_DEATHS!$B:$B,Tabelle28[[#This Row],[Country/Region]],RAW_DEATHS!AH:AH)</f>
        <v>0</v>
      </c>
      <c r="AH32" s="28">
        <f>SUMIF(RAW_DEATHS!$B:$B,Tabelle28[[#This Row],[Country/Region]],RAW_DEATHS!AI:AI)</f>
        <v>0</v>
      </c>
      <c r="AI32" s="28">
        <f>SUMIF(RAW_DEATHS!$B:$B,Tabelle28[[#This Row],[Country/Region]],RAW_DEATHS!AJ:AJ)</f>
        <v>0</v>
      </c>
      <c r="AJ32" s="28">
        <f>SUMIF(RAW_DEATHS!$B:$B,Tabelle28[[#This Row],[Country/Region]],RAW_DEATHS!AK:AK)</f>
        <v>0</v>
      </c>
      <c r="AK32" s="28">
        <f>SUMIF(RAW_DEATHS!$B:$B,Tabelle28[[#This Row],[Country/Region]],RAW_DEATHS!AL:AL)</f>
        <v>0</v>
      </c>
      <c r="AL32" s="28">
        <f>SUMIF(RAW_DEATHS!$B:$B,Tabelle28[[#This Row],[Country/Region]],RAW_DEATHS!AM:AM)</f>
        <v>0</v>
      </c>
      <c r="AM32" s="28">
        <f>SUMIF(RAW_DEATHS!$B:$B,Tabelle28[[#This Row],[Country/Region]],RAW_DEATHS!AN:AN)</f>
        <v>0</v>
      </c>
      <c r="AN32" s="28">
        <f>SUMIF(RAW_DEATHS!$B:$B,Tabelle28[[#This Row],[Country/Region]],RAW_DEATHS!AO:AO)</f>
        <v>0</v>
      </c>
      <c r="AO32" s="28">
        <f>SUMIF(RAW_DEATHS!$B:$B,Tabelle28[[#This Row],[Country/Region]],RAW_DEATHS!AP:AP)</f>
        <v>0</v>
      </c>
      <c r="AP32" s="28">
        <f>SUMIF(RAW_DEATHS!$B:$B,Tabelle28[[#This Row],[Country/Region]],RAW_DEATHS!AQ:AQ)</f>
        <v>0</v>
      </c>
      <c r="AQ32" s="28">
        <f>SUMIF(RAW_DEATHS!$B:$B,Tabelle28[[#This Row],[Country/Region]],RAW_DEATHS!AR:AR)</f>
        <v>1</v>
      </c>
      <c r="AR32" s="28">
        <f>SUMIF(RAW_DEATHS!$B:$B,Tabelle28[[#This Row],[Country/Region]],RAW_DEATHS!AS:AS)</f>
        <v>2</v>
      </c>
      <c r="AS32" s="28">
        <f>SUMIF(RAW_DEATHS!$B:$B,Tabelle28[[#This Row],[Country/Region]],RAW_DEATHS!AT:AT)</f>
        <v>3</v>
      </c>
      <c r="AT32" s="28">
        <f>SUMIF(RAW_DEATHS!$B:$B,Tabelle28[[#This Row],[Country/Region]],RAW_DEATHS!AU:AU)</f>
        <v>5</v>
      </c>
      <c r="AU32" s="28">
        <f>SUMIF(RAW_DEATHS!$B:$B,Tabelle28[[#This Row],[Country/Region]],RAW_DEATHS!AV:AV)</f>
        <v>10</v>
      </c>
      <c r="AV32" s="28">
        <f>SUMIF(RAW_DEATHS!$B:$B,Tabelle28[[#This Row],[Country/Region]],RAW_DEATHS!AW:AW)</f>
        <v>17</v>
      </c>
      <c r="AW32" s="28">
        <f>SUMIF(RAW_DEATHS!$B:$B,Tabelle28[[#This Row],[Country/Region]],RAW_DEATHS!AX:AX)</f>
        <v>28</v>
      </c>
      <c r="AX32" s="28">
        <f>SUMIF(RAW_DEATHS!$B:$B,Tabelle28[[#This Row],[Country/Region]],RAW_DEATHS!AY:AY)</f>
        <v>35</v>
      </c>
      <c r="AY32" s="28">
        <f>SUMIF(RAW_DEATHS!$B:$B,Tabelle28[[#This Row],[Country/Region]],RAW_DEATHS!AZ:AZ)</f>
        <v>54</v>
      </c>
      <c r="AZ32" s="28">
        <f>SUMIF(RAW_DEATHS!$B:$B,Tabelle28[[#This Row],[Country/Region]],RAW_DEATHS!BA:BA)</f>
        <v>55</v>
      </c>
      <c r="BA32" s="28">
        <f>SUMIF(RAW_DEATHS!$B:$B,Tabelle28[[#This Row],[Country/Region]],RAW_DEATHS!BB:BB)</f>
        <v>133</v>
      </c>
      <c r="BB32" s="28">
        <f>SUMIF(RAW_DEATHS!$B:$B,Tabelle28[[#This Row],[Country/Region]],RAW_DEATHS!BC:BC)</f>
        <v>195</v>
      </c>
      <c r="BC32" s="28">
        <f>SUMIF(RAW_DEATHS!$B:$B,Tabelle28[[#This Row],[Country/Region]],RAW_DEATHS!BD:BD)</f>
        <v>289</v>
      </c>
      <c r="BD32" s="28">
        <f>SUMIF(RAW_DEATHS!$B:$B,Tabelle28[[#This Row],[Country/Region]],RAW_DEATHS!BE:BE)</f>
        <v>342</v>
      </c>
      <c r="BE32" s="28">
        <f>SUMIF(RAW_DEATHS!$B:$B,Tabelle28[[#This Row],[Country/Region]],RAW_DEATHS!BF:BF)</f>
        <v>533</v>
      </c>
      <c r="BF32" s="28">
        <f>SUMIF(RAW_DEATHS!$B:$B,Tabelle28[[#This Row],[Country/Region]],RAW_DEATHS!BG:BG)</f>
        <v>623</v>
      </c>
      <c r="BG32" s="28">
        <f>SUMIF(RAW_DEATHS!$B:$B,Tabelle28[[#This Row],[Country/Region]],RAW_DEATHS!BH:BH)</f>
        <v>830</v>
      </c>
      <c r="BH32" s="28">
        <f>SUMIF(RAW_DEATHS!$B:$B,Tabelle28[[#This Row],[Country/Region]],RAW_DEATHS!BI:BI)</f>
        <v>1043</v>
      </c>
      <c r="BI32" s="28">
        <f>SUMIF(RAW_DEATHS!$B:$B,Tabelle28[[#This Row],[Country/Region]],RAW_DEATHS!BJ:BJ)</f>
        <v>1375</v>
      </c>
      <c r="BJ32" s="28">
        <f>SUMIF(RAW_DEATHS!$B:$B,Tabelle28[[#This Row],[Country/Region]],RAW_DEATHS!BK:BK)</f>
        <v>1772</v>
      </c>
      <c r="BK32" s="28">
        <f>SUMIF(RAW_DEATHS!$B:$B,Tabelle28[[#This Row],[Country/Region]],RAW_DEATHS!BL:BL)</f>
        <v>2311</v>
      </c>
      <c r="BL32" s="28">
        <f>SUMIF(RAW_DEATHS!$B:$B,Tabelle28[[#This Row],[Country/Region]],RAW_DEATHS!BM:BM)</f>
        <v>2808</v>
      </c>
      <c r="BM32" s="28">
        <f>SUMIF(RAW_DEATHS!$B:$B,Tabelle28[[#This Row],[Country/Region]],RAW_DEATHS!BN:BN)</f>
        <v>3647</v>
      </c>
      <c r="BN32" s="28">
        <f>SUMIF(RAW_DEATHS!$B:$B,Tabelle28[[#This Row],[Country/Region]],RAW_DEATHS!BO:BO)</f>
        <v>4365</v>
      </c>
      <c r="BO32" s="28">
        <f>SUMIF(RAW_DEATHS!$B:$B,Tabelle28[[#This Row],[Country/Region]],RAW_DEATHS!BP:BP)</f>
        <v>5138</v>
      </c>
      <c r="BP32" s="28">
        <f>SUMIF(RAW_DEATHS!$B:$B,Tabelle28[[#This Row],[Country/Region]],RAW_DEATHS!BQ:BQ)</f>
        <v>5982</v>
      </c>
      <c r="BQ32" s="28">
        <f>SUMIF(RAW_DEATHS!$B:$B,Tabelle28[[#This Row],[Country/Region]],RAW_DEATHS!BR:BR)</f>
        <v>6803</v>
      </c>
      <c r="BR32" s="28">
        <f>SUMIF(RAW_DEATHS!$B:$B,Tabelle28[[#This Row],[Country/Region]],RAW_DEATHS!BS:BS)</f>
        <v>7716</v>
      </c>
      <c r="BS32" s="28">
        <f>SUMIF(RAW_DEATHS!$B:$B,Tabelle28[[#This Row],[Country/Region]],RAW_DEATHS!BT:BT)</f>
        <v>0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1" customFormat="1" ht="12.75" x14ac:dyDescent="0.2">
      <c r="A33" s="27" t="str">
        <f t="shared" ref="A33" si="11">IF(ISBLANK(A22),"",A22)</f>
        <v/>
      </c>
      <c r="B33" s="28">
        <f>SUMIF(RAW_DEATHS!$B:$B,Tabelle28[[#This Row],[Country/Region]],RAW_DEATHS!C:C)</f>
        <v>0</v>
      </c>
      <c r="C33" s="28">
        <f>SUMIF(RAW_DEATHS!$B:$B,Tabelle28[[#This Row],[Country/Region]],RAW_DEATHS!D:D)</f>
        <v>0</v>
      </c>
      <c r="D33" s="28">
        <f>SUMIF(RAW_DEATHS!$B:$B,Tabelle28[[#This Row],[Country/Region]],RAW_DEATHS!E:E)</f>
        <v>0</v>
      </c>
      <c r="E33" s="28">
        <f>SUMIF(RAW_DEATHS!$B:$B,Tabelle28[[#This Row],[Country/Region]],RAW_DEATHS!F:F)</f>
        <v>0</v>
      </c>
      <c r="F33" s="28">
        <f>SUMIF(RAW_DEATHS!$B:$B,Tabelle28[[#This Row],[Country/Region]],RAW_DEATHS!G:G)</f>
        <v>0</v>
      </c>
      <c r="G33" s="28">
        <f>SUMIF(RAW_DEATHS!$B:$B,Tabelle28[[#This Row],[Country/Region]],RAW_DEATHS!H:H)</f>
        <v>0</v>
      </c>
      <c r="H33" s="28">
        <f>SUMIF(RAW_DEATHS!$B:$B,Tabelle28[[#This Row],[Country/Region]],RAW_DEATHS!I:I)</f>
        <v>0</v>
      </c>
      <c r="I33" s="28">
        <f>SUMIF(RAW_DEATHS!$B:$B,Tabelle28[[#This Row],[Country/Region]],RAW_DEATHS!J:J)</f>
        <v>0</v>
      </c>
      <c r="J33" s="28">
        <f>SUMIF(RAW_DEATHS!$B:$B,Tabelle28[[#This Row],[Country/Region]],RAW_DEATHS!K:K)</f>
        <v>0</v>
      </c>
      <c r="K33" s="28">
        <f>SUMIF(RAW_DEATHS!$B:$B,Tabelle28[[#This Row],[Country/Region]],RAW_DEATHS!L:L)</f>
        <v>0</v>
      </c>
      <c r="L33" s="28">
        <f>SUMIF(RAW_DEATHS!$B:$B,Tabelle28[[#This Row],[Country/Region]],RAW_DEATHS!M:M)</f>
        <v>0</v>
      </c>
      <c r="M33" s="28">
        <f>SUMIF(RAW_DEATHS!$B:$B,Tabelle28[[#This Row],[Country/Region]],RAW_DEATHS!N:N)</f>
        <v>0</v>
      </c>
      <c r="N33" s="28">
        <f>SUMIF(RAW_DEATHS!$B:$B,Tabelle28[[#This Row],[Country/Region]],RAW_DEATHS!O:O)</f>
        <v>0</v>
      </c>
      <c r="O33" s="28">
        <f>SUMIF(RAW_DEATHS!$B:$B,Tabelle28[[#This Row],[Country/Region]],RAW_DEATHS!P:P)</f>
        <v>0</v>
      </c>
      <c r="P33" s="28">
        <f>SUMIF(RAW_DEATHS!$B:$B,Tabelle28[[#This Row],[Country/Region]],RAW_DEATHS!Q:Q)</f>
        <v>0</v>
      </c>
      <c r="Q33" s="28">
        <f>SUMIF(RAW_DEATHS!$B:$B,Tabelle28[[#This Row],[Country/Region]],RAW_DEATHS!R:R)</f>
        <v>0</v>
      </c>
      <c r="R33" s="28">
        <f>SUMIF(RAW_DEATHS!$B:$B,Tabelle28[[#This Row],[Country/Region]],RAW_DEATHS!S:S)</f>
        <v>0</v>
      </c>
      <c r="S33" s="28">
        <f>SUMIF(RAW_DEATHS!$B:$B,Tabelle28[[#This Row],[Country/Region]],RAW_DEATHS!T:T)</f>
        <v>0</v>
      </c>
      <c r="T33" s="28">
        <f>SUMIF(RAW_DEATHS!$B:$B,Tabelle28[[#This Row],[Country/Region]],RAW_DEATHS!U:U)</f>
        <v>0</v>
      </c>
      <c r="U33" s="28">
        <f>SUMIF(RAW_DEATHS!$B:$B,Tabelle28[[#This Row],[Country/Region]],RAW_DEATHS!V:V)</f>
        <v>0</v>
      </c>
      <c r="V33" s="28">
        <f>SUMIF(RAW_DEATHS!$B:$B,Tabelle28[[#This Row],[Country/Region]],RAW_DEATHS!W:W)</f>
        <v>0</v>
      </c>
      <c r="W33" s="28">
        <f>SUMIF(RAW_DEATHS!$B:$B,Tabelle28[[#This Row],[Country/Region]],RAW_DEATHS!X:X)</f>
        <v>0</v>
      </c>
      <c r="X33" s="28">
        <f>SUMIF(RAW_DEATHS!$B:$B,Tabelle28[[#This Row],[Country/Region]],RAW_DEATHS!Y:Y)</f>
        <v>0</v>
      </c>
      <c r="Y33" s="28">
        <f>SUMIF(RAW_DEATHS!$B:$B,Tabelle28[[#This Row],[Country/Region]],RAW_DEATHS!Z:Z)</f>
        <v>0</v>
      </c>
      <c r="Z33" s="28">
        <f>SUMIF(RAW_DEATHS!$B:$B,Tabelle28[[#This Row],[Country/Region]],RAW_DEATHS!AA:AA)</f>
        <v>0</v>
      </c>
      <c r="AA33" s="28">
        <f>SUMIF(RAW_DEATHS!$B:$B,Tabelle28[[#This Row],[Country/Region]],RAW_DEATHS!AB:AB)</f>
        <v>0</v>
      </c>
      <c r="AB33" s="28">
        <f>SUMIF(RAW_DEATHS!$B:$B,Tabelle28[[#This Row],[Country/Region]],RAW_DEATHS!AC:AC)</f>
        <v>0</v>
      </c>
      <c r="AC33" s="28">
        <f>SUMIF(RAW_DEATHS!$B:$B,Tabelle28[[#This Row],[Country/Region]],RAW_DEATHS!AD:AD)</f>
        <v>0</v>
      </c>
      <c r="AD33" s="28">
        <f>SUMIF(RAW_DEATHS!$B:$B,Tabelle28[[#This Row],[Country/Region]],RAW_DEATHS!AE:AE)</f>
        <v>0</v>
      </c>
      <c r="AE33" s="28">
        <f>SUMIF(RAW_DEATHS!$B:$B,Tabelle28[[#This Row],[Country/Region]],RAW_DEATHS!AF:AF)</f>
        <v>0</v>
      </c>
      <c r="AF33" s="28">
        <f>SUMIF(RAW_DEATHS!$B:$B,Tabelle28[[#This Row],[Country/Region]],RAW_DEATHS!AG:AG)</f>
        <v>0</v>
      </c>
      <c r="AG33" s="28">
        <f>SUMIF(RAW_DEATHS!$B:$B,Tabelle28[[#This Row],[Country/Region]],RAW_DEATHS!AH:AH)</f>
        <v>0</v>
      </c>
      <c r="AH33" s="28">
        <f>SUMIF(RAW_DEATHS!$B:$B,Tabelle28[[#This Row],[Country/Region]],RAW_DEATHS!AI:AI)</f>
        <v>0</v>
      </c>
      <c r="AI33" s="28">
        <f>SUMIF(RAW_DEATHS!$B:$B,Tabelle28[[#This Row],[Country/Region]],RAW_DEATHS!AJ:AJ)</f>
        <v>0</v>
      </c>
      <c r="AJ33" s="28">
        <f>SUMIF(RAW_DEATHS!$B:$B,Tabelle28[[#This Row],[Country/Region]],RAW_DEATHS!AK:AK)</f>
        <v>0</v>
      </c>
      <c r="AK33" s="28">
        <f>SUMIF(RAW_DEATHS!$B:$B,Tabelle28[[#This Row],[Country/Region]],RAW_DEATHS!AL:AL)</f>
        <v>0</v>
      </c>
      <c r="AL33" s="28">
        <f>SUMIF(RAW_DEATHS!$B:$B,Tabelle28[[#This Row],[Country/Region]],RAW_DEATHS!AM:AM)</f>
        <v>0</v>
      </c>
      <c r="AM33" s="28">
        <f>SUMIF(RAW_DEATHS!$B:$B,Tabelle28[[#This Row],[Country/Region]],RAW_DEATHS!AN:AN)</f>
        <v>0</v>
      </c>
      <c r="AN33" s="28">
        <f>SUMIF(RAW_DEATHS!$B:$B,Tabelle28[[#This Row],[Country/Region]],RAW_DEATHS!AO:AO)</f>
        <v>0</v>
      </c>
      <c r="AO33" s="28">
        <f>SUMIF(RAW_DEATHS!$B:$B,Tabelle28[[#This Row],[Country/Region]],RAW_DEATHS!AP:AP)</f>
        <v>0</v>
      </c>
      <c r="AP33" s="28">
        <f>SUMIF(RAW_DEATHS!$B:$B,Tabelle28[[#This Row],[Country/Region]],RAW_DEATHS!AQ:AQ)</f>
        <v>0</v>
      </c>
      <c r="AQ33" s="28">
        <f>SUMIF(RAW_DEATHS!$B:$B,Tabelle28[[#This Row],[Country/Region]],RAW_DEATHS!AR:AR)</f>
        <v>0</v>
      </c>
      <c r="AR33" s="28">
        <f>SUMIF(RAW_DEATHS!$B:$B,Tabelle28[[#This Row],[Country/Region]],RAW_DEATHS!AS:AS)</f>
        <v>0</v>
      </c>
      <c r="AS33" s="28">
        <f>SUMIF(RAW_DEATHS!$B:$B,Tabelle28[[#This Row],[Country/Region]],RAW_DEATHS!AT:AT)</f>
        <v>0</v>
      </c>
      <c r="AT33" s="28">
        <f>SUMIF(RAW_DEATHS!$B:$B,Tabelle28[[#This Row],[Country/Region]],RAW_DEATHS!AU:AU)</f>
        <v>0</v>
      </c>
      <c r="AU33" s="28">
        <f>SUMIF(RAW_DEATHS!$B:$B,Tabelle28[[#This Row],[Country/Region]],RAW_DEATHS!AV:AV)</f>
        <v>0</v>
      </c>
      <c r="AV33" s="28">
        <f>SUMIF(RAW_DEATHS!$B:$B,Tabelle28[[#This Row],[Country/Region]],RAW_DEATHS!AW:AW)</f>
        <v>0</v>
      </c>
      <c r="AW33" s="28">
        <f>SUMIF(RAW_DEATHS!$B:$B,Tabelle28[[#This Row],[Country/Region]],RAW_DEATHS!AX:AX)</f>
        <v>0</v>
      </c>
      <c r="AX33" s="28">
        <f>SUMIF(RAW_DEATHS!$B:$B,Tabelle28[[#This Row],[Country/Region]],RAW_DEATHS!AY:AY)</f>
        <v>0</v>
      </c>
      <c r="AY33" s="28">
        <f>SUMIF(RAW_DEATHS!$B:$B,Tabelle28[[#This Row],[Country/Region]],RAW_DEATHS!AZ:AZ)</f>
        <v>0</v>
      </c>
      <c r="AZ33" s="28">
        <f>SUMIF(RAW_DEATHS!$B:$B,Tabelle28[[#This Row],[Country/Region]],RAW_DEATHS!BA:BA)</f>
        <v>0</v>
      </c>
      <c r="BA33" s="28">
        <f>SUMIF(RAW_DEATHS!$B:$B,Tabelle28[[#This Row],[Country/Region]],RAW_DEATHS!BB:BB)</f>
        <v>0</v>
      </c>
      <c r="BB33" s="28">
        <f>SUMIF(RAW_DEATHS!$B:$B,Tabelle28[[#This Row],[Country/Region]],RAW_DEATHS!BC:BC)</f>
        <v>0</v>
      </c>
      <c r="BC33" s="28">
        <f>SUMIF(RAW_DEATHS!$B:$B,Tabelle28[[#This Row],[Country/Region]],RAW_DEATHS!BD:BD)</f>
        <v>0</v>
      </c>
      <c r="BD33" s="28">
        <f>SUMIF(RAW_DEATHS!$B:$B,Tabelle28[[#This Row],[Country/Region]],RAW_DEATHS!BE:BE)</f>
        <v>0</v>
      </c>
      <c r="BE33" s="28">
        <f>SUMIF(RAW_DEATHS!$B:$B,Tabelle28[[#This Row],[Country/Region]],RAW_DEATHS!BF:BF)</f>
        <v>0</v>
      </c>
      <c r="BF33" s="28">
        <f>SUMIF(RAW_DEATHS!$B:$B,Tabelle28[[#This Row],[Country/Region]],RAW_DEATHS!BG:BG)</f>
        <v>0</v>
      </c>
      <c r="BG33" s="28">
        <f>SUMIF(RAW_DEATHS!$B:$B,Tabelle28[[#This Row],[Country/Region]],RAW_DEATHS!BH:BH)</f>
        <v>0</v>
      </c>
      <c r="BH33" s="28">
        <f>SUMIF(RAW_DEATHS!$B:$B,Tabelle28[[#This Row],[Country/Region]],RAW_DEATHS!BI:BI)</f>
        <v>0</v>
      </c>
      <c r="BI33" s="28">
        <f>SUMIF(RAW_DEATHS!$B:$B,Tabelle28[[#This Row],[Country/Region]],RAW_DEATHS!BJ:BJ)</f>
        <v>0</v>
      </c>
      <c r="BJ33" s="28">
        <f>SUMIF(RAW_DEATHS!$B:$B,Tabelle28[[#This Row],[Country/Region]],RAW_DEATHS!BK:BK)</f>
        <v>0</v>
      </c>
      <c r="BK33" s="28">
        <f>SUMIF(RAW_DEATHS!$B:$B,Tabelle28[[#This Row],[Country/Region]],RAW_DEATHS!BL:BL)</f>
        <v>0</v>
      </c>
      <c r="BL33" s="28">
        <f>SUMIF(RAW_DEATHS!$B:$B,Tabelle28[[#This Row],[Country/Region]],RAW_DEATHS!BM:BM)</f>
        <v>0</v>
      </c>
      <c r="BM33" s="28">
        <f>SUMIF(RAW_DEATHS!$B:$B,Tabelle28[[#This Row],[Country/Region]],RAW_DEATHS!BN:BN)</f>
        <v>0</v>
      </c>
      <c r="BN33" s="28">
        <f>SUMIF(RAW_DEATHS!$B:$B,Tabelle28[[#This Row],[Country/Region]],RAW_DEATHS!BO:BO)</f>
        <v>0</v>
      </c>
      <c r="BO33" s="28">
        <f>SUMIF(RAW_DEATHS!$B:$B,Tabelle28[[#This Row],[Country/Region]],RAW_DEATHS!BP:BP)</f>
        <v>0</v>
      </c>
      <c r="BP33" s="28">
        <f>SUMIF(RAW_DEATHS!$B:$B,Tabelle28[[#This Row],[Country/Region]],RAW_DEATHS!BQ:BQ)</f>
        <v>0</v>
      </c>
      <c r="BQ33" s="28">
        <f>SUMIF(RAW_DEATHS!$B:$B,Tabelle28[[#This Row],[Country/Region]],RAW_DEATHS!BR:BR)</f>
        <v>0</v>
      </c>
      <c r="BR33" s="28">
        <f>SUMIF(RAW_DEATHS!$B:$B,Tabelle28[[#This Row],[Country/Region]],RAW_DEATHS!BS:BS)</f>
        <v>0</v>
      </c>
      <c r="BS33" s="28">
        <f>SUMIF(RAW_DEATHS!$B:$B,Tabelle28[[#This Row],[Country/Region]],RAW_DEATHS!BT:BT)</f>
        <v>0</v>
      </c>
      <c r="BT33" s="28">
        <f>SUMIF(RAW_DEATHS!$B:$B,Tabelle28[[#This Row],[Country/Region]],RAW_DEATHS!BU:BU)</f>
        <v>0</v>
      </c>
      <c r="BU33" s="28">
        <f>SUMIF(RAW_DEATHS!$B:$B,Tabelle28[[#This Row],[Country/Region]],RAW_DEATHS!BV:BV)</f>
        <v>0</v>
      </c>
      <c r="BV33" s="28">
        <f>SUMIF(RAW_DEATHS!$B:$B,Tabelle28[[#This Row],[Country/Region]],RAW_DEATHS!BW:BW)</f>
        <v>0</v>
      </c>
      <c r="BW33" s="28">
        <f>SUMIF(RAW_DEATHS!$B:$B,Tabelle28[[#This Row],[Country/Region]],RAW_DEATHS!BX:BX)</f>
        <v>0</v>
      </c>
      <c r="BX33" s="28">
        <f>SUMIF(RAW_DEATHS!$B:$B,Tabelle28[[#This Row],[Country/Region]],RAW_DEATHS!BY:BY)</f>
        <v>0</v>
      </c>
      <c r="BY33" s="28">
        <f>SUMIF(RAW_DEATHS!$B:$B,Tabelle28[[#This Row],[Country/Region]],RAW_DEATHS!BZ:BZ)</f>
        <v>0</v>
      </c>
      <c r="BZ33" s="28">
        <f>SUMIF(RAW_DEATHS!$B:$B,Tabelle28[[#This Row],[Country/Region]],RAW_DEATHS!CA:CA)</f>
        <v>0</v>
      </c>
      <c r="CA33" s="28">
        <f>SUMIF(RAW_DEATHS!$B:$B,Tabelle28[[#This Row],[Country/Region]],RAW_DEATHS!CB:CB)</f>
        <v>0</v>
      </c>
      <c r="CB33" s="28">
        <f>SUMIF(RAW_DEATHS!$B:$B,Tabelle28[[#This Row],[Country/Region]],RAW_DEATHS!CC:CC)</f>
        <v>0</v>
      </c>
      <c r="CC33" s="28">
        <f>SUMIF(RAW_DEATHS!$B:$B,Tabelle28[[#This Row],[Country/Region]],RAW_DEATHS!CD:CD)</f>
        <v>0</v>
      </c>
      <c r="CD33" s="28">
        <f>SUMIF(RAW_DEATHS!$B:$B,Tabelle28[[#This Row],[Country/Region]],RAW_DEATHS!CE:CE)</f>
        <v>0</v>
      </c>
      <c r="CE33" s="28">
        <f>SUMIF(RAW_DEATHS!$B:$B,Tabelle28[[#This Row],[Country/Region]],RAW_DEATHS!CF:CF)</f>
        <v>0</v>
      </c>
    </row>
    <row r="34" spans="1:87" s="17" customFormat="1" ht="12" x14ac:dyDescent="0.2">
      <c r="A34" s="17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3348</v>
      </c>
      <c r="AT34" s="8">
        <f>SUM(RAW_DEATHS!AU:AU)</f>
        <v>3460</v>
      </c>
      <c r="AU34" s="8">
        <f>SUM(RAW_DEATHS!AV:AV)</f>
        <v>3558</v>
      </c>
      <c r="AV34" s="8">
        <f>SUM(RAW_DEATHS!AW:AW)</f>
        <v>3802</v>
      </c>
      <c r="AW34" s="8">
        <f>SUM(RAW_DEATHS!AX:AX)</f>
        <v>3988</v>
      </c>
      <c r="AX34" s="8">
        <f>SUM(RAW_DEATHS!AY:AY)</f>
        <v>4262</v>
      </c>
      <c r="AY34" s="8">
        <f>SUM(RAW_DEATHS!AZ:AZ)</f>
        <v>4615</v>
      </c>
      <c r="AZ34" s="8">
        <f>SUM(RAW_DEATHS!BA:BA)</f>
        <v>4720</v>
      </c>
      <c r="BA34" s="8">
        <f>SUM(RAW_DEATHS!BB:BB)</f>
        <v>5404</v>
      </c>
      <c r="BB34" s="8">
        <f>SUM(RAW_DEATHS!BC:BC)</f>
        <v>5819</v>
      </c>
      <c r="BC34" s="8">
        <f>SUM(RAW_DEATHS!BD:BD)</f>
        <v>6440</v>
      </c>
      <c r="BD34" s="8">
        <f>SUM(RAW_DEATHS!BE:BE)</f>
        <v>7126</v>
      </c>
      <c r="BE34" s="8">
        <f>SUM(RAW_DEATHS!BF:BF)</f>
        <v>7905</v>
      </c>
      <c r="BF34" s="8">
        <f>SUM(RAW_DEATHS!BG:BG)</f>
        <v>8733</v>
      </c>
      <c r="BG34" s="8">
        <f>SUM(RAW_DEATHS!BH:BH)</f>
        <v>9867</v>
      </c>
      <c r="BH34" s="8">
        <f>SUM(RAW_DEATHS!BI:BI)</f>
        <v>11299</v>
      </c>
      <c r="BI34" s="8">
        <f>SUM(RAW_DEATHS!BJ:BJ)</f>
        <v>12973</v>
      </c>
      <c r="BJ34" s="8">
        <f>SUM(RAW_DEATHS!BK:BK)</f>
        <v>14651</v>
      </c>
      <c r="BK34" s="8">
        <f>SUM(RAW_DEATHS!BL:BL)</f>
        <v>16505</v>
      </c>
      <c r="BL34" s="8">
        <f>SUM(RAW_DEATHS!BM:BM)</f>
        <v>18625</v>
      </c>
      <c r="BM34" s="8">
        <f>SUM(RAW_DEATHS!BN:BN)</f>
        <v>21181</v>
      </c>
      <c r="BN34" s="8">
        <f>SUM(RAW_DEATHS!BO:BO)</f>
        <v>23970</v>
      </c>
      <c r="BO34" s="8">
        <f>SUM(RAW_DEATHS!BP:BP)</f>
        <v>27198</v>
      </c>
      <c r="BP34" s="8">
        <f>SUM(RAW_DEATHS!BQ:BQ)</f>
        <v>30652</v>
      </c>
      <c r="BQ34" s="8">
        <f>SUM(RAW_DEATHS!BR:BR)</f>
        <v>33925</v>
      </c>
      <c r="BR34" s="8">
        <f>SUM(RAW_DEATHS!BS:BS)</f>
        <v>37582</v>
      </c>
      <c r="BS34" s="8">
        <f>SUM(RAW_DEATHS!BT:BT)</f>
        <v>0</v>
      </c>
      <c r="BT34" s="8">
        <f>SUM(RAW_DEATHS!BU:BU)</f>
        <v>0</v>
      </c>
      <c r="BU34" s="8">
        <f>SUM(RAW_DEATHS!BV:BV)</f>
        <v>0</v>
      </c>
      <c r="BV34" s="8">
        <f>SUM(RAW_DEATHS!BW:BW)</f>
        <v>0</v>
      </c>
      <c r="BW34" s="8">
        <f>SUM(RAW_DEATHS!BX:BX)</f>
        <v>0</v>
      </c>
      <c r="BX34" s="8">
        <f>SUM(RAW_DEATHS!BY:BY)</f>
        <v>0</v>
      </c>
      <c r="BY34" s="8">
        <f>SUM(RAW_DEATHS!BZ:BZ)</f>
        <v>0</v>
      </c>
      <c r="BZ34" s="8">
        <f>SUM(RAW_DEATHS!CA:CA)</f>
        <v>0</v>
      </c>
      <c r="CA34" s="8">
        <f>SUM(RAW_DEATHS!CB:CB)</f>
        <v>0</v>
      </c>
      <c r="CB34" s="8">
        <f>SUM(RAW_DEATHS!CC:CC)</f>
        <v>0</v>
      </c>
      <c r="CC34" s="8">
        <f>SUM(RAW_DEATHS!CD:CD)</f>
        <v>0</v>
      </c>
      <c r="CD34" s="8">
        <f>SUM(RAW_DEATHS!CE:CE)</f>
        <v>0</v>
      </c>
      <c r="CE34" s="8">
        <f>SUM(RAW_DEATHS!CF:CF)</f>
        <v>0</v>
      </c>
      <c r="CF34" s="8">
        <f>SUM(RAW_DEATHS!CG:CG)</f>
        <v>0</v>
      </c>
      <c r="CG34" s="8">
        <f>SUM(RAW_DEATHS!CH:CH)</f>
        <v>0</v>
      </c>
      <c r="CH34" s="8">
        <f>SUM(RAW_DEATHS!CI:CI)</f>
        <v>0</v>
      </c>
      <c r="CI34" s="8">
        <f>SUM(RAW_DEATHS!CJ:CJ)</f>
        <v>0</v>
      </c>
    </row>
    <row r="35" spans="1:87" s="18" customFormat="1" x14ac:dyDescent="0.25">
      <c r="B35" s="19"/>
    </row>
    <row r="36" spans="1:87" s="16" customFormat="1" ht="29.25" customHeight="1" x14ac:dyDescent="0.25">
      <c r="A36" s="14" t="s">
        <v>243</v>
      </c>
      <c r="B36" s="15"/>
    </row>
    <row r="37" spans="1:87" s="29" customFormat="1" ht="25.5" customHeight="1" x14ac:dyDescent="0.25">
      <c r="A37" s="22" t="s">
        <v>0</v>
      </c>
      <c r="B37" s="29" t="s">
        <v>246</v>
      </c>
      <c r="C37" s="29" t="s">
        <v>247</v>
      </c>
      <c r="D37" s="29" t="s">
        <v>248</v>
      </c>
      <c r="E37" s="29" t="s">
        <v>249</v>
      </c>
      <c r="F37" s="29" t="s">
        <v>250</v>
      </c>
      <c r="G37" s="29" t="s">
        <v>251</v>
      </c>
      <c r="H37" s="29" t="s">
        <v>252</v>
      </c>
      <c r="I37" s="29" t="s">
        <v>253</v>
      </c>
      <c r="J37" s="29" t="s">
        <v>254</v>
      </c>
      <c r="K37" s="29" t="s">
        <v>255</v>
      </c>
      <c r="L37" s="29" t="s">
        <v>256</v>
      </c>
      <c r="M37" s="29" t="s">
        <v>257</v>
      </c>
      <c r="N37" s="29" t="s">
        <v>258</v>
      </c>
      <c r="O37" s="29" t="s">
        <v>259</v>
      </c>
      <c r="P37" s="29" t="s">
        <v>260</v>
      </c>
      <c r="Q37" s="29" t="s">
        <v>261</v>
      </c>
      <c r="R37" s="29" t="s">
        <v>262</v>
      </c>
      <c r="S37" s="29" t="s">
        <v>263</v>
      </c>
      <c r="T37" s="29" t="s">
        <v>264</v>
      </c>
      <c r="U37" s="29" t="s">
        <v>265</v>
      </c>
      <c r="V37" s="29" t="s">
        <v>266</v>
      </c>
      <c r="W37" s="29" t="s">
        <v>267</v>
      </c>
      <c r="X37" s="29" t="s">
        <v>268</v>
      </c>
      <c r="Y37" s="29" t="s">
        <v>269</v>
      </c>
      <c r="Z37" s="29" t="s">
        <v>270</v>
      </c>
      <c r="AA37" s="29" t="s">
        <v>271</v>
      </c>
      <c r="AB37" s="29" t="s">
        <v>272</v>
      </c>
      <c r="AC37" s="29" t="s">
        <v>273</v>
      </c>
      <c r="AD37" s="29" t="s">
        <v>274</v>
      </c>
      <c r="AE37" s="29" t="s">
        <v>275</v>
      </c>
      <c r="AF37" s="29" t="s">
        <v>276</v>
      </c>
      <c r="AG37" s="29" t="s">
        <v>277</v>
      </c>
      <c r="AH37" s="29" t="s">
        <v>278</v>
      </c>
      <c r="AI37" s="29" t="s">
        <v>279</v>
      </c>
      <c r="AJ37" s="29" t="s">
        <v>280</v>
      </c>
      <c r="AK37" s="29" t="s">
        <v>281</v>
      </c>
      <c r="AL37" s="29" t="s">
        <v>282</v>
      </c>
      <c r="AM37" s="29" t="s">
        <v>283</v>
      </c>
      <c r="AN37" s="29" t="s">
        <v>284</v>
      </c>
      <c r="AO37" s="29" t="s">
        <v>285</v>
      </c>
      <c r="AP37" s="29" t="s">
        <v>286</v>
      </c>
      <c r="AQ37" s="29" t="s">
        <v>287</v>
      </c>
      <c r="AR37" s="29" t="s">
        <v>288</v>
      </c>
      <c r="AS37" s="29" t="s">
        <v>289</v>
      </c>
      <c r="AT37" s="29" t="s">
        <v>290</v>
      </c>
      <c r="AU37" s="29" t="s">
        <v>291</v>
      </c>
      <c r="AV37" s="29" t="s">
        <v>292</v>
      </c>
      <c r="AW37" s="29" t="s">
        <v>293</v>
      </c>
      <c r="AX37" s="29" t="s">
        <v>294</v>
      </c>
      <c r="AY37" s="29" t="s">
        <v>295</v>
      </c>
      <c r="AZ37" s="29" t="s">
        <v>296</v>
      </c>
      <c r="BA37" s="29" t="s">
        <v>297</v>
      </c>
      <c r="BB37" s="29" t="s">
        <v>298</v>
      </c>
      <c r="BC37" s="29" t="s">
        <v>299</v>
      </c>
      <c r="BD37" s="29" t="s">
        <v>300</v>
      </c>
      <c r="BE37" s="29" t="s">
        <v>301</v>
      </c>
      <c r="BF37" s="29" t="s">
        <v>302</v>
      </c>
      <c r="BG37" s="29" t="s">
        <v>303</v>
      </c>
      <c r="BH37" s="29" t="s">
        <v>304</v>
      </c>
      <c r="BI37" s="29" t="s">
        <v>305</v>
      </c>
      <c r="BJ37" s="29" t="s">
        <v>306</v>
      </c>
      <c r="BK37" s="29" t="s">
        <v>308</v>
      </c>
      <c r="BL37" s="29" t="s">
        <v>309</v>
      </c>
      <c r="BM37" s="29" t="s">
        <v>310</v>
      </c>
      <c r="BN37" s="29" t="s">
        <v>311</v>
      </c>
      <c r="BO37" s="29" t="s">
        <v>312</v>
      </c>
      <c r="BP37" s="29" t="s">
        <v>313</v>
      </c>
      <c r="BQ37" s="29" t="s">
        <v>314</v>
      </c>
      <c r="BR37" s="29" t="s">
        <v>315</v>
      </c>
      <c r="BS37" s="29" t="s">
        <v>316</v>
      </c>
      <c r="BT37" s="29" t="s">
        <v>317</v>
      </c>
      <c r="BU37" s="29" t="s">
        <v>318</v>
      </c>
      <c r="BV37" s="29" t="s">
        <v>319</v>
      </c>
      <c r="BW37" s="29" t="s">
        <v>320</v>
      </c>
      <c r="BX37" s="29" t="s">
        <v>321</v>
      </c>
      <c r="BY37" s="29" t="s">
        <v>322</v>
      </c>
      <c r="BZ37" s="29" t="s">
        <v>323</v>
      </c>
      <c r="CA37" s="29" t="s">
        <v>324</v>
      </c>
      <c r="CB37" s="29" t="s">
        <v>325</v>
      </c>
      <c r="CC37" s="29" t="s">
        <v>326</v>
      </c>
      <c r="CD37" s="29" t="s">
        <v>327</v>
      </c>
      <c r="CE37" s="29" t="s">
        <v>328</v>
      </c>
    </row>
    <row r="38" spans="1:87" s="11" customFormat="1" ht="12.75" x14ac:dyDescent="0.2">
      <c r="A38" s="27" t="str">
        <f t="shared" ref="A38:A44" si="12">IF(ISBLANK(A27),"",A27)</f>
        <v>Germany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1</v>
      </c>
      <c r="Y38" s="28">
        <f>SUMIF(RAW_RECOVERED!$B:$B,Tabelle289[[#This Row],[Country/Region]],RAW_RECOVERED!Z:Z)</f>
        <v>1</v>
      </c>
      <c r="Z38" s="28">
        <f>SUMIF(RAW_RECOVERED!$B:$B,Tabelle289[[#This Row],[Country/Region]],RAW_RECOVERED!AA:AA)</f>
        <v>1</v>
      </c>
      <c r="AA38" s="28">
        <f>SUMIF(RAW_RECOVERED!$B:$B,Tabelle289[[#This Row],[Country/Region]],RAW_RECOVERED!AB:AB)</f>
        <v>1</v>
      </c>
      <c r="AB38" s="28">
        <f>SUMIF(RAW_RECOVERED!$B:$B,Tabelle289[[#This Row],[Country/Region]],RAW_RECOVERED!AC:AC)</f>
        <v>1</v>
      </c>
      <c r="AC38" s="28">
        <f>SUMIF(RAW_RECOVERED!$B:$B,Tabelle289[[#This Row],[Country/Region]],RAW_RECOVERED!AD:AD)</f>
        <v>12</v>
      </c>
      <c r="AD38" s="28">
        <f>SUMIF(RAW_RECOVERED!$B:$B,Tabelle289[[#This Row],[Country/Region]],RAW_RECOVERED!AE:AE)</f>
        <v>12</v>
      </c>
      <c r="AE38" s="28">
        <f>SUMIF(RAW_RECOVERED!$B:$B,Tabelle289[[#This Row],[Country/Region]],RAW_RECOVERED!AF:AF)</f>
        <v>12</v>
      </c>
      <c r="AF38" s="28">
        <f>SUMIF(RAW_RECOVERED!$B:$B,Tabelle289[[#This Row],[Country/Region]],RAW_RECOVERED!AG:AG)</f>
        <v>14</v>
      </c>
      <c r="AG38" s="28">
        <f>SUMIF(RAW_RECOVERED!$B:$B,Tabelle289[[#This Row],[Country/Region]],RAW_RECOVERED!AH:AH)</f>
        <v>14</v>
      </c>
      <c r="AH38" s="28">
        <f>SUMIF(RAW_RECOVERED!$B:$B,Tabelle289[[#This Row],[Country/Region]],RAW_RECOVERED!AI:AI)</f>
        <v>14</v>
      </c>
      <c r="AI38" s="28">
        <f>SUMIF(RAW_RECOVERED!$B:$B,Tabelle289[[#This Row],[Country/Region]],RAW_RECOVERED!AJ:AJ)</f>
        <v>14</v>
      </c>
      <c r="AJ38" s="28">
        <f>SUMIF(RAW_RECOVERED!$B:$B,Tabelle289[[#This Row],[Country/Region]],RAW_RECOVERED!AK:AK)</f>
        <v>14</v>
      </c>
      <c r="AK38" s="28">
        <f>SUMIF(RAW_RECOVERED!$B:$B,Tabelle289[[#This Row],[Country/Region]],RAW_RECOVERED!AL:AL)</f>
        <v>15</v>
      </c>
      <c r="AL38" s="28">
        <f>SUMIF(RAW_RECOVERED!$B:$B,Tabelle289[[#This Row],[Country/Region]],RAW_RECOVERED!AM:AM)</f>
        <v>16</v>
      </c>
      <c r="AM38" s="28">
        <f>SUMIF(RAW_RECOVERED!$B:$B,Tabelle289[[#This Row],[Country/Region]],RAW_RECOVERED!AN:AN)</f>
        <v>16</v>
      </c>
      <c r="AN38" s="28">
        <f>SUMIF(RAW_RECOVERED!$B:$B,Tabelle289[[#This Row],[Country/Region]],RAW_RECOVERED!AO:AO)</f>
        <v>16</v>
      </c>
      <c r="AO38" s="28">
        <f>SUMIF(RAW_RECOVERED!$B:$B,Tabelle289[[#This Row],[Country/Region]],RAW_RECOVERED!AP:AP)</f>
        <v>16</v>
      </c>
      <c r="AP38" s="28">
        <f>SUMIF(RAW_RECOVERED!$B:$B,Tabelle289[[#This Row],[Country/Region]],RAW_RECOVERED!AQ:AQ)</f>
        <v>16</v>
      </c>
      <c r="AQ38" s="28">
        <f>SUMIF(RAW_RECOVERED!$B:$B,Tabelle289[[#This Row],[Country/Region]],RAW_RECOVERED!AR:AR)</f>
        <v>16</v>
      </c>
      <c r="AR38" s="28">
        <f>SUMIF(RAW_RECOVERED!$B:$B,Tabelle289[[#This Row],[Country/Region]],RAW_RECOVERED!AS:AS)</f>
        <v>16</v>
      </c>
      <c r="AS38" s="28">
        <f>SUMIF(RAW_RECOVERED!$B:$B,Tabelle289[[#This Row],[Country/Region]],RAW_RECOVERED!AT:AT)</f>
        <v>16</v>
      </c>
      <c r="AT38" s="28">
        <f>SUMIF(RAW_RECOVERED!$B:$B,Tabelle289[[#This Row],[Country/Region]],RAW_RECOVERED!AU:AU)</f>
        <v>17</v>
      </c>
      <c r="AU38" s="28">
        <f>SUMIF(RAW_RECOVERED!$B:$B,Tabelle289[[#This Row],[Country/Region]],RAW_RECOVERED!AV:AV)</f>
        <v>18</v>
      </c>
      <c r="AV38" s="28">
        <f>SUMIF(RAW_RECOVERED!$B:$B,Tabelle289[[#This Row],[Country/Region]],RAW_RECOVERED!AW:AW)</f>
        <v>18</v>
      </c>
      <c r="AW38" s="28">
        <f>SUMIF(RAW_RECOVERED!$B:$B,Tabelle289[[#This Row],[Country/Region]],RAW_RECOVERED!AX:AX)</f>
        <v>18</v>
      </c>
      <c r="AX38" s="28">
        <f>SUMIF(RAW_RECOVERED!$B:$B,Tabelle289[[#This Row],[Country/Region]],RAW_RECOVERED!AY:AY)</f>
        <v>18</v>
      </c>
      <c r="AY38" s="28">
        <f>SUMIF(RAW_RECOVERED!$B:$B,Tabelle289[[#This Row],[Country/Region]],RAW_RECOVERED!AZ:AZ)</f>
        <v>25</v>
      </c>
      <c r="AZ38" s="28">
        <f>SUMIF(RAW_RECOVERED!$B:$B,Tabelle289[[#This Row],[Country/Region]],RAW_RECOVERED!BA:BA)</f>
        <v>25</v>
      </c>
      <c r="BA38" s="28">
        <f>SUMIF(RAW_RECOVERED!$B:$B,Tabelle289[[#This Row],[Country/Region]],RAW_RECOVERED!BB:BB)</f>
        <v>46</v>
      </c>
      <c r="BB38" s="28">
        <f>SUMIF(RAW_RECOVERED!$B:$B,Tabelle289[[#This Row],[Country/Region]],RAW_RECOVERED!BC:BC)</f>
        <v>46</v>
      </c>
      <c r="BC38" s="28">
        <f>SUMIF(RAW_RECOVERED!$B:$B,Tabelle289[[#This Row],[Country/Region]],RAW_RECOVERED!BD:BD)</f>
        <v>46</v>
      </c>
      <c r="BD38" s="28">
        <f>SUMIF(RAW_RECOVERED!$B:$B,Tabelle289[[#This Row],[Country/Region]],RAW_RECOVERED!BE:BE)</f>
        <v>67</v>
      </c>
      <c r="BE38" s="28">
        <f>SUMIF(RAW_RECOVERED!$B:$B,Tabelle289[[#This Row],[Country/Region]],RAW_RECOVERED!BF:BF)</f>
        <v>67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113</v>
      </c>
      <c r="BH38" s="28">
        <f>SUMIF(RAW_RECOVERED!$B:$B,Tabelle289[[#This Row],[Country/Region]],RAW_RECOVERED!BI:BI)</f>
        <v>180</v>
      </c>
      <c r="BI38" s="28">
        <f>SUMIF(RAW_RECOVERED!$B:$B,Tabelle289[[#This Row],[Country/Region]],RAW_RECOVERED!BJ:BJ)</f>
        <v>233</v>
      </c>
      <c r="BJ38" s="28">
        <f>SUMIF(RAW_RECOVERED!$B:$B,Tabelle289[[#This Row],[Country/Region]],RAW_RECOVERED!BK:BK)</f>
        <v>266</v>
      </c>
      <c r="BK38" s="28">
        <f>SUMIF(RAW_RECOVERED!$B:$B,Tabelle289[[#This Row],[Country/Region]],RAW_RECOVERED!BL:BL)</f>
        <v>266</v>
      </c>
      <c r="BL38" s="28">
        <f>SUMIF(RAW_RECOVERED!$B:$B,Tabelle289[[#This Row],[Country/Region]],RAW_RECOVERED!BM:BM)</f>
        <v>3243</v>
      </c>
      <c r="BM38" s="28">
        <f>SUMIF(RAW_RECOVERED!$B:$B,Tabelle289[[#This Row],[Country/Region]],RAW_RECOVERED!BN:BN)</f>
        <v>3547</v>
      </c>
      <c r="BN38" s="28">
        <f>SUMIF(RAW_RECOVERED!$B:$B,Tabelle289[[#This Row],[Country/Region]],RAW_RECOVERED!BO:BO)</f>
        <v>5673</v>
      </c>
      <c r="BO38" s="28">
        <f>SUMIF(RAW_RECOVERED!$B:$B,Tabelle289[[#This Row],[Country/Region]],RAW_RECOVERED!BP:BP)</f>
        <v>6658</v>
      </c>
      <c r="BP38" s="28">
        <f>SUMIF(RAW_RECOVERED!$B:$B,Tabelle289[[#This Row],[Country/Region]],RAW_RECOVERED!BQ:BQ)</f>
        <v>8481</v>
      </c>
      <c r="BQ38" s="28">
        <f>SUMIF(RAW_RECOVERED!$B:$B,Tabelle289[[#This Row],[Country/Region]],RAW_RECOVERED!BR:BR)</f>
        <v>9211</v>
      </c>
      <c r="BR38" s="28">
        <f>SUMIF(RAW_RECOVERED!$B:$B,Tabelle289[[#This Row],[Country/Region]],RAW_RECOVERED!BS:BS)</f>
        <v>13500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12"/>
        <v>US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3</v>
      </c>
      <c r="U39" s="28">
        <f>SUMIF(RAW_RECOVERED!$B:$B,Tabelle289[[#This Row],[Country/Region]],RAW_RECOVERED!V:V)</f>
        <v>3</v>
      </c>
      <c r="V39" s="28">
        <f>SUMIF(RAW_RECOVERED!$B:$B,Tabelle289[[#This Row],[Country/Region]],RAW_RECOVERED!W:W)</f>
        <v>3</v>
      </c>
      <c r="W39" s="28">
        <f>SUMIF(RAW_RECOVERED!$B:$B,Tabelle289[[#This Row],[Country/Region]],RAW_RECOVERED!X:X)</f>
        <v>3</v>
      </c>
      <c r="X39" s="28">
        <f>SUMIF(RAW_RECOVERED!$B:$B,Tabelle289[[#This Row],[Country/Region]],RAW_RECOVERED!Y:Y)</f>
        <v>3</v>
      </c>
      <c r="Y39" s="28">
        <f>SUMIF(RAW_RECOVERED!$B:$B,Tabelle289[[#This Row],[Country/Region]],RAW_RECOVERED!Z:Z)</f>
        <v>3</v>
      </c>
      <c r="Z39" s="28">
        <f>SUMIF(RAW_RECOVERED!$B:$B,Tabelle289[[#This Row],[Country/Region]],RAW_RECOVERED!AA:AA)</f>
        <v>3</v>
      </c>
      <c r="AA39" s="28">
        <f>SUMIF(RAW_RECOVERED!$B:$B,Tabelle289[[#This Row],[Country/Region]],RAW_RECOVERED!AB:AB)</f>
        <v>3</v>
      </c>
      <c r="AB39" s="28">
        <f>SUMIF(RAW_RECOVERED!$B:$B,Tabelle289[[#This Row],[Country/Region]],RAW_RECOVERED!AC:AC)</f>
        <v>3</v>
      </c>
      <c r="AC39" s="28">
        <f>SUMIF(RAW_RECOVERED!$B:$B,Tabelle289[[#This Row],[Country/Region]],RAW_RECOVERED!AD:AD)</f>
        <v>3</v>
      </c>
      <c r="AD39" s="28">
        <f>SUMIF(RAW_RECOVERED!$B:$B,Tabelle289[[#This Row],[Country/Region]],RAW_RECOVERED!AE:AE)</f>
        <v>3</v>
      </c>
      <c r="AE39" s="28">
        <f>SUMIF(RAW_RECOVERED!$B:$B,Tabelle289[[#This Row],[Country/Region]],RAW_RECOVERED!AF:AF)</f>
        <v>3</v>
      </c>
      <c r="AF39" s="28">
        <f>SUMIF(RAW_RECOVERED!$B:$B,Tabelle289[[#This Row],[Country/Region]],RAW_RECOVERED!AG:AG)</f>
        <v>5</v>
      </c>
      <c r="AG39" s="28">
        <f>SUMIF(RAW_RECOVERED!$B:$B,Tabelle289[[#This Row],[Country/Region]],RAW_RECOVERED!AH:AH)</f>
        <v>5</v>
      </c>
      <c r="AH39" s="28">
        <f>SUMIF(RAW_RECOVERED!$B:$B,Tabelle289[[#This Row],[Country/Region]],RAW_RECOVERED!AI:AI)</f>
        <v>5</v>
      </c>
      <c r="AI39" s="28">
        <f>SUMIF(RAW_RECOVERED!$B:$B,Tabelle289[[#This Row],[Country/Region]],RAW_RECOVERED!AJ:AJ)</f>
        <v>5</v>
      </c>
      <c r="AJ39" s="28">
        <f>SUMIF(RAW_RECOVERED!$B:$B,Tabelle289[[#This Row],[Country/Region]],RAW_RECOVERED!AK:AK)</f>
        <v>6</v>
      </c>
      <c r="AK39" s="28">
        <f>SUMIF(RAW_RECOVERED!$B:$B,Tabelle289[[#This Row],[Country/Region]],RAW_RECOVERED!AL:AL)</f>
        <v>6</v>
      </c>
      <c r="AL39" s="28">
        <f>SUMIF(RAW_RECOVERED!$B:$B,Tabelle289[[#This Row],[Country/Region]],RAW_RECOVERED!AM:AM)</f>
        <v>6</v>
      </c>
      <c r="AM39" s="28">
        <f>SUMIF(RAW_RECOVERED!$B:$B,Tabelle289[[#This Row],[Country/Region]],RAW_RECOVERED!AN:AN)</f>
        <v>7</v>
      </c>
      <c r="AN39" s="28">
        <f>SUMIF(RAW_RECOVERED!$B:$B,Tabelle289[[#This Row],[Country/Region]],RAW_RECOVERED!AO:AO)</f>
        <v>7</v>
      </c>
      <c r="AO39" s="28">
        <f>SUMIF(RAW_RECOVERED!$B:$B,Tabelle289[[#This Row],[Country/Region]],RAW_RECOVERED!AP:AP)</f>
        <v>7</v>
      </c>
      <c r="AP39" s="28">
        <f>SUMIF(RAW_RECOVERED!$B:$B,Tabelle289[[#This Row],[Country/Region]],RAW_RECOVERED!AQ:AQ)</f>
        <v>7</v>
      </c>
      <c r="AQ39" s="28">
        <f>SUMIF(RAW_RECOVERED!$B:$B,Tabelle289[[#This Row],[Country/Region]],RAW_RECOVERED!AR:AR)</f>
        <v>7</v>
      </c>
      <c r="AR39" s="28">
        <f>SUMIF(RAW_RECOVERED!$B:$B,Tabelle289[[#This Row],[Country/Region]],RAW_RECOVERED!AS:AS)</f>
        <v>7</v>
      </c>
      <c r="AS39" s="28">
        <f>SUMIF(RAW_RECOVERED!$B:$B,Tabelle289[[#This Row],[Country/Region]],RAW_RECOVERED!AT:AT)</f>
        <v>7</v>
      </c>
      <c r="AT39" s="28">
        <f>SUMIF(RAW_RECOVERED!$B:$B,Tabelle289[[#This Row],[Country/Region]],RAW_RECOVERED!AU:AU)</f>
        <v>7</v>
      </c>
      <c r="AU39" s="28">
        <f>SUMIF(RAW_RECOVERED!$B:$B,Tabelle289[[#This Row],[Country/Region]],RAW_RECOVERED!AV:AV)</f>
        <v>7</v>
      </c>
      <c r="AV39" s="28">
        <f>SUMIF(RAW_RECOVERED!$B:$B,Tabelle289[[#This Row],[Country/Region]],RAW_RECOVERED!AW:AW)</f>
        <v>7</v>
      </c>
      <c r="AW39" s="28">
        <f>SUMIF(RAW_RECOVERED!$B:$B,Tabelle289[[#This Row],[Country/Region]],RAW_RECOVERED!AX:AX)</f>
        <v>7</v>
      </c>
      <c r="AX39" s="28">
        <f>SUMIF(RAW_RECOVERED!$B:$B,Tabelle289[[#This Row],[Country/Region]],RAW_RECOVERED!AY:AY)</f>
        <v>8</v>
      </c>
      <c r="AY39" s="28">
        <f>SUMIF(RAW_RECOVERED!$B:$B,Tabelle289[[#This Row],[Country/Region]],RAW_RECOVERED!AZ:AZ)</f>
        <v>8</v>
      </c>
      <c r="AZ39" s="28">
        <f>SUMIF(RAW_RECOVERED!$B:$B,Tabelle289[[#This Row],[Country/Region]],RAW_RECOVERED!BA:BA)</f>
        <v>12</v>
      </c>
      <c r="BA39" s="28">
        <f>SUMIF(RAW_RECOVERED!$B:$B,Tabelle289[[#This Row],[Country/Region]],RAW_RECOVERED!BB:BB)</f>
        <v>12</v>
      </c>
      <c r="BB39" s="28">
        <f>SUMIF(RAW_RECOVERED!$B:$B,Tabelle289[[#This Row],[Country/Region]],RAW_RECOVERED!BC:BC)</f>
        <v>12</v>
      </c>
      <c r="BC39" s="28">
        <f>SUMIF(RAW_RECOVERED!$B:$B,Tabelle289[[#This Row],[Country/Region]],RAW_RECOVERED!BD:BD)</f>
        <v>12</v>
      </c>
      <c r="BD39" s="28">
        <f>SUMIF(RAW_RECOVERED!$B:$B,Tabelle289[[#This Row],[Country/Region]],RAW_RECOVERED!BE:BE)</f>
        <v>17</v>
      </c>
      <c r="BE39" s="28">
        <f>SUMIF(RAW_RECOVERED!$B:$B,Tabelle289[[#This Row],[Country/Region]],RAW_RECOVERED!BF:BF)</f>
        <v>17</v>
      </c>
      <c r="BF39" s="28">
        <f>SUMIF(RAW_RECOVERED!$B:$B,Tabelle289[[#This Row],[Country/Region]],RAW_RECOVERED!BG:BG)</f>
        <v>105</v>
      </c>
      <c r="BG39" s="28">
        <f>SUMIF(RAW_RECOVERED!$B:$B,Tabelle289[[#This Row],[Country/Region]],RAW_RECOVERED!BH:BH)</f>
        <v>121</v>
      </c>
      <c r="BH39" s="28">
        <f>SUMIF(RAW_RECOVERED!$B:$B,Tabelle289[[#This Row],[Country/Region]],RAW_RECOVERED!BI:BI)</f>
        <v>147</v>
      </c>
      <c r="BI39" s="28">
        <f>SUMIF(RAW_RECOVERED!$B:$B,Tabelle289[[#This Row],[Country/Region]],RAW_RECOVERED!BJ:BJ)</f>
        <v>176</v>
      </c>
      <c r="BJ39" s="28">
        <f>SUMIF(RAW_RECOVERED!$B:$B,Tabelle289[[#This Row],[Country/Region]],RAW_RECOVERED!BK:BK)</f>
        <v>178</v>
      </c>
      <c r="BK39" s="28">
        <f>SUMIF(RAW_RECOVERED!$B:$B,Tabelle289[[#This Row],[Country/Region]],RAW_RECOVERED!BL:BL)</f>
        <v>178</v>
      </c>
      <c r="BL39" s="28">
        <f>SUMIF(RAW_RECOVERED!$B:$B,Tabelle289[[#This Row],[Country/Region]],RAW_RECOVERED!BM:BM)</f>
        <v>348</v>
      </c>
      <c r="BM39" s="28">
        <f>SUMIF(RAW_RECOVERED!$B:$B,Tabelle289[[#This Row],[Country/Region]],RAW_RECOVERED!BN:BN)</f>
        <v>361</v>
      </c>
      <c r="BN39" s="28">
        <f>SUMIF(RAW_RECOVERED!$B:$B,Tabelle289[[#This Row],[Country/Region]],RAW_RECOVERED!BO:BO)</f>
        <v>681</v>
      </c>
      <c r="BO39" s="28">
        <f>SUMIF(RAW_RECOVERED!$B:$B,Tabelle289[[#This Row],[Country/Region]],RAW_RECOVERED!BP:BP)</f>
        <v>869</v>
      </c>
      <c r="BP39" s="28">
        <f>SUMIF(RAW_RECOVERED!$B:$B,Tabelle289[[#This Row],[Country/Region]],RAW_RECOVERED!BQ:BQ)</f>
        <v>1072</v>
      </c>
      <c r="BQ39" s="28">
        <f>SUMIF(RAW_RECOVERED!$B:$B,Tabelle289[[#This Row],[Country/Region]],RAW_RECOVERED!BR:BR)</f>
        <v>2665</v>
      </c>
      <c r="BR39" s="28">
        <f>SUMIF(RAW_RECOVERED!$B:$B,Tabelle289[[#This Row],[Country/Region]],RAW_RECOVERED!BS:BS)</f>
        <v>5644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12"/>
        <v>Italy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0</v>
      </c>
      <c r="S40" s="28">
        <f>SUMIF(RAW_RECOVERED!$B:$B,Tabelle289[[#This Row],[Country/Region]],RAW_RECOVERED!T:T)</f>
        <v>0</v>
      </c>
      <c r="T40" s="28">
        <f>SUMIF(RAW_RECOVERED!$B:$B,Tabelle289[[#This Row],[Country/Region]],RAW_RECOVERED!U:U)</f>
        <v>0</v>
      </c>
      <c r="U40" s="28">
        <f>SUMIF(RAW_RECOVERED!$B:$B,Tabelle289[[#This Row],[Country/Region]],RAW_RECOVERED!V:V)</f>
        <v>0</v>
      </c>
      <c r="V40" s="28">
        <f>SUMIF(RAW_RECOVERED!$B:$B,Tabelle289[[#This Row],[Country/Region]],RAW_RECOVERED!W:W)</f>
        <v>0</v>
      </c>
      <c r="W40" s="28">
        <f>SUMIF(RAW_RECOVERED!$B:$B,Tabelle289[[#This Row],[Country/Region]],RAW_RECOVERED!X:X)</f>
        <v>0</v>
      </c>
      <c r="X40" s="28">
        <f>SUMIF(RAW_RECOVERED!$B:$B,Tabelle289[[#This Row],[Country/Region]],RAW_RECOVERED!Y:Y)</f>
        <v>0</v>
      </c>
      <c r="Y40" s="28">
        <f>SUMIF(RAW_RECOVERED!$B:$B,Tabelle289[[#This Row],[Country/Region]],RAW_RECOVERED!Z:Z)</f>
        <v>0</v>
      </c>
      <c r="Z40" s="28">
        <f>SUMIF(RAW_RECOVERED!$B:$B,Tabelle289[[#This Row],[Country/Region]],RAW_RECOVERED!AA:AA)</f>
        <v>0</v>
      </c>
      <c r="AA40" s="28">
        <f>SUMIF(RAW_RECOVERED!$B:$B,Tabelle289[[#This Row],[Country/Region]],RAW_RECOVERED!AB:AB)</f>
        <v>0</v>
      </c>
      <c r="AB40" s="28">
        <f>SUMIF(RAW_RECOVERED!$B:$B,Tabelle289[[#This Row],[Country/Region]],RAW_RECOVERED!AC:AC)</f>
        <v>0</v>
      </c>
      <c r="AC40" s="28">
        <f>SUMIF(RAW_RECOVERED!$B:$B,Tabelle289[[#This Row],[Country/Region]],RAW_RECOVERED!AD:AD)</f>
        <v>0</v>
      </c>
      <c r="AD40" s="28">
        <f>SUMIF(RAW_RECOVERED!$B:$B,Tabelle289[[#This Row],[Country/Region]],RAW_RECOVERED!AE:AE)</f>
        <v>0</v>
      </c>
      <c r="AE40" s="28">
        <f>SUMIF(RAW_RECOVERED!$B:$B,Tabelle289[[#This Row],[Country/Region]],RAW_RECOVERED!AF:AF)</f>
        <v>0</v>
      </c>
      <c r="AF40" s="28">
        <f>SUMIF(RAW_RECOVERED!$B:$B,Tabelle289[[#This Row],[Country/Region]],RAW_RECOVERED!AG:AG)</f>
        <v>0</v>
      </c>
      <c r="AG40" s="28">
        <f>SUMIF(RAW_RECOVERED!$B:$B,Tabelle289[[#This Row],[Country/Region]],RAW_RECOVERED!AH:AH)</f>
        <v>1</v>
      </c>
      <c r="AH40" s="28">
        <f>SUMIF(RAW_RECOVERED!$B:$B,Tabelle289[[#This Row],[Country/Region]],RAW_RECOVERED!AI:AI)</f>
        <v>2</v>
      </c>
      <c r="AI40" s="28">
        <f>SUMIF(RAW_RECOVERED!$B:$B,Tabelle289[[#This Row],[Country/Region]],RAW_RECOVERED!AJ:AJ)</f>
        <v>1</v>
      </c>
      <c r="AJ40" s="28">
        <f>SUMIF(RAW_RECOVERED!$B:$B,Tabelle289[[#This Row],[Country/Region]],RAW_RECOVERED!AK:AK)</f>
        <v>1</v>
      </c>
      <c r="AK40" s="28">
        <f>SUMIF(RAW_RECOVERED!$B:$B,Tabelle289[[#This Row],[Country/Region]],RAW_RECOVERED!AL:AL)</f>
        <v>3</v>
      </c>
      <c r="AL40" s="28">
        <f>SUMIF(RAW_RECOVERED!$B:$B,Tabelle289[[#This Row],[Country/Region]],RAW_RECOVERED!AM:AM)</f>
        <v>45</v>
      </c>
      <c r="AM40" s="28">
        <f>SUMIF(RAW_RECOVERED!$B:$B,Tabelle289[[#This Row],[Country/Region]],RAW_RECOVERED!AN:AN)</f>
        <v>46</v>
      </c>
      <c r="AN40" s="28">
        <f>SUMIF(RAW_RECOVERED!$B:$B,Tabelle289[[#This Row],[Country/Region]],RAW_RECOVERED!AO:AO)</f>
        <v>46</v>
      </c>
      <c r="AO40" s="28">
        <f>SUMIF(RAW_RECOVERED!$B:$B,Tabelle289[[#This Row],[Country/Region]],RAW_RECOVERED!AP:AP)</f>
        <v>83</v>
      </c>
      <c r="AP40" s="28">
        <f>SUMIF(RAW_RECOVERED!$B:$B,Tabelle289[[#This Row],[Country/Region]],RAW_RECOVERED!AQ:AQ)</f>
        <v>149</v>
      </c>
      <c r="AQ40" s="28">
        <f>SUMIF(RAW_RECOVERED!$B:$B,Tabelle289[[#This Row],[Country/Region]],RAW_RECOVERED!AR:AR)</f>
        <v>160</v>
      </c>
      <c r="AR40" s="28">
        <f>SUMIF(RAW_RECOVERED!$B:$B,Tabelle289[[#This Row],[Country/Region]],RAW_RECOVERED!AS:AS)</f>
        <v>276</v>
      </c>
      <c r="AS40" s="28">
        <f>SUMIF(RAW_RECOVERED!$B:$B,Tabelle289[[#This Row],[Country/Region]],RAW_RECOVERED!AT:AT)</f>
        <v>414</v>
      </c>
      <c r="AT40" s="28">
        <f>SUMIF(RAW_RECOVERED!$B:$B,Tabelle289[[#This Row],[Country/Region]],RAW_RECOVERED!AU:AU)</f>
        <v>523</v>
      </c>
      <c r="AU40" s="28">
        <f>SUMIF(RAW_RECOVERED!$B:$B,Tabelle289[[#This Row],[Country/Region]],RAW_RECOVERED!AV:AV)</f>
        <v>589</v>
      </c>
      <c r="AV40" s="28">
        <f>SUMIF(RAW_RECOVERED!$B:$B,Tabelle289[[#This Row],[Country/Region]],RAW_RECOVERED!AW:AW)</f>
        <v>622</v>
      </c>
      <c r="AW40" s="28">
        <f>SUMIF(RAW_RECOVERED!$B:$B,Tabelle289[[#This Row],[Country/Region]],RAW_RECOVERED!AX:AX)</f>
        <v>724</v>
      </c>
      <c r="AX40" s="28">
        <f>SUMIF(RAW_RECOVERED!$B:$B,Tabelle289[[#This Row],[Country/Region]],RAW_RECOVERED!AY:AY)</f>
        <v>724</v>
      </c>
      <c r="AY40" s="28">
        <f>SUMIF(RAW_RECOVERED!$B:$B,Tabelle289[[#This Row],[Country/Region]],RAW_RECOVERED!AZ:AZ)</f>
        <v>1045</v>
      </c>
      <c r="AZ40" s="28">
        <f>SUMIF(RAW_RECOVERED!$B:$B,Tabelle289[[#This Row],[Country/Region]],RAW_RECOVERED!BA:BA)</f>
        <v>1045</v>
      </c>
      <c r="BA40" s="28">
        <f>SUMIF(RAW_RECOVERED!$B:$B,Tabelle289[[#This Row],[Country/Region]],RAW_RECOVERED!BB:BB)</f>
        <v>1439</v>
      </c>
      <c r="BB40" s="28">
        <f>SUMIF(RAW_RECOVERED!$B:$B,Tabelle289[[#This Row],[Country/Region]],RAW_RECOVERED!BC:BC)</f>
        <v>1966</v>
      </c>
      <c r="BC40" s="28">
        <f>SUMIF(RAW_RECOVERED!$B:$B,Tabelle289[[#This Row],[Country/Region]],RAW_RECOVERED!BD:BD)</f>
        <v>2335</v>
      </c>
      <c r="BD40" s="28">
        <f>SUMIF(RAW_RECOVERED!$B:$B,Tabelle289[[#This Row],[Country/Region]],RAW_RECOVERED!BE:BE)</f>
        <v>2749</v>
      </c>
      <c r="BE40" s="28">
        <f>SUMIF(RAW_RECOVERED!$B:$B,Tabelle289[[#This Row],[Country/Region]],RAW_RECOVERED!BF:BF)</f>
        <v>2941</v>
      </c>
      <c r="BF40" s="28">
        <f>SUMIF(RAW_RECOVERED!$B:$B,Tabelle289[[#This Row],[Country/Region]],RAW_RECOVERED!BG:BG)</f>
        <v>4025</v>
      </c>
      <c r="BG40" s="28">
        <f>SUMIF(RAW_RECOVERED!$B:$B,Tabelle289[[#This Row],[Country/Region]],RAW_RECOVERED!BH:BH)</f>
        <v>4440</v>
      </c>
      <c r="BH40" s="28">
        <f>SUMIF(RAW_RECOVERED!$B:$B,Tabelle289[[#This Row],[Country/Region]],RAW_RECOVERED!BI:BI)</f>
        <v>4440</v>
      </c>
      <c r="BI40" s="28">
        <f>SUMIF(RAW_RECOVERED!$B:$B,Tabelle289[[#This Row],[Country/Region]],RAW_RECOVERED!BJ:BJ)</f>
        <v>6072</v>
      </c>
      <c r="BJ40" s="28">
        <f>SUMIF(RAW_RECOVERED!$B:$B,Tabelle289[[#This Row],[Country/Region]],RAW_RECOVERED!BK:BK)</f>
        <v>7024</v>
      </c>
      <c r="BK40" s="28">
        <f>SUMIF(RAW_RECOVERED!$B:$B,Tabelle289[[#This Row],[Country/Region]],RAW_RECOVERED!BL:BL)</f>
        <v>7024</v>
      </c>
      <c r="BL40" s="28">
        <f>SUMIF(RAW_RECOVERED!$B:$B,Tabelle289[[#This Row],[Country/Region]],RAW_RECOVERED!BM:BM)</f>
        <v>8326</v>
      </c>
      <c r="BM40" s="28">
        <f>SUMIF(RAW_RECOVERED!$B:$B,Tabelle289[[#This Row],[Country/Region]],RAW_RECOVERED!BN:BN)</f>
        <v>9362</v>
      </c>
      <c r="BN40" s="28">
        <f>SUMIF(RAW_RECOVERED!$B:$B,Tabelle289[[#This Row],[Country/Region]],RAW_RECOVERED!BO:BO)</f>
        <v>10361</v>
      </c>
      <c r="BO40" s="28">
        <f>SUMIF(RAW_RECOVERED!$B:$B,Tabelle289[[#This Row],[Country/Region]],RAW_RECOVERED!BP:BP)</f>
        <v>10950</v>
      </c>
      <c r="BP40" s="28">
        <f>SUMIF(RAW_RECOVERED!$B:$B,Tabelle289[[#This Row],[Country/Region]],RAW_RECOVERED!BQ:BQ)</f>
        <v>12384</v>
      </c>
      <c r="BQ40" s="28">
        <f>SUMIF(RAW_RECOVERED!$B:$B,Tabelle289[[#This Row],[Country/Region]],RAW_RECOVERED!BR:BR)</f>
        <v>13030</v>
      </c>
      <c r="BR40" s="28">
        <f>SUMIF(RAW_RECOVERED!$B:$B,Tabelle289[[#This Row],[Country/Region]],RAW_RECOVERED!BS:BS)</f>
        <v>14620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12"/>
        <v>France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2</v>
      </c>
      <c r="X41" s="28">
        <f>SUMIF(RAW_RECOVERED!$B:$B,Tabelle289[[#This Row],[Country/Region]],RAW_RECOVERED!Y:Y)</f>
        <v>2</v>
      </c>
      <c r="Y41" s="28">
        <f>SUMIF(RAW_RECOVERED!$B:$B,Tabelle289[[#This Row],[Country/Region]],RAW_RECOVERED!Z:Z)</f>
        <v>2</v>
      </c>
      <c r="Z41" s="28">
        <f>SUMIF(RAW_RECOVERED!$B:$B,Tabelle289[[#This Row],[Country/Region]],RAW_RECOVERED!AA:AA)</f>
        <v>4</v>
      </c>
      <c r="AA41" s="28">
        <f>SUMIF(RAW_RECOVERED!$B:$B,Tabelle289[[#This Row],[Country/Region]],RAW_RECOVERED!AB:AB)</f>
        <v>4</v>
      </c>
      <c r="AB41" s="28">
        <f>SUMIF(RAW_RECOVERED!$B:$B,Tabelle289[[#This Row],[Country/Region]],RAW_RECOVERED!AC:AC)</f>
        <v>4</v>
      </c>
      <c r="AC41" s="28">
        <f>SUMIF(RAW_RECOVERED!$B:$B,Tabelle289[[#This Row],[Country/Region]],RAW_RECOVERED!AD:AD)</f>
        <v>4</v>
      </c>
      <c r="AD41" s="28">
        <f>SUMIF(RAW_RECOVERED!$B:$B,Tabelle289[[#This Row],[Country/Region]],RAW_RECOVERED!AE:AE)</f>
        <v>4</v>
      </c>
      <c r="AE41" s="28">
        <f>SUMIF(RAW_RECOVERED!$B:$B,Tabelle289[[#This Row],[Country/Region]],RAW_RECOVERED!AF:AF)</f>
        <v>4</v>
      </c>
      <c r="AF41" s="28">
        <f>SUMIF(RAW_RECOVERED!$B:$B,Tabelle289[[#This Row],[Country/Region]],RAW_RECOVERED!AG:AG)</f>
        <v>4</v>
      </c>
      <c r="AG41" s="28">
        <f>SUMIF(RAW_RECOVERED!$B:$B,Tabelle289[[#This Row],[Country/Region]],RAW_RECOVERED!AH:AH)</f>
        <v>4</v>
      </c>
      <c r="AH41" s="28">
        <f>SUMIF(RAW_RECOVERED!$B:$B,Tabelle289[[#This Row],[Country/Region]],RAW_RECOVERED!AI:AI)</f>
        <v>4</v>
      </c>
      <c r="AI41" s="28">
        <f>SUMIF(RAW_RECOVERED!$B:$B,Tabelle289[[#This Row],[Country/Region]],RAW_RECOVERED!AJ:AJ)</f>
        <v>4</v>
      </c>
      <c r="AJ41" s="28">
        <f>SUMIF(RAW_RECOVERED!$B:$B,Tabelle289[[#This Row],[Country/Region]],RAW_RECOVERED!AK:AK)</f>
        <v>11</v>
      </c>
      <c r="AK41" s="28">
        <f>SUMIF(RAW_RECOVERED!$B:$B,Tabelle289[[#This Row],[Country/Region]],RAW_RECOVERED!AL:AL)</f>
        <v>11</v>
      </c>
      <c r="AL41" s="28">
        <f>SUMIF(RAW_RECOVERED!$B:$B,Tabelle289[[#This Row],[Country/Region]],RAW_RECOVERED!AM:AM)</f>
        <v>11</v>
      </c>
      <c r="AM41" s="28">
        <f>SUMIF(RAW_RECOVERED!$B:$B,Tabelle289[[#This Row],[Country/Region]],RAW_RECOVERED!AN:AN)</f>
        <v>11</v>
      </c>
      <c r="AN41" s="28">
        <f>SUMIF(RAW_RECOVERED!$B:$B,Tabelle289[[#This Row],[Country/Region]],RAW_RECOVERED!AO:AO)</f>
        <v>12</v>
      </c>
      <c r="AO41" s="28">
        <f>SUMIF(RAW_RECOVERED!$B:$B,Tabelle289[[#This Row],[Country/Region]],RAW_RECOVERED!AP:AP)</f>
        <v>12</v>
      </c>
      <c r="AP41" s="28">
        <f>SUMIF(RAW_RECOVERED!$B:$B,Tabelle289[[#This Row],[Country/Region]],RAW_RECOVERED!AQ:AQ)</f>
        <v>12</v>
      </c>
      <c r="AQ41" s="28">
        <f>SUMIF(RAW_RECOVERED!$B:$B,Tabelle289[[#This Row],[Country/Region]],RAW_RECOVERED!AR:AR)</f>
        <v>12</v>
      </c>
      <c r="AR41" s="28">
        <f>SUMIF(RAW_RECOVERED!$B:$B,Tabelle289[[#This Row],[Country/Region]],RAW_RECOVERED!AS:AS)</f>
        <v>12</v>
      </c>
      <c r="AS41" s="28">
        <f>SUMIF(RAW_RECOVERED!$B:$B,Tabelle289[[#This Row],[Country/Region]],RAW_RECOVERED!AT:AT)</f>
        <v>12</v>
      </c>
      <c r="AT41" s="28">
        <f>SUMIF(RAW_RECOVERED!$B:$B,Tabelle289[[#This Row],[Country/Region]],RAW_RECOVERED!AU:AU)</f>
        <v>12</v>
      </c>
      <c r="AU41" s="28">
        <f>SUMIF(RAW_RECOVERED!$B:$B,Tabelle289[[#This Row],[Country/Region]],RAW_RECOVERED!AV:AV)</f>
        <v>12</v>
      </c>
      <c r="AV41" s="28">
        <f>SUMIF(RAW_RECOVERED!$B:$B,Tabelle289[[#This Row],[Country/Region]],RAW_RECOVERED!AW:AW)</f>
        <v>12</v>
      </c>
      <c r="AW41" s="28">
        <f>SUMIF(RAW_RECOVERED!$B:$B,Tabelle289[[#This Row],[Country/Region]],RAW_RECOVERED!AX:AX)</f>
        <v>12</v>
      </c>
      <c r="AX41" s="28">
        <f>SUMIF(RAW_RECOVERED!$B:$B,Tabelle289[[#This Row],[Country/Region]],RAW_RECOVERED!AY:AY)</f>
        <v>12</v>
      </c>
      <c r="AY41" s="28">
        <f>SUMIF(RAW_RECOVERED!$B:$B,Tabelle289[[#This Row],[Country/Region]],RAW_RECOVERED!AZ:AZ)</f>
        <v>12</v>
      </c>
      <c r="AZ41" s="28">
        <f>SUMIF(RAW_RECOVERED!$B:$B,Tabelle289[[#This Row],[Country/Region]],RAW_RECOVERED!BA:BA)</f>
        <v>12</v>
      </c>
      <c r="BA41" s="28">
        <f>SUMIF(RAW_RECOVERED!$B:$B,Tabelle289[[#This Row],[Country/Region]],RAW_RECOVERED!BB:BB)</f>
        <v>12</v>
      </c>
      <c r="BB41" s="28">
        <f>SUMIF(RAW_RECOVERED!$B:$B,Tabelle289[[#This Row],[Country/Region]],RAW_RECOVERED!BC:BC)</f>
        <v>12</v>
      </c>
      <c r="BC41" s="28">
        <f>SUMIF(RAW_RECOVERED!$B:$B,Tabelle289[[#This Row],[Country/Region]],RAW_RECOVERED!BD:BD)</f>
        <v>12</v>
      </c>
      <c r="BD41" s="28">
        <f>SUMIF(RAW_RECOVERED!$B:$B,Tabelle289[[#This Row],[Country/Region]],RAW_RECOVERED!BE:BE)</f>
        <v>12</v>
      </c>
      <c r="BE41" s="28">
        <f>SUMIF(RAW_RECOVERED!$B:$B,Tabelle289[[#This Row],[Country/Region]],RAW_RECOVERED!BF:BF)</f>
        <v>12</v>
      </c>
      <c r="BF41" s="28">
        <f>SUMIF(RAW_RECOVERED!$B:$B,Tabelle289[[#This Row],[Country/Region]],RAW_RECOVERED!BG:BG)</f>
        <v>12</v>
      </c>
      <c r="BG41" s="28">
        <f>SUMIF(RAW_RECOVERED!$B:$B,Tabelle289[[#This Row],[Country/Region]],RAW_RECOVERED!BH:BH)</f>
        <v>12</v>
      </c>
      <c r="BH41" s="28">
        <f>SUMIF(RAW_RECOVERED!$B:$B,Tabelle289[[#This Row],[Country/Region]],RAW_RECOVERED!BI:BI)</f>
        <v>12</v>
      </c>
      <c r="BI41" s="28">
        <f>SUMIF(RAW_RECOVERED!$B:$B,Tabelle289[[#This Row],[Country/Region]],RAW_RECOVERED!BJ:BJ)</f>
        <v>12</v>
      </c>
      <c r="BJ41" s="28">
        <f>SUMIF(RAW_RECOVERED!$B:$B,Tabelle289[[#This Row],[Country/Region]],RAW_RECOVERED!BK:BK)</f>
        <v>2206</v>
      </c>
      <c r="BK41" s="28">
        <f>SUMIF(RAW_RECOVERED!$B:$B,Tabelle289[[#This Row],[Country/Region]],RAW_RECOVERED!BL:BL)</f>
        <v>2206</v>
      </c>
      <c r="BL41" s="28">
        <f>SUMIF(RAW_RECOVERED!$B:$B,Tabelle289[[#This Row],[Country/Region]],RAW_RECOVERED!BM:BM)</f>
        <v>3250</v>
      </c>
      <c r="BM41" s="28">
        <f>SUMIF(RAW_RECOVERED!$B:$B,Tabelle289[[#This Row],[Country/Region]],RAW_RECOVERED!BN:BN)</f>
        <v>3907</v>
      </c>
      <c r="BN41" s="28">
        <f>SUMIF(RAW_RECOVERED!$B:$B,Tabelle289[[#This Row],[Country/Region]],RAW_RECOVERED!BO:BO)</f>
        <v>4955</v>
      </c>
      <c r="BO41" s="28">
        <f>SUMIF(RAW_RECOVERED!$B:$B,Tabelle289[[#This Row],[Country/Region]],RAW_RECOVERED!BP:BP)</f>
        <v>5707</v>
      </c>
      <c r="BP41" s="28">
        <f>SUMIF(RAW_RECOVERED!$B:$B,Tabelle289[[#This Row],[Country/Region]],RAW_RECOVERED!BQ:BQ)</f>
        <v>5724</v>
      </c>
      <c r="BQ41" s="28">
        <f>SUMIF(RAW_RECOVERED!$B:$B,Tabelle289[[#This Row],[Country/Region]],RAW_RECOVERED!BR:BR)</f>
        <v>7226</v>
      </c>
      <c r="BR41" s="28">
        <f>SUMIF(RAW_RECOVERED!$B:$B,Tabelle289[[#This Row],[Country/Region]],RAW_RECOVERED!BS:BS)</f>
        <v>7964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12"/>
        <v>Korea, South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1</v>
      </c>
      <c r="S42" s="28">
        <f>SUMIF(RAW_RECOVERED!$B:$B,Tabelle289[[#This Row],[Country/Region]],RAW_RECOVERED!T:T)</f>
        <v>1</v>
      </c>
      <c r="T42" s="28">
        <f>SUMIF(RAW_RECOVERED!$B:$B,Tabelle289[[#This Row],[Country/Region]],RAW_RECOVERED!U:U)</f>
        <v>3</v>
      </c>
      <c r="U42" s="28">
        <f>SUMIF(RAW_RECOVERED!$B:$B,Tabelle289[[#This Row],[Country/Region]],RAW_RECOVERED!V:V)</f>
        <v>3</v>
      </c>
      <c r="V42" s="28">
        <f>SUMIF(RAW_RECOVERED!$B:$B,Tabelle289[[#This Row],[Country/Region]],RAW_RECOVERED!W:W)</f>
        <v>3</v>
      </c>
      <c r="W42" s="28">
        <f>SUMIF(RAW_RECOVERED!$B:$B,Tabelle289[[#This Row],[Country/Region]],RAW_RECOVERED!X:X)</f>
        <v>7</v>
      </c>
      <c r="X42" s="28">
        <f>SUMIF(RAW_RECOVERED!$B:$B,Tabelle289[[#This Row],[Country/Region]],RAW_RECOVERED!Y:Y)</f>
        <v>7</v>
      </c>
      <c r="Y42" s="28">
        <f>SUMIF(RAW_RECOVERED!$B:$B,Tabelle289[[#This Row],[Country/Region]],RAW_RECOVERED!Z:Z)</f>
        <v>7</v>
      </c>
      <c r="Z42" s="28">
        <f>SUMIF(RAW_RECOVERED!$B:$B,Tabelle289[[#This Row],[Country/Region]],RAW_RECOVERED!AA:AA)</f>
        <v>9</v>
      </c>
      <c r="AA42" s="28">
        <f>SUMIF(RAW_RECOVERED!$B:$B,Tabelle289[[#This Row],[Country/Region]],RAW_RECOVERED!AB:AB)</f>
        <v>9</v>
      </c>
      <c r="AB42" s="28">
        <f>SUMIF(RAW_RECOVERED!$B:$B,Tabelle289[[#This Row],[Country/Region]],RAW_RECOVERED!AC:AC)</f>
        <v>10</v>
      </c>
      <c r="AC42" s="28">
        <f>SUMIF(RAW_RECOVERED!$B:$B,Tabelle289[[#This Row],[Country/Region]],RAW_RECOVERED!AD:AD)</f>
        <v>12</v>
      </c>
      <c r="AD42" s="28">
        <f>SUMIF(RAW_RECOVERED!$B:$B,Tabelle289[[#This Row],[Country/Region]],RAW_RECOVERED!AE:AE)</f>
        <v>12</v>
      </c>
      <c r="AE42" s="28">
        <f>SUMIF(RAW_RECOVERED!$B:$B,Tabelle289[[#This Row],[Country/Region]],RAW_RECOVERED!AF:AF)</f>
        <v>16</v>
      </c>
      <c r="AF42" s="28">
        <f>SUMIF(RAW_RECOVERED!$B:$B,Tabelle289[[#This Row],[Country/Region]],RAW_RECOVERED!AG:AG)</f>
        <v>16</v>
      </c>
      <c r="AG42" s="28">
        <f>SUMIF(RAW_RECOVERED!$B:$B,Tabelle289[[#This Row],[Country/Region]],RAW_RECOVERED!AH:AH)</f>
        <v>16</v>
      </c>
      <c r="AH42" s="28">
        <f>SUMIF(RAW_RECOVERED!$B:$B,Tabelle289[[#This Row],[Country/Region]],RAW_RECOVERED!AI:AI)</f>
        <v>18</v>
      </c>
      <c r="AI42" s="28">
        <f>SUMIF(RAW_RECOVERED!$B:$B,Tabelle289[[#This Row],[Country/Region]],RAW_RECOVERED!AJ:AJ)</f>
        <v>18</v>
      </c>
      <c r="AJ42" s="28">
        <f>SUMIF(RAW_RECOVERED!$B:$B,Tabelle289[[#This Row],[Country/Region]],RAW_RECOVERED!AK:AK)</f>
        <v>22</v>
      </c>
      <c r="AK42" s="28">
        <f>SUMIF(RAW_RECOVERED!$B:$B,Tabelle289[[#This Row],[Country/Region]],RAW_RECOVERED!AL:AL)</f>
        <v>22</v>
      </c>
      <c r="AL42" s="28">
        <f>SUMIF(RAW_RECOVERED!$B:$B,Tabelle289[[#This Row],[Country/Region]],RAW_RECOVERED!AM:AM)</f>
        <v>22</v>
      </c>
      <c r="AM42" s="28">
        <f>SUMIF(RAW_RECOVERED!$B:$B,Tabelle289[[#This Row],[Country/Region]],RAW_RECOVERED!AN:AN)</f>
        <v>22</v>
      </c>
      <c r="AN42" s="28">
        <f>SUMIF(RAW_RECOVERED!$B:$B,Tabelle289[[#This Row],[Country/Region]],RAW_RECOVERED!AO:AO)</f>
        <v>27</v>
      </c>
      <c r="AO42" s="28">
        <f>SUMIF(RAW_RECOVERED!$B:$B,Tabelle289[[#This Row],[Country/Region]],RAW_RECOVERED!AP:AP)</f>
        <v>30</v>
      </c>
      <c r="AP42" s="28">
        <f>SUMIF(RAW_RECOVERED!$B:$B,Tabelle289[[#This Row],[Country/Region]],RAW_RECOVERED!AQ:AQ)</f>
        <v>30</v>
      </c>
      <c r="AQ42" s="28">
        <f>SUMIF(RAW_RECOVERED!$B:$B,Tabelle289[[#This Row],[Country/Region]],RAW_RECOVERED!AR:AR)</f>
        <v>30</v>
      </c>
      <c r="AR42" s="28">
        <f>SUMIF(RAW_RECOVERED!$B:$B,Tabelle289[[#This Row],[Country/Region]],RAW_RECOVERED!AS:AS)</f>
        <v>41</v>
      </c>
      <c r="AS42" s="28">
        <f>SUMIF(RAW_RECOVERED!$B:$B,Tabelle289[[#This Row],[Country/Region]],RAW_RECOVERED!AT:AT)</f>
        <v>41</v>
      </c>
      <c r="AT42" s="28">
        <f>SUMIF(RAW_RECOVERED!$B:$B,Tabelle289[[#This Row],[Country/Region]],RAW_RECOVERED!AU:AU)</f>
        <v>135</v>
      </c>
      <c r="AU42" s="28">
        <f>SUMIF(RAW_RECOVERED!$B:$B,Tabelle289[[#This Row],[Country/Region]],RAW_RECOVERED!AV:AV)</f>
        <v>135</v>
      </c>
      <c r="AV42" s="28">
        <f>SUMIF(RAW_RECOVERED!$B:$B,Tabelle289[[#This Row],[Country/Region]],RAW_RECOVERED!AW:AW)</f>
        <v>118</v>
      </c>
      <c r="AW42" s="28">
        <f>SUMIF(RAW_RECOVERED!$B:$B,Tabelle289[[#This Row],[Country/Region]],RAW_RECOVERED!AX:AX)</f>
        <v>118</v>
      </c>
      <c r="AX42" s="28">
        <f>SUMIF(RAW_RECOVERED!$B:$B,Tabelle289[[#This Row],[Country/Region]],RAW_RECOVERED!AY:AY)</f>
        <v>247</v>
      </c>
      <c r="AY42" s="28">
        <f>SUMIF(RAW_RECOVERED!$B:$B,Tabelle289[[#This Row],[Country/Region]],RAW_RECOVERED!AZ:AZ)</f>
        <v>288</v>
      </c>
      <c r="AZ42" s="28">
        <f>SUMIF(RAW_RECOVERED!$B:$B,Tabelle289[[#This Row],[Country/Region]],RAW_RECOVERED!BA:BA)</f>
        <v>333</v>
      </c>
      <c r="BA42" s="28">
        <f>SUMIF(RAW_RECOVERED!$B:$B,Tabelle289[[#This Row],[Country/Region]],RAW_RECOVERED!BB:BB)</f>
        <v>510</v>
      </c>
      <c r="BB42" s="28">
        <f>SUMIF(RAW_RECOVERED!$B:$B,Tabelle289[[#This Row],[Country/Region]],RAW_RECOVERED!BC:BC)</f>
        <v>510</v>
      </c>
      <c r="BC42" s="28">
        <f>SUMIF(RAW_RECOVERED!$B:$B,Tabelle289[[#This Row],[Country/Region]],RAW_RECOVERED!BD:BD)</f>
        <v>510</v>
      </c>
      <c r="BD42" s="28">
        <f>SUMIF(RAW_RECOVERED!$B:$B,Tabelle289[[#This Row],[Country/Region]],RAW_RECOVERED!BE:BE)</f>
        <v>1137</v>
      </c>
      <c r="BE42" s="28">
        <f>SUMIF(RAW_RECOVERED!$B:$B,Tabelle289[[#This Row],[Country/Region]],RAW_RECOVERED!BF:BF)</f>
        <v>1407</v>
      </c>
      <c r="BF42" s="28">
        <f>SUMIF(RAW_RECOVERED!$B:$B,Tabelle289[[#This Row],[Country/Region]],RAW_RECOVERED!BG:BG)</f>
        <v>1540</v>
      </c>
      <c r="BG42" s="28">
        <f>SUMIF(RAW_RECOVERED!$B:$B,Tabelle289[[#This Row],[Country/Region]],RAW_RECOVERED!BH:BH)</f>
        <v>1540</v>
      </c>
      <c r="BH42" s="28">
        <f>SUMIF(RAW_RECOVERED!$B:$B,Tabelle289[[#This Row],[Country/Region]],RAW_RECOVERED!BI:BI)</f>
        <v>1540</v>
      </c>
      <c r="BI42" s="28">
        <f>SUMIF(RAW_RECOVERED!$B:$B,Tabelle289[[#This Row],[Country/Region]],RAW_RECOVERED!BJ:BJ)</f>
        <v>1540</v>
      </c>
      <c r="BJ42" s="28">
        <f>SUMIF(RAW_RECOVERED!$B:$B,Tabelle289[[#This Row],[Country/Region]],RAW_RECOVERED!BK:BK)</f>
        <v>2909</v>
      </c>
      <c r="BK42" s="28">
        <f>SUMIF(RAW_RECOVERED!$B:$B,Tabelle289[[#This Row],[Country/Region]],RAW_RECOVERED!BL:BL)</f>
        <v>2909</v>
      </c>
      <c r="BL42" s="28">
        <f>SUMIF(RAW_RECOVERED!$B:$B,Tabelle289[[#This Row],[Country/Region]],RAW_RECOVERED!BM:BM)</f>
        <v>3507</v>
      </c>
      <c r="BM42" s="28">
        <f>SUMIF(RAW_RECOVERED!$B:$B,Tabelle289[[#This Row],[Country/Region]],RAW_RECOVERED!BN:BN)</f>
        <v>3730</v>
      </c>
      <c r="BN42" s="28">
        <f>SUMIF(RAW_RECOVERED!$B:$B,Tabelle289[[#This Row],[Country/Region]],RAW_RECOVERED!BO:BO)</f>
        <v>4144</v>
      </c>
      <c r="BO42" s="28">
        <f>SUMIF(RAW_RECOVERED!$B:$B,Tabelle289[[#This Row],[Country/Region]],RAW_RECOVERED!BP:BP)</f>
        <v>4528</v>
      </c>
      <c r="BP42" s="28">
        <f>SUMIF(RAW_RECOVERED!$B:$B,Tabelle289[[#This Row],[Country/Region]],RAW_RECOVERED!BQ:BQ)</f>
        <v>4811</v>
      </c>
      <c r="BQ42" s="28">
        <f>SUMIF(RAW_RECOVERED!$B:$B,Tabelle289[[#This Row],[Country/Region]],RAW_RECOVERED!BR:BR)</f>
        <v>5033</v>
      </c>
      <c r="BR42" s="28">
        <f>SUMIF(RAW_RECOVERED!$B:$B,Tabelle289[[#This Row],[Country/Region]],RAW_RECOVERED!BS:BS)</f>
        <v>5228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2.75" x14ac:dyDescent="0.2">
      <c r="A43" s="27" t="str">
        <f t="shared" si="12"/>
        <v>Spain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0</v>
      </c>
      <c r="X43" s="28">
        <f>SUMIF(RAW_RECOVERED!$B:$B,Tabelle289[[#This Row],[Country/Region]],RAW_RECOVERED!Y:Y)</f>
        <v>0</v>
      </c>
      <c r="Y43" s="28">
        <f>SUMIF(RAW_RECOVERED!$B:$B,Tabelle289[[#This Row],[Country/Region]],RAW_RECOVERED!Z:Z)</f>
        <v>0</v>
      </c>
      <c r="Z43" s="28">
        <f>SUMIF(RAW_RECOVERED!$B:$B,Tabelle289[[#This Row],[Country/Region]],RAW_RECOVERED!AA:AA)</f>
        <v>2</v>
      </c>
      <c r="AA43" s="28">
        <f>SUMIF(RAW_RECOVERED!$B:$B,Tabelle289[[#This Row],[Country/Region]],RAW_RECOVERED!AB:AB)</f>
        <v>2</v>
      </c>
      <c r="AB43" s="28">
        <f>SUMIF(RAW_RECOVERED!$B:$B,Tabelle289[[#This Row],[Country/Region]],RAW_RECOVERED!AC:AC)</f>
        <v>2</v>
      </c>
      <c r="AC43" s="28">
        <f>SUMIF(RAW_RECOVERED!$B:$B,Tabelle289[[#This Row],[Country/Region]],RAW_RECOVERED!AD:AD)</f>
        <v>2</v>
      </c>
      <c r="AD43" s="28">
        <f>SUMIF(RAW_RECOVERED!$B:$B,Tabelle289[[#This Row],[Country/Region]],RAW_RECOVERED!AE:AE)</f>
        <v>2</v>
      </c>
      <c r="AE43" s="28">
        <f>SUMIF(RAW_RECOVERED!$B:$B,Tabelle289[[#This Row],[Country/Region]],RAW_RECOVERED!AF:AF)</f>
        <v>2</v>
      </c>
      <c r="AF43" s="28">
        <f>SUMIF(RAW_RECOVERED!$B:$B,Tabelle289[[#This Row],[Country/Region]],RAW_RECOVERED!AG:AG)</f>
        <v>2</v>
      </c>
      <c r="AG43" s="28">
        <f>SUMIF(RAW_RECOVERED!$B:$B,Tabelle289[[#This Row],[Country/Region]],RAW_RECOVERED!AH:AH)</f>
        <v>2</v>
      </c>
      <c r="AH43" s="28">
        <f>SUMIF(RAW_RECOVERED!$B:$B,Tabelle289[[#This Row],[Country/Region]],RAW_RECOVERED!AI:AI)</f>
        <v>2</v>
      </c>
      <c r="AI43" s="28">
        <f>SUMIF(RAW_RECOVERED!$B:$B,Tabelle289[[#This Row],[Country/Region]],RAW_RECOVERED!AJ:AJ)</f>
        <v>2</v>
      </c>
      <c r="AJ43" s="28">
        <f>SUMIF(RAW_RECOVERED!$B:$B,Tabelle289[[#This Row],[Country/Region]],RAW_RECOVERED!AK:AK)</f>
        <v>2</v>
      </c>
      <c r="AK43" s="28">
        <f>SUMIF(RAW_RECOVERED!$B:$B,Tabelle289[[#This Row],[Country/Region]],RAW_RECOVERED!AL:AL)</f>
        <v>2</v>
      </c>
      <c r="AL43" s="28">
        <f>SUMIF(RAW_RECOVERED!$B:$B,Tabelle289[[#This Row],[Country/Region]],RAW_RECOVERED!AM:AM)</f>
        <v>2</v>
      </c>
      <c r="AM43" s="28">
        <f>SUMIF(RAW_RECOVERED!$B:$B,Tabelle289[[#This Row],[Country/Region]],RAW_RECOVERED!AN:AN)</f>
        <v>2</v>
      </c>
      <c r="AN43" s="28">
        <f>SUMIF(RAW_RECOVERED!$B:$B,Tabelle289[[#This Row],[Country/Region]],RAW_RECOVERED!AO:AO)</f>
        <v>2</v>
      </c>
      <c r="AO43" s="28">
        <f>SUMIF(RAW_RECOVERED!$B:$B,Tabelle289[[#This Row],[Country/Region]],RAW_RECOVERED!AP:AP)</f>
        <v>2</v>
      </c>
      <c r="AP43" s="28">
        <f>SUMIF(RAW_RECOVERED!$B:$B,Tabelle289[[#This Row],[Country/Region]],RAW_RECOVERED!AQ:AQ)</f>
        <v>2</v>
      </c>
      <c r="AQ43" s="28">
        <f>SUMIF(RAW_RECOVERED!$B:$B,Tabelle289[[#This Row],[Country/Region]],RAW_RECOVERED!AR:AR)</f>
        <v>2</v>
      </c>
      <c r="AR43" s="28">
        <f>SUMIF(RAW_RECOVERED!$B:$B,Tabelle289[[#This Row],[Country/Region]],RAW_RECOVERED!AS:AS)</f>
        <v>2</v>
      </c>
      <c r="AS43" s="28">
        <f>SUMIF(RAW_RECOVERED!$B:$B,Tabelle289[[#This Row],[Country/Region]],RAW_RECOVERED!AT:AT)</f>
        <v>2</v>
      </c>
      <c r="AT43" s="28">
        <f>SUMIF(RAW_RECOVERED!$B:$B,Tabelle289[[#This Row],[Country/Region]],RAW_RECOVERED!AU:AU)</f>
        <v>2</v>
      </c>
      <c r="AU43" s="28">
        <f>SUMIF(RAW_RECOVERED!$B:$B,Tabelle289[[#This Row],[Country/Region]],RAW_RECOVERED!AV:AV)</f>
        <v>30</v>
      </c>
      <c r="AV43" s="28">
        <f>SUMIF(RAW_RECOVERED!$B:$B,Tabelle289[[#This Row],[Country/Region]],RAW_RECOVERED!AW:AW)</f>
        <v>30</v>
      </c>
      <c r="AW43" s="28">
        <f>SUMIF(RAW_RECOVERED!$B:$B,Tabelle289[[#This Row],[Country/Region]],RAW_RECOVERED!AX:AX)</f>
        <v>32</v>
      </c>
      <c r="AX43" s="28">
        <f>SUMIF(RAW_RECOVERED!$B:$B,Tabelle289[[#This Row],[Country/Region]],RAW_RECOVERED!AY:AY)</f>
        <v>32</v>
      </c>
      <c r="AY43" s="28">
        <f>SUMIF(RAW_RECOVERED!$B:$B,Tabelle289[[#This Row],[Country/Region]],RAW_RECOVERED!AZ:AZ)</f>
        <v>183</v>
      </c>
      <c r="AZ43" s="28">
        <f>SUMIF(RAW_RECOVERED!$B:$B,Tabelle289[[#This Row],[Country/Region]],RAW_RECOVERED!BA:BA)</f>
        <v>183</v>
      </c>
      <c r="BA43" s="28">
        <f>SUMIF(RAW_RECOVERED!$B:$B,Tabelle289[[#This Row],[Country/Region]],RAW_RECOVERED!BB:BB)</f>
        <v>193</v>
      </c>
      <c r="BB43" s="28">
        <f>SUMIF(RAW_RECOVERED!$B:$B,Tabelle289[[#This Row],[Country/Region]],RAW_RECOVERED!BC:BC)</f>
        <v>517</v>
      </c>
      <c r="BC43" s="28">
        <f>SUMIF(RAW_RECOVERED!$B:$B,Tabelle289[[#This Row],[Country/Region]],RAW_RECOVERED!BD:BD)</f>
        <v>517</v>
      </c>
      <c r="BD43" s="28">
        <f>SUMIF(RAW_RECOVERED!$B:$B,Tabelle289[[#This Row],[Country/Region]],RAW_RECOVERED!BE:BE)</f>
        <v>530</v>
      </c>
      <c r="BE43" s="28">
        <f>SUMIF(RAW_RECOVERED!$B:$B,Tabelle289[[#This Row],[Country/Region]],RAW_RECOVERED!BF:BF)</f>
        <v>1028</v>
      </c>
      <c r="BF43" s="28">
        <f>SUMIF(RAW_RECOVERED!$B:$B,Tabelle289[[#This Row],[Country/Region]],RAW_RECOVERED!BG:BG)</f>
        <v>1081</v>
      </c>
      <c r="BG43" s="28">
        <f>SUMIF(RAW_RECOVERED!$B:$B,Tabelle289[[#This Row],[Country/Region]],RAW_RECOVERED!BH:BH)</f>
        <v>1107</v>
      </c>
      <c r="BH43" s="28">
        <f>SUMIF(RAW_RECOVERED!$B:$B,Tabelle289[[#This Row],[Country/Region]],RAW_RECOVERED!BI:BI)</f>
        <v>1588</v>
      </c>
      <c r="BI43" s="28">
        <f>SUMIF(RAW_RECOVERED!$B:$B,Tabelle289[[#This Row],[Country/Region]],RAW_RECOVERED!BJ:BJ)</f>
        <v>2125</v>
      </c>
      <c r="BJ43" s="28">
        <f>SUMIF(RAW_RECOVERED!$B:$B,Tabelle289[[#This Row],[Country/Region]],RAW_RECOVERED!BK:BK)</f>
        <v>2575</v>
      </c>
      <c r="BK43" s="28">
        <f>SUMIF(RAW_RECOVERED!$B:$B,Tabelle289[[#This Row],[Country/Region]],RAW_RECOVERED!BL:BL)</f>
        <v>2575</v>
      </c>
      <c r="BL43" s="28">
        <f>SUMIF(RAW_RECOVERED!$B:$B,Tabelle289[[#This Row],[Country/Region]],RAW_RECOVERED!BM:BM)</f>
        <v>3794</v>
      </c>
      <c r="BM43" s="28">
        <f>SUMIF(RAW_RECOVERED!$B:$B,Tabelle289[[#This Row],[Country/Region]],RAW_RECOVERED!BN:BN)</f>
        <v>5367</v>
      </c>
      <c r="BN43" s="28">
        <f>SUMIF(RAW_RECOVERED!$B:$B,Tabelle289[[#This Row],[Country/Region]],RAW_RECOVERED!BO:BO)</f>
        <v>7015</v>
      </c>
      <c r="BO43" s="28">
        <f>SUMIF(RAW_RECOVERED!$B:$B,Tabelle289[[#This Row],[Country/Region]],RAW_RECOVERED!BP:BP)</f>
        <v>9357</v>
      </c>
      <c r="BP43" s="28">
        <f>SUMIF(RAW_RECOVERED!$B:$B,Tabelle289[[#This Row],[Country/Region]],RAW_RECOVERED!BQ:BQ)</f>
        <v>12285</v>
      </c>
      <c r="BQ43" s="28">
        <f>SUMIF(RAW_RECOVERED!$B:$B,Tabelle289[[#This Row],[Country/Region]],RAW_RECOVERED!BR:BR)</f>
        <v>14709</v>
      </c>
      <c r="BR43" s="28">
        <f>SUMIF(RAW_RECOVERED!$B:$B,Tabelle289[[#This Row],[Country/Region]],RAW_RECOVERED!BS:BS)</f>
        <v>16780</v>
      </c>
      <c r="BS43" s="28">
        <f>SUMIF(RAW_RECOVERED!$B:$B,Tabelle289[[#This Row],[Country/Region]],RAW_RECOVERED!BT:BT)</f>
        <v>0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11" customFormat="1" ht="12.75" x14ac:dyDescent="0.2">
      <c r="A44" s="27" t="str">
        <f t="shared" si="12"/>
        <v/>
      </c>
      <c r="B44" s="28">
        <f>SUMIF(RAW_RECOVERED!$B:$B,Tabelle289[[#This Row],[Country/Region]],RAW_RECOVERED!C:C)</f>
        <v>0</v>
      </c>
      <c r="C44" s="28">
        <f>SUMIF(RAW_RECOVERED!$B:$B,Tabelle289[[#This Row],[Country/Region]],RAW_RECOVERED!D:D)</f>
        <v>0</v>
      </c>
      <c r="D44" s="28">
        <f>SUMIF(RAW_RECOVERED!$B:$B,Tabelle289[[#This Row],[Country/Region]],RAW_RECOVERED!E:E)</f>
        <v>0</v>
      </c>
      <c r="E44" s="28">
        <f>SUMIF(RAW_RECOVERED!$B:$B,Tabelle289[[#This Row],[Country/Region]],RAW_RECOVERED!F:F)</f>
        <v>0</v>
      </c>
      <c r="F44" s="28">
        <f>SUMIF(RAW_RECOVERED!$B:$B,Tabelle289[[#This Row],[Country/Region]],RAW_RECOVERED!G:G)</f>
        <v>0</v>
      </c>
      <c r="G44" s="28">
        <f>SUMIF(RAW_RECOVERED!$B:$B,Tabelle289[[#This Row],[Country/Region]],RAW_RECOVERED!H:H)</f>
        <v>0</v>
      </c>
      <c r="H44" s="28">
        <f>SUMIF(RAW_RECOVERED!$B:$B,Tabelle289[[#This Row],[Country/Region]],RAW_RECOVERED!I:I)</f>
        <v>0</v>
      </c>
      <c r="I44" s="28">
        <f>SUMIF(RAW_RECOVERED!$B:$B,Tabelle289[[#This Row],[Country/Region]],RAW_RECOVERED!J:J)</f>
        <v>0</v>
      </c>
      <c r="J44" s="28">
        <f>SUMIF(RAW_RECOVERED!$B:$B,Tabelle289[[#This Row],[Country/Region]],RAW_RECOVERED!K:K)</f>
        <v>0</v>
      </c>
      <c r="K44" s="28">
        <f>SUMIF(RAW_RECOVERED!$B:$B,Tabelle289[[#This Row],[Country/Region]],RAW_RECOVERED!L:L)</f>
        <v>0</v>
      </c>
      <c r="L44" s="28">
        <f>SUMIF(RAW_RECOVERED!$B:$B,Tabelle289[[#This Row],[Country/Region]],RAW_RECOVERED!M:M)</f>
        <v>0</v>
      </c>
      <c r="M44" s="28">
        <f>SUMIF(RAW_RECOVERED!$B:$B,Tabelle289[[#This Row],[Country/Region]],RAW_RECOVERED!N:N)</f>
        <v>0</v>
      </c>
      <c r="N44" s="28">
        <f>SUMIF(RAW_RECOVERED!$B:$B,Tabelle289[[#This Row],[Country/Region]],RAW_RECOVERED!O:O)</f>
        <v>0</v>
      </c>
      <c r="O44" s="28">
        <f>SUMIF(RAW_RECOVERED!$B:$B,Tabelle289[[#This Row],[Country/Region]],RAW_RECOVERED!P:P)</f>
        <v>0</v>
      </c>
      <c r="P44" s="28">
        <f>SUMIF(RAW_RECOVERED!$B:$B,Tabelle289[[#This Row],[Country/Region]],RAW_RECOVERED!Q:Q)</f>
        <v>0</v>
      </c>
      <c r="Q44" s="28">
        <f>SUMIF(RAW_RECOVERED!$B:$B,Tabelle289[[#This Row],[Country/Region]],RAW_RECOVERED!R:R)</f>
        <v>0</v>
      </c>
      <c r="R44" s="28">
        <f>SUMIF(RAW_RECOVERED!$B:$B,Tabelle289[[#This Row],[Country/Region]],RAW_RECOVERED!S:S)</f>
        <v>0</v>
      </c>
      <c r="S44" s="28">
        <f>SUMIF(RAW_RECOVERED!$B:$B,Tabelle289[[#This Row],[Country/Region]],RAW_RECOVERED!T:T)</f>
        <v>0</v>
      </c>
      <c r="T44" s="28">
        <f>SUMIF(RAW_RECOVERED!$B:$B,Tabelle289[[#This Row],[Country/Region]],RAW_RECOVERED!U:U)</f>
        <v>0</v>
      </c>
      <c r="U44" s="28">
        <f>SUMIF(RAW_RECOVERED!$B:$B,Tabelle289[[#This Row],[Country/Region]],RAW_RECOVERED!V:V)</f>
        <v>0</v>
      </c>
      <c r="V44" s="28">
        <f>SUMIF(RAW_RECOVERED!$B:$B,Tabelle289[[#This Row],[Country/Region]],RAW_RECOVERED!W:W)</f>
        <v>0</v>
      </c>
      <c r="W44" s="28">
        <f>SUMIF(RAW_RECOVERED!$B:$B,Tabelle289[[#This Row],[Country/Region]],RAW_RECOVERED!X:X)</f>
        <v>0</v>
      </c>
      <c r="X44" s="28">
        <f>SUMIF(RAW_RECOVERED!$B:$B,Tabelle289[[#This Row],[Country/Region]],RAW_RECOVERED!Y:Y)</f>
        <v>0</v>
      </c>
      <c r="Y44" s="28">
        <f>SUMIF(RAW_RECOVERED!$B:$B,Tabelle289[[#This Row],[Country/Region]],RAW_RECOVERED!Z:Z)</f>
        <v>0</v>
      </c>
      <c r="Z44" s="28">
        <f>SUMIF(RAW_RECOVERED!$B:$B,Tabelle289[[#This Row],[Country/Region]],RAW_RECOVERED!AA:AA)</f>
        <v>0</v>
      </c>
      <c r="AA44" s="28">
        <f>SUMIF(RAW_RECOVERED!$B:$B,Tabelle289[[#This Row],[Country/Region]],RAW_RECOVERED!AB:AB)</f>
        <v>0</v>
      </c>
      <c r="AB44" s="28">
        <f>SUMIF(RAW_RECOVERED!$B:$B,Tabelle289[[#This Row],[Country/Region]],RAW_RECOVERED!AC:AC)</f>
        <v>0</v>
      </c>
      <c r="AC44" s="28">
        <f>SUMIF(RAW_RECOVERED!$B:$B,Tabelle289[[#This Row],[Country/Region]],RAW_RECOVERED!AD:AD)</f>
        <v>0</v>
      </c>
      <c r="AD44" s="28">
        <f>SUMIF(RAW_RECOVERED!$B:$B,Tabelle289[[#This Row],[Country/Region]],RAW_RECOVERED!AE:AE)</f>
        <v>0</v>
      </c>
      <c r="AE44" s="28">
        <f>SUMIF(RAW_RECOVERED!$B:$B,Tabelle289[[#This Row],[Country/Region]],RAW_RECOVERED!AF:AF)</f>
        <v>0</v>
      </c>
      <c r="AF44" s="28">
        <f>SUMIF(RAW_RECOVERED!$B:$B,Tabelle289[[#This Row],[Country/Region]],RAW_RECOVERED!AG:AG)</f>
        <v>0</v>
      </c>
      <c r="AG44" s="28">
        <f>SUMIF(RAW_RECOVERED!$B:$B,Tabelle289[[#This Row],[Country/Region]],RAW_RECOVERED!AH:AH)</f>
        <v>0</v>
      </c>
      <c r="AH44" s="28">
        <f>SUMIF(RAW_RECOVERED!$B:$B,Tabelle289[[#This Row],[Country/Region]],RAW_RECOVERED!AI:AI)</f>
        <v>0</v>
      </c>
      <c r="AI44" s="28">
        <f>SUMIF(RAW_RECOVERED!$B:$B,Tabelle289[[#This Row],[Country/Region]],RAW_RECOVERED!AJ:AJ)</f>
        <v>0</v>
      </c>
      <c r="AJ44" s="28">
        <f>SUMIF(RAW_RECOVERED!$B:$B,Tabelle289[[#This Row],[Country/Region]],RAW_RECOVERED!AK:AK)</f>
        <v>0</v>
      </c>
      <c r="AK44" s="28">
        <f>SUMIF(RAW_RECOVERED!$B:$B,Tabelle289[[#This Row],[Country/Region]],RAW_RECOVERED!AL:AL)</f>
        <v>0</v>
      </c>
      <c r="AL44" s="28">
        <f>SUMIF(RAW_RECOVERED!$B:$B,Tabelle289[[#This Row],[Country/Region]],RAW_RECOVERED!AM:AM)</f>
        <v>0</v>
      </c>
      <c r="AM44" s="28">
        <f>SUMIF(RAW_RECOVERED!$B:$B,Tabelle289[[#This Row],[Country/Region]],RAW_RECOVERED!AN:AN)</f>
        <v>0</v>
      </c>
      <c r="AN44" s="28">
        <f>SUMIF(RAW_RECOVERED!$B:$B,Tabelle289[[#This Row],[Country/Region]],RAW_RECOVERED!AO:AO)</f>
        <v>0</v>
      </c>
      <c r="AO44" s="28">
        <f>SUMIF(RAW_RECOVERED!$B:$B,Tabelle289[[#This Row],[Country/Region]],RAW_RECOVERED!AP:AP)</f>
        <v>0</v>
      </c>
      <c r="AP44" s="28">
        <f>SUMIF(RAW_RECOVERED!$B:$B,Tabelle289[[#This Row],[Country/Region]],RAW_RECOVERED!AQ:AQ)</f>
        <v>0</v>
      </c>
      <c r="AQ44" s="28">
        <f>SUMIF(RAW_RECOVERED!$B:$B,Tabelle289[[#This Row],[Country/Region]],RAW_RECOVERED!AR:AR)</f>
        <v>0</v>
      </c>
      <c r="AR44" s="28">
        <f>SUMIF(RAW_RECOVERED!$B:$B,Tabelle289[[#This Row],[Country/Region]],RAW_RECOVERED!AS:AS)</f>
        <v>0</v>
      </c>
      <c r="AS44" s="28">
        <f>SUMIF(RAW_RECOVERED!$B:$B,Tabelle289[[#This Row],[Country/Region]],RAW_RECOVERED!AT:AT)</f>
        <v>0</v>
      </c>
      <c r="AT44" s="28">
        <f>SUMIF(RAW_RECOVERED!$B:$B,Tabelle289[[#This Row],[Country/Region]],RAW_RECOVERED!AU:AU)</f>
        <v>0</v>
      </c>
      <c r="AU44" s="28">
        <f>SUMIF(RAW_RECOVERED!$B:$B,Tabelle289[[#This Row],[Country/Region]],RAW_RECOVERED!AV:AV)</f>
        <v>0</v>
      </c>
      <c r="AV44" s="28">
        <f>SUMIF(RAW_RECOVERED!$B:$B,Tabelle289[[#This Row],[Country/Region]],RAW_RECOVERED!AW:AW)</f>
        <v>0</v>
      </c>
      <c r="AW44" s="28">
        <f>SUMIF(RAW_RECOVERED!$B:$B,Tabelle289[[#This Row],[Country/Region]],RAW_RECOVERED!AX:AX)</f>
        <v>0</v>
      </c>
      <c r="AX44" s="28">
        <f>SUMIF(RAW_RECOVERED!$B:$B,Tabelle289[[#This Row],[Country/Region]],RAW_RECOVERED!AY:AY)</f>
        <v>0</v>
      </c>
      <c r="AY44" s="28">
        <f>SUMIF(RAW_RECOVERED!$B:$B,Tabelle289[[#This Row],[Country/Region]],RAW_RECOVERED!AZ:AZ)</f>
        <v>0</v>
      </c>
      <c r="AZ44" s="28">
        <f>SUMIF(RAW_RECOVERED!$B:$B,Tabelle289[[#This Row],[Country/Region]],RAW_RECOVERED!BA:BA)</f>
        <v>0</v>
      </c>
      <c r="BA44" s="28">
        <f>SUMIF(RAW_RECOVERED!$B:$B,Tabelle289[[#This Row],[Country/Region]],RAW_RECOVERED!BB:BB)</f>
        <v>0</v>
      </c>
      <c r="BB44" s="28">
        <f>SUMIF(RAW_RECOVERED!$B:$B,Tabelle289[[#This Row],[Country/Region]],RAW_RECOVERED!BC:BC)</f>
        <v>0</v>
      </c>
      <c r="BC44" s="28">
        <f>SUMIF(RAW_RECOVERED!$B:$B,Tabelle289[[#This Row],[Country/Region]],RAW_RECOVERED!BD:BD)</f>
        <v>0</v>
      </c>
      <c r="BD44" s="28">
        <f>SUMIF(RAW_RECOVERED!$B:$B,Tabelle289[[#This Row],[Country/Region]],RAW_RECOVERED!BE:BE)</f>
        <v>0</v>
      </c>
      <c r="BE44" s="28">
        <f>SUMIF(RAW_RECOVERED!$B:$B,Tabelle289[[#This Row],[Country/Region]],RAW_RECOVERED!BF:BF)</f>
        <v>0</v>
      </c>
      <c r="BF44" s="28">
        <f>SUMIF(RAW_RECOVERED!$B:$B,Tabelle289[[#This Row],[Country/Region]],RAW_RECOVERED!BG:BG)</f>
        <v>0</v>
      </c>
      <c r="BG44" s="28">
        <f>SUMIF(RAW_RECOVERED!$B:$B,Tabelle289[[#This Row],[Country/Region]],RAW_RECOVERED!BH:BH)</f>
        <v>0</v>
      </c>
      <c r="BH44" s="28">
        <f>SUMIF(RAW_RECOVERED!$B:$B,Tabelle289[[#This Row],[Country/Region]],RAW_RECOVERED!BI:BI)</f>
        <v>0</v>
      </c>
      <c r="BI44" s="28">
        <f>SUMIF(RAW_RECOVERED!$B:$B,Tabelle289[[#This Row],[Country/Region]],RAW_RECOVERED!BJ:BJ)</f>
        <v>0</v>
      </c>
      <c r="BJ44" s="28">
        <f>SUMIF(RAW_RECOVERED!$B:$B,Tabelle289[[#This Row],[Country/Region]],RAW_RECOVERED!BK:BK)</f>
        <v>0</v>
      </c>
      <c r="BK44" s="28">
        <f>SUMIF(RAW_RECOVERED!$B:$B,Tabelle289[[#This Row],[Country/Region]],RAW_RECOVERED!BL:BL)</f>
        <v>0</v>
      </c>
      <c r="BL44" s="28">
        <f>SUMIF(RAW_RECOVERED!$B:$B,Tabelle289[[#This Row],[Country/Region]],RAW_RECOVERED!BM:BM)</f>
        <v>0</v>
      </c>
      <c r="BM44" s="28">
        <f>SUMIF(RAW_RECOVERED!$B:$B,Tabelle289[[#This Row],[Country/Region]],RAW_RECOVERED!BN:BN)</f>
        <v>0</v>
      </c>
      <c r="BN44" s="28">
        <f>SUMIF(RAW_RECOVERED!$B:$B,Tabelle289[[#This Row],[Country/Region]],RAW_RECOVERED!BO:BO)</f>
        <v>0</v>
      </c>
      <c r="BO44" s="28">
        <f>SUMIF(RAW_RECOVERED!$B:$B,Tabelle289[[#This Row],[Country/Region]],RAW_RECOVERED!BP:BP)</f>
        <v>0</v>
      </c>
      <c r="BP44" s="28">
        <f>SUMIF(RAW_RECOVERED!$B:$B,Tabelle289[[#This Row],[Country/Region]],RAW_RECOVERED!BQ:BQ)</f>
        <v>0</v>
      </c>
      <c r="BQ44" s="28">
        <f>SUMIF(RAW_RECOVERED!$B:$B,Tabelle289[[#This Row],[Country/Region]],RAW_RECOVERED!BR:BR)</f>
        <v>0</v>
      </c>
      <c r="BR44" s="28">
        <f>SUMIF(RAW_RECOVERED!$B:$B,Tabelle289[[#This Row],[Country/Region]],RAW_RECOVERED!BS:BS)</f>
        <v>0</v>
      </c>
      <c r="BS44" s="28">
        <f>SUMIF(RAW_RECOVERED!$B:$B,Tabelle289[[#This Row],[Country/Region]],RAW_RECOVERED!BT:BT)</f>
        <v>0</v>
      </c>
      <c r="BT44" s="28">
        <f>SUMIF(RAW_RECOVERED!$B:$B,Tabelle289[[#This Row],[Country/Region]],RAW_RECOVERED!BU:BU)</f>
        <v>0</v>
      </c>
      <c r="BU44" s="28">
        <f>SUMIF(RAW_RECOVERED!$B:$B,Tabelle289[[#This Row],[Country/Region]],RAW_RECOVERED!BV:BV)</f>
        <v>0</v>
      </c>
      <c r="BV44" s="28">
        <f>SUMIF(RAW_RECOVERED!$B:$B,Tabelle289[[#This Row],[Country/Region]],RAW_RECOVERED!BW:BW)</f>
        <v>0</v>
      </c>
      <c r="BW44" s="28">
        <f>SUMIF(RAW_RECOVERED!$B:$B,Tabelle289[[#This Row],[Country/Region]],RAW_RECOVERED!BX:BX)</f>
        <v>0</v>
      </c>
      <c r="BX44" s="28">
        <f>SUMIF(RAW_RECOVERED!$B:$B,Tabelle289[[#This Row],[Country/Region]],RAW_RECOVERED!BY:BY)</f>
        <v>0</v>
      </c>
      <c r="BY44" s="28">
        <f>SUMIF(RAW_RECOVERED!$B:$B,Tabelle289[[#This Row],[Country/Region]],RAW_RECOVERED!BZ:BZ)</f>
        <v>0</v>
      </c>
      <c r="BZ44" s="28">
        <f>SUMIF(RAW_RECOVERED!$B:$B,Tabelle289[[#This Row],[Country/Region]],RAW_RECOVERED!CA:CA)</f>
        <v>0</v>
      </c>
      <c r="CA44" s="28">
        <f>SUMIF(RAW_RECOVERED!$B:$B,Tabelle289[[#This Row],[Country/Region]],RAW_RECOVERED!CB:CB)</f>
        <v>0</v>
      </c>
      <c r="CB44" s="28">
        <f>SUMIF(RAW_RECOVERED!$B:$B,Tabelle289[[#This Row],[Country/Region]],RAW_RECOVERED!CC:CC)</f>
        <v>0</v>
      </c>
      <c r="CC44" s="28">
        <f>SUMIF(RAW_RECOVERED!$B:$B,Tabelle289[[#This Row],[Country/Region]],RAW_RECOVERED!CD:CD)</f>
        <v>0</v>
      </c>
      <c r="CD44" s="28">
        <f>SUMIF(RAW_RECOVERED!$B:$B,Tabelle289[[#This Row],[Country/Region]],RAW_RECOVERED!CE:CE)</f>
        <v>0</v>
      </c>
      <c r="CE44" s="28"/>
      <c r="CF44" s="28"/>
      <c r="CG44" s="28"/>
      <c r="CH44" s="28"/>
      <c r="CI44" s="28"/>
    </row>
    <row r="45" spans="1:87" s="7" customFormat="1" ht="12" x14ac:dyDescent="0.2">
      <c r="A45" s="7" t="s">
        <v>240</v>
      </c>
      <c r="B45" s="10">
        <f>SUM(RAW_RECOVERED!CW:CW)</f>
        <v>0</v>
      </c>
      <c r="C45" s="10">
        <f>SUM(RAW_RECOVERED!CX:CX)</f>
        <v>0</v>
      </c>
      <c r="D45" s="10">
        <f>SUM(RAW_RECOVERED!CY:CY)</f>
        <v>0</v>
      </c>
      <c r="E45" s="10">
        <f>SUM(RAW_RECOVERED!CZ:CZ)</f>
        <v>0</v>
      </c>
      <c r="F45" s="10">
        <f>SUM(RAW_RECOVERED!DA:DA)</f>
        <v>0</v>
      </c>
      <c r="G45" s="10">
        <f>SUM(RAW_RECOVERED!DB:DB)</f>
        <v>0</v>
      </c>
      <c r="H45" s="10">
        <f>SUM(RAW_RECOVERED!DC:DC)</f>
        <v>0</v>
      </c>
      <c r="I45" s="10">
        <f>SUM(RAW_RECOVERED!DD:DD)</f>
        <v>0</v>
      </c>
      <c r="J45" s="10">
        <f>SUM(RAW_RECOVERED!DE:DE)</f>
        <v>0</v>
      </c>
      <c r="K45" s="10">
        <f>SUM(RAW_RECOVERED!DF:DF)</f>
        <v>0</v>
      </c>
      <c r="L45" s="10">
        <f>SUM(RAW_RECOVERED!DG:DG)</f>
        <v>0</v>
      </c>
      <c r="M45" s="10">
        <f>SUM(RAW_RECOVERED!DH:DH)</f>
        <v>0</v>
      </c>
      <c r="N45" s="10">
        <f>SUM(RAW_RECOVERED!DI:DI)</f>
        <v>0</v>
      </c>
      <c r="O45" s="10">
        <f>SUM(RAW_RECOVERED!DJ:DJ)</f>
        <v>0</v>
      </c>
      <c r="P45" s="10">
        <f>SUM(RAW_RECOVERED!DK:DK)</f>
        <v>0</v>
      </c>
      <c r="Q45" s="10">
        <f>SUM(RAW_RECOVERED!DL:DL)</f>
        <v>0</v>
      </c>
      <c r="R45" s="10">
        <f>SUM(RAW_RECOVERED!DM:DM)</f>
        <v>0</v>
      </c>
      <c r="S45" s="10">
        <f>SUM(RAW_RECOVERED!DN:DN)</f>
        <v>0</v>
      </c>
      <c r="T45" s="10">
        <f>SUM(RAW_RECOVERED!DO:DO)</f>
        <v>0</v>
      </c>
      <c r="U45" s="10">
        <f>SUM(RAW_RECOVERED!DP:DP)</f>
        <v>0</v>
      </c>
      <c r="V45" s="10">
        <f>SUM(RAW_RECOVERED!DQ:DQ)</f>
        <v>0</v>
      </c>
      <c r="W45" s="10">
        <f>SUM(RAW_RECOVERED!DR:DR)</f>
        <v>0</v>
      </c>
      <c r="X45" s="10">
        <f>SUM(RAW_RECOVERED!DS:DS)</f>
        <v>0</v>
      </c>
      <c r="Y45" s="10">
        <f>SUM(RAW_RECOVERED!DT:DT)</f>
        <v>0</v>
      </c>
      <c r="Z45" s="10">
        <f>SUM(RAW_RECOVERED!DU:DU)</f>
        <v>0</v>
      </c>
      <c r="AA45" s="10">
        <f>SUM(RAW_RECOVERED!DV:DV)</f>
        <v>0</v>
      </c>
      <c r="AB45" s="10">
        <f>SUM(RAW_RECOVERED!DW:DW)</f>
        <v>0</v>
      </c>
      <c r="AC45" s="10">
        <f>SUM(RAW_RECOVERED!DX:DX)</f>
        <v>0</v>
      </c>
      <c r="AD45" s="10">
        <f>SUM(RAW_RECOVERED!DY:DY)</f>
        <v>0</v>
      </c>
      <c r="AE45" s="10">
        <f>SUM(RAW_RECOVERED!DZ:DZ)</f>
        <v>0</v>
      </c>
      <c r="AF45" s="10">
        <f>SUM(RAW_RECOVERED!EA:EA)</f>
        <v>0</v>
      </c>
      <c r="AG45" s="10">
        <f>SUM(RAW_RECOVERED!EB:EB)</f>
        <v>0</v>
      </c>
      <c r="AH45" s="10">
        <f>SUM(RAW_RECOVERED!EC:EC)</f>
        <v>0</v>
      </c>
      <c r="AI45" s="10">
        <f>SUM(RAW_RECOVERED!ED:ED)</f>
        <v>0</v>
      </c>
      <c r="AJ45" s="10">
        <f>SUM(RAW_RECOVERED!EE:EE)</f>
        <v>0</v>
      </c>
      <c r="AK45" s="10">
        <f>SUM(RAW_RECOVERED!EF:EF)</f>
        <v>0</v>
      </c>
      <c r="AL45" s="10">
        <f>SUM(RAW_RECOVERED!EG:EG)</f>
        <v>0</v>
      </c>
      <c r="AM45" s="10">
        <f>SUM(RAW_RECOVERED!EH:EH)</f>
        <v>0</v>
      </c>
      <c r="AN45" s="10">
        <f>SUM(RAW_RECOVERED!EI:EI)</f>
        <v>0</v>
      </c>
      <c r="AO45" s="10">
        <f>SUM(RAW_RECOVERED!EJ:EJ)</f>
        <v>0</v>
      </c>
      <c r="AP45" s="10">
        <f>SUM(RAW_RECOVERED!EK:EK)</f>
        <v>0</v>
      </c>
      <c r="AQ45" s="10">
        <f>SUM(RAW_RECOVERED!EL:EL)</f>
        <v>0</v>
      </c>
      <c r="AR45" s="10">
        <f>SUM(RAW_RECOVERED!EM:EM)</f>
        <v>0</v>
      </c>
      <c r="AS45" s="10">
        <f>SUM(RAW_RECOVERED!EN:EN)</f>
        <v>0</v>
      </c>
      <c r="AT45" s="10">
        <f>SUM(RAW_RECOVERED!EO:EO)</f>
        <v>0</v>
      </c>
      <c r="AU45" s="10">
        <f>SUM(RAW_RECOVERED!EP:EP)</f>
        <v>0</v>
      </c>
      <c r="AV45" s="10">
        <f>SUM(RAW_RECOVERED!EQ:EQ)</f>
        <v>0</v>
      </c>
      <c r="AW45" s="10">
        <f>SUM(RAW_RECOVERED!ER:ER)</f>
        <v>0</v>
      </c>
      <c r="AX45" s="10">
        <f>SUM(RAW_RECOVERED!ES:ES)</f>
        <v>0</v>
      </c>
      <c r="AY45" s="10">
        <f>SUM(RAW_RECOVERED!ET:ET)</f>
        <v>0</v>
      </c>
      <c r="AZ45" s="10">
        <f>SUM(RAW_RECOVERED!EU:EU)</f>
        <v>0</v>
      </c>
      <c r="BA45" s="10">
        <f>SUM(RAW_RECOVERED!EV:EV)</f>
        <v>0</v>
      </c>
      <c r="BB45" s="10">
        <f>SUM(RAW_RECOVERED!EW:EW)</f>
        <v>0</v>
      </c>
      <c r="BC45" s="10">
        <f>SUM(RAW_RECOVERED!EX:EX)</f>
        <v>0</v>
      </c>
      <c r="BD45" s="10">
        <f>SUM(RAW_RECOVERED!EY:EY)</f>
        <v>0</v>
      </c>
      <c r="BE45" s="10">
        <f>SUM(RAW_RECOVERED!EZ:EZ)</f>
        <v>0</v>
      </c>
      <c r="BF45" s="10">
        <f>SUM(RAW_RECOVERED!FA:FA)</f>
        <v>0</v>
      </c>
      <c r="BG45" s="10">
        <f>SUM(RAW_RECOVERED!FB:FB)</f>
        <v>0</v>
      </c>
      <c r="BH45" s="10">
        <f>SUM(RAW_RECOVERED!FC:FC)</f>
        <v>0</v>
      </c>
      <c r="BI45" s="10">
        <f>SUM(RAW_RECOVERED!FD:FD)</f>
        <v>0</v>
      </c>
      <c r="BJ45" s="10">
        <f>SUM(RAW_RECOVERED!FE:FE)</f>
        <v>0</v>
      </c>
      <c r="BK45" s="10">
        <f>SUM(RAW_RECOVERED!FF:FF)</f>
        <v>0</v>
      </c>
      <c r="BL45" s="10">
        <f>SUM(RAW_RECOVERED!FG:FG)</f>
        <v>0</v>
      </c>
      <c r="BM45" s="10">
        <f>SUM(RAW_RECOVERED!FH:FH)</f>
        <v>0</v>
      </c>
      <c r="BN45" s="10">
        <f>SUM(RAW_RECOVERED!FI:FI)</f>
        <v>0</v>
      </c>
      <c r="BO45" s="10">
        <f>SUM(RAW_RECOVERED!FJ:FJ)</f>
        <v>0</v>
      </c>
      <c r="BP45" s="10">
        <f>SUM(RAW_RECOVERED!FK:FK)</f>
        <v>0</v>
      </c>
      <c r="BQ45" s="10">
        <f>SUM(RAW_RECOVERED!FL:FL)</f>
        <v>0</v>
      </c>
      <c r="BR45" s="10">
        <f>SUM(RAW_RECOVERED!FM:FM)</f>
        <v>0</v>
      </c>
      <c r="BS45" s="10">
        <f>SUM(RAW_RECOVERED!FN:FN)</f>
        <v>0</v>
      </c>
      <c r="BT45" s="10">
        <f>SUM(RAW_RECOVERED!FO:FO)</f>
        <v>0</v>
      </c>
      <c r="BU45" s="10">
        <f>SUM(RAW_RECOVERED!FP:FP)</f>
        <v>0</v>
      </c>
      <c r="BV45" s="10">
        <f>SUM(RAW_RECOVERED!FQ:FQ)</f>
        <v>0</v>
      </c>
      <c r="BW45" s="10">
        <f>SUM(RAW_RECOVERED!FR:FR)</f>
        <v>0</v>
      </c>
      <c r="BX45" s="10">
        <f>SUM(RAW_RECOVERED!FS:FS)</f>
        <v>0</v>
      </c>
      <c r="BY45" s="10">
        <f>SUM(RAW_RECOVERED!FT:FT)</f>
        <v>0</v>
      </c>
      <c r="BZ45" s="10">
        <f>SUM(RAW_RECOVERED!FU:FU)</f>
        <v>0</v>
      </c>
      <c r="CA45" s="10">
        <f>SUM(RAW_RECOVERED!FV:FV)</f>
        <v>0</v>
      </c>
      <c r="CB45" s="10">
        <f>SUM(RAW_RECOVERED!FW:FW)</f>
        <v>0</v>
      </c>
      <c r="CC45" s="10">
        <f>SUM(RAW_RECOVERED!FX:FX)</f>
        <v>0</v>
      </c>
      <c r="CD45" s="10">
        <f>SUM(RAW_RECOVERED!FY:FY)</f>
        <v>0</v>
      </c>
      <c r="CE45" s="10">
        <f>SUM(RAW_RECOVERED!FZ:FZ)</f>
        <v>0</v>
      </c>
      <c r="CF45" s="10">
        <f>SUM(RAW_RECOVERED!GA:GA)</f>
        <v>0</v>
      </c>
      <c r="CG45" s="10">
        <f>SUM(RAW_RECOVERED!GB:GB)</f>
        <v>0</v>
      </c>
      <c r="CH45" s="10">
        <f>SUM(RAW_RECOVERED!GC:GC)</f>
        <v>0</v>
      </c>
      <c r="CI45" s="10">
        <f>SUM(RAW_RECOVERED!GD:GD)</f>
        <v>0</v>
      </c>
    </row>
  </sheetData>
  <mergeCells count="1">
    <mergeCell ref="AO1:CE1"/>
  </mergeCells>
  <phoneticPr fontId="1" type="noConversion"/>
  <conditionalFormatting sqref="C11:CE11">
    <cfRule type="colorScale" priority="4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XFD11">
    <cfRule type="cellIs" dxfId="6" priority="2" operator="equal">
      <formula>"infinite"</formula>
    </cfRule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XFD12">
    <cfRule type="colorScale" priority="1">
      <colorScale>
        <cfvo type="num" val="0"/>
        <cfvo type="percent" val="100"/>
        <color rgb="FFC00000"/>
        <color theme="9"/>
      </colorScale>
    </cfRule>
  </conditionalFormatting>
  <dataValidations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55"/>
  <sheetViews>
    <sheetView workbookViewId="0">
      <selection sqref="A1:CT249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  <c r="BS2">
        <v>170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  <c r="BS3">
        <v>223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  <c r="BS4">
        <v>584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  <c r="BS5">
        <v>370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  <c r="BS6">
        <v>7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  <c r="BS7">
        <v>7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  <c r="BS8">
        <v>820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  <c r="BS9">
        <v>482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  <c r="BS10">
        <v>78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  <c r="BS11">
        <v>2032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  <c r="BS12">
        <v>15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  <c r="BS13">
        <v>689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  <c r="BS14">
        <v>305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  <c r="BS15">
        <v>66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  <c r="BS16">
        <v>821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  <c r="BS17">
        <v>355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  <c r="BS18">
        <v>9618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  <c r="BS19">
        <v>273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  <c r="BS20">
        <v>14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  <c r="BS21">
        <v>515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  <c r="BS22">
        <v>49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  <c r="BS23">
        <v>33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  <c r="BS24">
        <v>152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  <c r="BS25">
        <v>11899</v>
      </c>
    </row>
    <row r="26" spans="1:71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</row>
    <row r="27" spans="1:71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  <c r="BS27">
        <v>4</v>
      </c>
    </row>
    <row r="28" spans="1:71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  <c r="BS28">
        <v>97</v>
      </c>
    </row>
    <row r="29" spans="1:71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  <c r="BS29">
        <v>368</v>
      </c>
    </row>
    <row r="30" spans="1:71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  <c r="BS30">
        <v>4579</v>
      </c>
    </row>
    <row r="31" spans="1:71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  <c r="BS31">
        <v>127</v>
      </c>
    </row>
    <row r="32" spans="1:71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  <c r="BS32">
        <v>359</v>
      </c>
    </row>
    <row r="33" spans="1:71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  <c r="BS33">
        <v>246</v>
      </c>
    </row>
    <row r="34" spans="1:71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  <c r="BS34">
        <v>6</v>
      </c>
    </row>
    <row r="35" spans="1:71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  <c r="BS35">
        <v>107</v>
      </c>
    </row>
    <row r="36" spans="1:71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  <c r="BS36">
        <v>139</v>
      </c>
    </row>
    <row r="37" spans="1:71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  <c r="BS37">
        <v>661</v>
      </c>
    </row>
    <row r="38" spans="1:71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  <c r="BS38">
        <v>970</v>
      </c>
    </row>
    <row r="39" spans="1:71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</row>
    <row r="40" spans="1:71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  <c r="BS40">
        <v>96</v>
      </c>
    </row>
    <row r="41" spans="1:71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  <c r="BS41">
        <v>68</v>
      </c>
    </row>
    <row r="42" spans="1:71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  <c r="BS42">
        <v>148</v>
      </c>
    </row>
    <row r="43" spans="1:71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  <c r="BS43">
        <v>127</v>
      </c>
    </row>
    <row r="44" spans="1:71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  <c r="BS44">
        <v>1706</v>
      </c>
    </row>
    <row r="45" spans="1:71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  <c r="BS45">
        <v>18</v>
      </c>
    </row>
    <row r="46" spans="1:71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  <c r="BS46">
        <v>3430</v>
      </c>
    </row>
    <row r="47" spans="1:71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  <c r="BS47">
        <v>156</v>
      </c>
    </row>
    <row r="48" spans="1:71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</row>
    <row r="49" spans="1:71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5</v>
      </c>
    </row>
    <row r="50" spans="1:71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  <c r="BS50">
        <v>2449</v>
      </c>
    </row>
    <row r="51" spans="1:71" x14ac:dyDescent="0.2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</row>
    <row r="52" spans="1:71" x14ac:dyDescent="0.2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  <c r="BS52">
        <v>577</v>
      </c>
    </row>
    <row r="53" spans="1:71" x14ac:dyDescent="0.2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  <c r="BS53">
        <v>579</v>
      </c>
    </row>
    <row r="54" spans="1:71" x14ac:dyDescent="0.2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  <c r="BS54">
        <v>340</v>
      </c>
    </row>
    <row r="55" spans="1:71" x14ac:dyDescent="0.2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  <c r="BS55">
        <v>138</v>
      </c>
    </row>
    <row r="56" spans="1:71" x14ac:dyDescent="0.2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  <c r="BS56">
        <v>1484</v>
      </c>
    </row>
    <row r="57" spans="1:71" x14ac:dyDescent="0.2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</row>
    <row r="58" spans="1:71" x14ac:dyDescent="0.2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</row>
    <row r="59" spans="1:71" x14ac:dyDescent="0.2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</row>
    <row r="60" spans="1:71" x14ac:dyDescent="0.2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321</v>
      </c>
    </row>
    <row r="61" spans="1:71" x14ac:dyDescent="0.2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</row>
    <row r="62" spans="1:71" x14ac:dyDescent="0.2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  <c r="BS62">
        <v>1276</v>
      </c>
    </row>
    <row r="63" spans="1:71" x14ac:dyDescent="0.2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  <c r="BS63">
        <v>682</v>
      </c>
    </row>
    <row r="64" spans="1:71" x14ac:dyDescent="0.2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  <c r="BS64">
        <v>67801</v>
      </c>
    </row>
    <row r="65" spans="1:71" x14ac:dyDescent="0.2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</row>
    <row r="66" spans="1:71" x14ac:dyDescent="0.2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  <c r="BS66">
        <v>97</v>
      </c>
    </row>
    <row r="67" spans="1:71" x14ac:dyDescent="0.2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  <c r="BS67">
        <v>645</v>
      </c>
    </row>
    <row r="68" spans="1:71" x14ac:dyDescent="0.2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  <c r="BS68">
        <v>937</v>
      </c>
    </row>
    <row r="69" spans="1:71" x14ac:dyDescent="0.2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  <c r="BS69">
        <v>98</v>
      </c>
    </row>
    <row r="70" spans="1:71" x14ac:dyDescent="0.2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  <c r="BS70">
        <v>136</v>
      </c>
    </row>
    <row r="71" spans="1:71" x14ac:dyDescent="0.2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  <c r="BS71">
        <v>38</v>
      </c>
    </row>
    <row r="72" spans="1:71" x14ac:dyDescent="0.2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</row>
    <row r="73" spans="1:71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</row>
    <row r="74" spans="1:71" x14ac:dyDescent="0.2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  <c r="BS74">
        <v>253</v>
      </c>
    </row>
    <row r="75" spans="1:71" x14ac:dyDescent="0.2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  <c r="BS75">
        <v>773</v>
      </c>
    </row>
    <row r="76" spans="1:71" x14ac:dyDescent="0.2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  <c r="BS76">
        <v>498</v>
      </c>
    </row>
    <row r="77" spans="1:71" x14ac:dyDescent="0.2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  <c r="BS77">
        <v>136</v>
      </c>
    </row>
    <row r="78" spans="1:71" x14ac:dyDescent="0.2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  <c r="BS78">
        <v>550</v>
      </c>
    </row>
    <row r="79" spans="1:71" x14ac:dyDescent="0.2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  <c r="BS79">
        <v>174</v>
      </c>
    </row>
    <row r="80" spans="1:71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</row>
    <row r="81" spans="1:71" x14ac:dyDescent="0.2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</row>
    <row r="82" spans="1:71" x14ac:dyDescent="0.2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  <c r="BS82">
        <v>180</v>
      </c>
    </row>
    <row r="83" spans="1:71" x14ac:dyDescent="0.2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  <c r="BS83">
        <v>1255</v>
      </c>
    </row>
    <row r="84" spans="1:71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  <c r="BS84">
        <v>798</v>
      </c>
    </row>
    <row r="85" spans="1:71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  <c r="BS85">
        <v>19</v>
      </c>
    </row>
    <row r="86" spans="1:71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  <c r="BS86">
        <v>81</v>
      </c>
    </row>
    <row r="87" spans="1:71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  <c r="BS87">
        <v>330</v>
      </c>
    </row>
    <row r="88" spans="1:71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  <c r="BS88">
        <v>168</v>
      </c>
    </row>
    <row r="89" spans="1:71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  <c r="BS89">
        <v>790</v>
      </c>
    </row>
    <row r="90" spans="1:71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</row>
    <row r="91" spans="1:71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  <c r="BS91">
        <v>170</v>
      </c>
    </row>
    <row r="92" spans="1:71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  <c r="BS92">
        <v>230</v>
      </c>
    </row>
    <row r="93" spans="1:71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  <c r="BS93">
        <v>3001</v>
      </c>
    </row>
    <row r="94" spans="1:71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  <c r="BS94">
        <v>168</v>
      </c>
    </row>
    <row r="95" spans="1:71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  <c r="BS95">
        <v>10</v>
      </c>
    </row>
    <row r="96" spans="1:71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  <c r="BS96">
        <v>2577</v>
      </c>
    </row>
    <row r="97" spans="1:71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  <c r="BS97">
        <v>18</v>
      </c>
    </row>
    <row r="98" spans="1:71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  <c r="BS98">
        <v>901</v>
      </c>
    </row>
    <row r="99" spans="1:71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  <c r="BS99">
        <v>1962</v>
      </c>
    </row>
    <row r="100" spans="1:71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  <c r="BS100">
        <v>656</v>
      </c>
    </row>
    <row r="101" spans="1:71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  <c r="BS101">
        <v>30</v>
      </c>
    </row>
    <row r="102" spans="1:71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  <c r="BS102">
        <v>12</v>
      </c>
    </row>
    <row r="103" spans="1:71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  <c r="BS103">
        <v>12</v>
      </c>
    </row>
    <row r="104" spans="1:71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  <c r="BS104">
        <v>715</v>
      </c>
    </row>
    <row r="105" spans="1:71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  <c r="BS105">
        <v>9</v>
      </c>
    </row>
    <row r="106" spans="1:71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  <c r="BS106">
        <v>23</v>
      </c>
    </row>
    <row r="107" spans="1:71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</row>
    <row r="108" spans="1:71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  <c r="BS108">
        <v>1352</v>
      </c>
    </row>
    <row r="109" spans="1:71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43</v>
      </c>
    </row>
    <row r="110" spans="1:71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  <c r="BS110">
        <v>36</v>
      </c>
    </row>
    <row r="111" spans="1:71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  <c r="BS111">
        <v>106</v>
      </c>
    </row>
    <row r="112" spans="1:71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  <c r="BS112">
        <v>82</v>
      </c>
    </row>
    <row r="113" spans="1:71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  <c r="BS113">
        <v>15</v>
      </c>
    </row>
    <row r="114" spans="1:71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  <c r="BS114">
        <v>224</v>
      </c>
    </row>
    <row r="115" spans="1:71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  <c r="BS115">
        <v>6</v>
      </c>
    </row>
    <row r="116" spans="1:71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15</v>
      </c>
    </row>
    <row r="117" spans="1:71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  <c r="BS117">
        <v>93</v>
      </c>
    </row>
    <row r="118" spans="1:71" x14ac:dyDescent="0.2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  <c r="BS118">
        <v>44550</v>
      </c>
    </row>
    <row r="119" spans="1:71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  <c r="BS119">
        <v>7</v>
      </c>
    </row>
    <row r="120" spans="1:71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  <c r="BS120">
        <v>4</v>
      </c>
    </row>
    <row r="121" spans="1:71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  <c r="BS121">
        <v>103</v>
      </c>
    </row>
    <row r="122" spans="1:71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  <c r="BS122">
        <v>66885</v>
      </c>
    </row>
    <row r="123" spans="1:71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  <c r="BS123">
        <v>152</v>
      </c>
    </row>
    <row r="124" spans="1:71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  <c r="BS124">
        <v>1212</v>
      </c>
    </row>
    <row r="125" spans="1:71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  <c r="BS125">
        <v>36</v>
      </c>
    </row>
    <row r="126" spans="1:71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  <c r="BS126">
        <v>22</v>
      </c>
    </row>
    <row r="127" spans="1:71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  <c r="BS127">
        <v>8</v>
      </c>
    </row>
    <row r="128" spans="1:71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  <c r="BS128">
        <v>15</v>
      </c>
    </row>
    <row r="129" spans="1:71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  <c r="BS129">
        <v>6</v>
      </c>
    </row>
    <row r="130" spans="1:71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  <c r="BS130">
        <v>139</v>
      </c>
    </row>
    <row r="131" spans="1:71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  <c r="BS131">
        <v>447</v>
      </c>
    </row>
    <row r="132" spans="1:71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  <c r="BS132">
        <v>1086</v>
      </c>
    </row>
    <row r="133" spans="1:71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  <c r="BS133">
        <v>1251</v>
      </c>
    </row>
    <row r="134" spans="1:71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  <c r="BS134">
        <v>1414</v>
      </c>
    </row>
    <row r="135" spans="1:71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  <c r="BS135">
        <v>41495</v>
      </c>
    </row>
    <row r="136" spans="1:71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  <c r="BS136">
        <v>630</v>
      </c>
    </row>
    <row r="137" spans="1:71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  <c r="BS137">
        <v>2910</v>
      </c>
    </row>
    <row r="138" spans="1:71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  <c r="BS138">
        <v>4695</v>
      </c>
    </row>
    <row r="139" spans="1:71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  <c r="BS139">
        <v>101739</v>
      </c>
    </row>
    <row r="140" spans="1:71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  <c r="BS140">
        <v>36</v>
      </c>
    </row>
    <row r="141" spans="1:71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  <c r="BS141">
        <v>1866</v>
      </c>
    </row>
    <row r="142" spans="1:71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  <c r="BS142">
        <v>268</v>
      </c>
    </row>
    <row r="143" spans="1:71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  <c r="BS143">
        <v>302</v>
      </c>
    </row>
    <row r="144" spans="1:71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  <c r="BS144">
        <v>50</v>
      </c>
    </row>
    <row r="145" spans="1:71" x14ac:dyDescent="0.2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  <c r="BS145">
        <v>9661</v>
      </c>
    </row>
    <row r="146" spans="1:71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  <c r="BS146">
        <v>266</v>
      </c>
    </row>
    <row r="147" spans="1:71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  <c r="BS147">
        <v>94</v>
      </c>
    </row>
    <row r="148" spans="1:71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  <c r="BS148">
        <v>376</v>
      </c>
    </row>
    <row r="149" spans="1:71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  <c r="BS149">
        <v>446</v>
      </c>
    </row>
    <row r="150" spans="1:71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</row>
    <row r="151" spans="1:71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  <c r="BS151">
        <v>62</v>
      </c>
    </row>
    <row r="152" spans="1:71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  <c r="BS152">
        <v>491</v>
      </c>
    </row>
    <row r="153" spans="1:71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  <c r="BS153">
        <v>1988</v>
      </c>
    </row>
    <row r="154" spans="1:71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  <c r="BS154">
        <v>43</v>
      </c>
    </row>
    <row r="155" spans="1:71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  <c r="BS155">
        <v>2626</v>
      </c>
    </row>
    <row r="156" spans="1:71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  <c r="BS156">
        <v>17</v>
      </c>
    </row>
    <row r="157" spans="1:71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  <c r="BS157">
        <v>156</v>
      </c>
    </row>
    <row r="158" spans="1:71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  <c r="BS158">
        <v>5</v>
      </c>
    </row>
    <row r="159" spans="1:71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  <c r="BS159">
        <v>128</v>
      </c>
    </row>
    <row r="160" spans="1:71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  <c r="BS160">
        <v>993</v>
      </c>
    </row>
    <row r="161" spans="1:71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  <c r="BS161">
        <v>298</v>
      </c>
    </row>
    <row r="162" spans="1:71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  <c r="BS162">
        <v>49</v>
      </c>
    </row>
    <row r="163" spans="1:71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  <c r="BS163">
        <v>12</v>
      </c>
    </row>
    <row r="164" spans="1:71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  <c r="BS164">
        <v>91</v>
      </c>
    </row>
    <row r="165" spans="1:71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  <c r="BS165">
        <v>556</v>
      </c>
    </row>
    <row r="166" spans="1:71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  <c r="BS166">
        <v>11</v>
      </c>
    </row>
    <row r="167" spans="1:71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  <c r="BS167">
        <v>5</v>
      </c>
    </row>
    <row r="168" spans="1:71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  <c r="BS168">
        <v>50</v>
      </c>
    </row>
    <row r="169" spans="1:71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  <c r="BS169">
        <v>11</v>
      </c>
    </row>
    <row r="170" spans="1:71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  <c r="BS170">
        <v>6</v>
      </c>
    </row>
    <row r="171" spans="1:71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  <c r="BS171">
        <v>11750</v>
      </c>
    </row>
    <row r="172" spans="1:71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  <c r="BS172">
        <v>589</v>
      </c>
    </row>
    <row r="173" spans="1:71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  <c r="BS173">
        <v>4</v>
      </c>
    </row>
    <row r="174" spans="1:71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  <c r="BS174">
        <v>27</v>
      </c>
    </row>
    <row r="175" spans="1:71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  <c r="BS175">
        <v>131</v>
      </c>
    </row>
    <row r="176" spans="1:71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  <c r="BS176">
        <v>285</v>
      </c>
    </row>
    <row r="177" spans="1:71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  <c r="BS177">
        <v>4445</v>
      </c>
    </row>
    <row r="178" spans="1:71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  <c r="BS178">
        <v>179</v>
      </c>
    </row>
    <row r="179" spans="1:71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  <c r="BS179">
        <v>1717</v>
      </c>
    </row>
    <row r="180" spans="1:71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  <c r="BS180">
        <v>989</v>
      </c>
    </row>
    <row r="181" spans="1:71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</row>
    <row r="182" spans="1:71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  <c r="BS182">
        <v>64</v>
      </c>
    </row>
    <row r="183" spans="1:71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  <c r="BS183">
        <v>950</v>
      </c>
    </row>
    <row r="184" spans="1:71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  <c r="BS184">
        <v>1546</v>
      </c>
    </row>
    <row r="185" spans="1:71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  <c r="BS185">
        <v>2055</v>
      </c>
    </row>
    <row r="186" spans="1:71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  <c r="BS186">
        <v>6408</v>
      </c>
    </row>
    <row r="187" spans="1:71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  <c r="BS187">
        <v>693</v>
      </c>
    </row>
    <row r="188" spans="1:71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  <c r="BS188">
        <v>2109</v>
      </c>
    </row>
    <row r="189" spans="1:71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  <c r="BS189">
        <v>1836</v>
      </c>
    </row>
    <row r="190" spans="1:71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  <c r="BS190">
        <v>70</v>
      </c>
    </row>
    <row r="191" spans="1:71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  <c r="BS191">
        <v>9</v>
      </c>
    </row>
    <row r="192" spans="1:71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</row>
    <row r="193" spans="1:71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  <c r="BS193">
        <v>230</v>
      </c>
    </row>
    <row r="194" spans="1:71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  <c r="BS194">
        <v>1453</v>
      </c>
    </row>
    <row r="195" spans="1:71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  <c r="BS195">
        <v>162</v>
      </c>
    </row>
    <row r="196" spans="1:71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  <c r="BS196">
        <v>785</v>
      </c>
    </row>
    <row r="197" spans="1:71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  <c r="BS197">
        <v>8</v>
      </c>
    </row>
    <row r="198" spans="1:71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  <c r="BS198">
        <v>879</v>
      </c>
    </row>
    <row r="199" spans="1:71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  <c r="BS199">
        <v>336</v>
      </c>
    </row>
    <row r="200" spans="1:71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  <c r="BS200">
        <v>756</v>
      </c>
    </row>
    <row r="201" spans="1:71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  <c r="BS201">
        <v>3</v>
      </c>
    </row>
    <row r="202" spans="1:71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  <c r="BS202">
        <v>1326</v>
      </c>
    </row>
    <row r="203" spans="1:71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  <c r="BS203">
        <v>87956</v>
      </c>
    </row>
    <row r="204" spans="1:71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  <c r="BS204">
        <v>122</v>
      </c>
    </row>
    <row r="205" spans="1:71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  <c r="BS205">
        <v>6</v>
      </c>
    </row>
    <row r="206" spans="1:71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  <c r="BS206">
        <v>8</v>
      </c>
    </row>
    <row r="207" spans="1:71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  <c r="BS207">
        <v>4028</v>
      </c>
    </row>
    <row r="208" spans="1:71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  <c r="BS208">
        <v>15922</v>
      </c>
    </row>
    <row r="209" spans="1:71" x14ac:dyDescent="0.2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  <c r="BS209">
        <v>306</v>
      </c>
    </row>
    <row r="210" spans="1:71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  <c r="BS210">
        <v>19</v>
      </c>
    </row>
    <row r="211" spans="1:71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  <c r="BS211">
        <v>1524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  <c r="BS212">
        <v>30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  <c r="BS213">
        <v>82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  <c r="BS214">
        <v>312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  <c r="BS215">
        <v>10827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  <c r="BS216">
        <v>33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  <c r="BS217">
        <v>548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  <c r="BS218">
        <v>611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  <c r="BS219">
        <v>27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  <c r="BS220">
        <v>12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  <c r="BS221">
        <v>141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  <c r="BS222">
        <v>69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  <c r="BS223">
        <v>49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  <c r="BS224">
        <v>5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  <c r="BS225">
        <v>22141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  <c r="BS226">
        <v>310</v>
      </c>
    </row>
    <row r="227" spans="1:71" x14ac:dyDescent="0.2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  <c r="BP227">
        <v>101657</v>
      </c>
      <c r="BQ227">
        <v>121478</v>
      </c>
      <c r="BR227">
        <v>140886</v>
      </c>
      <c r="BS227">
        <v>161807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  <c r="BS228">
        <v>149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  <c r="BS229">
        <v>135</v>
      </c>
    </row>
    <row r="230" spans="1:71" x14ac:dyDescent="0.2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  <c r="BS230">
        <v>203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  <c r="BS231">
        <v>35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  <c r="BS232">
        <v>7</v>
      </c>
    </row>
    <row r="233" spans="1:71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</row>
    <row r="234" spans="1:71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  <c r="BS234">
        <v>11</v>
      </c>
    </row>
    <row r="235" spans="1:71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  <c r="BS235">
        <v>9</v>
      </c>
    </row>
    <row r="236" spans="1:71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  <c r="BS236">
        <v>8</v>
      </c>
    </row>
    <row r="237" spans="1:71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  <c r="BS237">
        <v>10</v>
      </c>
    </row>
    <row r="238" spans="1:71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</row>
    <row r="239" spans="1:71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  <c r="BS239">
        <v>3</v>
      </c>
    </row>
    <row r="240" spans="1:71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  <c r="BS241">
        <v>8</v>
      </c>
    </row>
    <row r="242" spans="1:71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  <c r="BS242">
        <v>8</v>
      </c>
    </row>
    <row r="243" spans="1:71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  <c r="BS243">
        <v>116</v>
      </c>
    </row>
    <row r="244" spans="1:71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  <c r="BS244">
        <v>8</v>
      </c>
    </row>
    <row r="245" spans="1:71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  <c r="BS245">
        <v>25</v>
      </c>
    </row>
    <row r="246" spans="1:71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  <c r="BS246">
        <v>7</v>
      </c>
    </row>
    <row r="247" spans="1:71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  <c r="BS247">
        <v>1</v>
      </c>
    </row>
    <row r="248" spans="1:71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  <c r="BS248">
        <v>4</v>
      </c>
    </row>
    <row r="249" spans="1:71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  <c r="BS249">
        <v>94</v>
      </c>
    </row>
    <row r="250" spans="1:71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  <c r="BS250">
        <v>14</v>
      </c>
    </row>
    <row r="251" spans="1:71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  <c r="BS251">
        <v>2</v>
      </c>
    </row>
    <row r="252" spans="1:71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  <c r="BS252">
        <v>2</v>
      </c>
    </row>
    <row r="253" spans="1:71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  <c r="BS253">
        <v>5</v>
      </c>
    </row>
    <row r="254" spans="1:71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  <c r="BS254">
        <v>2</v>
      </c>
    </row>
    <row r="255" spans="1:71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3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55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  <c r="BS2">
        <v>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  <c r="BS3">
        <v>11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  <c r="BS4">
        <v>35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  <c r="BS5">
        <v>8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  <c r="BS6">
        <v>2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  <c r="BS8">
        <v>23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  <c r="BS9">
        <v>3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  <c r="BS11">
        <v>8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  <c r="BS13">
        <v>2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  <c r="BS16">
        <v>4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  <c r="BS17">
        <v>2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  <c r="BS18">
        <v>108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  <c r="BS19">
        <v>4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  <c r="BS25">
        <v>513</v>
      </c>
    </row>
    <row r="26" spans="1:71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  <c r="BS28">
        <v>4</v>
      </c>
    </row>
    <row r="29" spans="1:71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  <c r="BS29">
        <v>10</v>
      </c>
    </row>
    <row r="30" spans="1:71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  <c r="BS30">
        <v>159</v>
      </c>
    </row>
    <row r="31" spans="1:71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1</v>
      </c>
    </row>
    <row r="32" spans="1:71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  <c r="BS32">
        <v>8</v>
      </c>
    </row>
    <row r="33" spans="1:71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  <c r="BS33">
        <v>12</v>
      </c>
    </row>
    <row r="34" spans="1:71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</row>
    <row r="35" spans="1:71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  <c r="BS36">
        <v>6</v>
      </c>
    </row>
    <row r="37" spans="1:71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3</v>
      </c>
    </row>
    <row r="38" spans="1:71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  <c r="BS38">
        <v>19</v>
      </c>
    </row>
    <row r="39" spans="1:71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  <c r="BS40">
        <v>1</v>
      </c>
    </row>
    <row r="41" spans="1:71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</row>
    <row r="42" spans="1:71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1</v>
      </c>
    </row>
    <row r="43" spans="1:71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</row>
    <row r="44" spans="1:71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  <c r="BS44">
        <v>31</v>
      </c>
    </row>
    <row r="45" spans="1:71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</row>
    <row r="46" spans="1:71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  <c r="BS46">
        <v>22</v>
      </c>
    </row>
    <row r="47" spans="1:71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</v>
      </c>
    </row>
    <row r="48" spans="1:71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</row>
    <row r="49" spans="1:71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</row>
    <row r="50" spans="1:71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  <c r="BS50">
        <v>8</v>
      </c>
    </row>
    <row r="51" spans="1:71" x14ac:dyDescent="0.2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</row>
    <row r="52" spans="1:71" x14ac:dyDescent="0.2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</row>
    <row r="53" spans="1:71" x14ac:dyDescent="0.2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</row>
    <row r="54" spans="1:71" x14ac:dyDescent="0.2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</row>
    <row r="55" spans="1:71" x14ac:dyDescent="0.2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</row>
    <row r="56" spans="1:71" x14ac:dyDescent="0.2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</row>
    <row r="57" spans="1:71" x14ac:dyDescent="0.2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</row>
    <row r="58" spans="1:71" x14ac:dyDescent="0.2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</row>
    <row r="59" spans="1:71" x14ac:dyDescent="0.2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</row>
    <row r="60" spans="1:71" x14ac:dyDescent="0.2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</row>
    <row r="61" spans="1:71" x14ac:dyDescent="0.2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</row>
    <row r="62" spans="1:71" x14ac:dyDescent="0.2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</row>
    <row r="63" spans="1:71" x14ac:dyDescent="0.2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</row>
    <row r="64" spans="1:71" x14ac:dyDescent="0.2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  <c r="BS64">
        <v>3186</v>
      </c>
    </row>
    <row r="65" spans="1:71" x14ac:dyDescent="0.2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</row>
    <row r="66" spans="1:71" x14ac:dyDescent="0.2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</row>
    <row r="67" spans="1:71" x14ac:dyDescent="0.2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</row>
    <row r="68" spans="1:71" x14ac:dyDescent="0.2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</row>
    <row r="69" spans="1:71" x14ac:dyDescent="0.2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</row>
    <row r="70" spans="1:71" x14ac:dyDescent="0.2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</row>
    <row r="71" spans="1:71" x14ac:dyDescent="0.2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</row>
    <row r="72" spans="1:71" x14ac:dyDescent="0.2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</row>
    <row r="73" spans="1:71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</row>
    <row r="74" spans="1:71" x14ac:dyDescent="0.2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</row>
    <row r="75" spans="1:71" x14ac:dyDescent="0.2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</row>
    <row r="76" spans="1:71" x14ac:dyDescent="0.2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  <c r="BS76">
        <v>5</v>
      </c>
    </row>
    <row r="77" spans="1:71" x14ac:dyDescent="0.2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</row>
    <row r="78" spans="1:71" x14ac:dyDescent="0.2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</row>
    <row r="79" spans="1:71" x14ac:dyDescent="0.2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</row>
    <row r="80" spans="1:71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</row>
    <row r="81" spans="1:71" x14ac:dyDescent="0.2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</row>
    <row r="82" spans="1:71" x14ac:dyDescent="0.2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</row>
    <row r="83" spans="1:71" x14ac:dyDescent="0.2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</row>
    <row r="84" spans="1:71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  <c r="BS84">
        <v>12</v>
      </c>
    </row>
    <row r="85" spans="1:71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</row>
    <row r="86" spans="1:71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  <c r="BS86">
        <v>8</v>
      </c>
    </row>
    <row r="87" spans="1:71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</row>
    <row r="88" spans="1:71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  <c r="BS88">
        <v>1</v>
      </c>
    </row>
    <row r="89" spans="1:71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  <c r="BS89">
        <v>6</v>
      </c>
    </row>
    <row r="90" spans="1:71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  <c r="BS90">
        <v>10</v>
      </c>
    </row>
    <row r="91" spans="1:71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  <c r="BS91">
        <v>4</v>
      </c>
    </row>
    <row r="92" spans="1:71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  <c r="BS92">
        <v>7</v>
      </c>
    </row>
    <row r="93" spans="1:71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  <c r="BS93">
        <v>23</v>
      </c>
    </row>
    <row r="94" spans="1:71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  <c r="BS96">
        <v>77</v>
      </c>
    </row>
    <row r="97" spans="1:71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  <c r="BS98">
        <v>42</v>
      </c>
    </row>
    <row r="99" spans="1:71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  <c r="BS99">
        <v>60</v>
      </c>
    </row>
    <row r="100" spans="1:71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  <c r="BS100">
        <v>41</v>
      </c>
    </row>
    <row r="101" spans="1:71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</row>
    <row r="102" spans="1:71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</row>
    <row r="104" spans="1:71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  <c r="BS104">
        <v>3</v>
      </c>
    </row>
    <row r="105" spans="1:71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</row>
    <row r="106" spans="1:71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</row>
    <row r="108" spans="1:71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  <c r="BS108">
        <v>13</v>
      </c>
    </row>
    <row r="109" spans="1:71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</row>
    <row r="110" spans="1:71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</row>
    <row r="111" spans="1:71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  <c r="BS111">
        <v>4</v>
      </c>
    </row>
    <row r="112" spans="1:71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</row>
    <row r="114" spans="1:71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</row>
    <row r="115" spans="1:71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</row>
    <row r="116" spans="1:71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1</v>
      </c>
    </row>
    <row r="117" spans="1:71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</row>
    <row r="118" spans="1:71" x14ac:dyDescent="0.2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  <c r="BS118">
        <v>3024</v>
      </c>
    </row>
    <row r="119" spans="1:71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</row>
    <row r="120" spans="1:71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</row>
    <row r="121" spans="1:71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  <c r="BS122">
        <v>645</v>
      </c>
    </row>
    <row r="123" spans="1:71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  <c r="BS123">
        <v>5</v>
      </c>
    </row>
    <row r="124" spans="1:71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  <c r="BS124">
        <v>43</v>
      </c>
    </row>
    <row r="125" spans="1:71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</row>
    <row r="126" spans="1:71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</row>
    <row r="127" spans="1:71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</row>
    <row r="128" spans="1:71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</row>
    <row r="129" spans="1:71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</row>
    <row r="130" spans="1:71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  <c r="BS130">
        <v>7</v>
      </c>
    </row>
    <row r="131" spans="1:71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  <c r="BS131">
        <v>15</v>
      </c>
    </row>
    <row r="132" spans="1:71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  <c r="BS132">
        <v>2</v>
      </c>
    </row>
    <row r="133" spans="1:71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  <c r="BS133">
        <v>32</v>
      </c>
    </row>
    <row r="134" spans="1:71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  <c r="BS134">
        <v>122</v>
      </c>
    </row>
    <row r="135" spans="1:71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  <c r="BS135">
        <v>2757</v>
      </c>
    </row>
    <row r="136" spans="1:71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  <c r="BS136">
        <v>46</v>
      </c>
    </row>
    <row r="137" spans="1:71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  <c r="BS137">
        <v>54</v>
      </c>
    </row>
    <row r="138" spans="1:71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  <c r="BS138">
        <v>16</v>
      </c>
    </row>
    <row r="139" spans="1:71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  <c r="BS139">
        <v>11591</v>
      </c>
    </row>
    <row r="140" spans="1:71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</row>
    <row r="141" spans="1:71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  <c r="BS141">
        <v>54</v>
      </c>
    </row>
    <row r="142" spans="1:71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  <c r="BS142">
        <v>5</v>
      </c>
    </row>
    <row r="143" spans="1:71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  <c r="BS143">
        <v>1</v>
      </c>
    </row>
    <row r="144" spans="1:71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  <c r="BS144">
        <v>1</v>
      </c>
    </row>
    <row r="145" spans="1:71" x14ac:dyDescent="0.2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  <c r="BS145">
        <v>158</v>
      </c>
    </row>
    <row r="146" spans="1:71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1:71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</row>
    <row r="148" spans="1:71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</row>
    <row r="149" spans="1:71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  <c r="BS149">
        <v>11</v>
      </c>
    </row>
    <row r="150" spans="1:71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</row>
    <row r="151" spans="1:71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</row>
    <row r="152" spans="1:71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  <c r="BS152">
        <v>7</v>
      </c>
    </row>
    <row r="153" spans="1:71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  <c r="BS153">
        <v>22</v>
      </c>
    </row>
    <row r="154" spans="1:71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</row>
    <row r="155" spans="1:71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  <c r="BS155">
        <v>37</v>
      </c>
    </row>
    <row r="156" spans="1:71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</row>
    <row r="157" spans="1:71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</row>
    <row r="158" spans="1:71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1</v>
      </c>
    </row>
    <row r="159" spans="1:71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  <c r="BS159">
        <v>3</v>
      </c>
    </row>
    <row r="160" spans="1:71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  <c r="BS160">
        <v>20</v>
      </c>
    </row>
    <row r="161" spans="1:71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  <c r="BS161">
        <v>2</v>
      </c>
    </row>
    <row r="162" spans="1:71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  <c r="BS162">
        <v>1</v>
      </c>
    </row>
    <row r="163" spans="1:71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</row>
    <row r="164" spans="1:71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  <c r="BS165">
        <v>33</v>
      </c>
    </row>
    <row r="166" spans="1:71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</row>
    <row r="167" spans="1:71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</row>
    <row r="169" spans="1:71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</row>
    <row r="170" spans="1:71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  <c r="BS171">
        <v>864</v>
      </c>
    </row>
    <row r="172" spans="1:71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  <c r="BS172">
        <v>1</v>
      </c>
    </row>
    <row r="173" spans="1:71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</row>
    <row r="174" spans="1:71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3</v>
      </c>
    </row>
    <row r="175" spans="1:71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2</v>
      </c>
    </row>
    <row r="176" spans="1:71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  <c r="BS176">
        <v>7</v>
      </c>
    </row>
    <row r="177" spans="1:71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  <c r="BS177">
        <v>32</v>
      </c>
    </row>
    <row r="178" spans="1:71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1:71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  <c r="BS179">
        <v>21</v>
      </c>
    </row>
    <row r="180" spans="1:71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  <c r="BS180">
        <v>24</v>
      </c>
    </row>
    <row r="181" spans="1:71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</row>
    <row r="182" spans="1:71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  <c r="BS182">
        <v>3</v>
      </c>
    </row>
    <row r="183" spans="1:71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  <c r="BS183">
        <v>24</v>
      </c>
    </row>
    <row r="184" spans="1:71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  <c r="BS184">
        <v>78</v>
      </c>
    </row>
    <row r="185" spans="1:71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  <c r="BS185">
        <v>31</v>
      </c>
    </row>
    <row r="186" spans="1:71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  <c r="BS186">
        <v>140</v>
      </c>
    </row>
    <row r="187" spans="1:71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  <c r="BS187">
        <v>1</v>
      </c>
    </row>
    <row r="188" spans="1:71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  <c r="BS188">
        <v>65</v>
      </c>
    </row>
    <row r="189" spans="1:71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  <c r="BS189">
        <v>9</v>
      </c>
    </row>
    <row r="190" spans="1:71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</row>
    <row r="191" spans="1:71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</row>
    <row r="192" spans="1:71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</row>
    <row r="193" spans="1:71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  <c r="BS193">
        <v>25</v>
      </c>
    </row>
    <row r="194" spans="1:71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  <c r="BS194">
        <v>8</v>
      </c>
    </row>
    <row r="195" spans="1:71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1:71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  <c r="BS196">
        <v>16</v>
      </c>
    </row>
    <row r="197" spans="1:71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</row>
    <row r="198" spans="1:71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  <c r="BS198">
        <v>3</v>
      </c>
    </row>
    <row r="199" spans="1:71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1:71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  <c r="BS200">
        <v>11</v>
      </c>
    </row>
    <row r="201" spans="1:71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</row>
    <row r="202" spans="1:71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  <c r="BS202">
        <v>3</v>
      </c>
    </row>
    <row r="203" spans="1:71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  <c r="BS203">
        <v>7716</v>
      </c>
    </row>
    <row r="204" spans="1:71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  <c r="BS204">
        <v>2</v>
      </c>
    </row>
    <row r="205" spans="1:71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2</v>
      </c>
    </row>
    <row r="206" spans="1:71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</row>
    <row r="207" spans="1:71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  <c r="BS207">
        <v>146</v>
      </c>
    </row>
    <row r="208" spans="1:71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  <c r="BS208">
        <v>359</v>
      </c>
    </row>
    <row r="209" spans="1:71" x14ac:dyDescent="0.2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5</v>
      </c>
    </row>
    <row r="210" spans="1:71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</row>
    <row r="211" spans="1:71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  <c r="BS211">
        <v>9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  <c r="BS212">
        <v>1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  <c r="BS213">
        <v>3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  <c r="BS214">
        <v>8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  <c r="BS215">
        <v>168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  <c r="BS217">
        <v>13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  <c r="BS218">
        <v>5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  <c r="BS221">
        <v>2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  <c r="BS225">
        <v>1408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  <c r="BS226">
        <v>1</v>
      </c>
    </row>
    <row r="227" spans="1:71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  <c r="BS227">
        <v>2978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  <c r="BS228">
        <v>2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  <c r="BS229">
        <v>3</v>
      </c>
    </row>
    <row r="230" spans="1:71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</row>
    <row r="233" spans="1:71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</row>
    <row r="234" spans="1:71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</row>
    <row r="236" spans="1:71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  <c r="BS237">
        <v>2</v>
      </c>
    </row>
    <row r="238" spans="1:71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  <row r="242" spans="1:71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</row>
    <row r="243" spans="1:71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  <c r="BS243">
        <v>1</v>
      </c>
    </row>
    <row r="244" spans="1:71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</row>
    <row r="245" spans="1:71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  <c r="BS245">
        <v>2</v>
      </c>
    </row>
    <row r="246" spans="1:71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</row>
    <row r="247" spans="1:71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</row>
    <row r="248" spans="1:71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</row>
    <row r="249" spans="1:71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  <c r="BS249">
        <v>1</v>
      </c>
    </row>
    <row r="250" spans="1:71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</row>
    <row r="251" spans="1:71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</row>
    <row r="252" spans="1:71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</row>
    <row r="253" spans="1:71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</row>
    <row r="254" spans="1:71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</row>
    <row r="255" spans="1:71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41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  <c r="BS3">
        <v>44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  <c r="BS4">
        <v>37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  <c r="BS8">
        <v>228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  <c r="BS9">
        <v>30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  <c r="BS10">
        <v>2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  <c r="BS11">
        <v>4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8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  <c r="BS14">
        <v>6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  <c r="BS15">
        <v>5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  <c r="BS16">
        <v>191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  <c r="BS17">
        <v>41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  <c r="BS18">
        <v>636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  <c r="BS19">
        <v>26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  <c r="BS21">
        <v>279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  <c r="BS22">
        <v>19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  <c r="BS24">
        <v>32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  <c r="BS25">
        <v>1527</v>
      </c>
    </row>
    <row r="26" spans="1:71" x14ac:dyDescent="0.2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2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2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</row>
    <row r="29" spans="1:71" x14ac:dyDescent="0.2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</row>
    <row r="30" spans="1:71" x14ac:dyDescent="0.2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  <c r="BS30">
        <v>17</v>
      </c>
    </row>
    <row r="31" spans="1:71" x14ac:dyDescent="0.2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  <c r="BS31">
        <v>120</v>
      </c>
    </row>
    <row r="32" spans="1:71" x14ac:dyDescent="0.2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  <c r="BS32">
        <v>38</v>
      </c>
    </row>
    <row r="33" spans="1:71" x14ac:dyDescent="0.2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  <c r="BS33">
        <v>17</v>
      </c>
    </row>
    <row r="34" spans="1:71" x14ac:dyDescent="0.2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  <c r="BS34">
        <v>31</v>
      </c>
    </row>
    <row r="35" spans="1:71" x14ac:dyDescent="0.2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  <c r="BS36">
        <v>21</v>
      </c>
    </row>
    <row r="37" spans="1:71" x14ac:dyDescent="0.2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  <c r="BS37">
        <v>5</v>
      </c>
    </row>
    <row r="38" spans="1:71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  <c r="BS38">
        <v>466</v>
      </c>
    </row>
    <row r="39" spans="1:71" x14ac:dyDescent="0.2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2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</row>
    <row r="41" spans="1:71" x14ac:dyDescent="0.2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  <c r="BS41">
        <v>156</v>
      </c>
    </row>
    <row r="42" spans="1:71" x14ac:dyDescent="0.2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  <c r="BS42">
        <v>984</v>
      </c>
    </row>
    <row r="43" spans="1:71" x14ac:dyDescent="0.2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  <c r="BS43">
        <v>415</v>
      </c>
    </row>
    <row r="44" spans="1:71" x14ac:dyDescent="0.2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  <c r="BS44">
        <v>570</v>
      </c>
    </row>
    <row r="45" spans="1:71" x14ac:dyDescent="0.2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  <c r="BS45">
        <v>295</v>
      </c>
    </row>
    <row r="46" spans="1:71" x14ac:dyDescent="0.2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  <c r="BS46">
        <v>125</v>
      </c>
    </row>
    <row r="47" spans="1:71" x14ac:dyDescent="0.2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  <c r="BS47">
        <v>1351</v>
      </c>
    </row>
    <row r="48" spans="1:71" x14ac:dyDescent="0.2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  <c r="BS48">
        <v>250</v>
      </c>
    </row>
    <row r="49" spans="1:71" x14ac:dyDescent="0.2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  <c r="BS49">
        <v>144</v>
      </c>
    </row>
    <row r="50" spans="1:71" x14ac:dyDescent="0.2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  <c r="BS50">
        <v>168</v>
      </c>
    </row>
    <row r="51" spans="1:71" x14ac:dyDescent="0.2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  <c r="BS51">
        <v>310</v>
      </c>
    </row>
    <row r="52" spans="1:71" x14ac:dyDescent="0.2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  <c r="BS52">
        <v>469</v>
      </c>
    </row>
    <row r="53" spans="1:71" x14ac:dyDescent="0.2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  <c r="BS53">
        <v>1251</v>
      </c>
    </row>
    <row r="54" spans="1:71" x14ac:dyDescent="0.2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  <c r="BS54">
        <v>123</v>
      </c>
    </row>
    <row r="55" spans="1:71" x14ac:dyDescent="0.2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  <c r="BS55">
        <v>62889</v>
      </c>
    </row>
    <row r="56" spans="1:71" x14ac:dyDescent="0.2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  <c r="BS56">
        <v>1014</v>
      </c>
    </row>
    <row r="57" spans="1:71" x14ac:dyDescent="0.2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</row>
    <row r="58" spans="1:71" x14ac:dyDescent="0.2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  <c r="BS58">
        <v>631</v>
      </c>
    </row>
    <row r="59" spans="1:71" x14ac:dyDescent="0.2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  <c r="BS59">
        <v>935</v>
      </c>
    </row>
    <row r="60" spans="1:71" x14ac:dyDescent="0.2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  <c r="BS60">
        <v>92</v>
      </c>
    </row>
    <row r="61" spans="1:71" x14ac:dyDescent="0.2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  <c r="BS61">
        <v>124</v>
      </c>
    </row>
    <row r="62" spans="1:71" x14ac:dyDescent="0.2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  <c r="BS62">
        <v>10</v>
      </c>
    </row>
    <row r="63" spans="1:71" x14ac:dyDescent="0.2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  <c r="BS63">
        <v>75</v>
      </c>
    </row>
    <row r="64" spans="1:71" x14ac:dyDescent="0.2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  <c r="BS64">
        <v>18</v>
      </c>
    </row>
    <row r="65" spans="1:71" x14ac:dyDescent="0.2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  <c r="BS65">
        <v>242</v>
      </c>
    </row>
    <row r="66" spans="1:71" x14ac:dyDescent="0.2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  <c r="BS66">
        <v>753</v>
      </c>
    </row>
    <row r="67" spans="1:71" x14ac:dyDescent="0.2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  <c r="BS67">
        <v>338</v>
      </c>
    </row>
    <row r="68" spans="1:71" x14ac:dyDescent="0.2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  <c r="BS68">
        <v>133</v>
      </c>
    </row>
    <row r="69" spans="1:71" x14ac:dyDescent="0.2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  <c r="BS69">
        <v>536</v>
      </c>
    </row>
    <row r="70" spans="1:71" x14ac:dyDescent="0.2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  <c r="BS70">
        <v>133</v>
      </c>
    </row>
    <row r="71" spans="1:71" x14ac:dyDescent="0.2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</row>
    <row r="72" spans="1:71" x14ac:dyDescent="0.2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  <c r="BS72">
        <v>73</v>
      </c>
    </row>
    <row r="73" spans="1:71" x14ac:dyDescent="0.2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  <c r="BS73">
        <v>172</v>
      </c>
    </row>
    <row r="74" spans="1:71" x14ac:dyDescent="0.2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  <c r="BS74">
        <v>1225</v>
      </c>
    </row>
    <row r="75" spans="1:71" x14ac:dyDescent="0.2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  <c r="BS75">
        <v>15</v>
      </c>
    </row>
    <row r="76" spans="1:71" x14ac:dyDescent="0.2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</row>
    <row r="77" spans="1:71" x14ac:dyDescent="0.2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  <c r="BS77">
        <v>2</v>
      </c>
    </row>
    <row r="78" spans="1:71" x14ac:dyDescent="0.2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  <c r="BS78">
        <v>4</v>
      </c>
    </row>
    <row r="79" spans="1:71" x14ac:dyDescent="0.2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  <c r="BS79">
        <v>6</v>
      </c>
    </row>
    <row r="80" spans="1:71" x14ac:dyDescent="0.2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  <c r="BS80">
        <v>67</v>
      </c>
    </row>
    <row r="81" spans="1:71" x14ac:dyDescent="0.2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  <c r="BS81">
        <v>603</v>
      </c>
    </row>
    <row r="82" spans="1:71" x14ac:dyDescent="0.2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  <c r="BS82">
        <v>4</v>
      </c>
    </row>
    <row r="83" spans="1:71" x14ac:dyDescent="0.2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  <c r="BS83">
        <v>22</v>
      </c>
    </row>
    <row r="84" spans="1:71" x14ac:dyDescent="0.2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  <c r="BS84">
        <v>25</v>
      </c>
    </row>
    <row r="85" spans="1:71" x14ac:dyDescent="0.2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  <c r="BS85">
        <v>70</v>
      </c>
    </row>
    <row r="86" spans="1:71" x14ac:dyDescent="0.2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  <c r="BS86">
        <v>2</v>
      </c>
    </row>
    <row r="87" spans="1:71" x14ac:dyDescent="0.2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</row>
    <row r="88" spans="1:71" x14ac:dyDescent="0.2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</row>
    <row r="89" spans="1:71" x14ac:dyDescent="0.2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</row>
    <row r="90" spans="1:71" x14ac:dyDescent="0.2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  <c r="BS90">
        <v>4</v>
      </c>
    </row>
    <row r="91" spans="1:71" x14ac:dyDescent="0.2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  <c r="BS91">
        <v>3</v>
      </c>
    </row>
    <row r="92" spans="1:71" x14ac:dyDescent="0.2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  <c r="BS92">
        <v>150</v>
      </c>
    </row>
    <row r="93" spans="1:71" x14ac:dyDescent="0.2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</row>
    <row r="94" spans="1:71" x14ac:dyDescent="0.2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2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2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  <c r="BS96">
        <v>20</v>
      </c>
    </row>
    <row r="97" spans="1:71" x14ac:dyDescent="0.2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2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  <c r="BS98">
        <v>4</v>
      </c>
    </row>
    <row r="99" spans="1:71" x14ac:dyDescent="0.2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</row>
    <row r="100" spans="1:71" x14ac:dyDescent="0.2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  <c r="BS100">
        <v>10</v>
      </c>
    </row>
    <row r="101" spans="1:71" x14ac:dyDescent="0.2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  <c r="BS101">
        <v>6</v>
      </c>
    </row>
    <row r="102" spans="1:71" x14ac:dyDescent="0.2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2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  <c r="BS103">
        <v>17</v>
      </c>
    </row>
    <row r="104" spans="1:71" x14ac:dyDescent="0.2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</row>
    <row r="105" spans="1:71" x14ac:dyDescent="0.2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10</v>
      </c>
    </row>
    <row r="106" spans="1:71" x14ac:dyDescent="0.2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2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</row>
    <row r="108" spans="1:71" x14ac:dyDescent="0.2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1</v>
      </c>
    </row>
    <row r="109" spans="1:71" x14ac:dyDescent="0.2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2</v>
      </c>
    </row>
    <row r="110" spans="1:71" x14ac:dyDescent="0.2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  <c r="BS110">
        <v>7927</v>
      </c>
    </row>
    <row r="111" spans="1:71" x14ac:dyDescent="0.2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</row>
    <row r="112" spans="1:71" x14ac:dyDescent="0.2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2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  <c r="BS113">
        <v>20</v>
      </c>
    </row>
    <row r="114" spans="1:71" x14ac:dyDescent="0.2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  <c r="BS114">
        <v>13500</v>
      </c>
    </row>
    <row r="115" spans="1:71" x14ac:dyDescent="0.2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  <c r="BS115">
        <v>2</v>
      </c>
    </row>
    <row r="116" spans="1:71" x14ac:dyDescent="0.2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</row>
    <row r="117" spans="1:71" x14ac:dyDescent="0.2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  <c r="BS117">
        <v>52</v>
      </c>
    </row>
    <row r="118" spans="1:71" x14ac:dyDescent="0.2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  <c r="BS118">
        <v>10</v>
      </c>
    </row>
    <row r="119" spans="1:71" x14ac:dyDescent="0.2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</row>
    <row r="120" spans="1:71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</row>
    <row r="121" spans="1:71" x14ac:dyDescent="0.2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2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  <c r="BS122">
        <v>1</v>
      </c>
    </row>
    <row r="123" spans="1:71" x14ac:dyDescent="0.2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</row>
    <row r="124" spans="1:71" x14ac:dyDescent="0.2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  <c r="BS124">
        <v>3</v>
      </c>
    </row>
    <row r="125" spans="1:71" x14ac:dyDescent="0.2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  <c r="BS125">
        <v>34</v>
      </c>
    </row>
    <row r="126" spans="1:71" x14ac:dyDescent="0.2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  <c r="BS126">
        <v>157</v>
      </c>
    </row>
    <row r="127" spans="1:71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  <c r="BS127">
        <v>102</v>
      </c>
    </row>
    <row r="128" spans="1:71" x14ac:dyDescent="0.2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  <c r="BS128">
        <v>75</v>
      </c>
    </row>
    <row r="129" spans="1:71" x14ac:dyDescent="0.2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  <c r="BS129">
        <v>13911</v>
      </c>
    </row>
    <row r="130" spans="1:71" x14ac:dyDescent="0.2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  <c r="BS130">
        <v>152</v>
      </c>
    </row>
    <row r="131" spans="1:71" x14ac:dyDescent="0.2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</row>
    <row r="132" spans="1:71" x14ac:dyDescent="0.2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  <c r="BS132">
        <v>161</v>
      </c>
    </row>
    <row r="133" spans="1:71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  <c r="BS133">
        <v>14620</v>
      </c>
    </row>
    <row r="134" spans="1:71" x14ac:dyDescent="0.2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  <c r="BS134">
        <v>2</v>
      </c>
    </row>
    <row r="135" spans="1:71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  <c r="BS135">
        <v>424</v>
      </c>
    </row>
    <row r="136" spans="1:71" x14ac:dyDescent="0.2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  <c r="BS136">
        <v>26</v>
      </c>
    </row>
    <row r="137" spans="1:71" x14ac:dyDescent="0.2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  <c r="BS137">
        <v>21</v>
      </c>
    </row>
    <row r="138" spans="1:71" x14ac:dyDescent="0.2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</row>
    <row r="139" spans="1:71" x14ac:dyDescent="0.2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  <c r="BS139">
        <v>5228</v>
      </c>
    </row>
    <row r="140" spans="1:71" x14ac:dyDescent="0.2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  <c r="BS140">
        <v>72</v>
      </c>
    </row>
    <row r="141" spans="1:71" x14ac:dyDescent="0.2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3</v>
      </c>
    </row>
    <row r="142" spans="1:71" x14ac:dyDescent="0.2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</row>
    <row r="143" spans="1:71" x14ac:dyDescent="0.2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  <c r="BS143">
        <v>35</v>
      </c>
    </row>
    <row r="144" spans="1:71" x14ac:dyDescent="0.2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</row>
    <row r="145" spans="1:71" x14ac:dyDescent="0.2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</row>
    <row r="146" spans="1:71" x14ac:dyDescent="0.2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1:71" x14ac:dyDescent="0.2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7</v>
      </c>
    </row>
    <row r="148" spans="1:71" x14ac:dyDescent="0.2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  <c r="BS148">
        <v>40</v>
      </c>
    </row>
    <row r="149" spans="1:71" x14ac:dyDescent="0.2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</row>
    <row r="150" spans="1:71" x14ac:dyDescent="0.2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  <c r="BS150">
        <v>479</v>
      </c>
    </row>
    <row r="151" spans="1:71" x14ac:dyDescent="0.2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  <c r="BS151">
        <v>13</v>
      </c>
    </row>
    <row r="152" spans="1:71" x14ac:dyDescent="0.2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</row>
    <row r="153" spans="1:71" x14ac:dyDescent="0.2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</row>
    <row r="154" spans="1:71" x14ac:dyDescent="0.2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  <c r="BS154">
        <v>2</v>
      </c>
    </row>
    <row r="155" spans="1:71" x14ac:dyDescent="0.2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</row>
    <row r="156" spans="1:71" x14ac:dyDescent="0.2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35</v>
      </c>
    </row>
    <row r="157" spans="1:71" x14ac:dyDescent="0.2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15</v>
      </c>
    </row>
    <row r="158" spans="1:71" x14ac:dyDescent="0.2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</row>
    <row r="159" spans="1:71" x14ac:dyDescent="0.2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2</v>
      </c>
    </row>
    <row r="160" spans="1:71" x14ac:dyDescent="0.2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</row>
    <row r="161" spans="1:71" x14ac:dyDescent="0.2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  <c r="BS161">
        <v>15</v>
      </c>
    </row>
    <row r="162" spans="1:71" x14ac:dyDescent="0.2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</row>
    <row r="163" spans="1:71" x14ac:dyDescent="0.2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</row>
    <row r="164" spans="1:71" x14ac:dyDescent="0.2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2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</row>
    <row r="166" spans="1:71" x14ac:dyDescent="0.2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  <c r="BS166">
        <v>2</v>
      </c>
    </row>
    <row r="167" spans="1:71" x14ac:dyDescent="0.2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2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  <c r="BS168">
        <v>250</v>
      </c>
    </row>
    <row r="169" spans="1:71" x14ac:dyDescent="0.2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  <c r="BS169">
        <v>63</v>
      </c>
    </row>
    <row r="170" spans="1:71" x14ac:dyDescent="0.2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2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</row>
    <row r="172" spans="1:71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  <c r="BS172">
        <v>8</v>
      </c>
    </row>
    <row r="173" spans="1:71" x14ac:dyDescent="0.2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  <c r="BS173">
        <v>12</v>
      </c>
    </row>
    <row r="174" spans="1:71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  <c r="BS174">
        <v>12</v>
      </c>
    </row>
    <row r="175" spans="1:71" x14ac:dyDescent="0.2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  <c r="BS175">
        <v>29</v>
      </c>
    </row>
    <row r="176" spans="1:71" x14ac:dyDescent="0.2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  <c r="BS176">
        <v>76</v>
      </c>
    </row>
    <row r="177" spans="1:71" x14ac:dyDescent="0.2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  <c r="BS177">
        <v>4</v>
      </c>
    </row>
    <row r="178" spans="1:71" x14ac:dyDescent="0.2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1:71" x14ac:dyDescent="0.2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  <c r="BS179">
        <v>1</v>
      </c>
    </row>
    <row r="180" spans="1:71" x14ac:dyDescent="0.2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  <c r="BS180">
        <v>53</v>
      </c>
    </row>
    <row r="181" spans="1:71" x14ac:dyDescent="0.2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  <c r="BS181">
        <v>42</v>
      </c>
    </row>
    <row r="182" spans="1:71" x14ac:dyDescent="0.2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  <c r="BS182">
        <v>7</v>
      </c>
    </row>
    <row r="183" spans="1:71" x14ac:dyDescent="0.2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  <c r="BS183">
        <v>43</v>
      </c>
    </row>
    <row r="184" spans="1:71" x14ac:dyDescent="0.2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  <c r="BS184">
        <v>51</v>
      </c>
    </row>
    <row r="185" spans="1:71" x14ac:dyDescent="0.2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  <c r="BS185">
        <v>209</v>
      </c>
    </row>
    <row r="186" spans="1:71" x14ac:dyDescent="0.2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  <c r="BS186">
        <v>66</v>
      </c>
    </row>
    <row r="187" spans="1:71" x14ac:dyDescent="0.2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</row>
    <row r="188" spans="1:71" x14ac:dyDescent="0.2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</row>
    <row r="189" spans="1:71" x14ac:dyDescent="0.2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  <c r="BS189">
        <v>1</v>
      </c>
    </row>
    <row r="190" spans="1:71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  <c r="BS190">
        <v>1</v>
      </c>
    </row>
    <row r="191" spans="1:71" x14ac:dyDescent="0.2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  <c r="BS191">
        <v>13</v>
      </c>
    </row>
    <row r="192" spans="1:71" x14ac:dyDescent="0.2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  <c r="BS192">
        <v>115</v>
      </c>
    </row>
    <row r="193" spans="1:71" x14ac:dyDescent="0.2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  <c r="BS193">
        <v>27</v>
      </c>
    </row>
    <row r="194" spans="1:71" x14ac:dyDescent="0.2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  <c r="BS194">
        <v>0</v>
      </c>
    </row>
    <row r="195" spans="1:71" x14ac:dyDescent="0.2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1:71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  <c r="BS196">
        <v>228</v>
      </c>
    </row>
    <row r="197" spans="1:71" x14ac:dyDescent="0.2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  <c r="BS197">
        <v>7</v>
      </c>
    </row>
    <row r="198" spans="1:71" x14ac:dyDescent="0.2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  <c r="BS198">
        <v>10</v>
      </c>
    </row>
    <row r="199" spans="1:71" x14ac:dyDescent="0.2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1:71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  <c r="BS200">
        <v>31</v>
      </c>
    </row>
    <row r="201" spans="1:71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  <c r="BS201">
        <v>16780</v>
      </c>
    </row>
    <row r="202" spans="1:71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  <c r="BS202">
        <v>15</v>
      </c>
    </row>
    <row r="203" spans="1:71" x14ac:dyDescent="0.2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</row>
    <row r="204" spans="1:71" x14ac:dyDescent="0.2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</row>
    <row r="205" spans="1:71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  <c r="BS205">
        <v>16</v>
      </c>
    </row>
    <row r="206" spans="1:71" x14ac:dyDescent="0.2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  <c r="BS206">
        <v>1823</v>
      </c>
    </row>
    <row r="207" spans="1:71" x14ac:dyDescent="0.2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</row>
    <row r="208" spans="1:71" x14ac:dyDescent="0.2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  <c r="BS208">
        <v>39</v>
      </c>
    </row>
    <row r="209" spans="1:71" x14ac:dyDescent="0.2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  <c r="BS209">
        <v>1</v>
      </c>
    </row>
    <row r="210" spans="1:71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  <c r="BS210">
        <v>229</v>
      </c>
    </row>
    <row r="211" spans="1:71" x14ac:dyDescent="0.2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  <c r="BS213">
        <v>1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  <c r="BS214">
        <v>3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  <c r="BS215">
        <v>162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  <c r="BS217">
        <v>8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  <c r="BS218">
        <v>61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  <c r="BS219">
        <v>2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  <c r="BS222">
        <v>34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  <c r="BS225">
        <v>135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</row>
    <row r="227" spans="1:71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  <c r="BS227">
        <v>5644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  <c r="BS228">
        <v>7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  <c r="BS229">
        <v>39</v>
      </c>
    </row>
    <row r="230" spans="1:71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  <c r="BS230">
        <v>55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</row>
    <row r="233" spans="1:71" x14ac:dyDescent="0.2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  <c r="BS233">
        <v>18</v>
      </c>
    </row>
    <row r="234" spans="1:71" x14ac:dyDescent="0.2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2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  <c r="BS235">
        <v>1</v>
      </c>
    </row>
    <row r="236" spans="1:71" x14ac:dyDescent="0.25">
      <c r="A236" s="1" t="s">
        <v>2</v>
      </c>
      <c r="B236" s="1" t="s">
        <v>442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25">
      <c r="A237" s="1" t="s">
        <v>443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</row>
    <row r="238" spans="1:71" x14ac:dyDescent="0.25">
      <c r="A238" s="1" t="s">
        <v>444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25">
      <c r="A239" s="1" t="s">
        <v>445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25">
      <c r="A240" s="1" t="s">
        <v>2</v>
      </c>
      <c r="B240" s="1" t="s">
        <v>446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448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2020-03-31T14:21:44Z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