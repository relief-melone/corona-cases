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0A4F1E27-8A42-472B-AF6F-3FE7867C98A5}" xr6:coauthVersionLast="45" xr6:coauthVersionMax="45" xr10:uidLastSave="{00000000-0000-0000-0000-000000000000}"/>
  <bookViews>
    <workbookView xWindow="-98" yWindow="-98" windowWidth="22695" windowHeight="14595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RAW_Cases!$A$1:$CT$254</definedName>
    <definedName name="ExterneDaten_1" localSheetId="2" hidden="1">RAW_DEATHS!$A$1:$CT$254</definedName>
    <definedName name="ExterneDaten_1" localSheetId="3" hidden="1">RAW_RECOVERED!$A$1:$CT$240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E10" i="1" s="1"/>
  <c r="CD4" i="1"/>
  <c r="CD10" i="1" s="1"/>
  <c r="CC4" i="1"/>
  <c r="CC10" i="1" s="1"/>
  <c r="CB4" i="1"/>
  <c r="CB10" i="1" s="1"/>
  <c r="CA4" i="1"/>
  <c r="CA10" i="1" s="1"/>
  <c r="BZ4" i="1"/>
  <c r="BZ10" i="1" s="1"/>
  <c r="BY4" i="1"/>
  <c r="BY10" i="1" s="1"/>
  <c r="BX4" i="1"/>
  <c r="BX10" i="1" s="1"/>
  <c r="BW4" i="1"/>
  <c r="BW10" i="1" s="1"/>
  <c r="BV4" i="1"/>
  <c r="BV10" i="1" s="1"/>
  <c r="BU4" i="1"/>
  <c r="BU10" i="1" s="1"/>
  <c r="BT4" i="1"/>
  <c r="BT10" i="1" s="1"/>
  <c r="BS4" i="1"/>
  <c r="BS10" i="1" s="1"/>
  <c r="BR4" i="1"/>
  <c r="BR10" i="1" s="1"/>
  <c r="BQ4" i="1"/>
  <c r="BQ10" i="1" s="1"/>
  <c r="BP4" i="1"/>
  <c r="BP10" i="1" s="1"/>
  <c r="BO4" i="1"/>
  <c r="BO10" i="1" s="1"/>
  <c r="BN4" i="1"/>
  <c r="BM4" i="1"/>
  <c r="BL4" i="1"/>
  <c r="BK4" i="1"/>
  <c r="BJ4" i="1"/>
  <c r="BI4" i="1"/>
  <c r="BH4" i="1"/>
  <c r="BH10" i="1" s="1"/>
  <c r="BG4" i="1"/>
  <c r="BG10" i="1" s="1"/>
  <c r="BF4" i="1"/>
  <c r="BE4" i="1"/>
  <c r="BD4" i="1"/>
  <c r="BC4" i="1"/>
  <c r="BB4" i="1"/>
  <c r="BA4" i="1"/>
  <c r="AZ4" i="1"/>
  <c r="AZ10" i="1" s="1"/>
  <c r="AY4" i="1"/>
  <c r="AY10" i="1" s="1"/>
  <c r="AX4" i="1"/>
  <c r="AW4" i="1"/>
  <c r="AV4" i="1"/>
  <c r="AU4" i="1"/>
  <c r="AT4" i="1"/>
  <c r="AS4" i="1"/>
  <c r="AR4" i="1"/>
  <c r="AR10" i="1" s="1"/>
  <c r="AQ4" i="1"/>
  <c r="AQ10" i="1" s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P10" i="1" l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1" i="1"/>
  <c r="H7" i="1"/>
  <c r="AN11" i="1"/>
  <c r="AN7" i="1"/>
  <c r="BT11" i="1"/>
  <c r="BT7" i="1"/>
  <c r="I7" i="1"/>
  <c r="Q7" i="1"/>
  <c r="Y7" i="1"/>
  <c r="AG7" i="1"/>
  <c r="AO7" i="1"/>
  <c r="AW7" i="1"/>
  <c r="BE7" i="1"/>
  <c r="BM7" i="1"/>
  <c r="BU7" i="1"/>
  <c r="CC7" i="1"/>
  <c r="BL11" i="1"/>
  <c r="BL7" i="1"/>
  <c r="X11" i="1"/>
  <c r="X7" i="1"/>
  <c r="BD11" i="1"/>
  <c r="BD7" i="1"/>
  <c r="K7" i="1"/>
  <c r="S7" i="1"/>
  <c r="AA7" i="1"/>
  <c r="AI7" i="1"/>
  <c r="AQ7" i="1"/>
  <c r="AY7" i="1"/>
  <c r="BG7" i="1"/>
  <c r="BO7" i="1"/>
  <c r="BW7" i="1"/>
  <c r="CE7" i="1"/>
  <c r="AF11" i="1"/>
  <c r="AF7" i="1"/>
  <c r="CB11" i="1"/>
  <c r="CB7" i="1"/>
  <c r="C7" i="1"/>
  <c r="D7" i="1"/>
  <c r="L7" i="1"/>
  <c r="T7" i="1"/>
  <c r="AB7" i="1"/>
  <c r="AJ7" i="1"/>
  <c r="AR7" i="1"/>
  <c r="AZ7" i="1"/>
  <c r="BH7" i="1"/>
  <c r="BP7" i="1"/>
  <c r="BX7" i="1"/>
  <c r="P11" i="1"/>
  <c r="P7" i="1"/>
  <c r="AV11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1" i="1"/>
  <c r="K11" i="1"/>
  <c r="S11" i="1"/>
  <c r="I11" i="1"/>
  <c r="Q11" i="1"/>
  <c r="Y11" i="1"/>
  <c r="AG11" i="1"/>
  <c r="AO11" i="1"/>
  <c r="AW11" i="1"/>
  <c r="BE11" i="1"/>
  <c r="BM11" i="1"/>
  <c r="BU11" i="1"/>
  <c r="CC11" i="1"/>
  <c r="G8" i="1"/>
  <c r="O8" i="1"/>
  <c r="W8" i="1"/>
  <c r="AE8" i="1"/>
  <c r="AM8" i="1"/>
  <c r="AA11" i="1"/>
  <c r="AI11" i="1"/>
  <c r="AQ11" i="1"/>
  <c r="AY11" i="1"/>
  <c r="BG11" i="1"/>
  <c r="BO11" i="1"/>
  <c r="BW11" i="1"/>
  <c r="CE11" i="1"/>
  <c r="AO8" i="1"/>
  <c r="E11" i="1"/>
  <c r="M11" i="1"/>
  <c r="U11" i="1"/>
  <c r="AC11" i="1"/>
  <c r="AK11" i="1"/>
  <c r="AS11" i="1"/>
  <c r="BA11" i="1"/>
  <c r="BI11" i="1"/>
  <c r="BQ11" i="1"/>
  <c r="BY11" i="1"/>
  <c r="C8" i="1"/>
  <c r="K8" i="1"/>
  <c r="S8" i="1"/>
  <c r="AA8" i="1"/>
  <c r="G11" i="1"/>
  <c r="AK8" i="1"/>
  <c r="N8" i="1"/>
  <c r="V8" i="1"/>
  <c r="AD8" i="1"/>
  <c r="AL8" i="1"/>
  <c r="J11" i="1"/>
  <c r="R11" i="1"/>
  <c r="Z11" i="1"/>
  <c r="AH11" i="1"/>
  <c r="AP11" i="1"/>
  <c r="AX11" i="1"/>
  <c r="BF11" i="1"/>
  <c r="BN11" i="1"/>
  <c r="BV11" i="1"/>
  <c r="CD11" i="1"/>
  <c r="H8" i="1"/>
  <c r="P8" i="1"/>
  <c r="X8" i="1"/>
  <c r="AF8" i="1"/>
  <c r="AN8" i="1"/>
  <c r="I8" i="1"/>
  <c r="Q8" i="1"/>
  <c r="Y8" i="1"/>
  <c r="AG8" i="1"/>
  <c r="D11" i="1"/>
  <c r="L11" i="1"/>
  <c r="T11" i="1"/>
  <c r="AB11" i="1"/>
  <c r="AJ11" i="1"/>
  <c r="AR11" i="1"/>
  <c r="AZ11" i="1"/>
  <c r="BH11" i="1"/>
  <c r="BP11" i="1"/>
  <c r="BX11" i="1"/>
  <c r="J8" i="1"/>
  <c r="R8" i="1"/>
  <c r="Z8" i="1"/>
  <c r="AI8" i="1"/>
  <c r="F11" i="1"/>
  <c r="N11" i="1"/>
  <c r="V11" i="1"/>
  <c r="AD11" i="1"/>
  <c r="AL11" i="1"/>
  <c r="AT11" i="1"/>
  <c r="BB11" i="1"/>
  <c r="BJ11" i="1"/>
  <c r="BR11" i="1"/>
  <c r="BZ11" i="1"/>
  <c r="D8" i="1"/>
  <c r="L8" i="1"/>
  <c r="T8" i="1"/>
  <c r="AB8" i="1"/>
  <c r="AJ8" i="1"/>
  <c r="O11" i="1"/>
  <c r="W11" i="1"/>
  <c r="AE11" i="1"/>
  <c r="AM11" i="1"/>
  <c r="AU11" i="1"/>
  <c r="BC11" i="1"/>
  <c r="BK11" i="1"/>
  <c r="BS11" i="1"/>
  <c r="CA11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I22" i="1"/>
  <c r="CH22" i="1"/>
  <c r="CG22" i="1"/>
  <c r="CF22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BO44" i="1" l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32" i="1" l="1"/>
  <c r="A30" i="1"/>
  <c r="A29" i="1"/>
  <c r="A28" i="1"/>
  <c r="A27" i="1"/>
  <c r="A26" i="1"/>
  <c r="A31" i="1"/>
  <c r="BX27" i="1" l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CA31" i="1"/>
  <c r="BS31" i="1"/>
  <c r="BK31" i="1"/>
  <c r="BC31" i="1"/>
  <c r="AU31" i="1"/>
  <c r="AM31" i="1"/>
  <c r="AE31" i="1"/>
  <c r="W31" i="1"/>
  <c r="O31" i="1"/>
  <c r="G31" i="1"/>
  <c r="BZ31" i="1"/>
  <c r="BR31" i="1"/>
  <c r="BJ31" i="1"/>
  <c r="BB31" i="1"/>
  <c r="AT31" i="1"/>
  <c r="AL31" i="1"/>
  <c r="AD31" i="1"/>
  <c r="V31" i="1"/>
  <c r="N31" i="1"/>
  <c r="F31" i="1"/>
  <c r="BV31" i="1"/>
  <c r="BL31" i="1"/>
  <c r="AZ31" i="1"/>
  <c r="AP31" i="1"/>
  <c r="AF31" i="1"/>
  <c r="T31" i="1"/>
  <c r="J31" i="1"/>
  <c r="CE31" i="1"/>
  <c r="BU31" i="1"/>
  <c r="BI31" i="1"/>
  <c r="AY31" i="1"/>
  <c r="AO31" i="1"/>
  <c r="AC31" i="1"/>
  <c r="S31" i="1"/>
  <c r="I31" i="1"/>
  <c r="CD31" i="1"/>
  <c r="BT31" i="1"/>
  <c r="BH31" i="1"/>
  <c r="AX31" i="1"/>
  <c r="AN31" i="1"/>
  <c r="AB31" i="1"/>
  <c r="R31" i="1"/>
  <c r="H31" i="1"/>
  <c r="CC31" i="1"/>
  <c r="BQ31" i="1"/>
  <c r="BG31" i="1"/>
  <c r="AW31" i="1"/>
  <c r="AK31" i="1"/>
  <c r="AA31" i="1"/>
  <c r="Q31" i="1"/>
  <c r="E31" i="1"/>
  <c r="CB31" i="1"/>
  <c r="BP31" i="1"/>
  <c r="BF31" i="1"/>
  <c r="AV31" i="1"/>
  <c r="AJ31" i="1"/>
  <c r="Z31" i="1"/>
  <c r="P31" i="1"/>
  <c r="D31" i="1"/>
  <c r="BY31" i="1"/>
  <c r="BO31" i="1"/>
  <c r="BE31" i="1"/>
  <c r="AS31" i="1"/>
  <c r="AI31" i="1"/>
  <c r="Y31" i="1"/>
  <c r="M31" i="1"/>
  <c r="C31" i="1"/>
  <c r="BX31" i="1"/>
  <c r="BN31" i="1"/>
  <c r="BD31" i="1"/>
  <c r="AR31" i="1"/>
  <c r="AH31" i="1"/>
  <c r="X31" i="1"/>
  <c r="L31" i="1"/>
  <c r="B31" i="1"/>
  <c r="BW31" i="1"/>
  <c r="BM31" i="1"/>
  <c r="BA31" i="1"/>
  <c r="AQ31" i="1"/>
  <c r="AG31" i="1"/>
  <c r="U31" i="1"/>
  <c r="K31" i="1"/>
  <c r="BZ26" i="1"/>
  <c r="BR26" i="1"/>
  <c r="BJ26" i="1"/>
  <c r="BB26" i="1"/>
  <c r="AT26" i="1"/>
  <c r="AL26" i="1"/>
  <c r="AD26" i="1"/>
  <c r="V26" i="1"/>
  <c r="N26" i="1"/>
  <c r="F26" i="1"/>
  <c r="BY26" i="1"/>
  <c r="BQ26" i="1"/>
  <c r="BI26" i="1"/>
  <c r="BA26" i="1"/>
  <c r="AS26" i="1"/>
  <c r="AK26" i="1"/>
  <c r="AC26" i="1"/>
  <c r="U26" i="1"/>
  <c r="M26" i="1"/>
  <c r="E26" i="1"/>
  <c r="BX26" i="1"/>
  <c r="BP26" i="1"/>
  <c r="BH26" i="1"/>
  <c r="AZ26" i="1"/>
  <c r="AR26" i="1"/>
  <c r="AJ26" i="1"/>
  <c r="AB26" i="1"/>
  <c r="T26" i="1"/>
  <c r="L26" i="1"/>
  <c r="D26" i="1"/>
  <c r="CE26" i="1"/>
  <c r="BW26" i="1"/>
  <c r="BO26" i="1"/>
  <c r="BG26" i="1"/>
  <c r="AY26" i="1"/>
  <c r="AQ26" i="1"/>
  <c r="AI26" i="1"/>
  <c r="AA26" i="1"/>
  <c r="S26" i="1"/>
  <c r="K26" i="1"/>
  <c r="C26" i="1"/>
  <c r="CD26" i="1"/>
  <c r="BV26" i="1"/>
  <c r="BN26" i="1"/>
  <c r="BF26" i="1"/>
  <c r="AX26" i="1"/>
  <c r="AP26" i="1"/>
  <c r="AH26" i="1"/>
  <c r="Z26" i="1"/>
  <c r="R26" i="1"/>
  <c r="J26" i="1"/>
  <c r="B26" i="1"/>
  <c r="CC26" i="1"/>
  <c r="BU26" i="1"/>
  <c r="BM26" i="1"/>
  <c r="BE26" i="1"/>
  <c r="AW26" i="1"/>
  <c r="AO26" i="1"/>
  <c r="AG26" i="1"/>
  <c r="Y26" i="1"/>
  <c r="Q26" i="1"/>
  <c r="I26" i="1"/>
  <c r="CB26" i="1"/>
  <c r="BT26" i="1"/>
  <c r="BL26" i="1"/>
  <c r="BD26" i="1"/>
  <c r="AV26" i="1"/>
  <c r="AN26" i="1"/>
  <c r="AF26" i="1"/>
  <c r="X26" i="1"/>
  <c r="P26" i="1"/>
  <c r="H26" i="1"/>
  <c r="CA26" i="1"/>
  <c r="BS26" i="1"/>
  <c r="BK26" i="1"/>
  <c r="BC26" i="1"/>
  <c r="AU26" i="1"/>
  <c r="AM26" i="1"/>
  <c r="AE26" i="1"/>
  <c r="W26" i="1"/>
  <c r="O26" i="1"/>
  <c r="G26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BX28" i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E29" i="1"/>
  <c r="BW29" i="1"/>
  <c r="BO29" i="1"/>
  <c r="BG29" i="1"/>
  <c r="CD29" i="1"/>
  <c r="BV29" i="1"/>
  <c r="BN29" i="1"/>
  <c r="BF29" i="1"/>
  <c r="BZ29" i="1"/>
  <c r="BP29" i="1"/>
  <c r="BD29" i="1"/>
  <c r="AV29" i="1"/>
  <c r="AN29" i="1"/>
  <c r="AF29" i="1"/>
  <c r="X29" i="1"/>
  <c r="P29" i="1"/>
  <c r="H29" i="1"/>
  <c r="BY29" i="1"/>
  <c r="BM29" i="1"/>
  <c r="BC29" i="1"/>
  <c r="AU29" i="1"/>
  <c r="AM29" i="1"/>
  <c r="AE29" i="1"/>
  <c r="W29" i="1"/>
  <c r="O29" i="1"/>
  <c r="G29" i="1"/>
  <c r="BX29" i="1"/>
  <c r="BL29" i="1"/>
  <c r="BB29" i="1"/>
  <c r="AT29" i="1"/>
  <c r="AL29" i="1"/>
  <c r="AD29" i="1"/>
  <c r="V29" i="1"/>
  <c r="N29" i="1"/>
  <c r="F29" i="1"/>
  <c r="BU29" i="1"/>
  <c r="BK29" i="1"/>
  <c r="BA29" i="1"/>
  <c r="AS29" i="1"/>
  <c r="AK29" i="1"/>
  <c r="AC29" i="1"/>
  <c r="U29" i="1"/>
  <c r="M29" i="1"/>
  <c r="E29" i="1"/>
  <c r="BT29" i="1"/>
  <c r="BJ29" i="1"/>
  <c r="AZ29" i="1"/>
  <c r="AR29" i="1"/>
  <c r="AJ29" i="1"/>
  <c r="AB29" i="1"/>
  <c r="T29" i="1"/>
  <c r="L29" i="1"/>
  <c r="D29" i="1"/>
  <c r="CC29" i="1"/>
  <c r="BS29" i="1"/>
  <c r="BI29" i="1"/>
  <c r="AY29" i="1"/>
  <c r="AQ29" i="1"/>
  <c r="AI29" i="1"/>
  <c r="AA29" i="1"/>
  <c r="S29" i="1"/>
  <c r="K29" i="1"/>
  <c r="C29" i="1"/>
  <c r="CB29" i="1"/>
  <c r="BR29" i="1"/>
  <c r="BH29" i="1"/>
  <c r="AX29" i="1"/>
  <c r="AP29" i="1"/>
  <c r="AH29" i="1"/>
  <c r="Z29" i="1"/>
  <c r="R29" i="1"/>
  <c r="J29" i="1"/>
  <c r="B29" i="1"/>
  <c r="CA29" i="1"/>
  <c r="BQ29" i="1"/>
  <c r="BE29" i="1"/>
  <c r="AW29" i="1"/>
  <c r="AO29" i="1"/>
  <c r="AG29" i="1"/>
  <c r="Y29" i="1"/>
  <c r="Q29" i="1"/>
  <c r="I29" i="1"/>
  <c r="CC30" i="1"/>
  <c r="BU30" i="1"/>
  <c r="BM30" i="1"/>
  <c r="BE30" i="1"/>
  <c r="AW30" i="1"/>
  <c r="AO30" i="1"/>
  <c r="AG30" i="1"/>
  <c r="Y30" i="1"/>
  <c r="Q30" i="1"/>
  <c r="I30" i="1"/>
  <c r="CB30" i="1"/>
  <c r="BT30" i="1"/>
  <c r="BL30" i="1"/>
  <c r="BD30" i="1"/>
  <c r="AV30" i="1"/>
  <c r="AN30" i="1"/>
  <c r="AF30" i="1"/>
  <c r="X30" i="1"/>
  <c r="P30" i="1"/>
  <c r="H30" i="1"/>
  <c r="CD30" i="1"/>
  <c r="BR30" i="1"/>
  <c r="BH30" i="1"/>
  <c r="AX30" i="1"/>
  <c r="AL30" i="1"/>
  <c r="AB30" i="1"/>
  <c r="R30" i="1"/>
  <c r="F30" i="1"/>
  <c r="CA30" i="1"/>
  <c r="BQ30" i="1"/>
  <c r="BG30" i="1"/>
  <c r="AU30" i="1"/>
  <c r="AK30" i="1"/>
  <c r="AA30" i="1"/>
  <c r="O30" i="1"/>
  <c r="E30" i="1"/>
  <c r="BZ30" i="1"/>
  <c r="BP30" i="1"/>
  <c r="BF30" i="1"/>
  <c r="AT30" i="1"/>
  <c r="AJ30" i="1"/>
  <c r="Z30" i="1"/>
  <c r="N30" i="1"/>
  <c r="D30" i="1"/>
  <c r="BY30" i="1"/>
  <c r="BO30" i="1"/>
  <c r="BC30" i="1"/>
  <c r="AS30" i="1"/>
  <c r="AI30" i="1"/>
  <c r="W30" i="1"/>
  <c r="M30" i="1"/>
  <c r="C30" i="1"/>
  <c r="BX30" i="1"/>
  <c r="BN30" i="1"/>
  <c r="BB30" i="1"/>
  <c r="AR30" i="1"/>
  <c r="AH30" i="1"/>
  <c r="V30" i="1"/>
  <c r="L30" i="1"/>
  <c r="B30" i="1"/>
  <c r="BW30" i="1"/>
  <c r="BK30" i="1"/>
  <c r="BA30" i="1"/>
  <c r="AQ30" i="1"/>
  <c r="AE30" i="1"/>
  <c r="U30" i="1"/>
  <c r="K30" i="1"/>
  <c r="BV30" i="1"/>
  <c r="BJ30" i="1"/>
  <c r="AZ30" i="1"/>
  <c r="AP30" i="1"/>
  <c r="AD30" i="1"/>
  <c r="T30" i="1"/>
  <c r="J30" i="1"/>
  <c r="CE30" i="1"/>
  <c r="BS30" i="1"/>
  <c r="BI30" i="1"/>
  <c r="AY30" i="1"/>
  <c r="AM30" i="1"/>
  <c r="AC30" i="1"/>
  <c r="S30" i="1"/>
  <c r="G30" i="1"/>
  <c r="CB32" i="1"/>
  <c r="BT32" i="1"/>
  <c r="BL32" i="1"/>
  <c r="BD32" i="1"/>
  <c r="AV32" i="1"/>
  <c r="AN32" i="1"/>
  <c r="AF32" i="1"/>
  <c r="X32" i="1"/>
  <c r="P32" i="1"/>
  <c r="H32" i="1"/>
  <c r="AW32" i="1"/>
  <c r="Q32" i="1"/>
  <c r="CA32" i="1"/>
  <c r="BS32" i="1"/>
  <c r="BK32" i="1"/>
  <c r="BC32" i="1"/>
  <c r="AU32" i="1"/>
  <c r="AM32" i="1"/>
  <c r="AE32" i="1"/>
  <c r="W32" i="1"/>
  <c r="O32" i="1"/>
  <c r="G32" i="1"/>
  <c r="CC32" i="1"/>
  <c r="I32" i="1"/>
  <c r="BZ32" i="1"/>
  <c r="BR32" i="1"/>
  <c r="BJ32" i="1"/>
  <c r="BB32" i="1"/>
  <c r="AT32" i="1"/>
  <c r="AL32" i="1"/>
  <c r="AD32" i="1"/>
  <c r="V32" i="1"/>
  <c r="N32" i="1"/>
  <c r="F32" i="1"/>
  <c r="AO32" i="1"/>
  <c r="BY32" i="1"/>
  <c r="BQ32" i="1"/>
  <c r="BI32" i="1"/>
  <c r="BA32" i="1"/>
  <c r="AS32" i="1"/>
  <c r="AK32" i="1"/>
  <c r="AC32" i="1"/>
  <c r="U32" i="1"/>
  <c r="M32" i="1"/>
  <c r="E32" i="1"/>
  <c r="BM32" i="1"/>
  <c r="BX32" i="1"/>
  <c r="BP32" i="1"/>
  <c r="BH32" i="1"/>
  <c r="AZ32" i="1"/>
  <c r="AR32" i="1"/>
  <c r="AJ32" i="1"/>
  <c r="AB32" i="1"/>
  <c r="T32" i="1"/>
  <c r="L32" i="1"/>
  <c r="D32" i="1"/>
  <c r="BU32" i="1"/>
  <c r="Y32" i="1"/>
  <c r="CE32" i="1"/>
  <c r="BW32" i="1"/>
  <c r="BO32" i="1"/>
  <c r="BG32" i="1"/>
  <c r="AY32" i="1"/>
  <c r="AQ32" i="1"/>
  <c r="AI32" i="1"/>
  <c r="AA32" i="1"/>
  <c r="S32" i="1"/>
  <c r="K32" i="1"/>
  <c r="C32" i="1"/>
  <c r="BE32" i="1"/>
  <c r="CD32" i="1"/>
  <c r="BV32" i="1"/>
  <c r="BN32" i="1"/>
  <c r="BF32" i="1"/>
  <c r="AX32" i="1"/>
  <c r="AP32" i="1"/>
  <c r="AH32" i="1"/>
  <c r="Z32" i="1"/>
  <c r="R32" i="1"/>
  <c r="J32" i="1"/>
  <c r="B32" i="1"/>
  <c r="AG32" i="1"/>
  <c r="A39" i="1"/>
  <c r="A38" i="1"/>
  <c r="A40" i="1"/>
  <c r="A41" i="1"/>
  <c r="A43" i="1"/>
  <c r="A42" i="1"/>
  <c r="A37" i="1"/>
  <c r="BZ38" i="1" l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CB38" i="1"/>
  <c r="BT38" i="1"/>
  <c r="BL38" i="1"/>
  <c r="BD38" i="1"/>
  <c r="AV38" i="1"/>
  <c r="AN38" i="1"/>
  <c r="AF38" i="1"/>
  <c r="X38" i="1"/>
  <c r="P38" i="1"/>
  <c r="H38" i="1"/>
  <c r="BS38" i="1"/>
  <c r="G38" i="1"/>
  <c r="BK38" i="1"/>
  <c r="BC38" i="1"/>
  <c r="AU38" i="1"/>
  <c r="AM38" i="1"/>
  <c r="AE38" i="1"/>
  <c r="W38" i="1"/>
  <c r="CA38" i="1"/>
  <c r="O38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CA39" i="1"/>
  <c r="BS39" i="1"/>
  <c r="BK39" i="1"/>
  <c r="BC39" i="1"/>
  <c r="AU39" i="1"/>
  <c r="AM39" i="1"/>
  <c r="AE39" i="1"/>
  <c r="W39" i="1"/>
  <c r="O39" i="1"/>
  <c r="G39" i="1"/>
  <c r="BB39" i="1"/>
  <c r="AT39" i="1"/>
  <c r="AL39" i="1"/>
  <c r="AD39" i="1"/>
  <c r="V39" i="1"/>
  <c r="BZ39" i="1"/>
  <c r="N39" i="1"/>
  <c r="BR39" i="1"/>
  <c r="F39" i="1"/>
  <c r="BJ39" i="1"/>
  <c r="CA37" i="1"/>
  <c r="BS37" i="1"/>
  <c r="BK37" i="1"/>
  <c r="BC37" i="1"/>
  <c r="AU37" i="1"/>
  <c r="AM37" i="1"/>
  <c r="AE37" i="1"/>
  <c r="W37" i="1"/>
  <c r="O37" i="1"/>
  <c r="G37" i="1"/>
  <c r="BZ37" i="1"/>
  <c r="BR37" i="1"/>
  <c r="BJ37" i="1"/>
  <c r="BB37" i="1"/>
  <c r="AT37" i="1"/>
  <c r="AL37" i="1"/>
  <c r="AD37" i="1"/>
  <c r="V37" i="1"/>
  <c r="N37" i="1"/>
  <c r="F37" i="1"/>
  <c r="BY37" i="1"/>
  <c r="BQ37" i="1"/>
  <c r="BI37" i="1"/>
  <c r="BA37" i="1"/>
  <c r="AS37" i="1"/>
  <c r="AK37" i="1"/>
  <c r="AC37" i="1"/>
  <c r="U37" i="1"/>
  <c r="M37" i="1"/>
  <c r="E37" i="1"/>
  <c r="BX37" i="1"/>
  <c r="BP37" i="1"/>
  <c r="BH37" i="1"/>
  <c r="AZ37" i="1"/>
  <c r="AR37" i="1"/>
  <c r="AJ37" i="1"/>
  <c r="AB37" i="1"/>
  <c r="T37" i="1"/>
  <c r="L37" i="1"/>
  <c r="D37" i="1"/>
  <c r="BW37" i="1"/>
  <c r="BO37" i="1"/>
  <c r="BG37" i="1"/>
  <c r="AY37" i="1"/>
  <c r="AQ37" i="1"/>
  <c r="AI37" i="1"/>
  <c r="AA37" i="1"/>
  <c r="S37" i="1"/>
  <c r="K37" i="1"/>
  <c r="C37" i="1"/>
  <c r="CD37" i="1"/>
  <c r="BV37" i="1"/>
  <c r="BN37" i="1"/>
  <c r="BF37" i="1"/>
  <c r="AX37" i="1"/>
  <c r="AP37" i="1"/>
  <c r="AH37" i="1"/>
  <c r="Z37" i="1"/>
  <c r="R37" i="1"/>
  <c r="J37" i="1"/>
  <c r="B37" i="1"/>
  <c r="CC37" i="1"/>
  <c r="BU37" i="1"/>
  <c r="BM37" i="1"/>
  <c r="BE37" i="1"/>
  <c r="AW37" i="1"/>
  <c r="AO37" i="1"/>
  <c r="AG37" i="1"/>
  <c r="Y37" i="1"/>
  <c r="Q37" i="1"/>
  <c r="I37" i="1"/>
  <c r="X37" i="1"/>
  <c r="CB37" i="1"/>
  <c r="P37" i="1"/>
  <c r="BT37" i="1"/>
  <c r="H37" i="1"/>
  <c r="BL37" i="1"/>
  <c r="BD37" i="1"/>
  <c r="AV37" i="1"/>
  <c r="AN37" i="1"/>
  <c r="AF37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BX42" i="1"/>
  <c r="BP42" i="1"/>
  <c r="BH42" i="1"/>
  <c r="AZ42" i="1"/>
  <c r="AR42" i="1"/>
  <c r="AJ42" i="1"/>
  <c r="AB42" i="1"/>
  <c r="T42" i="1"/>
  <c r="L42" i="1"/>
  <c r="D42" i="1"/>
  <c r="BW42" i="1"/>
  <c r="BO42" i="1"/>
  <c r="BG42" i="1"/>
  <c r="AY42" i="1"/>
  <c r="AQ42" i="1"/>
  <c r="AI42" i="1"/>
  <c r="AA42" i="1"/>
  <c r="S42" i="1"/>
  <c r="K42" i="1"/>
  <c r="C42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BY41" i="1"/>
  <c r="BQ41" i="1"/>
  <c r="BI41" i="1"/>
  <c r="BA41" i="1"/>
  <c r="AS41" i="1"/>
  <c r="AK41" i="1"/>
  <c r="AC41" i="1"/>
  <c r="U41" i="1"/>
  <c r="M41" i="1"/>
  <c r="E41" i="1"/>
  <c r="T41" i="1"/>
  <c r="BX41" i="1"/>
  <c r="L41" i="1"/>
  <c r="BP41" i="1"/>
  <c r="D41" i="1"/>
  <c r="BH41" i="1"/>
  <c r="AZ41" i="1"/>
  <c r="AR41" i="1"/>
  <c r="AJ41" i="1"/>
  <c r="AB41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Z40" i="1"/>
  <c r="BR40" i="1"/>
  <c r="BJ40" i="1"/>
  <c r="BB40" i="1"/>
  <c r="AT40" i="1"/>
  <c r="AL40" i="1"/>
  <c r="AD40" i="1"/>
  <c r="V40" i="1"/>
  <c r="N40" i="1"/>
  <c r="F40" i="1"/>
  <c r="AK40" i="1"/>
  <c r="AC40" i="1"/>
  <c r="U40" i="1"/>
  <c r="BY40" i="1"/>
  <c r="M40" i="1"/>
  <c r="BQ40" i="1"/>
  <c r="E40" i="1"/>
  <c r="BI40" i="1"/>
  <c r="BA40" i="1"/>
  <c r="AS40" i="1"/>
  <c r="CD43" i="1"/>
  <c r="BV43" i="1"/>
  <c r="BN43" i="1"/>
  <c r="BF43" i="1"/>
  <c r="AX43" i="1"/>
  <c r="AP43" i="1"/>
  <c r="AH43" i="1"/>
  <c r="Z43" i="1"/>
  <c r="R43" i="1"/>
  <c r="J43" i="1"/>
  <c r="B43" i="1"/>
  <c r="AI43" i="1"/>
  <c r="CC43" i="1"/>
  <c r="BU43" i="1"/>
  <c r="BM43" i="1"/>
  <c r="BE43" i="1"/>
  <c r="AW43" i="1"/>
  <c r="AO43" i="1"/>
  <c r="AG43" i="1"/>
  <c r="Y43" i="1"/>
  <c r="Q43" i="1"/>
  <c r="I43" i="1"/>
  <c r="AQ43" i="1"/>
  <c r="CB43" i="1"/>
  <c r="BT43" i="1"/>
  <c r="BL43" i="1"/>
  <c r="BD43" i="1"/>
  <c r="AV43" i="1"/>
  <c r="AN43" i="1"/>
  <c r="AF43" i="1"/>
  <c r="X43" i="1"/>
  <c r="P43" i="1"/>
  <c r="H43" i="1"/>
  <c r="BO43" i="1"/>
  <c r="C43" i="1"/>
  <c r="CA43" i="1"/>
  <c r="BS43" i="1"/>
  <c r="BK43" i="1"/>
  <c r="BC43" i="1"/>
  <c r="AU43" i="1"/>
  <c r="AM43" i="1"/>
  <c r="AE43" i="1"/>
  <c r="W43" i="1"/>
  <c r="O43" i="1"/>
  <c r="G43" i="1"/>
  <c r="BW43" i="1"/>
  <c r="K43" i="1"/>
  <c r="BZ43" i="1"/>
  <c r="BR43" i="1"/>
  <c r="BJ43" i="1"/>
  <c r="BB43" i="1"/>
  <c r="AT43" i="1"/>
  <c r="AL43" i="1"/>
  <c r="AD43" i="1"/>
  <c r="V43" i="1"/>
  <c r="N43" i="1"/>
  <c r="F43" i="1"/>
  <c r="BG43" i="1"/>
  <c r="S43" i="1"/>
  <c r="BY43" i="1"/>
  <c r="BQ43" i="1"/>
  <c r="BI43" i="1"/>
  <c r="BA43" i="1"/>
  <c r="AS43" i="1"/>
  <c r="AK43" i="1"/>
  <c r="AC43" i="1"/>
  <c r="U43" i="1"/>
  <c r="M43" i="1"/>
  <c r="E43" i="1"/>
  <c r="AA43" i="1"/>
  <c r="BX43" i="1"/>
  <c r="BP43" i="1"/>
  <c r="BH43" i="1"/>
  <c r="AZ43" i="1"/>
  <c r="AR43" i="1"/>
  <c r="AJ43" i="1"/>
  <c r="AB43" i="1"/>
  <c r="T43" i="1"/>
  <c r="L43" i="1"/>
  <c r="D43" i="1"/>
  <c r="AY4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<sst xmlns="http://schemas.openxmlformats.org/spreadsheetml/2006/main" count="2056" uniqueCount="447">
  <si>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</si>
  <si>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</si>
  <si>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</si>
  <si>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</si>
  <si>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</si>
  <si>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</si>
  <si>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</si>
  <si>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</si>
  <si>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</si>
  <si>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</si>
  <si>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</si>
  <si>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</si>
  <si>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</si>
  <si>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</si>
  <si>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</si>
  <si>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</si>
  <si>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</si>
  <si>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</si>
  <si>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</si>
  <si>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</si>
  <si>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</si>
  <si>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</si>
  <si>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</si>
  <si>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</si>
  <si>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</si>
  <si>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</si>
  <si>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</si>
  <si>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</si>
  <si>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</si>
  <si>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</si>
  <si>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</si>
  <si>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</si>
  <si>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</si>
  <si>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</si>
  <si>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</si>
  <si>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</si>
  <si>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</si>
  <si>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</si>
  <si>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</si>
  <si>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</si>
  <si>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</si>
  <si>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</si>
  <si>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</si>
  <si>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</si>
  <si>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</si>
  <si>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</si>
  <si>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</si>
  <si>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</si>
  <si>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</si>
  <si>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</si>
  <si>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</si>
  <si>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</si>
  <si>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</si>
  <si>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</si>
  <si>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</si>
  <si>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</si>
  <si>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</si>
  <si>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</si>
  <si>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</si>
  <si>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</si>
  <si>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</si>
  <si>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</si>
  <si>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</si>
  <si>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</si>
  <si>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</si>
  <si>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</si>
  <si>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</si>
  <si>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</si>
  <si>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</si>
  <si>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</si>
  <si>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</si>
  <si>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</si>
  <si>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</si>
  <si>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</si>
  <si>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</si>
  <si>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</si>
  <si>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</si>
  <si>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</si>
  <si>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</si>
  <si>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</si>
  <si>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</si>
  <si>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</si>
  <si>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</si>
  <si>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</si>
  <si>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</si>
  <si>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</si>
  <si>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</si>
  <si>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</si>
  <si>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</si>
  <si>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</si>
  <si>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</si>
  <si>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</si>
  <si>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</si>
  <si>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</si>
  <si>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</si>
  <si>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</si>
  <si>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</si>
  <si>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</si>
  <si>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</si>
  <si>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</si>
  <si>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</si>
  <si>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</si>
  <si>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</si>
  <si>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</si>
  <si>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</si>
  <si>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</si>
  <si>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</si>
  <si>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</si>
  <si>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</si>
  <si>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</si>
  <si>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</si>
  <si>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</si>
  <si>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</si>
  <si>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</si>
  <si>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</si>
  <si>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</si>
  <si>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</si>
  <si>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</si>
  <si>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</si>
  <si>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</si>
  <si>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</si>
  <si>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</si>
  <si>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</si>
  <si>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</si>
  <si>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</si>
  <si>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</si>
  <si>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</si>
  <si>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</si>
  <si>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</si>
  <si>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</si>
  <si>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</si>
  <si>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</si>
  <si>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</si>
  <si>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</si>
  <si>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</si>
  <si>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</si>
  <si>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</si>
  <si>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</si>
  <si>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</si>
  <si>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</si>
  <si>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</si>
  <si>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</si>
  <si>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</si>
  <si>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</si>
  <si>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</si>
  <si>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</si>
  <si>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</si>
  <si>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</si>
  <si>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</si>
  <si>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</si>
  <si>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</si>
  <si>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</si>
  <si>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</si>
  <si>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</si>
  <si>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</si>
  <si>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</si>
  <si>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</si>
  <si>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</si>
  <si>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</si>
  <si>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</si>
  <si>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</si>
  <si>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</si>
  <si>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</si>
  <si>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</si>
  <si>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</si>
  <si>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</si>
  <si>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</si>
  <si>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</si>
  <si>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</si>
  <si>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</si>
  <si>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</si>
  <si>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</si>
  <si>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</si>
  <si>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</si>
  <si>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</si>
  <si>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</si>
  <si>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</si>
  <si>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</si>
  <si>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</si>
  <si>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</si>
  <si>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</si>
  <si>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</si>
  <si>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</si>
  <si>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</si>
  <si>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</si>
  <si>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</si>
  <si>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</si>
  <si>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</si>
  <si>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</si>
  <si>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</si>
  <si>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</si>
  <si>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</si>
  <si>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</si>
  <si>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</si>
  <si>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</si>
  <si>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</si>
  <si>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</si>
  <si>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</si>
  <si>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</si>
  <si>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</si>
  <si>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</si>
  <si>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</si>
  <si>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</si>
  <si>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</si>
  <si>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</si>
  <si>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</si>
  <si>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</si>
  <si>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</si>
  <si>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</si>
  <si>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</si>
  <si>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</si>
  <si>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</si>
  <si>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</si>
  <si>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</si>
  <si>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</si>
  <si>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</si>
  <si>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</si>
  <si>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</si>
  <si>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</si>
  <si>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</si>
  <si>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</si>
  <si>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</si>
  <si>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</si>
  <si>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</si>
  <si>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</si>
  <si>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</si>
  <si>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</si>
  <si>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</si>
  <si>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</si>
  <si>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</si>
  <si>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</si>
  <si>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</si>
  <si>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</si>
  <si>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</si>
  <si>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</si>
  <si>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</si>
  <si>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</si>
  <si>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</si>
  <si>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</si>
  <si>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</si>
  <si>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</si>
  <si>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</si>
  <si>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</si>
  <si>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</si>
  <si>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</si>
  <si>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</si>
  <si>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</si>
  <si>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</si>
  <si>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</si>
  <si>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</si>
  <si>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</si>
  <si>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</si>
  <si>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</si>
  <si>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</si>
  <si>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</si>
  <si>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</si>
  <si>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</si>
  <si>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</si>
  <si>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</si>
  <si>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</si>
  <si>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</si>
  <si>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</si>
  <si>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</si>
  <si>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</si>
  <si>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</si>
  <si>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</si>
  <si>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</si>
  <si>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</si>
  <si>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</si>
  <si>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</si>
  <si>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</si>
  <si>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</si>
  <si>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</si>
  <si>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</si>
  <si>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</si>
  <si>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</si>
  <si>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</si>
  <si>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</si>
  <si>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</si>
  <si>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</si>
  <si>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</si>
  <si>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</si>
  <si>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</si>
  <si>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</si>
  <si>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</si>
  <si>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</si>
  <si>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</si>
  <si>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</si>
  <si>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</si>
  <si>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</si>
  <si>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</si>
  <si>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</si>
  <si>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</si>
  <si>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</si>
  <si>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</si>
  <si>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</si>
  <si>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</si>
  <si>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</si>
  <si>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</si>
  <si>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</si>
  <si>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</si>
  <si>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</si>
  <si>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</si>
  <si>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</si>
  <si>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</si>
  <si>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</si>
  <si>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</si>
  <si>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</si>
  <si>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</si>
  <si>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</si>
  <si>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</si>
  <si>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</si>
  <si>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</si>
  <si>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</si>
  <si>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</si>
  <si>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</si>
  <si>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</si>
  <si>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</si>
  <si>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</si>
  <si>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</si>
  <si>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</si>
  <si>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</si>
  <si>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</si>
  <si>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</si>
  <si>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</si>
  <si>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</si>
  <si>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</si>
  <si>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</si>
  <si>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</si>
  <si>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</si>
  <si>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</si>
  <si>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</si>
  <si>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</si>
  <si>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</si>
  <si>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</si>
  <si>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</si>
  <si>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</si>
  <si>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</si>
  <si>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</si>
  <si>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</si>
  <si>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</si>
  <si>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</si>
  <si>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</si>
  <si>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</si>
  <si>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</si>
  <si>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</si>
  <si>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</si>
  <si>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</si>
  <si>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</si>
  <si>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</si>
  <si>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</si>
  <si>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</si>
  <si>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</si>
  <si>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</si>
  <si>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</si>
  <si>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</si>
  <si>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</si>
  <si>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</si>
  <si>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</si>
  <si>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</si>
  <si>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</si>
  <si>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</si>
  <si>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</si>
  <si>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</si>
  <si>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</si>
  <si>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</si>
  <si>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</si>
  <si>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</si>
  <si>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</si>
  <si>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</si>
  <si>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</si>
  <si>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</si>
  <si>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</si>
  <si>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</si>
  <si>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</si>
  <si>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</si>
  <si>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</si>
  <si>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</si>
  <si>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</si>
  <si>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</si>
  <si>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</si>
  <si>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</si>
  <si>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</si>
  <si>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</si>
  <si>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</si>
  <si>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</si>
  <si>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</si>
  <si>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</si>
  <si>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</si>
  <si>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</si>
  <si>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</si>
  <si>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</si>
  <si>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</si>
  <si>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</si>
  <si>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</si>
  <si>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</si>
  <si>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</si>
  <si>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</si>
  <si>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</si>
  <si>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</si>
  <si>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</si>
  <si>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</si>
  <si>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</si>
  <si>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</si>
  <si>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</si>
  <si>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</si>
  <si>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</si>
  <si>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</si>
  <si>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</si>
  <si>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</si>
  <si>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</si>
  <si>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</si>
  <si>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</si>
  <si>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</si>
  <si>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</si>
  <si>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</si>
  <si>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</si>
  <si>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</si>
  <si>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</si>
  <si>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</si>
  <si>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</si>
  <si>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</si>
  <si>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</si>
  <si>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</si>
  <si>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</si>
  <si>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</si>
  <si>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</si>
  <si>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</si>
  <si>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</si>
  <si>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</si>
  <si>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</si>
  <si>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</si>
  <si>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</si>
  <si>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</si>
  <si>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</si>
  <si>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</si>
  <si>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</si>
  <si>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</si>
  <si>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</si>
  <si>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</si>
  <si>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</si>
  <si>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</si>
  <si>
    <t>Burma</t>
  </si>
  <si>
    <t>Anguilla</t>
  </si>
  <si>
    <t>British Virgin Islands</t>
  </si>
  <si>
    <t>Turks and Caicos Islands</t>
  </si>
  <si>
    <t>MS Zaandam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</si>
</sst>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</cellXfs>
  <cellStyles count="1">
    <cellStyle name="Standard" xfId="0" builtinId="0"/>
  </cellStyles>
  <dxfs count="2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2"/>
      </font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Overview!$A$15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Overview!$B$15:$BQ$15</c:f>
              <c:numCache>
                <c:formatCode>General</c:formatCode>
                <c:ptCount val="2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Overview!$A$16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Overview!$B$16:$BQ$16</c:f>
              <c:numCache>
                <c:formatCode>General</c:formatCode>
                <c:ptCount val="29"/>
                <c:pt idx="0">
                  <c:v>74</c:v>
                </c:pt>
                <c:pt idx="1">
                  <c:v>98</c:v>
                </c:pt>
                <c:pt idx="2">
                  <c:v>118</c:v>
                </c:pt>
                <c:pt idx="3">
                  <c:v>149</c:v>
                </c:pt>
                <c:pt idx="4">
                  <c:v>217</c:v>
                </c:pt>
                <c:pt idx="5">
                  <c:v>262</c:v>
                </c:pt>
                <c:pt idx="6">
                  <c:v>402</c:v>
                </c:pt>
                <c:pt idx="7">
                  <c:v>518</c:v>
                </c:pt>
                <c:pt idx="8">
                  <c:v>583</c:v>
                </c:pt>
                <c:pt idx="9">
                  <c:v>959</c:v>
                </c:pt>
                <c:pt idx="10">
                  <c:v>1281</c:v>
                </c:pt>
                <c:pt idx="11">
                  <c:v>1663</c:v>
                </c:pt>
                <c:pt idx="12">
                  <c:v>2179</c:v>
                </c:pt>
                <c:pt idx="13">
                  <c:v>2727</c:v>
                </c:pt>
                <c:pt idx="14">
                  <c:v>3499</c:v>
                </c:pt>
                <c:pt idx="15">
                  <c:v>4632</c:v>
                </c:pt>
                <c:pt idx="16">
                  <c:v>6421</c:v>
                </c:pt>
                <c:pt idx="17">
                  <c:v>7783</c:v>
                </c:pt>
                <c:pt idx="18">
                  <c:v>13677</c:v>
                </c:pt>
                <c:pt idx="19">
                  <c:v>19100</c:v>
                </c:pt>
                <c:pt idx="20">
                  <c:v>25489</c:v>
                </c:pt>
                <c:pt idx="21">
                  <c:v>33276</c:v>
                </c:pt>
                <c:pt idx="22">
                  <c:v>43847</c:v>
                </c:pt>
                <c:pt idx="23">
                  <c:v>53740</c:v>
                </c:pt>
                <c:pt idx="24">
                  <c:v>65778</c:v>
                </c:pt>
                <c:pt idx="25">
                  <c:v>83836</c:v>
                </c:pt>
                <c:pt idx="26">
                  <c:v>101657</c:v>
                </c:pt>
                <c:pt idx="27">
                  <c:v>121478</c:v>
                </c:pt>
                <c:pt idx="28">
                  <c:v>140886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Overview!$A$17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Overview!$B$17:$BQ$17</c:f>
              <c:numCache>
                <c:formatCode>General</c:formatCode>
                <c:ptCount val="29"/>
                <c:pt idx="0">
                  <c:v>1694</c:v>
                </c:pt>
                <c:pt idx="1">
                  <c:v>2036</c:v>
                </c:pt>
                <c:pt idx="2">
                  <c:v>2502</c:v>
                </c:pt>
                <c:pt idx="3">
                  <c:v>3089</c:v>
                </c:pt>
                <c:pt idx="4">
                  <c:v>3858</c:v>
                </c:pt>
                <c:pt idx="5">
                  <c:v>4636</c:v>
                </c:pt>
                <c:pt idx="6">
                  <c:v>5883</c:v>
                </c:pt>
                <c:pt idx="7">
                  <c:v>7375</c:v>
                </c:pt>
                <c:pt idx="8">
                  <c:v>9172</c:v>
                </c:pt>
                <c:pt idx="9">
                  <c:v>10149</c:v>
                </c:pt>
                <c:pt idx="10">
                  <c:v>12462</c:v>
                </c:pt>
                <c:pt idx="11">
                  <c:v>12462</c:v>
                </c:pt>
                <c:pt idx="12">
                  <c:v>17660</c:v>
                </c:pt>
                <c:pt idx="13">
                  <c:v>21157</c:v>
                </c:pt>
                <c:pt idx="14">
                  <c:v>24747</c:v>
                </c:pt>
                <c:pt idx="15">
                  <c:v>27980</c:v>
                </c:pt>
                <c:pt idx="16">
                  <c:v>31506</c:v>
                </c:pt>
                <c:pt idx="17">
                  <c:v>35713</c:v>
                </c:pt>
                <c:pt idx="18">
                  <c:v>41035</c:v>
                </c:pt>
                <c:pt idx="19">
                  <c:v>47021</c:v>
                </c:pt>
                <c:pt idx="20">
                  <c:v>53578</c:v>
                </c:pt>
                <c:pt idx="21">
                  <c:v>59138</c:v>
                </c:pt>
                <c:pt idx="22">
                  <c:v>63927</c:v>
                </c:pt>
                <c:pt idx="23">
                  <c:v>69176</c:v>
                </c:pt>
                <c:pt idx="24">
                  <c:v>74386</c:v>
                </c:pt>
                <c:pt idx="25">
                  <c:v>80589</c:v>
                </c:pt>
                <c:pt idx="26">
                  <c:v>86498</c:v>
                </c:pt>
                <c:pt idx="27">
                  <c:v>92472</c:v>
                </c:pt>
                <c:pt idx="28">
                  <c:v>97689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Overview!$B$18:$BQ$18</c:f>
              <c:numCache>
                <c:formatCode>General</c:formatCode>
                <c:ptCount val="29"/>
                <c:pt idx="0">
                  <c:v>10</c:v>
                </c:pt>
                <c:pt idx="1">
                  <c:v>18</c:v>
                </c:pt>
                <c:pt idx="2">
                  <c:v>24</c:v>
                </c:pt>
                <c:pt idx="3">
                  <c:v>38</c:v>
                </c:pt>
                <c:pt idx="4">
                  <c:v>82</c:v>
                </c:pt>
                <c:pt idx="5">
                  <c:v>128</c:v>
                </c:pt>
                <c:pt idx="6">
                  <c:v>188</c:v>
                </c:pt>
                <c:pt idx="7">
                  <c:v>265</c:v>
                </c:pt>
                <c:pt idx="8">
                  <c:v>321</c:v>
                </c:pt>
                <c:pt idx="9">
                  <c:v>382</c:v>
                </c:pt>
                <c:pt idx="10">
                  <c:v>503</c:v>
                </c:pt>
                <c:pt idx="11">
                  <c:v>503</c:v>
                </c:pt>
                <c:pt idx="12">
                  <c:v>806</c:v>
                </c:pt>
                <c:pt idx="13">
                  <c:v>962</c:v>
                </c:pt>
                <c:pt idx="14">
                  <c:v>1138</c:v>
                </c:pt>
                <c:pt idx="15">
                  <c:v>1416</c:v>
                </c:pt>
                <c:pt idx="16">
                  <c:v>1711</c:v>
                </c:pt>
                <c:pt idx="17">
                  <c:v>2058</c:v>
                </c:pt>
                <c:pt idx="18">
                  <c:v>2467</c:v>
                </c:pt>
                <c:pt idx="19">
                  <c:v>3003</c:v>
                </c:pt>
                <c:pt idx="20">
                  <c:v>3640</c:v>
                </c:pt>
                <c:pt idx="21">
                  <c:v>4217</c:v>
                </c:pt>
                <c:pt idx="22">
                  <c:v>4764</c:v>
                </c:pt>
                <c:pt idx="23">
                  <c:v>5580</c:v>
                </c:pt>
                <c:pt idx="24">
                  <c:v>6438</c:v>
                </c:pt>
                <c:pt idx="25">
                  <c:v>7468</c:v>
                </c:pt>
                <c:pt idx="26">
                  <c:v>8647</c:v>
                </c:pt>
                <c:pt idx="27">
                  <c:v>9819</c:v>
                </c:pt>
                <c:pt idx="28">
                  <c:v>10930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Overview!$A$19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Overview!$B$19:$BQ$19</c:f>
              <c:numCache>
                <c:formatCode>General</c:formatCode>
                <c:ptCount val="29"/>
                <c:pt idx="0">
                  <c:v>3736</c:v>
                </c:pt>
                <c:pt idx="1">
                  <c:v>4335</c:v>
                </c:pt>
                <c:pt idx="2">
                  <c:v>5186</c:v>
                </c:pt>
                <c:pt idx="3">
                  <c:v>5621</c:v>
                </c:pt>
                <c:pt idx="4">
                  <c:v>6088</c:v>
                </c:pt>
                <c:pt idx="5">
                  <c:v>6593</c:v>
                </c:pt>
                <c:pt idx="6">
                  <c:v>7041</c:v>
                </c:pt>
                <c:pt idx="7">
                  <c:v>7314</c:v>
                </c:pt>
                <c:pt idx="8">
                  <c:v>7478</c:v>
                </c:pt>
                <c:pt idx="9">
                  <c:v>7513</c:v>
                </c:pt>
                <c:pt idx="10">
                  <c:v>7755</c:v>
                </c:pt>
                <c:pt idx="11">
                  <c:v>7869</c:v>
                </c:pt>
                <c:pt idx="12">
                  <c:v>7979</c:v>
                </c:pt>
                <c:pt idx="13">
                  <c:v>8086</c:v>
                </c:pt>
                <c:pt idx="14">
                  <c:v>8162</c:v>
                </c:pt>
                <c:pt idx="15">
                  <c:v>8236</c:v>
                </c:pt>
                <c:pt idx="16">
                  <c:v>8320</c:v>
                </c:pt>
                <c:pt idx="17">
                  <c:v>8413</c:v>
                </c:pt>
                <c:pt idx="18">
                  <c:v>8565</c:v>
                </c:pt>
                <c:pt idx="19">
                  <c:v>8652</c:v>
                </c:pt>
                <c:pt idx="20">
                  <c:v>8799</c:v>
                </c:pt>
                <c:pt idx="21">
                  <c:v>8961</c:v>
                </c:pt>
                <c:pt idx="22">
                  <c:v>8961</c:v>
                </c:pt>
                <c:pt idx="23">
                  <c:v>9037</c:v>
                </c:pt>
                <c:pt idx="24">
                  <c:v>9137</c:v>
                </c:pt>
                <c:pt idx="25">
                  <c:v>9241</c:v>
                </c:pt>
                <c:pt idx="26">
                  <c:v>9332</c:v>
                </c:pt>
                <c:pt idx="27">
                  <c:v>9478</c:v>
                </c:pt>
                <c:pt idx="28">
                  <c:v>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Overview!$A$20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Overview!$B$20:$BQ$20</c:f>
              <c:numCache>
                <c:formatCode>General</c:formatCode>
                <c:ptCount val="29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Overview!$A$21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Overview!$B$21:$BQ$21</c:f>
              <c:numCache>
                <c:formatCode>General</c:formatCode>
                <c:ptCount val="29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959</c:v>
                </c:pt>
                <c:pt idx="7">
                  <c:v>1136</c:v>
                </c:pt>
                <c:pt idx="8">
                  <c:v>1219</c:v>
                </c:pt>
                <c:pt idx="9">
                  <c:v>1794</c:v>
                </c:pt>
                <c:pt idx="10">
                  <c:v>2293</c:v>
                </c:pt>
                <c:pt idx="11">
                  <c:v>2293</c:v>
                </c:pt>
                <c:pt idx="12">
                  <c:v>3681</c:v>
                </c:pt>
                <c:pt idx="13">
                  <c:v>4496</c:v>
                </c:pt>
                <c:pt idx="14">
                  <c:v>4532</c:v>
                </c:pt>
                <c:pt idx="15">
                  <c:v>6683</c:v>
                </c:pt>
                <c:pt idx="16">
                  <c:v>7715</c:v>
                </c:pt>
                <c:pt idx="17">
                  <c:v>9124</c:v>
                </c:pt>
                <c:pt idx="18">
                  <c:v>10970</c:v>
                </c:pt>
                <c:pt idx="19">
                  <c:v>12758</c:v>
                </c:pt>
                <c:pt idx="20">
                  <c:v>14463</c:v>
                </c:pt>
                <c:pt idx="21">
                  <c:v>16243</c:v>
                </c:pt>
                <c:pt idx="22">
                  <c:v>20123</c:v>
                </c:pt>
                <c:pt idx="23">
                  <c:v>22622</c:v>
                </c:pt>
                <c:pt idx="24">
                  <c:v>25600</c:v>
                </c:pt>
                <c:pt idx="25">
                  <c:v>29551</c:v>
                </c:pt>
                <c:pt idx="26">
                  <c:v>33402</c:v>
                </c:pt>
                <c:pt idx="27">
                  <c:v>38105</c:v>
                </c:pt>
                <c:pt idx="28">
                  <c:v>40708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Overview!$A$37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Overview!$B$37:$BQ$37</c:f>
              <c:numCache>
                <c:formatCode>0</c:formatCode>
                <c:ptCount val="29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  <c:pt idx="26">
                  <c:v>6658</c:v>
                </c:pt>
                <c:pt idx="27">
                  <c:v>8481</c:v>
                </c:pt>
                <c:pt idx="28">
                  <c:v>9211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Overview!$A$38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Overview!$B$38:$BQ$38</c:f>
              <c:numCache>
                <c:formatCode>0</c:formatCode>
                <c:ptCount val="2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  <c:pt idx="26">
                  <c:v>869</c:v>
                </c:pt>
                <c:pt idx="27">
                  <c:v>1072</c:v>
                </c:pt>
                <c:pt idx="28">
                  <c:v>2665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Overview!$A$39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Overview!$B$39:$BQ$39</c:f>
              <c:numCache>
                <c:formatCode>0</c:formatCode>
                <c:ptCount val="29"/>
                <c:pt idx="0">
                  <c:v>83</c:v>
                </c:pt>
                <c:pt idx="1">
                  <c:v>149</c:v>
                </c:pt>
                <c:pt idx="2">
                  <c:v>160</c:v>
                </c:pt>
                <c:pt idx="3">
                  <c:v>276</c:v>
                </c:pt>
                <c:pt idx="4">
                  <c:v>414</c:v>
                </c:pt>
                <c:pt idx="5">
                  <c:v>523</c:v>
                </c:pt>
                <c:pt idx="6">
                  <c:v>589</c:v>
                </c:pt>
                <c:pt idx="7">
                  <c:v>622</c:v>
                </c:pt>
                <c:pt idx="8">
                  <c:v>724</c:v>
                </c:pt>
                <c:pt idx="9">
                  <c:v>724</c:v>
                </c:pt>
                <c:pt idx="10">
                  <c:v>1045</c:v>
                </c:pt>
                <c:pt idx="11">
                  <c:v>1045</c:v>
                </c:pt>
                <c:pt idx="12">
                  <c:v>1439</c:v>
                </c:pt>
                <c:pt idx="13">
                  <c:v>1966</c:v>
                </c:pt>
                <c:pt idx="14">
                  <c:v>2335</c:v>
                </c:pt>
                <c:pt idx="15">
                  <c:v>2749</c:v>
                </c:pt>
                <c:pt idx="16">
                  <c:v>2941</c:v>
                </c:pt>
                <c:pt idx="17">
                  <c:v>4025</c:v>
                </c:pt>
                <c:pt idx="18">
                  <c:v>4440</c:v>
                </c:pt>
                <c:pt idx="19">
                  <c:v>4440</c:v>
                </c:pt>
                <c:pt idx="20">
                  <c:v>6072</c:v>
                </c:pt>
                <c:pt idx="21">
                  <c:v>7024</c:v>
                </c:pt>
                <c:pt idx="22">
                  <c:v>7024</c:v>
                </c:pt>
                <c:pt idx="23">
                  <c:v>8326</c:v>
                </c:pt>
                <c:pt idx="24">
                  <c:v>9362</c:v>
                </c:pt>
                <c:pt idx="25">
                  <c:v>10361</c:v>
                </c:pt>
                <c:pt idx="26">
                  <c:v>10950</c:v>
                </c:pt>
                <c:pt idx="27">
                  <c:v>12384</c:v>
                </c:pt>
                <c:pt idx="28">
                  <c:v>13030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Overview!$A$40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Overview!$B$40:$BQ$40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Overview!$A$41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Overview!$B$41:$BQ$41</c:f>
              <c:numCache>
                <c:formatCode>0</c:formatCode>
                <c:ptCount val="29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41</c:v>
                </c:pt>
                <c:pt idx="4">
                  <c:v>41</c:v>
                </c:pt>
                <c:pt idx="5">
                  <c:v>135</c:v>
                </c:pt>
                <c:pt idx="6">
                  <c:v>135</c:v>
                </c:pt>
                <c:pt idx="7">
                  <c:v>118</c:v>
                </c:pt>
                <c:pt idx="8">
                  <c:v>118</c:v>
                </c:pt>
                <c:pt idx="9">
                  <c:v>247</c:v>
                </c:pt>
                <c:pt idx="10">
                  <c:v>288</c:v>
                </c:pt>
                <c:pt idx="11">
                  <c:v>333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1137</c:v>
                </c:pt>
                <c:pt idx="16">
                  <c:v>1407</c:v>
                </c:pt>
                <c:pt idx="17">
                  <c:v>1540</c:v>
                </c:pt>
                <c:pt idx="18">
                  <c:v>1540</c:v>
                </c:pt>
                <c:pt idx="19">
                  <c:v>1540</c:v>
                </c:pt>
                <c:pt idx="20">
                  <c:v>1540</c:v>
                </c:pt>
                <c:pt idx="21">
                  <c:v>2909</c:v>
                </c:pt>
                <c:pt idx="22">
                  <c:v>2909</c:v>
                </c:pt>
                <c:pt idx="23">
                  <c:v>3507</c:v>
                </c:pt>
                <c:pt idx="24">
                  <c:v>3730</c:v>
                </c:pt>
                <c:pt idx="25">
                  <c:v>4144</c:v>
                </c:pt>
                <c:pt idx="26">
                  <c:v>4528</c:v>
                </c:pt>
                <c:pt idx="27">
                  <c:v>4811</c:v>
                </c:pt>
                <c:pt idx="28">
                  <c:v>5033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Overview!$A$42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Overview!$B$42:$BQ$42</c:f>
              <c:numCache>
                <c:formatCode>0</c:formatCode>
                <c:ptCount val="2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Overview!$A$43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Overview!$B$43:$BQ$43</c:f>
              <c:numCache>
                <c:formatCode>0</c:formatCode>
                <c:ptCount val="2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2206</c:v>
                </c:pt>
                <c:pt idx="22">
                  <c:v>2206</c:v>
                </c:pt>
                <c:pt idx="23">
                  <c:v>3250</c:v>
                </c:pt>
                <c:pt idx="24">
                  <c:v>3907</c:v>
                </c:pt>
                <c:pt idx="25">
                  <c:v>4955</c:v>
                </c:pt>
                <c:pt idx="26">
                  <c:v>5707</c:v>
                </c:pt>
                <c:pt idx="27">
                  <c:v>5724</c:v>
                </c:pt>
                <c:pt idx="28">
                  <c:v>7226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Overview!$A$26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Overview!$B$26:$BQ$26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Overview!$A$27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Overview!$B$27:$BQ$27</c:f>
              <c:numCache>
                <c:formatCode>0</c:formatCode>
                <c:ptCount val="29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  <c:pt idx="26">
                  <c:v>1581</c:v>
                </c:pt>
                <c:pt idx="27">
                  <c:v>2026</c:v>
                </c:pt>
                <c:pt idx="28">
                  <c:v>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Overview!$A$28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Overview!$B$28:$BQ$28</c:f>
              <c:numCache>
                <c:formatCode>0</c:formatCode>
                <c:ptCount val="29"/>
                <c:pt idx="0">
                  <c:v>34</c:v>
                </c:pt>
                <c:pt idx="1">
                  <c:v>52</c:v>
                </c:pt>
                <c:pt idx="2">
                  <c:v>79</c:v>
                </c:pt>
                <c:pt idx="3">
                  <c:v>107</c:v>
                </c:pt>
                <c:pt idx="4">
                  <c:v>148</c:v>
                </c:pt>
                <c:pt idx="5">
                  <c:v>197</c:v>
                </c:pt>
                <c:pt idx="6">
                  <c:v>233</c:v>
                </c:pt>
                <c:pt idx="7">
                  <c:v>366</c:v>
                </c:pt>
                <c:pt idx="8">
                  <c:v>463</c:v>
                </c:pt>
                <c:pt idx="9">
                  <c:v>631</c:v>
                </c:pt>
                <c:pt idx="10">
                  <c:v>827</c:v>
                </c:pt>
                <c:pt idx="11">
                  <c:v>827</c:v>
                </c:pt>
                <c:pt idx="12">
                  <c:v>1266</c:v>
                </c:pt>
                <c:pt idx="13">
                  <c:v>1441</c:v>
                </c:pt>
                <c:pt idx="14">
                  <c:v>1809</c:v>
                </c:pt>
                <c:pt idx="15">
                  <c:v>2158</c:v>
                </c:pt>
                <c:pt idx="16">
                  <c:v>2503</c:v>
                </c:pt>
                <c:pt idx="17">
                  <c:v>2978</c:v>
                </c:pt>
                <c:pt idx="18">
                  <c:v>3405</c:v>
                </c:pt>
                <c:pt idx="19">
                  <c:v>4032</c:v>
                </c:pt>
                <c:pt idx="20">
                  <c:v>4825</c:v>
                </c:pt>
                <c:pt idx="21">
                  <c:v>5476</c:v>
                </c:pt>
                <c:pt idx="22">
                  <c:v>6077</c:v>
                </c:pt>
                <c:pt idx="23">
                  <c:v>6820</c:v>
                </c:pt>
                <c:pt idx="24">
                  <c:v>7503</c:v>
                </c:pt>
                <c:pt idx="25">
                  <c:v>8215</c:v>
                </c:pt>
                <c:pt idx="26">
                  <c:v>9134</c:v>
                </c:pt>
                <c:pt idx="27">
                  <c:v>10023</c:v>
                </c:pt>
                <c:pt idx="28">
                  <c:v>10779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Overview!$A$29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Overview!$B$29:$BQ$29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10</c:v>
                </c:pt>
                <c:pt idx="13">
                  <c:v>12</c:v>
                </c:pt>
                <c:pt idx="14">
                  <c:v>20</c:v>
                </c:pt>
                <c:pt idx="15">
                  <c:v>24</c:v>
                </c:pt>
                <c:pt idx="16">
                  <c:v>43</c:v>
                </c:pt>
                <c:pt idx="17">
                  <c:v>58</c:v>
                </c:pt>
                <c:pt idx="18">
                  <c:v>77</c:v>
                </c:pt>
                <c:pt idx="19">
                  <c:v>107</c:v>
                </c:pt>
                <c:pt idx="20">
                  <c:v>137</c:v>
                </c:pt>
                <c:pt idx="21">
                  <c:v>180</c:v>
                </c:pt>
                <c:pt idx="22">
                  <c:v>214</c:v>
                </c:pt>
                <c:pt idx="23">
                  <c:v>277</c:v>
                </c:pt>
                <c:pt idx="24">
                  <c:v>357</c:v>
                </c:pt>
                <c:pt idx="25">
                  <c:v>435</c:v>
                </c:pt>
                <c:pt idx="26">
                  <c:v>547</c:v>
                </c:pt>
                <c:pt idx="27">
                  <c:v>640</c:v>
                </c:pt>
                <c:pt idx="28">
                  <c:v>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Overview!$A$30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Overview!$B$30:$BQ$30</c:f>
              <c:numCache>
                <c:formatCode>0</c:formatCode>
                <c:ptCount val="29"/>
                <c:pt idx="0">
                  <c:v>17</c:v>
                </c:pt>
                <c:pt idx="1">
                  <c:v>28</c:v>
                </c:pt>
                <c:pt idx="2">
                  <c:v>28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44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75</c:v>
                </c:pt>
                <c:pt idx="16">
                  <c:v>81</c:v>
                </c:pt>
                <c:pt idx="17">
                  <c:v>84</c:v>
                </c:pt>
                <c:pt idx="18">
                  <c:v>91</c:v>
                </c:pt>
                <c:pt idx="19">
                  <c:v>94</c:v>
                </c:pt>
                <c:pt idx="20">
                  <c:v>102</c:v>
                </c:pt>
                <c:pt idx="21">
                  <c:v>111</c:v>
                </c:pt>
                <c:pt idx="22">
                  <c:v>111</c:v>
                </c:pt>
                <c:pt idx="23">
                  <c:v>120</c:v>
                </c:pt>
                <c:pt idx="24">
                  <c:v>126</c:v>
                </c:pt>
                <c:pt idx="25">
                  <c:v>131</c:v>
                </c:pt>
                <c:pt idx="26">
                  <c:v>139</c:v>
                </c:pt>
                <c:pt idx="27">
                  <c:v>144</c:v>
                </c:pt>
                <c:pt idx="28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Overview!$A$31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Overview!$B$31:$BQ$31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Overview!$A$32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Overview!$B$14:$BQ$14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Overview!$B$32:$BQ$32</c:f>
              <c:numCache>
                <c:formatCode>0</c:formatCode>
                <c:ptCount val="2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  <c:pt idx="8">
                  <c:v>19</c:v>
                </c:pt>
                <c:pt idx="9">
                  <c:v>33</c:v>
                </c:pt>
                <c:pt idx="10">
                  <c:v>48</c:v>
                </c:pt>
                <c:pt idx="11">
                  <c:v>48</c:v>
                </c:pt>
                <c:pt idx="12">
                  <c:v>79</c:v>
                </c:pt>
                <c:pt idx="13">
                  <c:v>91</c:v>
                </c:pt>
                <c:pt idx="14">
                  <c:v>91</c:v>
                </c:pt>
                <c:pt idx="15">
                  <c:v>149</c:v>
                </c:pt>
                <c:pt idx="16">
                  <c:v>149</c:v>
                </c:pt>
                <c:pt idx="17">
                  <c:v>149</c:v>
                </c:pt>
                <c:pt idx="18">
                  <c:v>244</c:v>
                </c:pt>
                <c:pt idx="19">
                  <c:v>451</c:v>
                </c:pt>
                <c:pt idx="20">
                  <c:v>563</c:v>
                </c:pt>
                <c:pt idx="21">
                  <c:v>676</c:v>
                </c:pt>
                <c:pt idx="22">
                  <c:v>862</c:v>
                </c:pt>
                <c:pt idx="23">
                  <c:v>1102</c:v>
                </c:pt>
                <c:pt idx="24">
                  <c:v>1333</c:v>
                </c:pt>
                <c:pt idx="25">
                  <c:v>1698</c:v>
                </c:pt>
                <c:pt idx="26">
                  <c:v>1997</c:v>
                </c:pt>
                <c:pt idx="27">
                  <c:v>2317</c:v>
                </c:pt>
                <c:pt idx="28">
                  <c:v>2611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Overview!$B$4:$BQ$4</c:f>
              <c:numCache>
                <c:formatCode>0</c:formatCode>
                <c:ptCount val="29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Overview!$B$5:$BQ$5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Overview!$B$6:$BQ$6</c:f>
              <c:numCache>
                <c:formatCode>0</c:formatCode>
                <c:ptCount val="2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03-4899-8BD8-8886C8609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Overview!$A$7</c:f>
              <c:strCache>
                <c:ptCount val="1"/>
                <c:pt idx="0">
                  <c:v>Cases/Day</c:v>
                </c:pt>
              </c:strCache>
            </c:strRef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Overview!$B$7:$BQ$7</c:f>
              <c:numCache>
                <c:formatCode>0</c:formatCode>
                <c:ptCount val="29"/>
                <c:pt idx="0">
                  <c:v>39</c:v>
                </c:pt>
                <c:pt idx="1">
                  <c:v>36</c:v>
                </c:pt>
                <c:pt idx="2">
                  <c:v>45</c:v>
                </c:pt>
                <c:pt idx="3">
                  <c:v>57</c:v>
                </c:pt>
                <c:pt idx="4">
                  <c:v>37</c:v>
                </c:pt>
                <c:pt idx="5">
                  <c:v>141</c:v>
                </c:pt>
                <c:pt idx="6">
                  <c:v>100</c:v>
                </c:pt>
                <c:pt idx="7">
                  <c:v>173</c:v>
                </c:pt>
                <c:pt idx="8">
                  <c:v>400</c:v>
                </c:pt>
                <c:pt idx="9">
                  <c:v>622</c:v>
                </c:pt>
                <c:pt idx="10">
                  <c:v>582</c:v>
                </c:pt>
                <c:pt idx="11">
                  <c:v>0</c:v>
                </c:pt>
                <c:pt idx="12">
                  <c:v>2955</c:v>
                </c:pt>
                <c:pt idx="13">
                  <c:v>1159</c:v>
                </c:pt>
                <c:pt idx="14">
                  <c:v>1407</c:v>
                </c:pt>
                <c:pt idx="15">
                  <c:v>2144</c:v>
                </c:pt>
                <c:pt idx="16">
                  <c:v>1806</c:v>
                </c:pt>
                <c:pt idx="17">
                  <c:v>2162</c:v>
                </c:pt>
                <c:pt idx="18">
                  <c:v>4053</c:v>
                </c:pt>
                <c:pt idx="19">
                  <c:v>2447</c:v>
                </c:pt>
                <c:pt idx="20">
                  <c:v>4964</c:v>
                </c:pt>
                <c:pt idx="21">
                  <c:v>3394</c:v>
                </c:pt>
                <c:pt idx="22">
                  <c:v>6368</c:v>
                </c:pt>
                <c:pt idx="23">
                  <c:v>4749</c:v>
                </c:pt>
                <c:pt idx="24">
                  <c:v>9630</c:v>
                </c:pt>
                <c:pt idx="25">
                  <c:v>8271</c:v>
                </c:pt>
                <c:pt idx="26">
                  <c:v>7933</c:v>
                </c:pt>
                <c:pt idx="27">
                  <c:v>7516</c:v>
                </c:pt>
                <c:pt idx="28">
                  <c:v>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Overview!$A$8</c:f>
              <c:strCache>
                <c:ptCount val="1"/>
                <c:pt idx="0">
                  <c:v>Deaths/Day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Overview!$B$8:$BQ$8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7</c:v>
                </c:pt>
                <c:pt idx="8">
                  <c:v>11</c:v>
                </c:pt>
                <c:pt idx="9">
                  <c:v>7</c:v>
                </c:pt>
                <c:pt idx="10">
                  <c:v>19</c:v>
                </c:pt>
                <c:pt idx="11">
                  <c:v>1</c:v>
                </c:pt>
                <c:pt idx="12">
                  <c:v>78</c:v>
                </c:pt>
                <c:pt idx="13">
                  <c:v>62</c:v>
                </c:pt>
                <c:pt idx="14">
                  <c:v>94</c:v>
                </c:pt>
                <c:pt idx="15">
                  <c:v>53</c:v>
                </c:pt>
                <c:pt idx="16">
                  <c:v>191</c:v>
                </c:pt>
                <c:pt idx="17">
                  <c:v>90</c:v>
                </c:pt>
                <c:pt idx="18">
                  <c:v>207</c:v>
                </c:pt>
                <c:pt idx="19">
                  <c:v>213</c:v>
                </c:pt>
                <c:pt idx="20">
                  <c:v>332</c:v>
                </c:pt>
                <c:pt idx="21">
                  <c:v>397</c:v>
                </c:pt>
                <c:pt idx="22">
                  <c:v>539</c:v>
                </c:pt>
                <c:pt idx="23">
                  <c:v>497</c:v>
                </c:pt>
                <c:pt idx="24">
                  <c:v>839</c:v>
                </c:pt>
                <c:pt idx="25">
                  <c:v>718</c:v>
                </c:pt>
                <c:pt idx="26">
                  <c:v>773</c:v>
                </c:pt>
                <c:pt idx="27">
                  <c:v>844</c:v>
                </c:pt>
                <c:pt idx="28">
                  <c:v>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Overview!$B$9:$BQ$9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151</c:v>
                </c:pt>
                <c:pt idx="11">
                  <c:v>0</c:v>
                </c:pt>
                <c:pt idx="12">
                  <c:v>10</c:v>
                </c:pt>
                <c:pt idx="13">
                  <c:v>324</c:v>
                </c:pt>
                <c:pt idx="14">
                  <c:v>0</c:v>
                </c:pt>
                <c:pt idx="15">
                  <c:v>13</c:v>
                </c:pt>
                <c:pt idx="16">
                  <c:v>498</c:v>
                </c:pt>
                <c:pt idx="17">
                  <c:v>53</c:v>
                </c:pt>
                <c:pt idx="18">
                  <c:v>26</c:v>
                </c:pt>
                <c:pt idx="19">
                  <c:v>481</c:v>
                </c:pt>
                <c:pt idx="20">
                  <c:v>537</c:v>
                </c:pt>
                <c:pt idx="21">
                  <c:v>450</c:v>
                </c:pt>
                <c:pt idx="22">
                  <c:v>0</c:v>
                </c:pt>
                <c:pt idx="23">
                  <c:v>1219</c:v>
                </c:pt>
                <c:pt idx="24">
                  <c:v>1573</c:v>
                </c:pt>
                <c:pt idx="25">
                  <c:v>1648</c:v>
                </c:pt>
                <c:pt idx="26">
                  <c:v>2342</c:v>
                </c:pt>
                <c:pt idx="27">
                  <c:v>2928</c:v>
                </c:pt>
                <c:pt idx="28">
                  <c:v>2424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ser>
          <c:idx val="3"/>
          <c:order val="3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Overview!$B$10:$BQ$10</c:f>
              <c:numCache>
                <c:formatCode>0.00%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6.0606060606060606E-3</c:v>
                </c:pt>
                <c:pt idx="3">
                  <c:v>9.0090090090090089E-3</c:v>
                </c:pt>
                <c:pt idx="4">
                  <c:v>1.1583011583011582E-2</c:v>
                </c:pt>
                <c:pt idx="5">
                  <c:v>1.2500000000000001E-2</c:v>
                </c:pt>
                <c:pt idx="6">
                  <c:v>0.02</c:v>
                </c:pt>
                <c:pt idx="7">
                  <c:v>2.5260029717682021E-2</c:v>
                </c:pt>
                <c:pt idx="8">
                  <c:v>2.6095060577819199E-2</c:v>
                </c:pt>
                <c:pt idx="9">
                  <c:v>2.0648967551622419E-2</c:v>
                </c:pt>
                <c:pt idx="10">
                  <c:v>2.3715415019762844E-2</c:v>
                </c:pt>
                <c:pt idx="11">
                  <c:v>2.4154589371980676E-2</c:v>
                </c:pt>
                <c:pt idx="12">
                  <c:v>2.5420489296636085E-2</c:v>
                </c:pt>
                <c:pt idx="13">
                  <c:v>3.0511657017681115E-2</c:v>
                </c:pt>
                <c:pt idx="14">
                  <c:v>3.7060784816619646E-2</c:v>
                </c:pt>
                <c:pt idx="15">
                  <c:v>3.4399517199758603E-2</c:v>
                </c:pt>
                <c:pt idx="16">
                  <c:v>4.5369424582907728E-2</c:v>
                </c:pt>
                <c:pt idx="17">
                  <c:v>4.4787922358015819E-2</c:v>
                </c:pt>
                <c:pt idx="18">
                  <c:v>4.6206090296721035E-2</c:v>
                </c:pt>
                <c:pt idx="19">
                  <c:v>5.1102400783929448E-2</c:v>
                </c:pt>
                <c:pt idx="20">
                  <c:v>5.4189327658232839E-2</c:v>
                </c:pt>
                <c:pt idx="21">
                  <c:v>6.1596218020022249E-2</c:v>
                </c:pt>
                <c:pt idx="22">
                  <c:v>6.5772996357012753E-2</c:v>
                </c:pt>
                <c:pt idx="23">
                  <c:v>7.0402406919894703E-2</c:v>
                </c:pt>
                <c:pt idx="24">
                  <c:v>7.3654448147026153E-2</c:v>
                </c:pt>
                <c:pt idx="25">
                  <c:v>7.5537327380334335E-2</c:v>
                </c:pt>
                <c:pt idx="26">
                  <c:v>7.8181347859827444E-2</c:v>
                </c:pt>
                <c:pt idx="27">
                  <c:v>8.1682255752031127E-2</c:v>
                </c:pt>
                <c:pt idx="28">
                  <c:v>8.4920733990762706E-2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A-41F4-8E05-EB01FF7B9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catAx>
        <c:axId val="34226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19522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Overview!$AO$10:$BQ$10</c:f>
              <c:numCache>
                <c:formatCode>0.00%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6.0606060606060606E-3</c:v>
                </c:pt>
                <c:pt idx="3">
                  <c:v>9.0090090090090089E-3</c:v>
                </c:pt>
                <c:pt idx="4">
                  <c:v>1.1583011583011582E-2</c:v>
                </c:pt>
                <c:pt idx="5">
                  <c:v>1.2500000000000001E-2</c:v>
                </c:pt>
                <c:pt idx="6">
                  <c:v>0.02</c:v>
                </c:pt>
                <c:pt idx="7">
                  <c:v>2.5260029717682021E-2</c:v>
                </c:pt>
                <c:pt idx="8">
                  <c:v>2.6095060577819199E-2</c:v>
                </c:pt>
                <c:pt idx="9">
                  <c:v>2.0648967551622419E-2</c:v>
                </c:pt>
                <c:pt idx="10">
                  <c:v>2.3715415019762844E-2</c:v>
                </c:pt>
                <c:pt idx="11">
                  <c:v>2.4154589371980676E-2</c:v>
                </c:pt>
                <c:pt idx="12">
                  <c:v>2.5420489296636085E-2</c:v>
                </c:pt>
                <c:pt idx="13">
                  <c:v>3.0511657017681115E-2</c:v>
                </c:pt>
                <c:pt idx="14">
                  <c:v>3.7060784816619646E-2</c:v>
                </c:pt>
                <c:pt idx="15">
                  <c:v>3.4399517199758603E-2</c:v>
                </c:pt>
                <c:pt idx="16">
                  <c:v>4.5369424582907728E-2</c:v>
                </c:pt>
                <c:pt idx="17">
                  <c:v>4.4787922358015819E-2</c:v>
                </c:pt>
                <c:pt idx="18">
                  <c:v>4.6206090296721035E-2</c:v>
                </c:pt>
                <c:pt idx="19">
                  <c:v>5.1102400783929448E-2</c:v>
                </c:pt>
                <c:pt idx="20">
                  <c:v>5.4189327658232839E-2</c:v>
                </c:pt>
                <c:pt idx="21">
                  <c:v>6.1596218020022249E-2</c:v>
                </c:pt>
                <c:pt idx="22">
                  <c:v>6.5772996357012753E-2</c:v>
                </c:pt>
                <c:pt idx="23">
                  <c:v>7.0402406919894703E-2</c:v>
                </c:pt>
                <c:pt idx="24">
                  <c:v>7.3654448147026153E-2</c:v>
                </c:pt>
                <c:pt idx="25">
                  <c:v>7.5537327380334335E-2</c:v>
                </c:pt>
                <c:pt idx="26">
                  <c:v>7.8181347859827444E-2</c:v>
                </c:pt>
                <c:pt idx="27">
                  <c:v>8.1682255752031127E-2</c:v>
                </c:pt>
                <c:pt idx="28">
                  <c:v>8.4920733990762706E-2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Overview!$A$11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val>
            <c:numRef>
              <c:f>Overview!$AO$11:$BQ$11</c:f>
              <c:numCache>
                <c:formatCode>0.00</c:formatCode>
                <c:ptCount val="29"/>
                <c:pt idx="0">
                  <c:v>1.1538461538461537</c:v>
                </c:pt>
                <c:pt idx="1">
                  <c:v>2.333333333333333</c:v>
                </c:pt>
                <c:pt idx="2">
                  <c:v>2.666666666666667</c:v>
                </c:pt>
                <c:pt idx="3">
                  <c:v>2.8947368421052628</c:v>
                </c:pt>
                <c:pt idx="4">
                  <c:v>6</c:v>
                </c:pt>
                <c:pt idx="5">
                  <c:v>1.8368794326241136</c:v>
                </c:pt>
                <c:pt idx="6">
                  <c:v>4</c:v>
                </c:pt>
                <c:pt idx="7">
                  <c:v>2.8901734104046244</c:v>
                </c:pt>
                <c:pt idx="8">
                  <c:v>1.6825000000000001</c:v>
                </c:pt>
                <c:pt idx="9">
                  <c:v>1.72508038585209</c:v>
                </c:pt>
                <c:pt idx="10">
                  <c:v>2.9123711340206189</c:v>
                </c:pt>
                <c:pt idx="11">
                  <c:v>0</c:v>
                </c:pt>
                <c:pt idx="12">
                  <c:v>0.77055837563451779</c:v>
                </c:pt>
                <c:pt idx="13">
                  <c:v>4.5142364106988779</c:v>
                </c:pt>
                <c:pt idx="14">
                  <c:v>4.5422885572139302</c:v>
                </c:pt>
                <c:pt idx="15">
                  <c:v>3.6371268656716418</c:v>
                </c:pt>
                <c:pt idx="16">
                  <c:v>5.5049833887043187</c:v>
                </c:pt>
                <c:pt idx="17">
                  <c:v>5.4338575393154489</c:v>
                </c:pt>
                <c:pt idx="18">
                  <c:v>3.4320256600049346</c:v>
                </c:pt>
                <c:pt idx="19">
                  <c:v>7.3408255006129952</c:v>
                </c:pt>
                <c:pt idx="20">
                  <c:v>4.1116035455277995</c:v>
                </c:pt>
                <c:pt idx="21">
                  <c:v>7.4761343547436656</c:v>
                </c:pt>
                <c:pt idx="22">
                  <c:v>4.5175879396984921</c:v>
                </c:pt>
                <c:pt idx="23">
                  <c:v>7.3986102337334172</c:v>
                </c:pt>
                <c:pt idx="24">
                  <c:v>4.1417445482866047</c:v>
                </c:pt>
                <c:pt idx="25">
                  <c:v>5.9865796155241204</c:v>
                </c:pt>
                <c:pt idx="26">
                  <c:v>7.2842556409933188</c:v>
                </c:pt>
                <c:pt idx="27">
                  <c:v>8.7438797232570522</c:v>
                </c:pt>
                <c:pt idx="28">
                  <c:v>10.652363636363637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catAx>
        <c:axId val="1074045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7404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2913530</xdr:rowOff>
    </xdr:from>
    <xdr:to>
      <xdr:col>0</xdr:col>
      <xdr:colOff>1524002</xdr:colOff>
      <xdr:row>0</xdr:row>
      <xdr:rowOff>3220570</xdr:rowOff>
    </xdr:to>
    <xdr:sp macro="[0]!UpdateData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2913530"/>
          <a:ext cx="1402684" cy="30704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47</xdr:col>
      <xdr:colOff>181592</xdr:colOff>
      <xdr:row>0</xdr:row>
      <xdr:rowOff>3238095</xdr:rowOff>
    </xdr:to>
    <xdr:graphicFrame macro="">
      <xdr:nvGraphicFramePr>
        <xdr:cNvPr id="7" name="ChartConfirmedCases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54</xdr:col>
      <xdr:colOff>381000</xdr:colOff>
      <xdr:row>0</xdr:row>
      <xdr:rowOff>0</xdr:rowOff>
    </xdr:from>
    <xdr:to>
      <xdr:col>62</xdr:col>
      <xdr:colOff>16426</xdr:colOff>
      <xdr:row>0</xdr:row>
      <xdr:rowOff>3238095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47</xdr:col>
      <xdr:colOff>190500</xdr:colOff>
      <xdr:row>0</xdr:row>
      <xdr:rowOff>0</xdr:rowOff>
    </xdr:from>
    <xdr:to>
      <xdr:col>54</xdr:col>
      <xdr:colOff>363809</xdr:colOff>
      <xdr:row>0</xdr:row>
      <xdr:rowOff>3238095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62</xdr:col>
      <xdr:colOff>16566</xdr:colOff>
      <xdr:row>0</xdr:row>
      <xdr:rowOff>0</xdr:rowOff>
    </xdr:from>
    <xdr:to>
      <xdr:col>69</xdr:col>
      <xdr:colOff>8282</xdr:colOff>
      <xdr:row>0</xdr:row>
      <xdr:rowOff>3238500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69</xdr:col>
      <xdr:colOff>0</xdr:colOff>
      <xdr:row>0</xdr:row>
      <xdr:rowOff>0</xdr:rowOff>
    </xdr:from>
    <xdr:to>
      <xdr:col>75</xdr:col>
      <xdr:colOff>525116</xdr:colOff>
      <xdr:row>0</xdr:row>
      <xdr:rowOff>3238500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76</xdr:col>
      <xdr:colOff>0</xdr:colOff>
      <xdr:row>0</xdr:row>
      <xdr:rowOff>0</xdr:rowOff>
    </xdr:from>
    <xdr:to>
      <xdr:col>82</xdr:col>
      <xdr:colOff>525116</xdr:colOff>
      <xdr:row>0</xdr:row>
      <xdr:rowOff>3238500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4:CE21" totalsRowShown="0" headerRowDxfId="270" dataDxfId="268" headerRowBorderDxfId="269" tableBorderDxfId="267" totalsRowBorderDxfId="266">
  <autoFilter ref="A14:CE21" xr:uid="{479694DE-0E9C-41A7-946D-48560B0B3579}"/>
  <tableColumns count="83">
    <tableColumn id="2" xr3:uid="{C453FAE5-63DB-4A22-8C0E-1DC6C9518C2A}" name="Country/Region" dataDxfId="265"/>
    <tableColumn id="3" xr3:uid="{A7A21713-F1DE-4AA5-92C7-957354E4D421}" name="22.1" dataDxfId="264">
      <calculatedColumnFormula>SUMIF(RAW_Cases!$B:$B,Tabelle2[[#This Row],[Country/Region]],RAW_Cases!C:C)</calculatedColumnFormula>
    </tableColumn>
    <tableColumn id="4" xr3:uid="{857167DE-1947-408C-B65D-7ACB1505E8E1}" name="23.1" dataDxfId="263">
      <calculatedColumnFormula>SUMIF(RAW_Cases!$B:$B,Tabelle2[[#This Row],[Country/Region]],RAW_Cases!D:D)</calculatedColumnFormula>
    </tableColumn>
    <tableColumn id="5" xr3:uid="{F8E78670-3EF7-456A-89A0-03D9ACF0EC4C}" name="24.1" dataDxfId="262">
      <calculatedColumnFormula>SUMIF(RAW_Cases!$B:$B,Tabelle2[[#This Row],[Country/Region]],RAW_Cases!E:E)</calculatedColumnFormula>
    </tableColumn>
    <tableColumn id="6" xr3:uid="{30522FF7-3A42-424B-A134-D3C14528DDBF}" name="25.1" dataDxfId="261">
      <calculatedColumnFormula>SUMIF(RAW_Cases!$B:$B,Tabelle2[[#This Row],[Country/Region]],RAW_Cases!F:F)</calculatedColumnFormula>
    </tableColumn>
    <tableColumn id="7" xr3:uid="{3CCBCA53-F3D1-46D3-92D0-B627B8ED5FD2}" name="26.1" dataDxfId="260">
      <calculatedColumnFormula>SUMIF(RAW_Cases!$B:$B,Tabelle2[[#This Row],[Country/Region]],RAW_Cases!G:G)</calculatedColumnFormula>
    </tableColumn>
    <tableColumn id="8" xr3:uid="{4BC5C632-1874-4C99-8205-270324B3DFB0}" name="27.1" dataDxfId="259">
      <calculatedColumnFormula>SUMIF(RAW_Cases!$B:$B,Tabelle2[[#This Row],[Country/Region]],RAW_Cases!H:H)</calculatedColumnFormula>
    </tableColumn>
    <tableColumn id="9" xr3:uid="{62F11B24-A322-4576-816F-EAB1D8B93829}" name="28.1" dataDxfId="258">
      <calculatedColumnFormula>SUMIF(RAW_Cases!$B:$B,Tabelle2[[#This Row],[Country/Region]],RAW_Cases!I:I)</calculatedColumnFormula>
    </tableColumn>
    <tableColumn id="10" xr3:uid="{6B869DF8-90AB-45DC-8C8C-B336B68D8EFA}" name="29.1" dataDxfId="257">
      <calculatedColumnFormula>SUMIF(RAW_Cases!$B:$B,Tabelle2[[#This Row],[Country/Region]],RAW_Cases!J:J)</calculatedColumnFormula>
    </tableColumn>
    <tableColumn id="11" xr3:uid="{468B4A4E-6FAC-4EC0-8969-1BA4CDD7F04E}" name="30.1" dataDxfId="256">
      <calculatedColumnFormula>SUMIF(RAW_Cases!$B:$B,Tabelle2[[#This Row],[Country/Region]],RAW_Cases!K:K)</calculatedColumnFormula>
    </tableColumn>
    <tableColumn id="12" xr3:uid="{E06B9B5C-E00A-4012-96D0-0D27233C08E9}" name="31.1" dataDxfId="255">
      <calculatedColumnFormula>SUMIF(RAW_Cases!$B:$B,Tabelle2[[#This Row],[Country/Region]],RAW_Cases!L:L)</calculatedColumnFormula>
    </tableColumn>
    <tableColumn id="13" xr3:uid="{EEC40170-2309-45AF-B0AD-F00A34E177E0}" name="1.2" dataDxfId="254">
      <calculatedColumnFormula>SUMIF(RAW_Cases!$B:$B,Tabelle2[[#This Row],[Country/Region]],RAW_Cases!M:M)</calculatedColumnFormula>
    </tableColumn>
    <tableColumn id="14" xr3:uid="{4304D166-9286-48CA-A410-A61DEA20BF97}" name="2.2" dataDxfId="253">
      <calculatedColumnFormula>SUMIF(RAW_Cases!$B:$B,Tabelle2[[#This Row],[Country/Region]],RAW_Cases!N:N)</calculatedColumnFormula>
    </tableColumn>
    <tableColumn id="15" xr3:uid="{35D37D9C-8B23-4BBC-AE75-BB30F782CA6C}" name="3.2" dataDxfId="252">
      <calculatedColumnFormula>SUMIF(RAW_Cases!$B:$B,Tabelle2[[#This Row],[Country/Region]],RAW_Cases!O:O)</calculatedColumnFormula>
    </tableColumn>
    <tableColumn id="16" xr3:uid="{EE8CEEA8-E965-4ED8-81C0-177817AB2F34}" name="4.2" dataDxfId="251">
      <calculatedColumnFormula>SUMIF(RAW_Cases!$B:$B,Tabelle2[[#This Row],[Country/Region]],RAW_Cases!P:P)</calculatedColumnFormula>
    </tableColumn>
    <tableColumn id="17" xr3:uid="{F316B922-983F-46FA-AC84-5C6BBC346B82}" name="5.2" dataDxfId="250">
      <calculatedColumnFormula>SUMIF(RAW_Cases!$B:$B,Tabelle2[[#This Row],[Country/Region]],RAW_Cases!Q:Q)</calculatedColumnFormula>
    </tableColumn>
    <tableColumn id="18" xr3:uid="{1ADBF8D9-0DE0-4AE3-AC61-6F4D87559F36}" name="6.2" dataDxfId="249">
      <calculatedColumnFormula>SUMIF(RAW_Cases!$B:$B,Tabelle2[[#This Row],[Country/Region]],RAW_Cases!R:R)</calculatedColumnFormula>
    </tableColumn>
    <tableColumn id="19" xr3:uid="{F0EE1986-6262-41EC-9B01-ED94DE053880}" name="7.2" dataDxfId="248">
      <calculatedColumnFormula>SUMIF(RAW_Cases!$B:$B,Tabelle2[[#This Row],[Country/Region]],RAW_Cases!S:S)</calculatedColumnFormula>
    </tableColumn>
    <tableColumn id="20" xr3:uid="{BEECEFAD-95FA-4B00-B78A-520A3DAA28FA}" name="8.2" dataDxfId="247">
      <calculatedColumnFormula>SUMIF(RAW_Cases!$B:$B,Tabelle2[[#This Row],[Country/Region]],RAW_Cases!T:T)</calculatedColumnFormula>
    </tableColumn>
    <tableColumn id="21" xr3:uid="{E861DB2B-D53C-4E5D-8872-AE159D48BEA5}" name="9.2" dataDxfId="246">
      <calculatedColumnFormula>SUMIF(RAW_Cases!$B:$B,Tabelle2[[#This Row],[Country/Region]],RAW_Cases!U:U)</calculatedColumnFormula>
    </tableColumn>
    <tableColumn id="22" xr3:uid="{A0CD3BDA-F932-44BF-8937-6116FB10349D}" name="10.2" dataDxfId="245">
      <calculatedColumnFormula>SUMIF(RAW_Cases!$B:$B,Tabelle2[[#This Row],[Country/Region]],RAW_Cases!V:V)</calculatedColumnFormula>
    </tableColumn>
    <tableColumn id="23" xr3:uid="{4E78FC45-437D-4610-B0B9-ABF3697956C9}" name="11.2" dataDxfId="244">
      <calculatedColumnFormula>SUMIF(RAW_Cases!$B:$B,Tabelle2[[#This Row],[Country/Region]],RAW_Cases!W:W)</calculatedColumnFormula>
    </tableColumn>
    <tableColumn id="24" xr3:uid="{BBF9B2CB-D34C-44CD-B109-131EF7F46A2E}" name="12.2" dataDxfId="243">
      <calculatedColumnFormula>SUMIF(RAW_Cases!$B:$B,Tabelle2[[#This Row],[Country/Region]],RAW_Cases!X:X)</calculatedColumnFormula>
    </tableColumn>
    <tableColumn id="25" xr3:uid="{9AC1C4CA-612A-47AC-978F-F763432503C0}" name="13.2" dataDxfId="242">
      <calculatedColumnFormula>SUMIF(RAW_Cases!$B:$B,Tabelle2[[#This Row],[Country/Region]],RAW_Cases!Y:Y)</calculatedColumnFormula>
    </tableColumn>
    <tableColumn id="26" xr3:uid="{29217B99-878E-4CB4-84CA-83B0F53B1D7B}" name="14.2" dataDxfId="241">
      <calculatedColumnFormula>SUMIF(RAW_Cases!$B:$B,Tabelle2[[#This Row],[Country/Region]],RAW_Cases!Z:Z)</calculatedColumnFormula>
    </tableColumn>
    <tableColumn id="27" xr3:uid="{86DE7BC2-5874-46D2-B09A-70082EE444AE}" name="15.2" dataDxfId="240">
      <calculatedColumnFormula>SUMIF(RAW_Cases!$B:$B,Tabelle2[[#This Row],[Country/Region]],RAW_Cases!AA:AA)</calculatedColumnFormula>
    </tableColumn>
    <tableColumn id="28" xr3:uid="{54FD4E5F-0D98-4662-8EFC-3DC6F691EE8E}" name="16.2" dataDxfId="239">
      <calculatedColumnFormula>SUMIF(RAW_Cases!$B:$B,Tabelle2[[#This Row],[Country/Region]],RAW_Cases!AB:AB)</calculatedColumnFormula>
    </tableColumn>
    <tableColumn id="29" xr3:uid="{B3D8BAA6-6220-4304-8219-20AF5563261D}" name="17.2" dataDxfId="238">
      <calculatedColumnFormula>SUMIF(RAW_Cases!$B:$B,Tabelle2[[#This Row],[Country/Region]],RAW_Cases!AC:AC)</calculatedColumnFormula>
    </tableColumn>
    <tableColumn id="30" xr3:uid="{0B418855-15A7-46C3-AD8E-00D70EF80311}" name="18.2" dataDxfId="237">
      <calculatedColumnFormula>SUMIF(RAW_Cases!$B:$B,Tabelle2[[#This Row],[Country/Region]],RAW_Cases!AD:AD)</calculatedColumnFormula>
    </tableColumn>
    <tableColumn id="31" xr3:uid="{8FA01BB9-7CDD-46A8-8FA3-49EF6CC84D0C}" name="19.2" dataDxfId="236">
      <calculatedColumnFormula>SUMIF(RAW_Cases!$B:$B,Tabelle2[[#This Row],[Country/Region]],RAW_Cases!AE:AE)</calculatedColumnFormula>
    </tableColumn>
    <tableColumn id="32" xr3:uid="{EF4EC6F7-0B68-4801-98D9-D5E1C39672FE}" name="20.2" dataDxfId="235">
      <calculatedColumnFormula>SUMIF(RAW_Cases!$B:$B,Tabelle2[[#This Row],[Country/Region]],RAW_Cases!AF:AF)</calculatedColumnFormula>
    </tableColumn>
    <tableColumn id="33" xr3:uid="{3BF86F5F-C9A4-4082-950B-04860B40E267}" name="21.2" dataDxfId="234">
      <calculatedColumnFormula>SUMIF(RAW_Cases!$B:$B,Tabelle2[[#This Row],[Country/Region]],RAW_Cases!AG:AG)</calculatedColumnFormula>
    </tableColumn>
    <tableColumn id="34" xr3:uid="{763ACDFD-2220-41E9-93C9-18E250F0B944}" name="22.2" dataDxfId="233">
      <calculatedColumnFormula>SUMIF(RAW_Cases!$B:$B,Tabelle2[[#This Row],[Country/Region]],RAW_Cases!AH:AH)</calculatedColumnFormula>
    </tableColumn>
    <tableColumn id="35" xr3:uid="{AE3DD834-997E-4BA7-8512-27E96EC15D9B}" name="23.2" dataDxfId="232">
      <calculatedColumnFormula>SUMIF(RAW_Cases!$B:$B,Tabelle2[[#This Row],[Country/Region]],RAW_Cases!AI:AI)</calculatedColumnFormula>
    </tableColumn>
    <tableColumn id="36" xr3:uid="{14B4DC24-1B3B-4F00-BAC0-47C022FB80E6}" name="24.2" dataDxfId="231">
      <calculatedColumnFormula>SUMIF(RAW_Cases!$B:$B,Tabelle2[[#This Row],[Country/Region]],RAW_Cases!AJ:AJ)</calculatedColumnFormula>
    </tableColumn>
    <tableColumn id="37" xr3:uid="{A42C1730-53DC-4038-8480-8C88B335E8C0}" name="25.2" dataDxfId="230">
      <calculatedColumnFormula>SUMIF(RAW_Cases!$B:$B,Tabelle2[[#This Row],[Country/Region]],RAW_Cases!AK:AK)</calculatedColumnFormula>
    </tableColumn>
    <tableColumn id="38" xr3:uid="{21835C47-59F8-4C33-802E-FBA766060E33}" name="26.2" dataDxfId="229">
      <calculatedColumnFormula>SUMIF(RAW_Cases!$B:$B,Tabelle2[[#This Row],[Country/Region]],RAW_Cases!AL:AL)</calculatedColumnFormula>
    </tableColumn>
    <tableColumn id="39" xr3:uid="{48BBE566-99A9-4EBA-B658-8EB79DCEF6F2}" name="27.2" dataDxfId="228">
      <calculatedColumnFormula>SUMIF(RAW_Cases!$B:$B,Tabelle2[[#This Row],[Country/Region]],RAW_Cases!AM:AM)</calculatedColumnFormula>
    </tableColumn>
    <tableColumn id="40" xr3:uid="{A391A52C-0565-4D34-8010-C20DB6BC9A10}" name="28.2" dataDxfId="227">
      <calculatedColumnFormula>SUMIF(RAW_Cases!$B:$B,Tabelle2[[#This Row],[Country/Region]],RAW_Cases!AN:AN)</calculatedColumnFormula>
    </tableColumn>
    <tableColumn id="41" xr3:uid="{57470AC0-DF33-43AC-AD21-19A367C9F2F7}" name="29.2" dataDxfId="226">
      <calculatedColumnFormula>SUMIF(RAW_Cases!$B:$B,Tabelle2[[#This Row],[Country/Region]],RAW_Cases!AO:AO)</calculatedColumnFormula>
    </tableColumn>
    <tableColumn id="42" xr3:uid="{87EAFAE8-73AE-422F-832B-A45D4B83666C}" name="1.3" dataDxfId="225">
      <calculatedColumnFormula>SUMIF(RAW_Cases!$B:$B,Tabelle2[[#This Row],[Country/Region]],RAW_Cases!AP:AP)</calculatedColumnFormula>
    </tableColumn>
    <tableColumn id="43" xr3:uid="{D33D560D-F2B4-476D-8131-145B72080C42}" name="2.3" dataDxfId="224">
      <calculatedColumnFormula>SUMIF(RAW_Cases!$B:$B,Tabelle2[[#This Row],[Country/Region]],RAW_Cases!AQ:AQ)</calculatedColumnFormula>
    </tableColumn>
    <tableColumn id="44" xr3:uid="{F07CBCF8-4AF6-4E59-B2C8-58241A9AD7A1}" name="3.3" dataDxfId="223">
      <calculatedColumnFormula>SUMIF(RAW_Cases!$B:$B,Tabelle2[[#This Row],[Country/Region]],RAW_Cases!AR:AR)</calculatedColumnFormula>
    </tableColumn>
    <tableColumn id="45" xr3:uid="{0424FA57-083E-4E64-A357-78FFE4B7B991}" name="4.3" dataDxfId="222">
      <calculatedColumnFormula>SUMIF(RAW_Cases!$B:$B,Tabelle2[[#This Row],[Country/Region]],RAW_Cases!AS:AS)</calculatedColumnFormula>
    </tableColumn>
    <tableColumn id="46" xr3:uid="{D6B74AD6-4F2D-4523-ADAD-90F91BF09FF9}" name="5.3" dataDxfId="221">
      <calculatedColumnFormula>SUMIF(RAW_Cases!$B:$B,Tabelle2[[#This Row],[Country/Region]],RAW_Cases!AT:AT)</calculatedColumnFormula>
    </tableColumn>
    <tableColumn id="47" xr3:uid="{5D1A4FC6-B397-4745-990A-4FCA60F9ADF1}" name="6.3" dataDxfId="220">
      <calculatedColumnFormula>SUMIF(RAW_Cases!$B:$B,Tabelle2[[#This Row],[Country/Region]],RAW_Cases!AU:AU)</calculatedColumnFormula>
    </tableColumn>
    <tableColumn id="48" xr3:uid="{FAB4A4C9-71A6-4530-AB3B-6545215C2DBC}" name="7.3" dataDxfId="219">
      <calculatedColumnFormula>SUMIF(RAW_Cases!$B:$B,Tabelle2[[#This Row],[Country/Region]],RAW_Cases!AV:AV)</calculatedColumnFormula>
    </tableColumn>
    <tableColumn id="49" xr3:uid="{60F98284-C2DB-4E68-AFAA-EA8D22BE38E1}" name="8.3" dataDxfId="218">
      <calculatedColumnFormula>SUMIF(RAW_Cases!$B:$B,Tabelle2[[#This Row],[Country/Region]],RAW_Cases!AW:AW)</calculatedColumnFormula>
    </tableColumn>
    <tableColumn id="50" xr3:uid="{6F813D42-3E92-43FD-AD8F-FE34D5AA3055}" name="9.3" dataDxfId="217">
      <calculatedColumnFormula>SUMIF(RAW_Cases!$B:$B,Tabelle2[[#This Row],[Country/Region]],RAW_Cases!AX:AX)</calculatedColumnFormula>
    </tableColumn>
    <tableColumn id="51" xr3:uid="{E677F887-9B0A-4658-9AB5-382D9300753E}" name="10.3" dataDxfId="216">
      <calculatedColumnFormula>SUMIF(RAW_Cases!$B:$B,Tabelle2[[#This Row],[Country/Region]],RAW_Cases!AY:AY)</calculatedColumnFormula>
    </tableColumn>
    <tableColumn id="52" xr3:uid="{8069B84E-7D4E-46F3-999C-BCC35E817D70}" name="11.3" dataDxfId="215">
      <calculatedColumnFormula>SUMIF(RAW_Cases!$B:$B,Tabelle2[[#This Row],[Country/Region]],RAW_Cases!AZ:AZ)</calculatedColumnFormula>
    </tableColumn>
    <tableColumn id="53" xr3:uid="{8C1A0CFC-6DE2-4897-9D54-DE3A3CFAC7E6}" name="12.3" dataDxfId="214">
      <calculatedColumnFormula>SUMIF(RAW_Cases!$B:$B,Tabelle2[[#This Row],[Country/Region]],RAW_Cases!BA:BA)</calculatedColumnFormula>
    </tableColumn>
    <tableColumn id="54" xr3:uid="{95DE7405-0ACD-470D-81F6-9F64AF2465A2}" name="13.3" dataDxfId="213">
      <calculatedColumnFormula>SUMIF(RAW_Cases!$B:$B,Tabelle2[[#This Row],[Country/Region]],RAW_Cases!BB:BB)</calculatedColumnFormula>
    </tableColumn>
    <tableColumn id="55" xr3:uid="{A40C9690-BAAD-48CF-8DB1-5933F317D0EE}" name="14.3" dataDxfId="212">
      <calculatedColumnFormula>SUMIF(RAW_Cases!$B:$B,Tabelle2[[#This Row],[Country/Region]],RAW_Cases!BC:BC)</calculatedColumnFormula>
    </tableColumn>
    <tableColumn id="56" xr3:uid="{4F0E91DE-E37C-48ED-A79D-4D60BE0A3D24}" name="15.3" dataDxfId="211">
      <calculatedColumnFormula>SUMIF(RAW_Cases!$B:$B,Tabelle2[[#This Row],[Country/Region]],RAW_Cases!BD:BD)</calculatedColumnFormula>
    </tableColumn>
    <tableColumn id="57" xr3:uid="{5ED81050-F8E4-445C-B8AB-FD9626AF5986}" name="16.3" dataDxfId="210">
      <calculatedColumnFormula>SUMIF(RAW_Cases!$B:$B,Tabelle2[[#This Row],[Country/Region]],RAW_Cases!BE:BE)</calculatedColumnFormula>
    </tableColumn>
    <tableColumn id="58" xr3:uid="{5910FC6A-ADE5-4E25-B71D-84A3D1CB106B}" name="17.3" dataDxfId="209">
      <calculatedColumnFormula>SUMIF(RAW_Cases!$B:$B,Tabelle2[[#This Row],[Country/Region]],RAW_Cases!BF:BF)</calculatedColumnFormula>
    </tableColumn>
    <tableColumn id="59" xr3:uid="{DA058AD8-6700-4554-855B-5A52532D8EF3}" name="18.3" dataDxfId="208">
      <calculatedColumnFormula>SUMIF(RAW_Cases!$B:$B,Tabelle2[[#This Row],[Country/Region]],RAW_Cases!BG:BG)</calculatedColumnFormula>
    </tableColumn>
    <tableColumn id="60" xr3:uid="{06D6999B-C32E-407D-972B-EBD6E100AD38}" name="19.3" dataDxfId="207">
      <calculatedColumnFormula>SUMIF(RAW_Cases!$B:$B,Tabelle2[[#This Row],[Country/Region]],RAW_Cases!BH:BH)</calculatedColumnFormula>
    </tableColumn>
    <tableColumn id="61" xr3:uid="{946BAECD-DD0E-4AD2-B118-D2CB7298228A}" name="20.3" dataDxfId="206">
      <calculatedColumnFormula>SUMIF(RAW_Cases!$B:$B,Tabelle2[[#This Row],[Country/Region]],RAW_Cases!BI:BI)</calculatedColumnFormula>
    </tableColumn>
    <tableColumn id="62" xr3:uid="{70184CB8-5161-449A-87F6-D694A525A3A3}" name="21.3" dataDxfId="205">
      <calculatedColumnFormula>SUMIF(RAW_Cases!$B:$B,Tabelle2[[#This Row],[Country/Region]],RAW_Cases!BJ:BJ)</calculatedColumnFormula>
    </tableColumn>
    <tableColumn id="351" xr3:uid="{16B5C153-95F4-4F4C-9B90-527502C5CF9F}" name="22.3" dataDxfId="204">
      <calculatedColumnFormula>SUMIF(RAW_Cases!$B:$B,Tabelle2[[#This Row],[Country/Region]],RAW_Cases!BK:BK)</calculatedColumnFormula>
    </tableColumn>
    <tableColumn id="352" xr3:uid="{AB1FD542-E831-4DF8-8992-43B10E0F107E}" name="23.3" dataDxfId="203">
      <calculatedColumnFormula>SUMIF(RAW_Cases!$B:$B,Tabelle2[[#This Row],[Country/Region]],RAW_Cases!BL:BL)</calculatedColumnFormula>
    </tableColumn>
    <tableColumn id="353" xr3:uid="{409E99E6-8167-43B3-9545-AFAC769916D2}" name="24.3" dataDxfId="202">
      <calculatedColumnFormula>SUMIF(RAW_Cases!$B:$B,Tabelle2[[#This Row],[Country/Region]],RAW_Cases!BM:BM)</calculatedColumnFormula>
    </tableColumn>
    <tableColumn id="354" xr3:uid="{35285EC4-AF01-45C6-8164-56173A1C2E0F}" name="25.3" dataDxfId="201">
      <calculatedColumnFormula>SUMIF(RAW_Cases!$B:$B,Tabelle2[[#This Row],[Country/Region]],RAW_Cases!BN:BN)</calculatedColumnFormula>
    </tableColumn>
    <tableColumn id="355" xr3:uid="{288192FA-096F-4B63-94DA-C8552B603185}" name="26.3" dataDxfId="200">
      <calculatedColumnFormula>SUMIF(RAW_Cases!$B:$B,Tabelle2[[#This Row],[Country/Region]],RAW_Cases!BO:BO)</calculatedColumnFormula>
    </tableColumn>
    <tableColumn id="356" xr3:uid="{D8243BF1-51E0-4022-8D25-2D772650ACD9}" name="27.3" dataDxfId="199">
      <calculatedColumnFormula>SUMIF(RAW_Cases!$B:$B,Tabelle2[[#This Row],[Country/Region]],RAW_Cases!BP:BP)</calculatedColumnFormula>
    </tableColumn>
    <tableColumn id="357" xr3:uid="{7D584CBF-FAC9-46DD-9F4D-D5AC6145098A}" name="28.3" dataDxfId="198">
      <calculatedColumnFormula>SUMIF(RAW_Cases!$B:$B,Tabelle2[[#This Row],[Country/Region]],RAW_Cases!BQ:BQ)</calculatedColumnFormula>
    </tableColumn>
    <tableColumn id="358" xr3:uid="{5F641188-9BD6-4963-BF24-281BC2A23043}" name="29.3" dataDxfId="197">
      <calculatedColumnFormula>SUMIF(RAW_Cases!$B:$B,Tabelle2[[#This Row],[Country/Region]],RAW_Cases!BR:BR)</calculatedColumnFormula>
    </tableColumn>
    <tableColumn id="359" xr3:uid="{F72EF6B9-5644-47F0-B570-412A491CF2D1}" name="30.3" dataDxfId="196">
      <calculatedColumnFormula>SUMIF(RAW_Cases!$B:$B,Tabelle2[[#This Row],[Country/Region]],RAW_Cases!BS:BS)</calculatedColumnFormula>
    </tableColumn>
    <tableColumn id="360" xr3:uid="{179C4372-D028-403D-8E6E-0DF448E255BC}" name="31.3" dataDxfId="195">
      <calculatedColumnFormula>SUMIF(RAW_Cases!$B:$B,Tabelle2[[#This Row],[Country/Region]],RAW_Cases!BT:BT)</calculatedColumnFormula>
    </tableColumn>
    <tableColumn id="361" xr3:uid="{8979ECCE-3E01-44A4-A29A-0BFCD8C6986B}" name="1.4" dataDxfId="194">
      <calculatedColumnFormula>SUMIF(RAW_Cases!$B:$B,Tabelle2[[#This Row],[Country/Region]],RAW_Cases!BU:BU)</calculatedColumnFormula>
    </tableColumn>
    <tableColumn id="362" xr3:uid="{AEF9AAD7-BD74-4F9E-91F6-5C39B12FF4B6}" name="2.4" dataDxfId="193">
      <calculatedColumnFormula>SUMIF(RAW_Cases!$B:$B,Tabelle2[[#This Row],[Country/Region]],RAW_Cases!BV:BV)</calculatedColumnFormula>
    </tableColumn>
    <tableColumn id="363" xr3:uid="{FB7F3F05-F205-48B2-825D-E0B6FC0BD5F0}" name="3.4" dataDxfId="192">
      <calculatedColumnFormula>SUMIF(RAW_Cases!$B:$B,Tabelle2[[#This Row],[Country/Region]],RAW_Cases!BW:BW)</calculatedColumnFormula>
    </tableColumn>
    <tableColumn id="364" xr3:uid="{BCA4B39D-E264-48B3-934E-CB186DF88E4C}" name="4.4" dataDxfId="191">
      <calculatedColumnFormula>SUMIF(RAW_Cases!$B:$B,Tabelle2[[#This Row],[Country/Region]],RAW_Cases!BX:BX)</calculatedColumnFormula>
    </tableColumn>
    <tableColumn id="365" xr3:uid="{B38D5038-BD9C-41E7-B0DF-A385C4AA6EB6}" name="5.4" dataDxfId="190">
      <calculatedColumnFormula>SUMIF(RAW_Cases!$B:$B,Tabelle2[[#This Row],[Country/Region]],RAW_Cases!BY:BY)</calculatedColumnFormula>
    </tableColumn>
    <tableColumn id="366" xr3:uid="{8017BA23-2AA0-4682-BC54-3E8CABC8FC85}" name="6.4" dataDxfId="189">
      <calculatedColumnFormula>SUMIF(RAW_Cases!$B:$B,Tabelle2[[#This Row],[Country/Region]],RAW_Cases!BZ:BZ)</calculatedColumnFormula>
    </tableColumn>
    <tableColumn id="367" xr3:uid="{7528B312-DD75-4CE6-997D-F699709C11DB}" name="7.4" dataDxfId="188">
      <calculatedColumnFormula>SUMIF(RAW_Cases!$B:$B,Tabelle2[[#This Row],[Country/Region]],RAW_Cases!CA:CA)</calculatedColumnFormula>
    </tableColumn>
    <tableColumn id="368" xr3:uid="{63C9228C-8FFB-43CD-B16E-8ECDF23307E8}" name="8.4" dataDxfId="187">
      <calculatedColumnFormula>SUMIF(RAW_Cases!$B:$B,Tabelle2[[#This Row],[Country/Region]],RAW_Cases!CB:CB)</calculatedColumnFormula>
    </tableColumn>
    <tableColumn id="369" xr3:uid="{733E940A-E721-438D-91D4-65557FB0B0E4}" name="9.4" dataDxfId="186">
      <calculatedColumnFormula>SUMIF(RAW_Cases!$B:$B,Tabelle2[[#This Row],[Country/Region]],RAW_Cases!CC:CC)</calculatedColumnFormula>
    </tableColumn>
    <tableColumn id="370" xr3:uid="{E52EFFEF-A96E-4A20-A457-A43749241658}" name="10.4" dataDxfId="185">
      <calculatedColumnFormula>SUMIF(RAW_Cases!$B:$B,Tabelle2[[#This Row],[Country/Region]],RAW_Cases!CD:CD)</calculatedColumnFormula>
    </tableColumn>
    <tableColumn id="371" xr3:uid="{4B815666-EE77-40EC-9857-4BF52B30078C}" name="11.4" dataDxfId="184">
      <calculatedColumnFormula>SUMIF(RAW_Cases!$B:$B,Tabelle2[[#This Row],[Country/Region]],RAW_Cases!CE:CE)</calculatedColumnFormula>
    </tableColumn>
    <tableColumn id="372" xr3:uid="{0CC670F7-1475-488A-BDC7-80E22A5E5294}" name="12.4" dataDxfId="183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5:CE32" totalsRowShown="0" headerRowDxfId="182" dataDxfId="180" headerRowBorderDxfId="181" tableBorderDxfId="179" totalsRowBorderDxfId="178">
  <autoFilter ref="A25:CE32" xr:uid="{CE810C95-31BD-4D00-A6C4-74794F901D5E}"/>
  <tableColumns count="83">
    <tableColumn id="2" xr3:uid="{CF1A0C10-347C-489E-8BCB-4EDF0DB15BC7}" name="Country/Region" dataDxfId="177">
      <calculatedColumnFormula>IF(ISBLANK(A15),"",A15)</calculatedColumnFormula>
    </tableColumn>
    <tableColumn id="3" xr3:uid="{700C12F8-1A42-449F-98FA-DE64D91427EA}" name="22.1" dataDxfId="176">
      <calculatedColumnFormula>SUMIF(RAW_DEATHS!$B:$B,Tabelle28[[#This Row],[Country/Region]],RAW_DEATHS!C:C)</calculatedColumnFormula>
    </tableColumn>
    <tableColumn id="4" xr3:uid="{49D926BD-C8DF-4305-905B-2DE988E1D221}" name="23.1" dataDxfId="175">
      <calculatedColumnFormula>SUMIF(RAW_DEATHS!$B:$B,Tabelle28[[#This Row],[Country/Region]],RAW_DEATHS!D:D)</calculatedColumnFormula>
    </tableColumn>
    <tableColumn id="5" xr3:uid="{4233FA7A-DFB4-40E1-ACB9-EF4DCA5D2856}" name="24.1" dataDxfId="174">
      <calculatedColumnFormula>SUMIF(RAW_DEATHS!$B:$B,Tabelle28[[#This Row],[Country/Region]],RAW_DEATHS!E:E)</calculatedColumnFormula>
    </tableColumn>
    <tableColumn id="6" xr3:uid="{7BDF3EBD-6EBD-46A5-950A-67254E850B3B}" name="25.1" dataDxfId="173">
      <calculatedColumnFormula>SUMIF(RAW_DEATHS!$B:$B,Tabelle28[[#This Row],[Country/Region]],RAW_DEATHS!F:F)</calculatedColumnFormula>
    </tableColumn>
    <tableColumn id="7" xr3:uid="{B5FAAF7B-0E7F-47F7-BC4A-FB3F907EFA13}" name="26.1" dataDxfId="172">
      <calculatedColumnFormula>SUMIF(RAW_DEATHS!$B:$B,Tabelle28[[#This Row],[Country/Region]],RAW_DEATHS!G:G)</calculatedColumnFormula>
    </tableColumn>
    <tableColumn id="8" xr3:uid="{4FB381EB-DE9D-442F-813E-BDB9218B5B00}" name="27.1" dataDxfId="171">
      <calculatedColumnFormula>SUMIF(RAW_DEATHS!$B:$B,Tabelle28[[#This Row],[Country/Region]],RAW_DEATHS!H:H)</calculatedColumnFormula>
    </tableColumn>
    <tableColumn id="9" xr3:uid="{34A578D2-2D14-4749-A5E7-24B966051202}" name="28.1" dataDxfId="170">
      <calculatedColumnFormula>SUMIF(RAW_DEATHS!$B:$B,Tabelle28[[#This Row],[Country/Region]],RAW_DEATHS!I:I)</calculatedColumnFormula>
    </tableColumn>
    <tableColumn id="10" xr3:uid="{4A4F114D-7B45-4B4F-8F46-0E79CFFE5085}" name="29.1" dataDxfId="169">
      <calculatedColumnFormula>SUMIF(RAW_DEATHS!$B:$B,Tabelle28[[#This Row],[Country/Region]],RAW_DEATHS!J:J)</calculatedColumnFormula>
    </tableColumn>
    <tableColumn id="11" xr3:uid="{C91A39BC-D070-43AF-A214-0CC4EBD7F98A}" name="30.1" dataDxfId="168">
      <calculatedColumnFormula>SUMIF(RAW_DEATHS!$B:$B,Tabelle28[[#This Row],[Country/Region]],RAW_DEATHS!K:K)</calculatedColumnFormula>
    </tableColumn>
    <tableColumn id="12" xr3:uid="{3CE53426-066D-48EF-8473-0E890A53F7F5}" name="31.1" dataDxfId="167">
      <calculatedColumnFormula>SUMIF(RAW_DEATHS!$B:$B,Tabelle28[[#This Row],[Country/Region]],RAW_DEATHS!L:L)</calculatedColumnFormula>
    </tableColumn>
    <tableColumn id="13" xr3:uid="{4F0ED8A2-E507-4F51-BC97-C77A9EB7C88A}" name="1.2" dataDxfId="166">
      <calculatedColumnFormula>SUMIF(RAW_DEATHS!$B:$B,Tabelle28[[#This Row],[Country/Region]],RAW_DEATHS!M:M)</calculatedColumnFormula>
    </tableColumn>
    <tableColumn id="14" xr3:uid="{53E85650-535C-4E04-A8D9-865CA52DD32A}" name="2.2" dataDxfId="165">
      <calculatedColumnFormula>SUMIF(RAW_DEATHS!$B:$B,Tabelle28[[#This Row],[Country/Region]],RAW_DEATHS!N:N)</calculatedColumnFormula>
    </tableColumn>
    <tableColumn id="15" xr3:uid="{FCC26E11-6F00-4D9C-802B-9E94B33D3554}" name="3.2" dataDxfId="164">
      <calculatedColumnFormula>SUMIF(RAW_DEATHS!$B:$B,Tabelle28[[#This Row],[Country/Region]],RAW_DEATHS!O:O)</calculatedColumnFormula>
    </tableColumn>
    <tableColumn id="16" xr3:uid="{05FF9661-5588-4EF3-A4C6-19DDFAC26E9A}" name="4.2" dataDxfId="163">
      <calculatedColumnFormula>SUMIF(RAW_DEATHS!$B:$B,Tabelle28[[#This Row],[Country/Region]],RAW_DEATHS!P:P)</calculatedColumnFormula>
    </tableColumn>
    <tableColumn id="17" xr3:uid="{1599F1BD-7691-4E35-8922-F5E051635A23}" name="5.2" dataDxfId="162">
      <calculatedColumnFormula>SUMIF(RAW_DEATHS!$B:$B,Tabelle28[[#This Row],[Country/Region]],RAW_DEATHS!Q:Q)</calculatedColumnFormula>
    </tableColumn>
    <tableColumn id="18" xr3:uid="{6658B577-F452-48C8-828A-F09B6E34D98A}" name="6.2" dataDxfId="161">
      <calculatedColumnFormula>SUMIF(RAW_DEATHS!$B:$B,Tabelle28[[#This Row],[Country/Region]],RAW_DEATHS!R:R)</calculatedColumnFormula>
    </tableColumn>
    <tableColumn id="19" xr3:uid="{D1DD9DA3-3D71-4869-A0C9-AD569E66B677}" name="7.2" dataDxfId="160">
      <calculatedColumnFormula>SUMIF(RAW_DEATHS!$B:$B,Tabelle28[[#This Row],[Country/Region]],RAW_DEATHS!S:S)</calculatedColumnFormula>
    </tableColumn>
    <tableColumn id="20" xr3:uid="{10744F4B-70C3-484C-8731-E85914876D89}" name="8.2" dataDxfId="159">
      <calculatedColumnFormula>SUMIF(RAW_DEATHS!$B:$B,Tabelle28[[#This Row],[Country/Region]],RAW_DEATHS!T:T)</calculatedColumnFormula>
    </tableColumn>
    <tableColumn id="21" xr3:uid="{870B5D68-7341-4AA6-BF63-64D8B5C4C620}" name="9.2" dataDxfId="158">
      <calculatedColumnFormula>SUMIF(RAW_DEATHS!$B:$B,Tabelle28[[#This Row],[Country/Region]],RAW_DEATHS!U:U)</calculatedColumnFormula>
    </tableColumn>
    <tableColumn id="22" xr3:uid="{95EE1065-BF7E-49C4-85C6-BD933CD96E66}" name="10.2" dataDxfId="157">
      <calculatedColumnFormula>SUMIF(RAW_DEATHS!$B:$B,Tabelle28[[#This Row],[Country/Region]],RAW_DEATHS!V:V)</calculatedColumnFormula>
    </tableColumn>
    <tableColumn id="23" xr3:uid="{CFC5CEE7-CBCD-4653-A80C-9C42FBEA6CF4}" name="11.2" dataDxfId="156">
      <calculatedColumnFormula>SUMIF(RAW_DEATHS!$B:$B,Tabelle28[[#This Row],[Country/Region]],RAW_DEATHS!W:W)</calculatedColumnFormula>
    </tableColumn>
    <tableColumn id="24" xr3:uid="{7328B9F8-B25B-470D-BE10-A409343A9D9B}" name="12.2" dataDxfId="155">
      <calculatedColumnFormula>SUMIF(RAW_DEATHS!$B:$B,Tabelle28[[#This Row],[Country/Region]],RAW_DEATHS!X:X)</calculatedColumnFormula>
    </tableColumn>
    <tableColumn id="25" xr3:uid="{06818E91-74A5-4DCC-BD49-D25F0C8DFE6A}" name="13.2" dataDxfId="154">
      <calculatedColumnFormula>SUMIF(RAW_DEATHS!$B:$B,Tabelle28[[#This Row],[Country/Region]],RAW_DEATHS!Y:Y)</calculatedColumnFormula>
    </tableColumn>
    <tableColumn id="26" xr3:uid="{79ABE462-5A43-4D95-BD16-3BD90B27CB3D}" name="14.2" dataDxfId="153">
      <calculatedColumnFormula>SUMIF(RAW_DEATHS!$B:$B,Tabelle28[[#This Row],[Country/Region]],RAW_DEATHS!Z:Z)</calculatedColumnFormula>
    </tableColumn>
    <tableColumn id="27" xr3:uid="{BB22EF78-522A-4F24-AED3-AD6D7035AEA1}" name="15.2" dataDxfId="152">
      <calculatedColumnFormula>SUMIF(RAW_DEATHS!$B:$B,Tabelle28[[#This Row],[Country/Region]],RAW_DEATHS!AA:AA)</calculatedColumnFormula>
    </tableColumn>
    <tableColumn id="28" xr3:uid="{9BA02568-AC3D-4223-9EE5-3FBD03015576}" name="16.2" dataDxfId="151">
      <calculatedColumnFormula>SUMIF(RAW_DEATHS!$B:$B,Tabelle28[[#This Row],[Country/Region]],RAW_DEATHS!AB:AB)</calculatedColumnFormula>
    </tableColumn>
    <tableColumn id="29" xr3:uid="{04874829-3081-4420-AA9F-4AC07AD39AEF}" name="17.2" dataDxfId="150">
      <calculatedColumnFormula>SUMIF(RAW_DEATHS!$B:$B,Tabelle28[[#This Row],[Country/Region]],RAW_DEATHS!AC:AC)</calculatedColumnFormula>
    </tableColumn>
    <tableColumn id="30" xr3:uid="{292DE63E-4B9B-4ACE-BB02-C1BD5B048891}" name="18.2" dataDxfId="149">
      <calculatedColumnFormula>SUMIF(RAW_DEATHS!$B:$B,Tabelle28[[#This Row],[Country/Region]],RAW_DEATHS!AD:AD)</calculatedColumnFormula>
    </tableColumn>
    <tableColumn id="31" xr3:uid="{D3F29433-99D6-45F4-B18F-765D568A27E0}" name="19.2" dataDxfId="148">
      <calculatedColumnFormula>SUMIF(RAW_DEATHS!$B:$B,Tabelle28[[#This Row],[Country/Region]],RAW_DEATHS!AE:AE)</calculatedColumnFormula>
    </tableColumn>
    <tableColumn id="32" xr3:uid="{DDFC7F72-403C-465F-8990-A2EED1706E67}" name="20.2" dataDxfId="147">
      <calculatedColumnFormula>SUMIF(RAW_DEATHS!$B:$B,Tabelle28[[#This Row],[Country/Region]],RAW_DEATHS!AF:AF)</calculatedColumnFormula>
    </tableColumn>
    <tableColumn id="33" xr3:uid="{6AD045B5-6522-4C91-8AE1-E07662FA8136}" name="21.2" dataDxfId="146">
      <calculatedColumnFormula>SUMIF(RAW_DEATHS!$B:$B,Tabelle28[[#This Row],[Country/Region]],RAW_DEATHS!AG:AG)</calculatedColumnFormula>
    </tableColumn>
    <tableColumn id="34" xr3:uid="{3B37FA0F-55E0-46E7-99F7-E4573816A9F0}" name="22.2" dataDxfId="145">
      <calculatedColumnFormula>SUMIF(RAW_DEATHS!$B:$B,Tabelle28[[#This Row],[Country/Region]],RAW_DEATHS!AH:AH)</calculatedColumnFormula>
    </tableColumn>
    <tableColumn id="35" xr3:uid="{66479DD0-1A4F-4010-ACB2-50D8999E721A}" name="23.2" dataDxfId="144">
      <calculatedColumnFormula>SUMIF(RAW_DEATHS!$B:$B,Tabelle28[[#This Row],[Country/Region]],RAW_DEATHS!AI:AI)</calculatedColumnFormula>
    </tableColumn>
    <tableColumn id="36" xr3:uid="{5DFD23DC-1589-40A1-B311-DBEB22C822A4}" name="24.2" dataDxfId="143">
      <calculatedColumnFormula>SUMIF(RAW_DEATHS!$B:$B,Tabelle28[[#This Row],[Country/Region]],RAW_DEATHS!AJ:AJ)</calculatedColumnFormula>
    </tableColumn>
    <tableColumn id="37" xr3:uid="{AA711967-C5D7-46AD-9E49-A3A34E3F0B75}" name="25.2" dataDxfId="142">
      <calculatedColumnFormula>SUMIF(RAW_DEATHS!$B:$B,Tabelle28[[#This Row],[Country/Region]],RAW_DEATHS!AK:AK)</calculatedColumnFormula>
    </tableColumn>
    <tableColumn id="38" xr3:uid="{23B4138B-BF63-4AFD-8911-0BD308BC8B16}" name="26.2" dataDxfId="141">
      <calculatedColumnFormula>SUMIF(RAW_DEATHS!$B:$B,Tabelle28[[#This Row],[Country/Region]],RAW_DEATHS!AL:AL)</calculatedColumnFormula>
    </tableColumn>
    <tableColumn id="39" xr3:uid="{6CF5A6A3-B3CE-4F8D-B8BF-05708EF87616}" name="27.2" dataDxfId="140">
      <calculatedColumnFormula>SUMIF(RAW_DEATHS!$B:$B,Tabelle28[[#This Row],[Country/Region]],RAW_DEATHS!AM:AM)</calculatedColumnFormula>
    </tableColumn>
    <tableColumn id="40" xr3:uid="{385F232D-7419-4849-A04F-6F77464801FD}" name="28.2" dataDxfId="139">
      <calculatedColumnFormula>SUMIF(RAW_DEATHS!$B:$B,Tabelle28[[#This Row],[Country/Region]],RAW_DEATHS!AN:AN)</calculatedColumnFormula>
    </tableColumn>
    <tableColumn id="41" xr3:uid="{E2CA688E-6EEC-41B7-AFA4-A4F3B41E81A9}" name="29.2" dataDxfId="138">
      <calculatedColumnFormula>SUMIF(RAW_DEATHS!$B:$B,Tabelle28[[#This Row],[Country/Region]],RAW_DEATHS!AO:AO)</calculatedColumnFormula>
    </tableColumn>
    <tableColumn id="42" xr3:uid="{B3C453CA-D2A2-4321-9140-F47EAF255AFE}" name="1.3" dataDxfId="137">
      <calculatedColumnFormula>SUMIF(RAW_DEATHS!$B:$B,Tabelle28[[#This Row],[Country/Region]],RAW_DEATHS!AP:AP)</calculatedColumnFormula>
    </tableColumn>
    <tableColumn id="43" xr3:uid="{B4CFBC8F-F58D-4E7E-90D6-FE3B3F2A3877}" name="2.3" dataDxfId="136">
      <calculatedColumnFormula>SUMIF(RAW_DEATHS!$B:$B,Tabelle28[[#This Row],[Country/Region]],RAW_DEATHS!AQ:AQ)</calculatedColumnFormula>
    </tableColumn>
    <tableColumn id="44" xr3:uid="{22F8823A-FA66-45B8-89A7-90630D8C5962}" name="3.3" dataDxfId="135">
      <calculatedColumnFormula>SUMIF(RAW_DEATHS!$B:$B,Tabelle28[[#This Row],[Country/Region]],RAW_DEATHS!AR:AR)</calculatedColumnFormula>
    </tableColumn>
    <tableColumn id="45" xr3:uid="{3EFB5DA2-6519-444C-AA94-5046DB201B6B}" name="4.3" dataDxfId="134">
      <calculatedColumnFormula>SUMIF(RAW_DEATHS!$B:$B,Tabelle28[[#This Row],[Country/Region]],RAW_DEATHS!AS:AS)</calculatedColumnFormula>
    </tableColumn>
    <tableColumn id="46" xr3:uid="{E4B05F32-0131-4724-8067-E8D23F7A790D}" name="5.3" dataDxfId="133">
      <calculatedColumnFormula>SUMIF(RAW_DEATHS!$B:$B,Tabelle28[[#This Row],[Country/Region]],RAW_DEATHS!AT:AT)</calculatedColumnFormula>
    </tableColumn>
    <tableColumn id="47" xr3:uid="{E2B682C3-396C-45EB-A736-FE38D578E96E}" name="6.3" dataDxfId="132">
      <calculatedColumnFormula>SUMIF(RAW_DEATHS!$B:$B,Tabelle28[[#This Row],[Country/Region]],RAW_DEATHS!AU:AU)</calculatedColumnFormula>
    </tableColumn>
    <tableColumn id="48" xr3:uid="{09E2A84B-70F4-4265-B420-8DC324297153}" name="7.3" dataDxfId="131">
      <calculatedColumnFormula>SUMIF(RAW_DEATHS!$B:$B,Tabelle28[[#This Row],[Country/Region]],RAW_DEATHS!AV:AV)</calculatedColumnFormula>
    </tableColumn>
    <tableColumn id="49" xr3:uid="{A16EEBA0-1A8A-40D3-9B3C-8CF0F969470F}" name="8.3" dataDxfId="130">
      <calculatedColumnFormula>SUMIF(RAW_DEATHS!$B:$B,Tabelle28[[#This Row],[Country/Region]],RAW_DEATHS!AW:AW)</calculatedColumnFormula>
    </tableColumn>
    <tableColumn id="50" xr3:uid="{C106F981-3933-4185-AA35-35325BDFB7DC}" name="9.3" dataDxfId="129">
      <calculatedColumnFormula>SUMIF(RAW_DEATHS!$B:$B,Tabelle28[[#This Row],[Country/Region]],RAW_DEATHS!AX:AX)</calculatedColumnFormula>
    </tableColumn>
    <tableColumn id="51" xr3:uid="{F75B1F40-C9FF-4C87-94FD-D0CF017F5AAB}" name="10.3" dataDxfId="128">
      <calculatedColumnFormula>SUMIF(RAW_DEATHS!$B:$B,Tabelle28[[#This Row],[Country/Region]],RAW_DEATHS!AY:AY)</calculatedColumnFormula>
    </tableColumn>
    <tableColumn id="52" xr3:uid="{7A87999B-DE99-494F-8FAF-B59FF73626B5}" name="11.3" dataDxfId="127">
      <calculatedColumnFormula>SUMIF(RAW_DEATHS!$B:$B,Tabelle28[[#This Row],[Country/Region]],RAW_DEATHS!AZ:AZ)</calculatedColumnFormula>
    </tableColumn>
    <tableColumn id="53" xr3:uid="{E195AC08-8FA0-496D-94C8-1280945F1141}" name="12.3" dataDxfId="126">
      <calculatedColumnFormula>SUMIF(RAW_DEATHS!$B:$B,Tabelle28[[#This Row],[Country/Region]],RAW_DEATHS!BA:BA)</calculatedColumnFormula>
    </tableColumn>
    <tableColumn id="54" xr3:uid="{A4F4A51F-1198-4132-94B9-FE4638C2640C}" name="13.3" dataDxfId="125">
      <calculatedColumnFormula>SUMIF(RAW_DEATHS!$B:$B,Tabelle28[[#This Row],[Country/Region]],RAW_DEATHS!BB:BB)</calculatedColumnFormula>
    </tableColumn>
    <tableColumn id="55" xr3:uid="{1B080934-48EE-4461-972D-B58541942226}" name="14.3" dataDxfId="124">
      <calculatedColumnFormula>SUMIF(RAW_DEATHS!$B:$B,Tabelle28[[#This Row],[Country/Region]],RAW_DEATHS!BC:BC)</calculatedColumnFormula>
    </tableColumn>
    <tableColumn id="56" xr3:uid="{0CFF2BC8-0186-4D4D-B976-16A16C7CAC66}" name="15.3" dataDxfId="123">
      <calculatedColumnFormula>SUMIF(RAW_DEATHS!$B:$B,Tabelle28[[#This Row],[Country/Region]],RAW_DEATHS!BD:BD)</calculatedColumnFormula>
    </tableColumn>
    <tableColumn id="57" xr3:uid="{47880024-0798-469C-B7D2-6152554BB45C}" name="16.3" dataDxfId="122">
      <calculatedColumnFormula>SUMIF(RAW_DEATHS!$B:$B,Tabelle28[[#This Row],[Country/Region]],RAW_DEATHS!BE:BE)</calculatedColumnFormula>
    </tableColumn>
    <tableColumn id="58" xr3:uid="{324528CC-6656-416A-83B6-218C7A520BE2}" name="17.3" dataDxfId="121">
      <calculatedColumnFormula>SUMIF(RAW_DEATHS!$B:$B,Tabelle28[[#This Row],[Country/Region]],RAW_DEATHS!BF:BF)</calculatedColumnFormula>
    </tableColumn>
    <tableColumn id="59" xr3:uid="{3ED636D6-B700-4E33-86BF-33481DC3F6D5}" name="18.3" dataDxfId="120">
      <calculatedColumnFormula>SUMIF(RAW_DEATHS!$B:$B,Tabelle28[[#This Row],[Country/Region]],RAW_DEATHS!BG:BG)</calculatedColumnFormula>
    </tableColumn>
    <tableColumn id="60" xr3:uid="{F2F7D9E9-21B3-4C08-A250-2DBD74B22F08}" name="19.3" dataDxfId="119">
      <calculatedColumnFormula>SUMIF(RAW_DEATHS!$B:$B,Tabelle28[[#This Row],[Country/Region]],RAW_DEATHS!BH:BH)</calculatedColumnFormula>
    </tableColumn>
    <tableColumn id="61" xr3:uid="{51090AB2-91F3-4C50-87AC-1348AE698E42}" name="20.3" dataDxfId="118">
      <calculatedColumnFormula>SUMIF(RAW_DEATHS!$B:$B,Tabelle28[[#This Row],[Country/Region]],RAW_DEATHS!BI:BI)</calculatedColumnFormula>
    </tableColumn>
    <tableColumn id="62" xr3:uid="{8D4408A7-7B21-4803-87C9-BCB588F4600F}" name="21.3" dataDxfId="117">
      <calculatedColumnFormula>SUMIF(RAW_DEATHS!$B:$B,Tabelle28[[#This Row],[Country/Region]],RAW_DEATHS!BJ:BJ)</calculatedColumnFormula>
    </tableColumn>
    <tableColumn id="72" xr3:uid="{86610AE6-D058-4210-9409-0F7A6885FD36}" name="22.3" dataDxfId="116">
      <calculatedColumnFormula>SUMIF(RAW_DEATHS!$B:$B,Tabelle28[[#This Row],[Country/Region]],RAW_DEATHS!BK:BK)</calculatedColumnFormula>
    </tableColumn>
    <tableColumn id="1" xr3:uid="{1E97E7EE-BDED-414F-B73F-7CEBE751DA97}" name="23.3" dataDxfId="115">
      <calculatedColumnFormula>SUMIF(RAW_DEATHS!$B:$B,Tabelle28[[#This Row],[Country/Region]],RAW_DEATHS!BL:BL)</calculatedColumnFormula>
    </tableColumn>
    <tableColumn id="63" xr3:uid="{92108045-D29A-40BE-8C3D-0A572A234ED7}" name="24.3" dataDxfId="114">
      <calculatedColumnFormula>SUMIF(RAW_DEATHS!$B:$B,Tabelle28[[#This Row],[Country/Region]],RAW_DEATHS!BM:BM)</calculatedColumnFormula>
    </tableColumn>
    <tableColumn id="64" xr3:uid="{68D4ADBC-3572-467D-9AED-2A86012D49D3}" name="25.3" dataDxfId="113">
      <calculatedColumnFormula>SUMIF(RAW_DEATHS!$B:$B,Tabelle28[[#This Row],[Country/Region]],RAW_DEATHS!BN:BN)</calculatedColumnFormula>
    </tableColumn>
    <tableColumn id="65" xr3:uid="{DFD890AB-14A5-484C-818D-D4CA08EDFFB3}" name="26.3" dataDxfId="112">
      <calculatedColumnFormula>SUMIF(RAW_DEATHS!$B:$B,Tabelle28[[#This Row],[Country/Region]],RAW_DEATHS!BO:BO)</calculatedColumnFormula>
    </tableColumn>
    <tableColumn id="66" xr3:uid="{9809ED54-F824-4C4C-983B-180FD7E56D63}" name="27.3" dataDxfId="111">
      <calculatedColumnFormula>SUMIF(RAW_DEATHS!$B:$B,Tabelle28[[#This Row],[Country/Region]],RAW_DEATHS!BP:BP)</calculatedColumnFormula>
    </tableColumn>
    <tableColumn id="67" xr3:uid="{E7D80551-97E2-4127-9E5A-5A3CC4D6DA19}" name="28.3" dataDxfId="110">
      <calculatedColumnFormula>SUMIF(RAW_DEATHS!$B:$B,Tabelle28[[#This Row],[Country/Region]],RAW_DEATHS!BQ:BQ)</calculatedColumnFormula>
    </tableColumn>
    <tableColumn id="68" xr3:uid="{7F6240CE-C9C9-41DA-803A-7E0B8C4E12FF}" name="29.3" dataDxfId="109">
      <calculatedColumnFormula>SUMIF(RAW_DEATHS!$B:$B,Tabelle28[[#This Row],[Country/Region]],RAW_DEATHS!BR:BR)</calculatedColumnFormula>
    </tableColumn>
    <tableColumn id="69" xr3:uid="{5EE52292-6278-4E82-A94C-62509AB5E6FB}" name="30.3" dataDxfId="108">
      <calculatedColumnFormula>SUMIF(RAW_DEATHS!$B:$B,Tabelle28[[#This Row],[Country/Region]],RAW_DEATHS!BS:BS)</calculatedColumnFormula>
    </tableColumn>
    <tableColumn id="70" xr3:uid="{04FF6527-B216-4D92-8C51-E5E63F4ED83D}" name="31.3" dataDxfId="107">
      <calculatedColumnFormula>SUMIF(RAW_DEATHS!$B:$B,Tabelle28[[#This Row],[Country/Region]],RAW_DEATHS!BT:BT)</calculatedColumnFormula>
    </tableColumn>
    <tableColumn id="71" xr3:uid="{1A6F9AE8-1E90-454F-8FE7-950C1C8F1DEB}" name="1.4" dataDxfId="106">
      <calculatedColumnFormula>SUMIF(RAW_DEATHS!$B:$B,Tabelle28[[#This Row],[Country/Region]],RAW_DEATHS!BU:BU)</calculatedColumnFormula>
    </tableColumn>
    <tableColumn id="73" xr3:uid="{BD91B85E-6C49-4690-BFA6-287D98F451EF}" name="2.4" dataDxfId="105">
      <calculatedColumnFormula>SUMIF(RAW_DEATHS!$B:$B,Tabelle28[[#This Row],[Country/Region]],RAW_DEATHS!BV:BV)</calculatedColumnFormula>
    </tableColumn>
    <tableColumn id="74" xr3:uid="{39D80297-E0DE-4CCE-893D-D223299516F7}" name="3.4" dataDxfId="104">
      <calculatedColumnFormula>SUMIF(RAW_DEATHS!$B:$B,Tabelle28[[#This Row],[Country/Region]],RAW_DEATHS!BW:BW)</calculatedColumnFormula>
    </tableColumn>
    <tableColumn id="75" xr3:uid="{C0F79EE3-2E30-456A-A30D-A4076FEC9E28}" name="4.4" dataDxfId="103">
      <calculatedColumnFormula>SUMIF(RAW_DEATHS!$B:$B,Tabelle28[[#This Row],[Country/Region]],RAW_DEATHS!BX:BX)</calculatedColumnFormula>
    </tableColumn>
    <tableColumn id="76" xr3:uid="{D3806252-1CB0-467F-99EC-C7533B69D031}" name="5.4" dataDxfId="102">
      <calculatedColumnFormula>SUMIF(RAW_DEATHS!$B:$B,Tabelle28[[#This Row],[Country/Region]],RAW_DEATHS!BY:BY)</calculatedColumnFormula>
    </tableColumn>
    <tableColumn id="77" xr3:uid="{3ADCBED4-A8A1-4FD6-B3AE-8D25AED2A20D}" name="6.4" dataDxfId="101">
      <calculatedColumnFormula>SUMIF(RAW_DEATHS!$B:$B,Tabelle28[[#This Row],[Country/Region]],RAW_DEATHS!BZ:BZ)</calculatedColumnFormula>
    </tableColumn>
    <tableColumn id="78" xr3:uid="{40288D33-ACF7-4C97-939F-7D94A984318C}" name="7.4" dataDxfId="100">
      <calculatedColumnFormula>SUMIF(RAW_DEATHS!$B:$B,Tabelle28[[#This Row],[Country/Region]],RAW_DEATHS!CA:CA)</calculatedColumnFormula>
    </tableColumn>
    <tableColumn id="79" xr3:uid="{EAD2E14D-90B4-414F-8BAB-EFF712FDC653}" name="8.4" dataDxfId="99">
      <calculatedColumnFormula>SUMIF(RAW_DEATHS!$B:$B,Tabelle28[[#This Row],[Country/Region]],RAW_DEATHS!CB:CB)</calculatedColumnFormula>
    </tableColumn>
    <tableColumn id="80" xr3:uid="{672CB2A3-4F47-491D-B48C-D6502628CAEE}" name="9.4" dataDxfId="98">
      <calculatedColumnFormula>SUMIF(RAW_DEATHS!$B:$B,Tabelle28[[#This Row],[Country/Region]],RAW_DEATHS!CC:CC)</calculatedColumnFormula>
    </tableColumn>
    <tableColumn id="81" xr3:uid="{1A90596E-F1E0-4D52-AE50-52BA68E7F841}" name="10.4" dataDxfId="97">
      <calculatedColumnFormula>SUMIF(RAW_DEATHS!$B:$B,Tabelle28[[#This Row],[Country/Region]],RAW_DEATHS!CD:CD)</calculatedColumnFormula>
    </tableColumn>
    <tableColumn id="82" xr3:uid="{433A021B-42CB-4BFF-946F-88BC8CADD4D6}" name="11.4" dataDxfId="96">
      <calculatedColumnFormula>SUMIF(RAW_DEATHS!$B:$B,Tabelle28[[#This Row],[Country/Region]],RAW_DEATHS!CE:CE)</calculatedColumnFormula>
    </tableColumn>
    <tableColumn id="83" xr3:uid="{86D43399-2F22-4D7F-9635-A0551CD5999C}" name="12.4" dataDxfId="95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6:CE43" totalsRowShown="0" headerRowDxfId="94" dataDxfId="92" headerRowBorderDxfId="93" tableBorderDxfId="91" totalsRowBorderDxfId="90">
  <autoFilter ref="A36:CE43" xr:uid="{6C98DDCA-7971-4F79-ABF6-0C1E4F39B536}"/>
  <tableColumns count="83">
    <tableColumn id="2" xr3:uid="{88AB28EB-6A99-4362-9C5F-F38AE633C068}" name="Country/Region" dataDxfId="89">
      <calculatedColumnFormula>IF(ISBLANK(A26),"",A26)</calculatedColumnFormula>
    </tableColumn>
    <tableColumn id="3" xr3:uid="{90BE727C-9533-4BD1-9376-553167238EC0}" name="22.1" dataDxfId="88"/>
    <tableColumn id="4" xr3:uid="{7D49603C-9971-4DE8-8124-3E77E751200D}" name="23.1" dataDxfId="87"/>
    <tableColumn id="5" xr3:uid="{36FD2100-2C0A-4791-9B61-B55F76465082}" name="24.1" dataDxfId="86"/>
    <tableColumn id="6" xr3:uid="{BC6CE168-F95B-4962-AB8C-09CE19C9A0BA}" name="25.1" dataDxfId="85"/>
    <tableColumn id="7" xr3:uid="{98D9D321-9FED-4D83-AF96-392F3DC05EE9}" name="26.1" dataDxfId="84"/>
    <tableColumn id="8" xr3:uid="{4B6A915D-8604-41F1-9BB5-75FE15C7D019}" name="27.1" dataDxfId="83"/>
    <tableColumn id="9" xr3:uid="{ACE8102E-118F-43CD-91A1-21426F9CBA4B}" name="28.1" dataDxfId="82"/>
    <tableColumn id="10" xr3:uid="{A110F14D-B7D8-419F-BDA0-330C6407BE37}" name="29.1" dataDxfId="81"/>
    <tableColumn id="11" xr3:uid="{23E2FFFF-456C-4560-B7A3-C2E52EF4ACEA}" name="30.1" dataDxfId="80"/>
    <tableColumn id="12" xr3:uid="{DBF61881-C471-4CF7-B191-4DD5D8D9F68C}" name="31.1" dataDxfId="79"/>
    <tableColumn id="13" xr3:uid="{60ADAE47-0C7E-4DC2-9DD3-F7456DCDB252}" name="1.2" dataDxfId="78"/>
    <tableColumn id="14" xr3:uid="{66CFE482-9541-4744-B9C4-A53A84124D6C}" name="2.2" dataDxfId="77"/>
    <tableColumn id="15" xr3:uid="{6CC4ACEB-BD6D-4164-AF6C-64291CCBE8A1}" name="3.2" dataDxfId="76"/>
    <tableColumn id="16" xr3:uid="{55245ED9-4E7B-47C0-9584-98E8E72FDE78}" name="4.2" dataDxfId="75"/>
    <tableColumn id="17" xr3:uid="{21F6CC89-3FA9-4BA8-B2DA-618E0EDE7FD7}" name="5.2" dataDxfId="74"/>
    <tableColumn id="18" xr3:uid="{1E8AEBF4-49D0-4B9A-AFBA-7EFE7FB2528F}" name="6.2" dataDxfId="73"/>
    <tableColumn id="19" xr3:uid="{337D9115-F326-4797-9B29-65F55A93170B}" name="7.2" dataDxfId="72"/>
    <tableColumn id="20" xr3:uid="{53C31F3B-E0F5-439A-9AFB-C2F4C52EE4E4}" name="8.2" dataDxfId="71"/>
    <tableColumn id="21" xr3:uid="{69BD5044-B4F4-4D57-9549-77FD4EBFEEF6}" name="9.2" dataDxfId="70"/>
    <tableColumn id="22" xr3:uid="{ACBDF14D-900E-476E-A24E-D2E2EC39CD07}" name="10.2" dataDxfId="69"/>
    <tableColumn id="23" xr3:uid="{589416F3-BEFC-466E-A468-942FA1E8DF6B}" name="11.2" dataDxfId="68"/>
    <tableColumn id="24" xr3:uid="{984C7DA7-59F9-46EB-8415-71AFD6ED9927}" name="12.2" dataDxfId="67"/>
    <tableColumn id="25" xr3:uid="{48C8CF82-A314-4FFD-92D8-935827EB8176}" name="13.2" dataDxfId="66"/>
    <tableColumn id="26" xr3:uid="{475F3C92-02AC-4B0F-9BCE-8D0092D398BB}" name="14.2" dataDxfId="65"/>
    <tableColumn id="27" xr3:uid="{A77036CC-AD7A-4300-ACC8-36EF5F0B9E22}" name="15.2" dataDxfId="64"/>
    <tableColumn id="28" xr3:uid="{8410960C-58D3-4702-8D61-DCA825CDF623}" name="16.2" dataDxfId="63"/>
    <tableColumn id="29" xr3:uid="{F3FB2D63-F8FC-46FC-9D87-124EBA6D9F0D}" name="17.2" dataDxfId="62"/>
    <tableColumn id="30" xr3:uid="{6F20A026-13C4-4DA7-B595-C69F2F1991E3}" name="18.2" dataDxfId="61"/>
    <tableColumn id="31" xr3:uid="{7BFF5209-487C-4126-B489-9761B6E49671}" name="19.2" dataDxfId="60"/>
    <tableColumn id="32" xr3:uid="{9D0E888C-4EED-4230-8603-EE26450A4B42}" name="20.2" dataDxfId="59"/>
    <tableColumn id="33" xr3:uid="{2E5EFFDA-0379-40FE-926B-6D2ADA88C6F6}" name="21.2" dataDxfId="58"/>
    <tableColumn id="34" xr3:uid="{36647928-02BA-4200-8727-4DA28DB248AA}" name="22.2" dataDxfId="57"/>
    <tableColumn id="35" xr3:uid="{1592F4A9-8CD3-46BA-8852-469CC4168526}" name="23.2" dataDxfId="56"/>
    <tableColumn id="36" xr3:uid="{F84EC5D0-60EC-48A0-9C30-FE60E0169F7A}" name="24.2" dataDxfId="55"/>
    <tableColumn id="37" xr3:uid="{C205CD95-1048-4FFF-B9AD-6DAEB1E8E1CA}" name="25.2" dataDxfId="54"/>
    <tableColumn id="38" xr3:uid="{064763C5-9418-457D-9AF4-0C2CDB89464B}" name="26.2" dataDxfId="53"/>
    <tableColumn id="39" xr3:uid="{9D93DBB9-5A83-478C-AC7E-17F9B703F6EA}" name="27.2" dataDxfId="52"/>
    <tableColumn id="40" xr3:uid="{24E3E392-B8DB-4A8B-9719-CC93070DB7EB}" name="28.2" dataDxfId="51"/>
    <tableColumn id="41" xr3:uid="{0A7ABA6B-627E-468A-8552-B2A543F5EDC5}" name="29.2" dataDxfId="50"/>
    <tableColumn id="42" xr3:uid="{CC62D3C1-4132-4A59-985C-0D0B960D021F}" name="1.3" dataDxfId="49"/>
    <tableColumn id="43" xr3:uid="{F393C3E1-16A6-468F-B52D-3363C2D7ACDB}" name="2.3" dataDxfId="48"/>
    <tableColumn id="44" xr3:uid="{1297B883-4AC9-4DBF-93B5-6CEF1F67E12F}" name="3.3" dataDxfId="47"/>
    <tableColumn id="45" xr3:uid="{CDED8757-B3A3-4381-BBAC-8760ED5EF08D}" name="4.3" dataDxfId="46"/>
    <tableColumn id="46" xr3:uid="{EF9AC2B1-479D-4298-96F9-597C63EDECF1}" name="5.3" dataDxfId="45"/>
    <tableColumn id="47" xr3:uid="{21B3659B-57CD-456A-B23E-06E6A6B82EEF}" name="6.3" dataDxfId="44"/>
    <tableColumn id="48" xr3:uid="{AAB0B237-ED9A-411F-A64B-E2F50C410719}" name="7.3" dataDxfId="43"/>
    <tableColumn id="49" xr3:uid="{690FEDC8-7C98-4C44-AFDC-C927CAF962F5}" name="8.3" dataDxfId="42"/>
    <tableColumn id="50" xr3:uid="{30AF0795-352E-40EC-B50A-89D9B11359E9}" name="9.3" dataDxfId="41"/>
    <tableColumn id="51" xr3:uid="{AF58394F-9675-4ED3-BE00-905F20BDF515}" name="10.3" dataDxfId="40"/>
    <tableColumn id="52" xr3:uid="{2F7C7F04-118B-4461-A75B-D526C7BFD539}" name="11.3" dataDxfId="39"/>
    <tableColumn id="53" xr3:uid="{E7FEA2AE-1C87-4F90-8835-27BB3E70C676}" name="12.3" dataDxfId="38"/>
    <tableColumn id="54" xr3:uid="{93F32828-144E-453D-864D-9F1A8B1E5DBA}" name="13.3" dataDxfId="37"/>
    <tableColumn id="55" xr3:uid="{CBB41D50-311E-47A8-947C-5B540F17FC78}" name="14.3" dataDxfId="36"/>
    <tableColumn id="56" xr3:uid="{46E27493-8B78-40CF-A65D-8321DC46B7D9}" name="15.3" dataDxfId="35"/>
    <tableColumn id="57" xr3:uid="{DE8A77B5-1111-42C2-B68C-361F57A6DD01}" name="16.3" dataDxfId="34"/>
    <tableColumn id="58" xr3:uid="{C9D587CF-DF56-47A1-8292-F7437BF79AED}" name="17.3" dataDxfId="33"/>
    <tableColumn id="59" xr3:uid="{5E869B92-9A9C-48F5-8377-59217E2596E9}" name="18.3" dataDxfId="32"/>
    <tableColumn id="60" xr3:uid="{0CFA360E-3CF4-4F66-96D6-2C82A3A99018}" name="19.3" dataDxfId="31"/>
    <tableColumn id="61" xr3:uid="{314C4BC1-EC2F-4C38-A40F-7AD990416C9D}" name="20.3" dataDxfId="30"/>
    <tableColumn id="62" xr3:uid="{8CAD326C-BAF1-414A-9500-01EB8E570C47}" name="21.3" dataDxfId="29"/>
    <tableColumn id="72" xr3:uid="{4036B6F4-CF6A-4F5B-9933-087F938167EE}" name="22.3" dataDxfId="28"/>
    <tableColumn id="1" xr3:uid="{B4B22A01-F8C2-4F1D-A169-6160E2D00E3E}" name="23.3" dataDxfId="27"/>
    <tableColumn id="63" xr3:uid="{0BCBF29A-7C75-47C7-BFA0-F08BA197BA16}" name="24.3" dataDxfId="26"/>
    <tableColumn id="64" xr3:uid="{D1604A77-DE7E-4F6B-A3BA-FE14DD532196}" name="25.3" dataDxfId="25"/>
    <tableColumn id="65" xr3:uid="{919D0F08-8424-4C0B-A29C-A106AAD64491}" name="26.3" dataDxfId="24"/>
    <tableColumn id="66" xr3:uid="{114BA22E-FA76-44C2-86E4-49E9F4404D6B}" name="27.3" dataDxfId="23"/>
    <tableColumn id="67" xr3:uid="{1D03E61E-BC3E-4002-8B71-7BBA535D09A8}" name="28.3" dataDxfId="22"/>
    <tableColumn id="68" xr3:uid="{8B9F50A5-9A53-4BC1-A059-EB84025091B4}" name="29.3" dataDxfId="21"/>
    <tableColumn id="69" xr3:uid="{C28C2217-E833-43B2-B2CD-265894D55B49}" name="30.3" dataDxfId="20"/>
    <tableColumn id="70" xr3:uid="{1E41A68B-9717-443E-96F4-6C6429878873}" name="31.3" dataDxfId="19"/>
    <tableColumn id="71" xr3:uid="{761EDBCE-1193-4A77-B245-CA897527DA46}" name="1.4" dataDxfId="18"/>
    <tableColumn id="73" xr3:uid="{99B2CA00-C327-4425-B759-7E5CAFD681E3}" name="2.4" dataDxfId="17"/>
    <tableColumn id="74" xr3:uid="{44B3D655-805A-442E-B64F-BD6C68ED2A2A}" name="3.4" dataDxfId="16"/>
    <tableColumn id="75" xr3:uid="{34F743B1-0C25-4F59-A51B-1AA081C844AE}" name="4.4" dataDxfId="15"/>
    <tableColumn id="76" xr3:uid="{63FC194D-57A6-441F-BC66-A02994716FF6}" name="5.4" dataDxfId="14"/>
    <tableColumn id="77" xr3:uid="{1F720840-066E-4345-AC39-40345D454FE3}" name="6.4" dataDxfId="13"/>
    <tableColumn id="78" xr3:uid="{A90B4D76-388C-4378-AEE0-DA281714C6D7}" name="7.4" dataDxfId="12"/>
    <tableColumn id="79" xr3:uid="{B9AC97AD-5789-419B-A057-6AEC53087D49}" name="8.4" dataDxfId="11"/>
    <tableColumn id="80" xr3:uid="{78867786-8960-4EB1-AD70-52F3F628D64E}" name="9.4" dataDxfId="10"/>
    <tableColumn id="81" xr3:uid="{C7BA93F1-3DCB-4D11-8702-9649D755BCC7}" name="10.4" dataDxfId="9"/>
    <tableColumn id="82" xr3:uid="{F6557F06-CDE3-4A15-B486-02531A9B8203}" name="11.4" dataDxfId="8"/>
    <tableColumn id="83" xr3:uid="{1F5181E8-51C3-4234-8279-074FD92B999B}" name="12.4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54" tableType="queryTable" totalsRowShown="0">
  <autoFilter ref="A1:CT254" xr:uid="{2392CF0B-C000-4089-9A21-F7907BA7F5A7}"/>
  <tableColumns count="98">
    <tableColumn id="67" xr3:uid="{C63C67E1-ECCC-421A-8CDC-FC12500235DC}" uniqueName="67" name="Column1" queryTableFieldId="204" dataDxfId="3"/>
    <tableColumn id="68" xr3:uid="{F3E2BE74-548E-4C4E-802E-7BE98C4905D1}" uniqueName="68" name="Column2" queryTableFieldId="205" dataDxfId="2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54" tableType="queryTable" totalsRowShown="0">
  <autoFilter ref="A1:CT254" xr:uid="{BBAF64FF-FFFD-4F30-9EE9-8FC504F03BFC}"/>
  <tableColumns count="98">
    <tableColumn id="67" xr3:uid="{84F638BD-6CEA-497E-94AE-35F08C91E44C}" uniqueName="67" name="Column1" queryTableFieldId="67" dataDxfId="5"/>
    <tableColumn id="68" xr3:uid="{4D4DD18A-4EBB-4120-B201-12E46CE78962}" uniqueName="68" name="Column2" queryTableFieldId="68" dataDxfId="4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40" tableType="queryTable" totalsRowShown="0">
  <autoFilter ref="A1:CT240" xr:uid="{ECB139BB-92DC-4144-AF55-123CD87C5A05}"/>
  <tableColumns count="98">
    <tableColumn id="1" xr3:uid="{A7B5FE1B-3D08-4BFF-ADFA-08D317A2ED29}" uniqueName="1" name="Column1" queryTableFieldId="64" dataDxfId="1"/>
    <tableColumn id="2" xr3:uid="{45AE0BFA-C191-40FE-AEB0-C3FD2E3BECC2}" uniqueName="2" name="Column2" queryTableFieldId="65" dataDxfId="0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4"/>
  <sheetViews>
    <sheetView tabSelected="1" zoomScaleNormal="100" workbookViewId="0">
      <pane xSplit="1" topLeftCell="BN1" activePane="topRight" state="frozen"/>
      <selection pane="topRight" activeCell="CF1" sqref="CF1"/>
    </sheetView>
  </sheetViews>
  <sheetFormatPr baseColWidth="10" defaultColWidth="11.42578125" defaultRowHeight="15" x14ac:dyDescent="0.25"/>
  <cols>
    <col min="1" max="1" width="24.140625" style="3" bestFit="1" customWidth="1"/>
    <col min="2" max="2" width="8" style="5" hidden="1" customWidth="1"/>
    <col min="3" max="40" width="8" style="3" hidden="1" customWidth="1"/>
    <col min="41" max="87" width="8" style="3" customWidth="1"/>
    <col min="88" max="16384" width="11.42578125" style="3"/>
  </cols>
  <sheetData>
    <row r="1" spans="1:83" ht="258" customHeight="1" x14ac:dyDescent="0.25"/>
    <row r="2" spans="1:83" s="2" customFormat="1" ht="29.25" customHeight="1" x14ac:dyDescent="0.25">
      <c r="A2" s="4" t="s">
        <v>244</v>
      </c>
      <c r="B2" s="6"/>
    </row>
    <row r="3" spans="1:83" s="12" customFormat="1" ht="18.75" x14ac:dyDescent="0.3">
      <c r="A3" s="23" t="s">
        <v>22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2.75" x14ac:dyDescent="0.2">
      <c r="A4" s="26" t="s">
        <v>241</v>
      </c>
      <c r="B4" s="28">
        <f>SUMIF(RAW_Cases!$B:$B,$A$3,RAW_Cases!C:C)</f>
        <v>0</v>
      </c>
      <c r="C4" s="28">
        <f>SUMIF(RAW_Cases!$B:$B,$A$3,RAW_Cases!D:D)</f>
        <v>0</v>
      </c>
      <c r="D4" s="28">
        <f>SUMIF(RAW_Cases!$B:$B,$A$3,RAW_Cases!E:E)</f>
        <v>0</v>
      </c>
      <c r="E4" s="28">
        <f>SUMIF(RAW_Cases!$B:$B,$A$3,RAW_Cases!F:F)</f>
        <v>0</v>
      </c>
      <c r="F4" s="28">
        <f>SUMIF(RAW_Cases!$B:$B,$A$3,RAW_Cases!G:G)</f>
        <v>0</v>
      </c>
      <c r="G4" s="28">
        <f>SUMIF(RAW_Cases!$B:$B,$A$3,RAW_Cases!H:H)</f>
        <v>0</v>
      </c>
      <c r="H4" s="28">
        <f>SUMIF(RAW_Cases!$B:$B,$A$3,RAW_Cases!I:I)</f>
        <v>0</v>
      </c>
      <c r="I4" s="28">
        <f>SUMIF(RAW_Cases!$B:$B,$A$3,RAW_Cases!J:J)</f>
        <v>0</v>
      </c>
      <c r="J4" s="28">
        <f>SUMIF(RAW_Cases!$B:$B,$A$3,RAW_Cases!K:K)</f>
        <v>0</v>
      </c>
      <c r="K4" s="28">
        <f>SUMIF(RAW_Cases!$B:$B,$A$3,RAW_Cases!L:L)</f>
        <v>0</v>
      </c>
      <c r="L4" s="28">
        <f>SUMIF(RAW_Cases!$B:$B,$A$3,RAW_Cases!M:M)</f>
        <v>1</v>
      </c>
      <c r="M4" s="28">
        <f>SUMIF(RAW_Cases!$B:$B,$A$3,RAW_Cases!N:N)</f>
        <v>1</v>
      </c>
      <c r="N4" s="28">
        <f>SUMIF(RAW_Cases!$B:$B,$A$3,RAW_Cases!O:O)</f>
        <v>1</v>
      </c>
      <c r="O4" s="28">
        <f>SUMIF(RAW_Cases!$B:$B,$A$3,RAW_Cases!P:P)</f>
        <v>1</v>
      </c>
      <c r="P4" s="28">
        <f>SUMIF(RAW_Cases!$B:$B,$A$3,RAW_Cases!Q:Q)</f>
        <v>1</v>
      </c>
      <c r="Q4" s="28">
        <f>SUMIF(RAW_Cases!$B:$B,$A$3,RAW_Cases!R:R)</f>
        <v>1</v>
      </c>
      <c r="R4" s="28">
        <f>SUMIF(RAW_Cases!$B:$B,$A$3,RAW_Cases!S:S)</f>
        <v>1</v>
      </c>
      <c r="S4" s="28">
        <f>SUMIF(RAW_Cases!$B:$B,$A$3,RAW_Cases!T:T)</f>
        <v>1</v>
      </c>
      <c r="T4" s="28">
        <f>SUMIF(RAW_Cases!$B:$B,$A$3,RAW_Cases!U:U)</f>
        <v>2</v>
      </c>
      <c r="U4" s="28">
        <f>SUMIF(RAW_Cases!$B:$B,$A$3,RAW_Cases!V:V)</f>
        <v>2</v>
      </c>
      <c r="V4" s="28">
        <f>SUMIF(RAW_Cases!$B:$B,$A$3,RAW_Cases!W:W)</f>
        <v>2</v>
      </c>
      <c r="W4" s="28">
        <f>SUMIF(RAW_Cases!$B:$B,$A$3,RAW_Cases!X:X)</f>
        <v>2</v>
      </c>
      <c r="X4" s="28">
        <f>SUMIF(RAW_Cases!$B:$B,$A$3,RAW_Cases!Y:Y)</f>
        <v>2</v>
      </c>
      <c r="Y4" s="28">
        <f>SUMIF(RAW_Cases!$B:$B,$A$3,RAW_Cases!Z:Z)</f>
        <v>2</v>
      </c>
      <c r="Z4" s="28">
        <f>SUMIF(RAW_Cases!$B:$B,$A$3,RAW_Cases!AA:AA)</f>
        <v>2</v>
      </c>
      <c r="AA4" s="28">
        <f>SUMIF(RAW_Cases!$B:$B,$A$3,RAW_Cases!AB:AB)</f>
        <v>2</v>
      </c>
      <c r="AB4" s="28">
        <f>SUMIF(RAW_Cases!$B:$B,$A$3,RAW_Cases!AC:AC)</f>
        <v>2</v>
      </c>
      <c r="AC4" s="28">
        <f>SUMIF(RAW_Cases!$B:$B,$A$3,RAW_Cases!AD:AD)</f>
        <v>2</v>
      </c>
      <c r="AD4" s="28">
        <f>SUMIF(RAW_Cases!$B:$B,$A$3,RAW_Cases!AE:AE)</f>
        <v>2</v>
      </c>
      <c r="AE4" s="28">
        <f>SUMIF(RAW_Cases!$B:$B,$A$3,RAW_Cases!AF:AF)</f>
        <v>2</v>
      </c>
      <c r="AF4" s="28">
        <f>SUMIF(RAW_Cases!$B:$B,$A$3,RAW_Cases!AG:AG)</f>
        <v>2</v>
      </c>
      <c r="AG4" s="28">
        <f>SUMIF(RAW_Cases!$B:$B,$A$3,RAW_Cases!AH:AH)</f>
        <v>2</v>
      </c>
      <c r="AH4" s="28">
        <f>SUMIF(RAW_Cases!$B:$B,$A$3,RAW_Cases!AI:AI)</f>
        <v>2</v>
      </c>
      <c r="AI4" s="28">
        <f>SUMIF(RAW_Cases!$B:$B,$A$3,RAW_Cases!AJ:AJ)</f>
        <v>2</v>
      </c>
      <c r="AJ4" s="28">
        <f>SUMIF(RAW_Cases!$B:$B,$A$3,RAW_Cases!AK:AK)</f>
        <v>6</v>
      </c>
      <c r="AK4" s="28">
        <f>SUMIF(RAW_Cases!$B:$B,$A$3,RAW_Cases!AL:AL)</f>
        <v>13</v>
      </c>
      <c r="AL4" s="28">
        <f>SUMIF(RAW_Cases!$B:$B,$A$3,RAW_Cases!AM:AM)</f>
        <v>15</v>
      </c>
      <c r="AM4" s="28">
        <f>SUMIF(RAW_Cases!$B:$B,$A$3,RAW_Cases!AN:AN)</f>
        <v>32</v>
      </c>
      <c r="AN4" s="28">
        <f>SUMIF(RAW_Cases!$B:$B,$A$3,RAW_Cases!AO:AO)</f>
        <v>45</v>
      </c>
      <c r="AO4" s="28">
        <f>SUMIF(RAW_Cases!$B:$B,$A$3,RAW_Cases!AP:AP)</f>
        <v>84</v>
      </c>
      <c r="AP4" s="28">
        <f>SUMIF(RAW_Cases!$B:$B,$A$3,RAW_Cases!AQ:AQ)</f>
        <v>120</v>
      </c>
      <c r="AQ4" s="28">
        <f>SUMIF(RAW_Cases!$B:$B,$A$3,RAW_Cases!AR:AR)</f>
        <v>165</v>
      </c>
      <c r="AR4" s="28">
        <f>SUMIF(RAW_Cases!$B:$B,$A$3,RAW_Cases!AS:AS)</f>
        <v>222</v>
      </c>
      <c r="AS4" s="28">
        <f>SUMIF(RAW_Cases!$B:$B,$A$3,RAW_Cases!AT:AT)</f>
        <v>259</v>
      </c>
      <c r="AT4" s="28">
        <f>SUMIF(RAW_Cases!$B:$B,$A$3,RAW_Cases!AU:AU)</f>
        <v>400</v>
      </c>
      <c r="AU4" s="28">
        <f>SUMIF(RAW_Cases!$B:$B,$A$3,RAW_Cases!AV:AV)</f>
        <v>500</v>
      </c>
      <c r="AV4" s="28">
        <f>SUMIF(RAW_Cases!$B:$B,$A$3,RAW_Cases!AW:AW)</f>
        <v>673</v>
      </c>
      <c r="AW4" s="28">
        <f>SUMIF(RAW_Cases!$B:$B,$A$3,RAW_Cases!AX:AX)</f>
        <v>1073</v>
      </c>
      <c r="AX4" s="28">
        <f>SUMIF(RAW_Cases!$B:$B,$A$3,RAW_Cases!AY:AY)</f>
        <v>1695</v>
      </c>
      <c r="AY4" s="28">
        <f>SUMIF(RAW_Cases!$B:$B,$A$3,RAW_Cases!AZ:AZ)</f>
        <v>2277</v>
      </c>
      <c r="AZ4" s="28">
        <f>SUMIF(RAW_Cases!$B:$B,$A$3,RAW_Cases!BA:BA)</f>
        <v>2277</v>
      </c>
      <c r="BA4" s="28">
        <f>SUMIF(RAW_Cases!$B:$B,$A$3,RAW_Cases!BB:BB)</f>
        <v>5232</v>
      </c>
      <c r="BB4" s="28">
        <f>SUMIF(RAW_Cases!$B:$B,$A$3,RAW_Cases!BC:BC)</f>
        <v>6391</v>
      </c>
      <c r="BC4" s="28">
        <f>SUMIF(RAW_Cases!$B:$B,$A$3,RAW_Cases!BD:BD)</f>
        <v>7798</v>
      </c>
      <c r="BD4" s="28">
        <f>SUMIF(RAW_Cases!$B:$B,$A$3,RAW_Cases!BE:BE)</f>
        <v>9942</v>
      </c>
      <c r="BE4" s="28">
        <f>SUMIF(RAW_Cases!$B:$B,$A$3,RAW_Cases!BF:BF)</f>
        <v>11748</v>
      </c>
      <c r="BF4" s="28">
        <f>SUMIF(RAW_Cases!$B:$B,$A$3,RAW_Cases!BG:BG)</f>
        <v>13910</v>
      </c>
      <c r="BG4" s="28">
        <f>SUMIF(RAW_Cases!$B:$B,$A$3,RAW_Cases!BH:BH)</f>
        <v>17963</v>
      </c>
      <c r="BH4" s="28">
        <f>SUMIF(RAW_Cases!$B:$B,$A$3,RAW_Cases!BI:BI)</f>
        <v>20410</v>
      </c>
      <c r="BI4" s="28">
        <f>SUMIF(RAW_Cases!$B:$B,$A$3,RAW_Cases!BJ:BJ)</f>
        <v>25374</v>
      </c>
      <c r="BJ4" s="28">
        <f>SUMIF(RAW_Cases!$B:$B,$A$3,RAW_Cases!BK:BK)</f>
        <v>28768</v>
      </c>
      <c r="BK4" s="28">
        <f>SUMIF(RAW_Cases!$B:$B,$A$3,RAW_Cases!BL:BL)</f>
        <v>35136</v>
      </c>
      <c r="BL4" s="28">
        <f>SUMIF(RAW_Cases!$B:$B,$A$3,RAW_Cases!BM:BM)</f>
        <v>39885</v>
      </c>
      <c r="BM4" s="28">
        <f>SUMIF(RAW_Cases!$B:$B,$A$3,RAW_Cases!BN:BN)</f>
        <v>49515</v>
      </c>
      <c r="BN4" s="28">
        <f>SUMIF(RAW_Cases!$B:$B,$A$3,RAW_Cases!BO:BO)</f>
        <v>57786</v>
      </c>
      <c r="BO4" s="28">
        <f>SUMIF(RAW_Cases!$B:$B,$A$3,RAW_Cases!BP:BP)</f>
        <v>65719</v>
      </c>
      <c r="BP4" s="28">
        <f>SUMIF(RAW_Cases!$B:$B,$A$3,RAW_Cases!BQ:BQ)</f>
        <v>73235</v>
      </c>
      <c r="BQ4" s="28">
        <f>SUMIF(RAW_Cases!$B:$B,$A$3,RAW_Cases!BR:BR)</f>
        <v>80110</v>
      </c>
      <c r="BR4" s="28">
        <f>SUMIF(RAW_Cases!$B:$B,$A$3,RAW_Cases!BS:BS)</f>
        <v>0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2.75" x14ac:dyDescent="0.2">
      <c r="A5" s="26" t="s">
        <v>242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0</v>
      </c>
      <c r="AO5" s="28">
        <f>SUMIF(RAW_DEATHS!$B:$B,$A$3,RAW_DEATHS!AP:AP)</f>
        <v>0</v>
      </c>
      <c r="AP5" s="28">
        <f>SUMIF(RAW_DEATHS!$B:$B,$A$3,RAW_DEATHS!AQ:AQ)</f>
        <v>0</v>
      </c>
      <c r="AQ5" s="28">
        <f>SUMIF(RAW_DEATHS!$B:$B,$A$3,RAW_DEATHS!AR:AR)</f>
        <v>1</v>
      </c>
      <c r="AR5" s="28">
        <f>SUMIF(RAW_DEATHS!$B:$B,$A$3,RAW_DEATHS!AS:AS)</f>
        <v>2</v>
      </c>
      <c r="AS5" s="28">
        <f>SUMIF(RAW_DEATHS!$B:$B,$A$3,RAW_DEATHS!AT:AT)</f>
        <v>3</v>
      </c>
      <c r="AT5" s="28">
        <f>SUMIF(RAW_DEATHS!$B:$B,$A$3,RAW_DEATHS!AU:AU)</f>
        <v>5</v>
      </c>
      <c r="AU5" s="28">
        <f>SUMIF(RAW_DEATHS!$B:$B,$A$3,RAW_DEATHS!AV:AV)</f>
        <v>10</v>
      </c>
      <c r="AV5" s="28">
        <f>SUMIF(RAW_DEATHS!$B:$B,$A$3,RAW_DEATHS!AW:AW)</f>
        <v>17</v>
      </c>
      <c r="AW5" s="28">
        <f>SUMIF(RAW_DEATHS!$B:$B,$A$3,RAW_DEATHS!AX:AX)</f>
        <v>28</v>
      </c>
      <c r="AX5" s="28">
        <f>SUMIF(RAW_DEATHS!$B:$B,$A$3,RAW_DEATHS!AY:AY)</f>
        <v>35</v>
      </c>
      <c r="AY5" s="28">
        <f>SUMIF(RAW_DEATHS!$B:$B,$A$3,RAW_DEATHS!AZ:AZ)</f>
        <v>54</v>
      </c>
      <c r="AZ5" s="28">
        <f>SUMIF(RAW_DEATHS!$B:$B,$A$3,RAW_DEATHS!BA:BA)</f>
        <v>55</v>
      </c>
      <c r="BA5" s="28">
        <f>SUMIF(RAW_DEATHS!$B:$B,$A$3,RAW_DEATHS!BB:BB)</f>
        <v>133</v>
      </c>
      <c r="BB5" s="28">
        <f>SUMIF(RAW_DEATHS!$B:$B,$A$3,RAW_DEATHS!BC:BC)</f>
        <v>195</v>
      </c>
      <c r="BC5" s="28">
        <f>SUMIF(RAW_DEATHS!$B:$B,$A$3,RAW_DEATHS!BD:BD)</f>
        <v>289</v>
      </c>
      <c r="BD5" s="28">
        <f>SUMIF(RAW_DEATHS!$B:$B,$A$3,RAW_DEATHS!BE:BE)</f>
        <v>342</v>
      </c>
      <c r="BE5" s="28">
        <f>SUMIF(RAW_DEATHS!$B:$B,$A$3,RAW_DEATHS!BF:BF)</f>
        <v>533</v>
      </c>
      <c r="BF5" s="28">
        <f>SUMIF(RAW_DEATHS!$B:$B,$A$3,RAW_DEATHS!BG:BG)</f>
        <v>623</v>
      </c>
      <c r="BG5" s="28">
        <f>SUMIF(RAW_DEATHS!$B:$B,$A$3,RAW_DEATHS!BH:BH)</f>
        <v>830</v>
      </c>
      <c r="BH5" s="28">
        <f>SUMIF(RAW_DEATHS!$B:$B,$A$3,RAW_DEATHS!BI:BI)</f>
        <v>1043</v>
      </c>
      <c r="BI5" s="28">
        <f>SUMIF(RAW_DEATHS!$B:$B,$A$3,RAW_DEATHS!BJ:BJ)</f>
        <v>1375</v>
      </c>
      <c r="BJ5" s="28">
        <f>SUMIF(RAW_DEATHS!$B:$B,$A$3,RAW_DEATHS!BK:BK)</f>
        <v>1772</v>
      </c>
      <c r="BK5" s="28">
        <f>SUMIF(RAW_DEATHS!$B:$B,$A$3,RAW_DEATHS!BL:BL)</f>
        <v>2311</v>
      </c>
      <c r="BL5" s="28">
        <f>SUMIF(RAW_DEATHS!$B:$B,$A$3,RAW_DEATHS!BM:BM)</f>
        <v>2808</v>
      </c>
      <c r="BM5" s="28">
        <f>SUMIF(RAW_DEATHS!$B:$B,$A$3,RAW_DEATHS!BN:BN)</f>
        <v>3647</v>
      </c>
      <c r="BN5" s="28">
        <f>SUMIF(RAW_DEATHS!$B:$B,$A$3,RAW_DEATHS!BO:BO)</f>
        <v>4365</v>
      </c>
      <c r="BO5" s="28">
        <f>SUMIF(RAW_DEATHS!$B:$B,$A$3,RAW_DEATHS!BP:BP)</f>
        <v>5138</v>
      </c>
      <c r="BP5" s="28">
        <f>SUMIF(RAW_DEATHS!$B:$B,$A$3,RAW_DEATHS!BQ:BQ)</f>
        <v>5982</v>
      </c>
      <c r="BQ5" s="28">
        <f>SUMIF(RAW_DEATHS!$B:$B,$A$3,RAW_DEATHS!BR:BR)</f>
        <v>6803</v>
      </c>
      <c r="BR5" s="28">
        <f>SUMIF(RAW_DEATHS!$B:$B,$A$3,RAW_DEATHS!BS:BS)</f>
        <v>0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2.75" x14ac:dyDescent="0.2">
      <c r="A6" s="26" t="s">
        <v>245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0</v>
      </c>
      <c r="U6" s="28">
        <f>SUMIF(RAW_RECOVERED!$B:$B,$A$3,RAW_RECOVERED!V:V)</f>
        <v>0</v>
      </c>
      <c r="V6" s="28">
        <f>SUMIF(RAW_RECOVERED!$B:$B,$A$3,RAW_RECOVERED!W:W)</f>
        <v>0</v>
      </c>
      <c r="W6" s="28">
        <f>SUMIF(RAW_RECOVERED!$B:$B,$A$3,RAW_RECOVERED!X:X)</f>
        <v>0</v>
      </c>
      <c r="X6" s="28">
        <f>SUMIF(RAW_RECOVERED!$B:$B,$A$3,RAW_RECOVERED!Y:Y)</f>
        <v>0</v>
      </c>
      <c r="Y6" s="28">
        <f>SUMIF(RAW_RECOVERED!$B:$B,$A$3,RAW_RECOVERED!Z:Z)</f>
        <v>0</v>
      </c>
      <c r="Z6" s="28">
        <f>SUMIF(RAW_RECOVERED!$B:$B,$A$3,RAW_RECOVERED!AA:AA)</f>
        <v>2</v>
      </c>
      <c r="AA6" s="28">
        <f>SUMIF(RAW_RECOVERED!$B:$B,$A$3,RAW_RECOVERED!AB:AB)</f>
        <v>2</v>
      </c>
      <c r="AB6" s="28">
        <f>SUMIF(RAW_RECOVERED!$B:$B,$A$3,RAW_RECOVERED!AC:AC)</f>
        <v>2</v>
      </c>
      <c r="AC6" s="28">
        <f>SUMIF(RAW_RECOVERED!$B:$B,$A$3,RAW_RECOVERED!AD:AD)</f>
        <v>2</v>
      </c>
      <c r="AD6" s="28">
        <f>SUMIF(RAW_RECOVERED!$B:$B,$A$3,RAW_RECOVERED!AE:AE)</f>
        <v>2</v>
      </c>
      <c r="AE6" s="28">
        <f>SUMIF(RAW_RECOVERED!$B:$B,$A$3,RAW_RECOVERED!AF:AF)</f>
        <v>2</v>
      </c>
      <c r="AF6" s="28">
        <f>SUMIF(RAW_RECOVERED!$B:$B,$A$3,RAW_RECOVERED!AG:AG)</f>
        <v>2</v>
      </c>
      <c r="AG6" s="28">
        <f>SUMIF(RAW_RECOVERED!$B:$B,$A$3,RAW_RECOVERED!AH:AH)</f>
        <v>2</v>
      </c>
      <c r="AH6" s="28">
        <f>SUMIF(RAW_RECOVERED!$B:$B,$A$3,RAW_RECOVERED!AI:AI)</f>
        <v>2</v>
      </c>
      <c r="AI6" s="28">
        <f>SUMIF(RAW_RECOVERED!$B:$B,$A$3,RAW_RECOVERED!AJ:AJ)</f>
        <v>2</v>
      </c>
      <c r="AJ6" s="28">
        <f>SUMIF(RAW_RECOVERED!$B:$B,$A$3,RAW_RECOVERED!AK:AK)</f>
        <v>2</v>
      </c>
      <c r="AK6" s="28">
        <f>SUMIF(RAW_RECOVERED!$B:$B,$A$3,RAW_RECOVERED!AL:AL)</f>
        <v>2</v>
      </c>
      <c r="AL6" s="28">
        <f>SUMIF(RAW_RECOVERED!$B:$B,$A$3,RAW_RECOVERED!AM:AM)</f>
        <v>2</v>
      </c>
      <c r="AM6" s="28">
        <f>SUMIF(RAW_RECOVERED!$B:$B,$A$3,RAW_RECOVERED!AN:AN)</f>
        <v>2</v>
      </c>
      <c r="AN6" s="28">
        <f>SUMIF(RAW_RECOVERED!$B:$B,$A$3,RAW_RECOVERED!AO:AO)</f>
        <v>2</v>
      </c>
      <c r="AO6" s="28">
        <f>SUMIF(RAW_RECOVERED!$B:$B,$A$3,RAW_RECOVERED!AP:AP)</f>
        <v>2</v>
      </c>
      <c r="AP6" s="28">
        <f>SUMIF(RAW_RECOVERED!$B:$B,$A$3,RAW_RECOVERED!AQ:AQ)</f>
        <v>2</v>
      </c>
      <c r="AQ6" s="28">
        <f>SUMIF(RAW_RECOVERED!$B:$B,$A$3,RAW_RECOVERED!AR:AR)</f>
        <v>2</v>
      </c>
      <c r="AR6" s="28">
        <f>SUMIF(RAW_RECOVERED!$B:$B,$A$3,RAW_RECOVERED!AS:AS)</f>
        <v>2</v>
      </c>
      <c r="AS6" s="28">
        <f>SUMIF(RAW_RECOVERED!$B:$B,$A$3,RAW_RECOVERED!AT:AT)</f>
        <v>2</v>
      </c>
      <c r="AT6" s="28">
        <f>SUMIF(RAW_RECOVERED!$B:$B,$A$3,RAW_RECOVERED!AU:AU)</f>
        <v>2</v>
      </c>
      <c r="AU6" s="28">
        <f>SUMIF(RAW_RECOVERED!$B:$B,$A$3,RAW_RECOVERED!AV:AV)</f>
        <v>30</v>
      </c>
      <c r="AV6" s="28">
        <f>SUMIF(RAW_RECOVERED!$B:$B,$A$3,RAW_RECOVERED!AW:AW)</f>
        <v>30</v>
      </c>
      <c r="AW6" s="28">
        <f>SUMIF(RAW_RECOVERED!$B:$B,$A$3,RAW_RECOVERED!AX:AX)</f>
        <v>32</v>
      </c>
      <c r="AX6" s="28">
        <f>SUMIF(RAW_RECOVERED!$B:$B,$A$3,RAW_RECOVERED!AY:AY)</f>
        <v>32</v>
      </c>
      <c r="AY6" s="28">
        <f>SUMIF(RAW_RECOVERED!$B:$B,$A$3,RAW_RECOVERED!AZ:AZ)</f>
        <v>183</v>
      </c>
      <c r="AZ6" s="28">
        <f>SUMIF(RAW_RECOVERED!$B:$B,$A$3,RAW_RECOVERED!BA:BA)</f>
        <v>183</v>
      </c>
      <c r="BA6" s="28">
        <f>SUMIF(RAW_RECOVERED!$B:$B,$A$3,RAW_RECOVERED!BB:BB)</f>
        <v>193</v>
      </c>
      <c r="BB6" s="28">
        <f>SUMIF(RAW_RECOVERED!$B:$B,$A$3,RAW_RECOVERED!BC:BC)</f>
        <v>517</v>
      </c>
      <c r="BC6" s="28">
        <f>SUMIF(RAW_RECOVERED!$B:$B,$A$3,RAW_RECOVERED!BD:BD)</f>
        <v>517</v>
      </c>
      <c r="BD6" s="28">
        <f>SUMIF(RAW_RECOVERED!$B:$B,$A$3,RAW_RECOVERED!BE:BE)</f>
        <v>530</v>
      </c>
      <c r="BE6" s="28">
        <f>SUMIF(RAW_RECOVERED!$B:$B,$A$3,RAW_RECOVERED!BF:BF)</f>
        <v>1028</v>
      </c>
      <c r="BF6" s="28">
        <f>SUMIF(RAW_RECOVERED!$B:$B,$A$3,RAW_RECOVERED!BG:BG)</f>
        <v>1081</v>
      </c>
      <c r="BG6" s="28">
        <f>SUMIF(RAW_RECOVERED!$B:$B,$A$3,RAW_RECOVERED!BH:BH)</f>
        <v>1107</v>
      </c>
      <c r="BH6" s="28">
        <f>SUMIF(RAW_RECOVERED!$B:$B,$A$3,RAW_RECOVERED!BI:BI)</f>
        <v>1588</v>
      </c>
      <c r="BI6" s="28">
        <f>SUMIF(RAW_RECOVERED!$B:$B,$A$3,RAW_RECOVERED!BJ:BJ)</f>
        <v>2125</v>
      </c>
      <c r="BJ6" s="28">
        <f>SUMIF(RAW_RECOVERED!$B:$B,$A$3,RAW_RECOVERED!BK:BK)</f>
        <v>2575</v>
      </c>
      <c r="BK6" s="28">
        <f>SUMIF(RAW_RECOVERED!$B:$B,$A$3,RAW_RECOVERED!BL:BL)</f>
        <v>2575</v>
      </c>
      <c r="BL6" s="28">
        <f>SUMIF(RAW_RECOVERED!$B:$B,$A$3,RAW_RECOVERED!BM:BM)</f>
        <v>3794</v>
      </c>
      <c r="BM6" s="28">
        <f>SUMIF(RAW_RECOVERED!$B:$B,$A$3,RAW_RECOVERED!BN:BN)</f>
        <v>5367</v>
      </c>
      <c r="BN6" s="28">
        <f>SUMIF(RAW_RECOVERED!$B:$B,$A$3,RAW_RECOVERED!BO:BO)</f>
        <v>7015</v>
      </c>
      <c r="BO6" s="28">
        <f>SUMIF(RAW_RECOVERED!$B:$B,$A$3,RAW_RECOVERED!BP:BP)</f>
        <v>9357</v>
      </c>
      <c r="BP6" s="28">
        <f>SUMIF(RAW_RECOVERED!$B:$B,$A$3,RAW_RECOVERED!BQ:BQ)</f>
        <v>12285</v>
      </c>
      <c r="BQ6" s="28">
        <f>SUMIF(RAW_RECOVERED!$B:$B,$A$3,RAW_RECOVERED!BR:BR)</f>
        <v>14709</v>
      </c>
      <c r="BR6" s="28">
        <f>SUMIF(RAW_RECOVERED!$B:$B,$A$3,RAW_RECOVERED!BS:BS)</f>
        <v>0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2.75" x14ac:dyDescent="0.2">
      <c r="A7" s="26" t="s">
        <v>437</v>
      </c>
      <c r="B7" s="28"/>
      <c r="C7" s="28">
        <f t="shared" ref="C7:AH7" si="0">C4-B4</f>
        <v>0</v>
      </c>
      <c r="D7" s="28">
        <f t="shared" si="0"/>
        <v>0</v>
      </c>
      <c r="E7" s="28">
        <f t="shared" si="0"/>
        <v>0</v>
      </c>
      <c r="F7" s="28">
        <f t="shared" si="0"/>
        <v>0</v>
      </c>
      <c r="G7" s="28">
        <f t="shared" si="0"/>
        <v>0</v>
      </c>
      <c r="H7" s="28">
        <f t="shared" si="0"/>
        <v>0</v>
      </c>
      <c r="I7" s="28">
        <f t="shared" si="0"/>
        <v>0</v>
      </c>
      <c r="J7" s="28">
        <f t="shared" si="0"/>
        <v>0</v>
      </c>
      <c r="K7" s="28">
        <f t="shared" si="0"/>
        <v>0</v>
      </c>
      <c r="L7" s="28">
        <f t="shared" si="0"/>
        <v>1</v>
      </c>
      <c r="M7" s="28">
        <f t="shared" si="0"/>
        <v>0</v>
      </c>
      <c r="N7" s="28">
        <f t="shared" si="0"/>
        <v>0</v>
      </c>
      <c r="O7" s="28">
        <f t="shared" si="0"/>
        <v>0</v>
      </c>
      <c r="P7" s="28">
        <f t="shared" si="0"/>
        <v>0</v>
      </c>
      <c r="Q7" s="28">
        <f t="shared" si="0"/>
        <v>0</v>
      </c>
      <c r="R7" s="28">
        <f t="shared" si="0"/>
        <v>0</v>
      </c>
      <c r="S7" s="28">
        <f t="shared" si="0"/>
        <v>0</v>
      </c>
      <c r="T7" s="28">
        <f t="shared" si="0"/>
        <v>1</v>
      </c>
      <c r="U7" s="28">
        <f t="shared" si="0"/>
        <v>0</v>
      </c>
      <c r="V7" s="28">
        <f t="shared" si="0"/>
        <v>0</v>
      </c>
      <c r="W7" s="28">
        <f t="shared" si="0"/>
        <v>0</v>
      </c>
      <c r="X7" s="28">
        <f t="shared" si="0"/>
        <v>0</v>
      </c>
      <c r="Y7" s="28">
        <f t="shared" si="0"/>
        <v>0</v>
      </c>
      <c r="Z7" s="28">
        <f t="shared" si="0"/>
        <v>0</v>
      </c>
      <c r="AA7" s="28">
        <f t="shared" si="0"/>
        <v>0</v>
      </c>
      <c r="AB7" s="28">
        <f t="shared" si="0"/>
        <v>0</v>
      </c>
      <c r="AC7" s="28">
        <f t="shared" si="0"/>
        <v>0</v>
      </c>
      <c r="AD7" s="28">
        <f t="shared" si="0"/>
        <v>0</v>
      </c>
      <c r="AE7" s="28">
        <f t="shared" si="0"/>
        <v>0</v>
      </c>
      <c r="AF7" s="28">
        <f t="shared" si="0"/>
        <v>0</v>
      </c>
      <c r="AG7" s="28">
        <f t="shared" si="0"/>
        <v>0</v>
      </c>
      <c r="AH7" s="28">
        <f t="shared" si="0"/>
        <v>0</v>
      </c>
      <c r="AI7" s="28">
        <f t="shared" ref="AI7:BN7" si="1">AI4-AH4</f>
        <v>0</v>
      </c>
      <c r="AJ7" s="28">
        <f t="shared" si="1"/>
        <v>4</v>
      </c>
      <c r="AK7" s="28">
        <f t="shared" si="1"/>
        <v>7</v>
      </c>
      <c r="AL7" s="28">
        <f t="shared" si="1"/>
        <v>2</v>
      </c>
      <c r="AM7" s="28">
        <f t="shared" si="1"/>
        <v>17</v>
      </c>
      <c r="AN7" s="28">
        <f t="shared" si="1"/>
        <v>13</v>
      </c>
      <c r="AO7" s="28">
        <f t="shared" si="1"/>
        <v>39</v>
      </c>
      <c r="AP7" s="28">
        <f t="shared" si="1"/>
        <v>36</v>
      </c>
      <c r="AQ7" s="28">
        <f t="shared" si="1"/>
        <v>45</v>
      </c>
      <c r="AR7" s="28">
        <f t="shared" si="1"/>
        <v>57</v>
      </c>
      <c r="AS7" s="28">
        <f t="shared" si="1"/>
        <v>37</v>
      </c>
      <c r="AT7" s="28">
        <f t="shared" si="1"/>
        <v>141</v>
      </c>
      <c r="AU7" s="28">
        <f t="shared" si="1"/>
        <v>100</v>
      </c>
      <c r="AV7" s="28">
        <f t="shared" si="1"/>
        <v>173</v>
      </c>
      <c r="AW7" s="28">
        <f t="shared" si="1"/>
        <v>400</v>
      </c>
      <c r="AX7" s="28">
        <f t="shared" si="1"/>
        <v>622</v>
      </c>
      <c r="AY7" s="28">
        <f t="shared" si="1"/>
        <v>582</v>
      </c>
      <c r="AZ7" s="28">
        <f t="shared" si="1"/>
        <v>0</v>
      </c>
      <c r="BA7" s="28">
        <f t="shared" si="1"/>
        <v>2955</v>
      </c>
      <c r="BB7" s="28">
        <f t="shared" si="1"/>
        <v>1159</v>
      </c>
      <c r="BC7" s="28">
        <f t="shared" si="1"/>
        <v>1407</v>
      </c>
      <c r="BD7" s="28">
        <f t="shared" si="1"/>
        <v>2144</v>
      </c>
      <c r="BE7" s="28">
        <f t="shared" si="1"/>
        <v>1806</v>
      </c>
      <c r="BF7" s="28">
        <f t="shared" si="1"/>
        <v>2162</v>
      </c>
      <c r="BG7" s="28">
        <f t="shared" si="1"/>
        <v>4053</v>
      </c>
      <c r="BH7" s="28">
        <f t="shared" si="1"/>
        <v>2447</v>
      </c>
      <c r="BI7" s="28">
        <f t="shared" si="1"/>
        <v>4964</v>
      </c>
      <c r="BJ7" s="28">
        <f t="shared" si="1"/>
        <v>3394</v>
      </c>
      <c r="BK7" s="28">
        <f t="shared" si="1"/>
        <v>6368</v>
      </c>
      <c r="BL7" s="28">
        <f t="shared" si="1"/>
        <v>4749</v>
      </c>
      <c r="BM7" s="28">
        <f t="shared" si="1"/>
        <v>9630</v>
      </c>
      <c r="BN7" s="28">
        <f t="shared" si="1"/>
        <v>8271</v>
      </c>
      <c r="BO7" s="28">
        <f t="shared" ref="BO7:CE7" si="2">BO4-BN4</f>
        <v>7933</v>
      </c>
      <c r="BP7" s="28">
        <f t="shared" si="2"/>
        <v>7516</v>
      </c>
      <c r="BQ7" s="28">
        <f t="shared" si="2"/>
        <v>6875</v>
      </c>
      <c r="BR7" s="28">
        <f t="shared" si="2"/>
        <v>-80110</v>
      </c>
      <c r="BS7" s="28">
        <f t="shared" si="2"/>
        <v>0</v>
      </c>
      <c r="BT7" s="28">
        <f t="shared" si="2"/>
        <v>0</v>
      </c>
      <c r="BU7" s="28">
        <f t="shared" si="2"/>
        <v>0</v>
      </c>
      <c r="BV7" s="28">
        <f t="shared" si="2"/>
        <v>0</v>
      </c>
      <c r="BW7" s="28">
        <f t="shared" si="2"/>
        <v>0</v>
      </c>
      <c r="BX7" s="28">
        <f t="shared" si="2"/>
        <v>0</v>
      </c>
      <c r="BY7" s="28">
        <f t="shared" si="2"/>
        <v>0</v>
      </c>
      <c r="BZ7" s="28">
        <f t="shared" si="2"/>
        <v>0</v>
      </c>
      <c r="CA7" s="28">
        <f t="shared" si="2"/>
        <v>0</v>
      </c>
      <c r="CB7" s="28">
        <f t="shared" si="2"/>
        <v>0</v>
      </c>
      <c r="CC7" s="28">
        <f t="shared" si="2"/>
        <v>0</v>
      </c>
      <c r="CD7" s="28">
        <f t="shared" si="2"/>
        <v>0</v>
      </c>
      <c r="CE7" s="28">
        <f t="shared" si="2"/>
        <v>0</v>
      </c>
    </row>
    <row r="8" spans="1:83" s="11" customFormat="1" ht="12.75" x14ac:dyDescent="0.2">
      <c r="A8" s="26" t="s">
        <v>436</v>
      </c>
      <c r="B8" s="28"/>
      <c r="C8" s="28">
        <f t="shared" ref="C8:AH8" si="3">C5-B5</f>
        <v>0</v>
      </c>
      <c r="D8" s="28">
        <f t="shared" si="3"/>
        <v>0</v>
      </c>
      <c r="E8" s="28">
        <f t="shared" si="3"/>
        <v>0</v>
      </c>
      <c r="F8" s="28">
        <f t="shared" si="3"/>
        <v>0</v>
      </c>
      <c r="G8" s="28">
        <f t="shared" si="3"/>
        <v>0</v>
      </c>
      <c r="H8" s="28">
        <f t="shared" si="3"/>
        <v>0</v>
      </c>
      <c r="I8" s="28">
        <f t="shared" si="3"/>
        <v>0</v>
      </c>
      <c r="J8" s="28">
        <f t="shared" si="3"/>
        <v>0</v>
      </c>
      <c r="K8" s="28">
        <f t="shared" si="3"/>
        <v>0</v>
      </c>
      <c r="L8" s="28">
        <f t="shared" si="3"/>
        <v>0</v>
      </c>
      <c r="M8" s="28">
        <f t="shared" si="3"/>
        <v>0</v>
      </c>
      <c r="N8" s="28">
        <f t="shared" si="3"/>
        <v>0</v>
      </c>
      <c r="O8" s="28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0</v>
      </c>
      <c r="W8" s="28">
        <f t="shared" si="3"/>
        <v>0</v>
      </c>
      <c r="X8" s="28">
        <f t="shared" si="3"/>
        <v>0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28">
        <f t="shared" si="3"/>
        <v>0</v>
      </c>
      <c r="AF8" s="28">
        <f t="shared" si="3"/>
        <v>0</v>
      </c>
      <c r="AG8" s="28">
        <f t="shared" si="3"/>
        <v>0</v>
      </c>
      <c r="AH8" s="28">
        <f t="shared" si="3"/>
        <v>0</v>
      </c>
      <c r="AI8" s="28">
        <f t="shared" ref="AI8:BN8" si="4">AI5-AH5</f>
        <v>0</v>
      </c>
      <c r="AJ8" s="28">
        <f t="shared" si="4"/>
        <v>0</v>
      </c>
      <c r="AK8" s="28">
        <f t="shared" si="4"/>
        <v>0</v>
      </c>
      <c r="AL8" s="28">
        <f t="shared" si="4"/>
        <v>0</v>
      </c>
      <c r="AM8" s="28">
        <f t="shared" si="4"/>
        <v>0</v>
      </c>
      <c r="AN8" s="28">
        <f t="shared" si="4"/>
        <v>0</v>
      </c>
      <c r="AO8" s="28">
        <f t="shared" si="4"/>
        <v>0</v>
      </c>
      <c r="AP8" s="28">
        <f t="shared" si="4"/>
        <v>0</v>
      </c>
      <c r="AQ8" s="28">
        <f t="shared" si="4"/>
        <v>1</v>
      </c>
      <c r="AR8" s="28">
        <f t="shared" si="4"/>
        <v>1</v>
      </c>
      <c r="AS8" s="28">
        <f t="shared" si="4"/>
        <v>1</v>
      </c>
      <c r="AT8" s="28">
        <f t="shared" si="4"/>
        <v>2</v>
      </c>
      <c r="AU8" s="28">
        <f t="shared" si="4"/>
        <v>5</v>
      </c>
      <c r="AV8" s="28">
        <f t="shared" si="4"/>
        <v>7</v>
      </c>
      <c r="AW8" s="28">
        <f t="shared" si="4"/>
        <v>11</v>
      </c>
      <c r="AX8" s="28">
        <f t="shared" si="4"/>
        <v>7</v>
      </c>
      <c r="AY8" s="28">
        <f t="shared" si="4"/>
        <v>19</v>
      </c>
      <c r="AZ8" s="28">
        <f t="shared" si="4"/>
        <v>1</v>
      </c>
      <c r="BA8" s="28">
        <f t="shared" si="4"/>
        <v>78</v>
      </c>
      <c r="BB8" s="28">
        <f t="shared" si="4"/>
        <v>62</v>
      </c>
      <c r="BC8" s="28">
        <f t="shared" si="4"/>
        <v>94</v>
      </c>
      <c r="BD8" s="28">
        <f t="shared" si="4"/>
        <v>53</v>
      </c>
      <c r="BE8" s="28">
        <f t="shared" si="4"/>
        <v>191</v>
      </c>
      <c r="BF8" s="28">
        <f t="shared" si="4"/>
        <v>90</v>
      </c>
      <c r="BG8" s="28">
        <f t="shared" si="4"/>
        <v>207</v>
      </c>
      <c r="BH8" s="28">
        <f t="shared" si="4"/>
        <v>213</v>
      </c>
      <c r="BI8" s="28">
        <f t="shared" si="4"/>
        <v>332</v>
      </c>
      <c r="BJ8" s="28">
        <f t="shared" si="4"/>
        <v>397</v>
      </c>
      <c r="BK8" s="28">
        <f t="shared" si="4"/>
        <v>539</v>
      </c>
      <c r="BL8" s="28">
        <f t="shared" si="4"/>
        <v>497</v>
      </c>
      <c r="BM8" s="28">
        <f t="shared" si="4"/>
        <v>839</v>
      </c>
      <c r="BN8" s="28">
        <f t="shared" si="4"/>
        <v>718</v>
      </c>
      <c r="BO8" s="28">
        <f t="shared" ref="BO8:CE8" si="5">BO5-BN5</f>
        <v>773</v>
      </c>
      <c r="BP8" s="28">
        <f t="shared" si="5"/>
        <v>844</v>
      </c>
      <c r="BQ8" s="28">
        <f t="shared" si="5"/>
        <v>821</v>
      </c>
      <c r="BR8" s="28">
        <f t="shared" si="5"/>
        <v>-6803</v>
      </c>
      <c r="BS8" s="28">
        <f t="shared" si="5"/>
        <v>0</v>
      </c>
      <c r="BT8" s="28">
        <f t="shared" si="5"/>
        <v>0</v>
      </c>
      <c r="BU8" s="28">
        <f t="shared" si="5"/>
        <v>0</v>
      </c>
      <c r="BV8" s="28">
        <f t="shared" si="5"/>
        <v>0</v>
      </c>
      <c r="BW8" s="28">
        <f t="shared" si="5"/>
        <v>0</v>
      </c>
      <c r="BX8" s="28">
        <f t="shared" si="5"/>
        <v>0</v>
      </c>
      <c r="BY8" s="28">
        <f t="shared" si="5"/>
        <v>0</v>
      </c>
      <c r="BZ8" s="28">
        <f t="shared" si="5"/>
        <v>0</v>
      </c>
      <c r="CA8" s="28">
        <f t="shared" si="5"/>
        <v>0</v>
      </c>
      <c r="CB8" s="28">
        <f t="shared" si="5"/>
        <v>0</v>
      </c>
      <c r="CC8" s="28">
        <f t="shared" si="5"/>
        <v>0</v>
      </c>
      <c r="CD8" s="28">
        <f t="shared" si="5"/>
        <v>0</v>
      </c>
      <c r="CE8" s="28">
        <f t="shared" si="5"/>
        <v>0</v>
      </c>
    </row>
    <row r="9" spans="1:83" s="11" customFormat="1" ht="12.75" x14ac:dyDescent="0.2">
      <c r="A9" s="26" t="s">
        <v>438</v>
      </c>
      <c r="B9" s="28"/>
      <c r="C9" s="28">
        <f t="shared" ref="C9:AH9" si="6">C6-B6</f>
        <v>0</v>
      </c>
      <c r="D9" s="28">
        <f t="shared" si="6"/>
        <v>0</v>
      </c>
      <c r="E9" s="28">
        <f t="shared" si="6"/>
        <v>0</v>
      </c>
      <c r="F9" s="28">
        <f t="shared" si="6"/>
        <v>0</v>
      </c>
      <c r="G9" s="28">
        <f t="shared" si="6"/>
        <v>0</v>
      </c>
      <c r="H9" s="28">
        <f t="shared" si="6"/>
        <v>0</v>
      </c>
      <c r="I9" s="28">
        <f t="shared" si="6"/>
        <v>0</v>
      </c>
      <c r="J9" s="28">
        <f t="shared" si="6"/>
        <v>0</v>
      </c>
      <c r="K9" s="28">
        <f t="shared" si="6"/>
        <v>0</v>
      </c>
      <c r="L9" s="28">
        <f t="shared" si="6"/>
        <v>0</v>
      </c>
      <c r="M9" s="28">
        <f t="shared" si="6"/>
        <v>0</v>
      </c>
      <c r="N9" s="28">
        <f t="shared" si="6"/>
        <v>0</v>
      </c>
      <c r="O9" s="28">
        <f t="shared" si="6"/>
        <v>0</v>
      </c>
      <c r="P9" s="28">
        <f t="shared" si="6"/>
        <v>0</v>
      </c>
      <c r="Q9" s="28">
        <f t="shared" si="6"/>
        <v>0</v>
      </c>
      <c r="R9" s="28">
        <f t="shared" si="6"/>
        <v>0</v>
      </c>
      <c r="S9" s="28">
        <f t="shared" si="6"/>
        <v>0</v>
      </c>
      <c r="T9" s="28">
        <f t="shared" si="6"/>
        <v>0</v>
      </c>
      <c r="U9" s="28">
        <f t="shared" si="6"/>
        <v>0</v>
      </c>
      <c r="V9" s="28">
        <f t="shared" si="6"/>
        <v>0</v>
      </c>
      <c r="W9" s="28">
        <f t="shared" si="6"/>
        <v>0</v>
      </c>
      <c r="X9" s="28">
        <f t="shared" si="6"/>
        <v>0</v>
      </c>
      <c r="Y9" s="28">
        <f t="shared" si="6"/>
        <v>0</v>
      </c>
      <c r="Z9" s="28">
        <f t="shared" si="6"/>
        <v>2</v>
      </c>
      <c r="AA9" s="28">
        <f t="shared" si="6"/>
        <v>0</v>
      </c>
      <c r="AB9" s="28">
        <f t="shared" si="6"/>
        <v>0</v>
      </c>
      <c r="AC9" s="28">
        <f t="shared" si="6"/>
        <v>0</v>
      </c>
      <c r="AD9" s="28">
        <f t="shared" si="6"/>
        <v>0</v>
      </c>
      <c r="AE9" s="28">
        <f t="shared" si="6"/>
        <v>0</v>
      </c>
      <c r="AF9" s="28">
        <f t="shared" si="6"/>
        <v>0</v>
      </c>
      <c r="AG9" s="28">
        <f t="shared" si="6"/>
        <v>0</v>
      </c>
      <c r="AH9" s="28">
        <f t="shared" si="6"/>
        <v>0</v>
      </c>
      <c r="AI9" s="28">
        <f t="shared" ref="AI9:BN9" si="7">AI6-AH6</f>
        <v>0</v>
      </c>
      <c r="AJ9" s="28">
        <f t="shared" si="7"/>
        <v>0</v>
      </c>
      <c r="AK9" s="28">
        <f t="shared" si="7"/>
        <v>0</v>
      </c>
      <c r="AL9" s="28">
        <f t="shared" si="7"/>
        <v>0</v>
      </c>
      <c r="AM9" s="28">
        <f t="shared" si="7"/>
        <v>0</v>
      </c>
      <c r="AN9" s="28">
        <f t="shared" si="7"/>
        <v>0</v>
      </c>
      <c r="AO9" s="28">
        <f t="shared" si="7"/>
        <v>0</v>
      </c>
      <c r="AP9" s="28">
        <f t="shared" si="7"/>
        <v>0</v>
      </c>
      <c r="AQ9" s="28">
        <f t="shared" si="7"/>
        <v>0</v>
      </c>
      <c r="AR9" s="28">
        <f t="shared" si="7"/>
        <v>0</v>
      </c>
      <c r="AS9" s="28">
        <f t="shared" si="7"/>
        <v>0</v>
      </c>
      <c r="AT9" s="28">
        <f t="shared" si="7"/>
        <v>0</v>
      </c>
      <c r="AU9" s="28">
        <f t="shared" si="7"/>
        <v>28</v>
      </c>
      <c r="AV9" s="28">
        <f t="shared" si="7"/>
        <v>0</v>
      </c>
      <c r="AW9" s="28">
        <f t="shared" si="7"/>
        <v>2</v>
      </c>
      <c r="AX9" s="28">
        <f t="shared" si="7"/>
        <v>0</v>
      </c>
      <c r="AY9" s="28">
        <f t="shared" si="7"/>
        <v>151</v>
      </c>
      <c r="AZ9" s="28">
        <f t="shared" si="7"/>
        <v>0</v>
      </c>
      <c r="BA9" s="28">
        <f t="shared" si="7"/>
        <v>10</v>
      </c>
      <c r="BB9" s="28">
        <f t="shared" si="7"/>
        <v>324</v>
      </c>
      <c r="BC9" s="28">
        <f t="shared" si="7"/>
        <v>0</v>
      </c>
      <c r="BD9" s="28">
        <f t="shared" si="7"/>
        <v>13</v>
      </c>
      <c r="BE9" s="28">
        <f t="shared" si="7"/>
        <v>498</v>
      </c>
      <c r="BF9" s="28">
        <f t="shared" si="7"/>
        <v>53</v>
      </c>
      <c r="BG9" s="28">
        <f t="shared" si="7"/>
        <v>26</v>
      </c>
      <c r="BH9" s="28">
        <f t="shared" si="7"/>
        <v>481</v>
      </c>
      <c r="BI9" s="28">
        <f t="shared" si="7"/>
        <v>537</v>
      </c>
      <c r="BJ9" s="28">
        <f t="shared" si="7"/>
        <v>450</v>
      </c>
      <c r="BK9" s="28">
        <f t="shared" si="7"/>
        <v>0</v>
      </c>
      <c r="BL9" s="28">
        <f t="shared" si="7"/>
        <v>1219</v>
      </c>
      <c r="BM9" s="28">
        <f t="shared" si="7"/>
        <v>1573</v>
      </c>
      <c r="BN9" s="28">
        <f t="shared" si="7"/>
        <v>1648</v>
      </c>
      <c r="BO9" s="28">
        <f t="shared" ref="BO9:CE9" si="8">BO6-BN6</f>
        <v>2342</v>
      </c>
      <c r="BP9" s="28">
        <f t="shared" si="8"/>
        <v>2928</v>
      </c>
      <c r="BQ9" s="28">
        <f t="shared" si="8"/>
        <v>2424</v>
      </c>
      <c r="BR9" s="28">
        <f t="shared" si="8"/>
        <v>-14709</v>
      </c>
      <c r="BS9" s="28">
        <f t="shared" si="8"/>
        <v>0</v>
      </c>
      <c r="BT9" s="28">
        <f t="shared" si="8"/>
        <v>0</v>
      </c>
      <c r="BU9" s="28">
        <f t="shared" si="8"/>
        <v>0</v>
      </c>
      <c r="BV9" s="28">
        <f t="shared" si="8"/>
        <v>0</v>
      </c>
      <c r="BW9" s="28">
        <f t="shared" si="8"/>
        <v>0</v>
      </c>
      <c r="BX9" s="28">
        <f t="shared" si="8"/>
        <v>0</v>
      </c>
      <c r="BY9" s="28">
        <f t="shared" si="8"/>
        <v>0</v>
      </c>
      <c r="BZ9" s="28">
        <f t="shared" si="8"/>
        <v>0</v>
      </c>
      <c r="CA9" s="28">
        <f t="shared" si="8"/>
        <v>0</v>
      </c>
      <c r="CB9" s="28">
        <f t="shared" si="8"/>
        <v>0</v>
      </c>
      <c r="CC9" s="28">
        <f t="shared" si="8"/>
        <v>0</v>
      </c>
      <c r="CD9" s="28">
        <f t="shared" si="8"/>
        <v>0</v>
      </c>
      <c r="CE9" s="28">
        <f t="shared" si="8"/>
        <v>0</v>
      </c>
    </row>
    <row r="10" spans="1:83" s="11" customFormat="1" ht="12.75" x14ac:dyDescent="0.2">
      <c r="A10" s="26" t="s">
        <v>441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32">
        <f t="shared" ref="AO10:CE10" si="9">IF(AO4=0,"",AO5/AO4)</f>
        <v>0</v>
      </c>
      <c r="AP10" s="32">
        <f t="shared" si="9"/>
        <v>0</v>
      </c>
      <c r="AQ10" s="32">
        <f t="shared" si="9"/>
        <v>6.0606060606060606E-3</v>
      </c>
      <c r="AR10" s="32">
        <f t="shared" si="9"/>
        <v>9.0090090090090089E-3</v>
      </c>
      <c r="AS10" s="32">
        <f t="shared" si="9"/>
        <v>1.1583011583011582E-2</v>
      </c>
      <c r="AT10" s="32">
        <f t="shared" si="9"/>
        <v>1.2500000000000001E-2</v>
      </c>
      <c r="AU10" s="32">
        <f t="shared" si="9"/>
        <v>0.02</v>
      </c>
      <c r="AV10" s="32">
        <f t="shared" si="9"/>
        <v>2.5260029717682021E-2</v>
      </c>
      <c r="AW10" s="32">
        <f t="shared" si="9"/>
        <v>2.6095060577819199E-2</v>
      </c>
      <c r="AX10" s="32">
        <f t="shared" si="9"/>
        <v>2.0648967551622419E-2</v>
      </c>
      <c r="AY10" s="32">
        <f t="shared" si="9"/>
        <v>2.3715415019762844E-2</v>
      </c>
      <c r="AZ10" s="32">
        <f t="shared" si="9"/>
        <v>2.4154589371980676E-2</v>
      </c>
      <c r="BA10" s="32">
        <f t="shared" si="9"/>
        <v>2.5420489296636085E-2</v>
      </c>
      <c r="BB10" s="32">
        <f t="shared" si="9"/>
        <v>3.0511657017681115E-2</v>
      </c>
      <c r="BC10" s="32">
        <f t="shared" si="9"/>
        <v>3.7060784816619646E-2</v>
      </c>
      <c r="BD10" s="32">
        <f t="shared" si="9"/>
        <v>3.4399517199758603E-2</v>
      </c>
      <c r="BE10" s="32">
        <f t="shared" si="9"/>
        <v>4.5369424582907728E-2</v>
      </c>
      <c r="BF10" s="32">
        <f t="shared" si="9"/>
        <v>4.4787922358015819E-2</v>
      </c>
      <c r="BG10" s="32">
        <f t="shared" si="9"/>
        <v>4.6206090296721035E-2</v>
      </c>
      <c r="BH10" s="32">
        <f t="shared" si="9"/>
        <v>5.1102400783929448E-2</v>
      </c>
      <c r="BI10" s="32">
        <f t="shared" si="9"/>
        <v>5.4189327658232839E-2</v>
      </c>
      <c r="BJ10" s="32">
        <f t="shared" si="9"/>
        <v>6.1596218020022249E-2</v>
      </c>
      <c r="BK10" s="32">
        <f t="shared" si="9"/>
        <v>6.5772996357012753E-2</v>
      </c>
      <c r="BL10" s="32">
        <f t="shared" si="9"/>
        <v>7.0402406919894703E-2</v>
      </c>
      <c r="BM10" s="32">
        <f t="shared" si="9"/>
        <v>7.3654448147026153E-2</v>
      </c>
      <c r="BN10" s="32">
        <f t="shared" si="9"/>
        <v>7.5537327380334335E-2</v>
      </c>
      <c r="BO10" s="32">
        <f t="shared" si="9"/>
        <v>7.8181347859827444E-2</v>
      </c>
      <c r="BP10" s="32">
        <f t="shared" si="9"/>
        <v>8.1682255752031127E-2</v>
      </c>
      <c r="BQ10" s="32">
        <f t="shared" si="9"/>
        <v>8.4920733990762706E-2</v>
      </c>
      <c r="BR10" s="32" t="str">
        <f t="shared" si="9"/>
        <v/>
      </c>
      <c r="BS10" s="32" t="str">
        <f t="shared" si="9"/>
        <v/>
      </c>
      <c r="BT10" s="32" t="str">
        <f t="shared" si="9"/>
        <v/>
      </c>
      <c r="BU10" s="32" t="str">
        <f t="shared" si="9"/>
        <v/>
      </c>
      <c r="BV10" s="32" t="str">
        <f t="shared" si="9"/>
        <v/>
      </c>
      <c r="BW10" s="32" t="str">
        <f t="shared" si="9"/>
        <v/>
      </c>
      <c r="BX10" s="32" t="str">
        <f t="shared" si="9"/>
        <v/>
      </c>
      <c r="BY10" s="32" t="str">
        <f t="shared" si="9"/>
        <v/>
      </c>
      <c r="BZ10" s="32" t="str">
        <f t="shared" si="9"/>
        <v/>
      </c>
      <c r="CA10" s="32" t="str">
        <f t="shared" si="9"/>
        <v/>
      </c>
      <c r="CB10" s="32" t="str">
        <f t="shared" si="9"/>
        <v/>
      </c>
      <c r="CC10" s="32" t="str">
        <f t="shared" si="9"/>
        <v/>
      </c>
      <c r="CD10" s="32" t="str">
        <f t="shared" si="9"/>
        <v/>
      </c>
      <c r="CE10" s="32" t="str">
        <f t="shared" si="9"/>
        <v/>
      </c>
    </row>
    <row r="11" spans="1:83" s="11" customFormat="1" ht="12.75" x14ac:dyDescent="0.2">
      <c r="A11" s="26" t="s">
        <v>307</v>
      </c>
      <c r="B11" s="31"/>
      <c r="C11" s="31" t="str">
        <f t="shared" ref="C11:AH11" si="10">IF(C4-B4,(2*B4-C4)/(C4-B4)+1,"infinite")</f>
        <v>infinite</v>
      </c>
      <c r="D11" s="31" t="str">
        <f t="shared" si="10"/>
        <v>infinite</v>
      </c>
      <c r="E11" s="31" t="str">
        <f t="shared" si="10"/>
        <v>infinite</v>
      </c>
      <c r="F11" s="31" t="str">
        <f t="shared" si="10"/>
        <v>infinite</v>
      </c>
      <c r="G11" s="31" t="str">
        <f t="shared" si="10"/>
        <v>infinite</v>
      </c>
      <c r="H11" s="31" t="str">
        <f t="shared" si="10"/>
        <v>infinite</v>
      </c>
      <c r="I11" s="31" t="str">
        <f t="shared" si="10"/>
        <v>infinite</v>
      </c>
      <c r="J11" s="31" t="str">
        <f t="shared" si="10"/>
        <v>infinite</v>
      </c>
      <c r="K11" s="31" t="str">
        <f t="shared" si="10"/>
        <v>infinite</v>
      </c>
      <c r="L11" s="31">
        <f t="shared" si="10"/>
        <v>0</v>
      </c>
      <c r="M11" s="31" t="str">
        <f t="shared" si="10"/>
        <v>infinite</v>
      </c>
      <c r="N11" s="31" t="str">
        <f t="shared" si="10"/>
        <v>infinite</v>
      </c>
      <c r="O11" s="31" t="str">
        <f t="shared" si="10"/>
        <v>infinite</v>
      </c>
      <c r="P11" s="31" t="str">
        <f t="shared" si="10"/>
        <v>infinite</v>
      </c>
      <c r="Q11" s="31" t="str">
        <f t="shared" si="10"/>
        <v>infinite</v>
      </c>
      <c r="R11" s="31" t="str">
        <f t="shared" si="10"/>
        <v>infinite</v>
      </c>
      <c r="S11" s="31" t="str">
        <f t="shared" si="10"/>
        <v>infinite</v>
      </c>
      <c r="T11" s="31">
        <f t="shared" si="10"/>
        <v>1</v>
      </c>
      <c r="U11" s="31" t="str">
        <f t="shared" si="10"/>
        <v>infinite</v>
      </c>
      <c r="V11" s="31" t="str">
        <f t="shared" si="10"/>
        <v>infinite</v>
      </c>
      <c r="W11" s="31" t="str">
        <f t="shared" si="10"/>
        <v>infinite</v>
      </c>
      <c r="X11" s="31" t="str">
        <f t="shared" si="10"/>
        <v>infinite</v>
      </c>
      <c r="Y11" s="31" t="str">
        <f t="shared" si="10"/>
        <v>infinite</v>
      </c>
      <c r="Z11" s="31" t="str">
        <f t="shared" si="10"/>
        <v>infinite</v>
      </c>
      <c r="AA11" s="31" t="str">
        <f t="shared" si="10"/>
        <v>infinite</v>
      </c>
      <c r="AB11" s="31" t="str">
        <f t="shared" si="10"/>
        <v>infinite</v>
      </c>
      <c r="AC11" s="31" t="str">
        <f t="shared" si="10"/>
        <v>infinite</v>
      </c>
      <c r="AD11" s="31" t="str">
        <f t="shared" si="10"/>
        <v>infinite</v>
      </c>
      <c r="AE11" s="31" t="str">
        <f t="shared" si="10"/>
        <v>infinite</v>
      </c>
      <c r="AF11" s="31" t="str">
        <f t="shared" si="10"/>
        <v>infinite</v>
      </c>
      <c r="AG11" s="31" t="str">
        <f t="shared" si="10"/>
        <v>infinite</v>
      </c>
      <c r="AH11" s="31" t="str">
        <f t="shared" si="10"/>
        <v>infinite</v>
      </c>
      <c r="AI11" s="31" t="str">
        <f t="shared" ref="AI11:BN11" si="11">IF(AI4-AH4,(2*AH4-AI4)/(AI4-AH4)+1,"infinite")</f>
        <v>infinite</v>
      </c>
      <c r="AJ11" s="31">
        <f t="shared" si="11"/>
        <v>0.5</v>
      </c>
      <c r="AK11" s="31">
        <f t="shared" si="11"/>
        <v>0.85714285714285721</v>
      </c>
      <c r="AL11" s="31">
        <f t="shared" si="11"/>
        <v>6.5</v>
      </c>
      <c r="AM11" s="31">
        <f t="shared" si="11"/>
        <v>0.88235294117647056</v>
      </c>
      <c r="AN11" s="31">
        <f t="shared" si="11"/>
        <v>2.4615384615384617</v>
      </c>
      <c r="AO11" s="31">
        <f t="shared" si="11"/>
        <v>1.1538461538461537</v>
      </c>
      <c r="AP11" s="31">
        <f t="shared" si="11"/>
        <v>2.333333333333333</v>
      </c>
      <c r="AQ11" s="31">
        <f t="shared" si="11"/>
        <v>2.666666666666667</v>
      </c>
      <c r="AR11" s="31">
        <f t="shared" si="11"/>
        <v>2.8947368421052628</v>
      </c>
      <c r="AS11" s="31">
        <f t="shared" si="11"/>
        <v>6</v>
      </c>
      <c r="AT11" s="31">
        <f t="shared" si="11"/>
        <v>1.8368794326241136</v>
      </c>
      <c r="AU11" s="31">
        <f t="shared" si="11"/>
        <v>4</v>
      </c>
      <c r="AV11" s="31">
        <f t="shared" si="11"/>
        <v>2.8901734104046244</v>
      </c>
      <c r="AW11" s="31">
        <f t="shared" si="11"/>
        <v>1.6825000000000001</v>
      </c>
      <c r="AX11" s="31">
        <f t="shared" si="11"/>
        <v>1.72508038585209</v>
      </c>
      <c r="AY11" s="31">
        <f t="shared" si="11"/>
        <v>2.9123711340206189</v>
      </c>
      <c r="AZ11" s="31" t="str">
        <f t="shared" si="11"/>
        <v>infinite</v>
      </c>
      <c r="BA11" s="31">
        <f t="shared" si="11"/>
        <v>0.77055837563451779</v>
      </c>
      <c r="BB11" s="31">
        <f t="shared" si="11"/>
        <v>4.5142364106988779</v>
      </c>
      <c r="BC11" s="31">
        <f t="shared" si="11"/>
        <v>4.5422885572139302</v>
      </c>
      <c r="BD11" s="31">
        <f t="shared" si="11"/>
        <v>3.6371268656716418</v>
      </c>
      <c r="BE11" s="31">
        <f t="shared" si="11"/>
        <v>5.5049833887043187</v>
      </c>
      <c r="BF11" s="31">
        <f t="shared" si="11"/>
        <v>5.4338575393154489</v>
      </c>
      <c r="BG11" s="31">
        <f t="shared" si="11"/>
        <v>3.4320256600049346</v>
      </c>
      <c r="BH11" s="31">
        <f t="shared" si="11"/>
        <v>7.3408255006129952</v>
      </c>
      <c r="BI11" s="31">
        <f t="shared" si="11"/>
        <v>4.1116035455277995</v>
      </c>
      <c r="BJ11" s="31">
        <f t="shared" si="11"/>
        <v>7.4761343547436656</v>
      </c>
      <c r="BK11" s="31">
        <f t="shared" si="11"/>
        <v>4.5175879396984921</v>
      </c>
      <c r="BL11" s="31">
        <f t="shared" si="11"/>
        <v>7.3986102337334172</v>
      </c>
      <c r="BM11" s="31">
        <f t="shared" si="11"/>
        <v>4.1417445482866047</v>
      </c>
      <c r="BN11" s="31">
        <f t="shared" si="11"/>
        <v>5.9865796155241204</v>
      </c>
      <c r="BO11" s="31">
        <f t="shared" ref="BO11:CE11" si="12">IF(BO4-BN4,(2*BN4-BO4)/(BO4-BN4)+1,"infinite")</f>
        <v>7.2842556409933188</v>
      </c>
      <c r="BP11" s="31">
        <f t="shared" si="12"/>
        <v>8.7438797232570522</v>
      </c>
      <c r="BQ11" s="31">
        <f t="shared" si="12"/>
        <v>10.652363636363637</v>
      </c>
      <c r="BR11" s="31">
        <f t="shared" si="12"/>
        <v>-1</v>
      </c>
      <c r="BS11" s="31" t="str">
        <f t="shared" si="12"/>
        <v>infinite</v>
      </c>
      <c r="BT11" s="31" t="str">
        <f t="shared" si="12"/>
        <v>infinite</v>
      </c>
      <c r="BU11" s="31" t="str">
        <f t="shared" si="12"/>
        <v>infinite</v>
      </c>
      <c r="BV11" s="31" t="str">
        <f t="shared" si="12"/>
        <v>infinite</v>
      </c>
      <c r="BW11" s="31" t="str">
        <f t="shared" si="12"/>
        <v>infinite</v>
      </c>
      <c r="BX11" s="31" t="str">
        <f t="shared" si="12"/>
        <v>infinite</v>
      </c>
      <c r="BY11" s="31" t="str">
        <f t="shared" si="12"/>
        <v>infinite</v>
      </c>
      <c r="BZ11" s="31" t="str">
        <f t="shared" si="12"/>
        <v>infinite</v>
      </c>
      <c r="CA11" s="31" t="str">
        <f t="shared" si="12"/>
        <v>infinite</v>
      </c>
      <c r="CB11" s="31" t="str">
        <f t="shared" si="12"/>
        <v>infinite</v>
      </c>
      <c r="CC11" s="31" t="str">
        <f t="shared" si="12"/>
        <v>infinite</v>
      </c>
      <c r="CD11" s="31" t="str">
        <f t="shared" si="12"/>
        <v>infinite</v>
      </c>
      <c r="CE11" s="31" t="str">
        <f t="shared" si="12"/>
        <v>infinite</v>
      </c>
    </row>
    <row r="12" spans="1:83" s="12" customFormat="1" x14ac:dyDescent="0.25">
      <c r="B12" s="13"/>
    </row>
    <row r="13" spans="1:83" s="16" customFormat="1" ht="29.25" customHeight="1" x14ac:dyDescent="0.25">
      <c r="A13" s="14" t="s">
        <v>241</v>
      </c>
      <c r="B13" s="15"/>
    </row>
    <row r="14" spans="1:83" s="30" customFormat="1" ht="24.75" customHeight="1" x14ac:dyDescent="0.25">
      <c r="A14" s="22" t="s">
        <v>0</v>
      </c>
      <c r="B14" s="20" t="s">
        <v>246</v>
      </c>
      <c r="C14" s="21" t="s">
        <v>247</v>
      </c>
      <c r="D14" s="21" t="s">
        <v>248</v>
      </c>
      <c r="E14" s="21" t="s">
        <v>249</v>
      </c>
      <c r="F14" s="21" t="s">
        <v>250</v>
      </c>
      <c r="G14" s="21" t="s">
        <v>251</v>
      </c>
      <c r="H14" s="21" t="s">
        <v>252</v>
      </c>
      <c r="I14" s="21" t="s">
        <v>253</v>
      </c>
      <c r="J14" s="21" t="s">
        <v>254</v>
      </c>
      <c r="K14" s="21" t="s">
        <v>255</v>
      </c>
      <c r="L14" s="21" t="s">
        <v>256</v>
      </c>
      <c r="M14" s="21" t="s">
        <v>257</v>
      </c>
      <c r="N14" s="21" t="s">
        <v>258</v>
      </c>
      <c r="O14" s="21" t="s">
        <v>259</v>
      </c>
      <c r="P14" s="21" t="s">
        <v>260</v>
      </c>
      <c r="Q14" s="21" t="s">
        <v>261</v>
      </c>
      <c r="R14" s="21" t="s">
        <v>262</v>
      </c>
      <c r="S14" s="21" t="s">
        <v>263</v>
      </c>
      <c r="T14" s="21" t="s">
        <v>264</v>
      </c>
      <c r="U14" s="21" t="s">
        <v>265</v>
      </c>
      <c r="V14" s="21" t="s">
        <v>266</v>
      </c>
      <c r="W14" s="21" t="s">
        <v>267</v>
      </c>
      <c r="X14" s="21" t="s">
        <v>268</v>
      </c>
      <c r="Y14" s="21" t="s">
        <v>269</v>
      </c>
      <c r="Z14" s="21" t="s">
        <v>270</v>
      </c>
      <c r="AA14" s="21" t="s">
        <v>271</v>
      </c>
      <c r="AB14" s="21" t="s">
        <v>272</v>
      </c>
      <c r="AC14" s="21" t="s">
        <v>273</v>
      </c>
      <c r="AD14" s="21" t="s">
        <v>274</v>
      </c>
      <c r="AE14" s="21" t="s">
        <v>275</v>
      </c>
      <c r="AF14" s="21" t="s">
        <v>276</v>
      </c>
      <c r="AG14" s="21" t="s">
        <v>277</v>
      </c>
      <c r="AH14" s="21" t="s">
        <v>278</v>
      </c>
      <c r="AI14" s="21" t="s">
        <v>279</v>
      </c>
      <c r="AJ14" s="21" t="s">
        <v>280</v>
      </c>
      <c r="AK14" s="21" t="s">
        <v>281</v>
      </c>
      <c r="AL14" s="21" t="s">
        <v>282</v>
      </c>
      <c r="AM14" s="21" t="s">
        <v>283</v>
      </c>
      <c r="AN14" s="21" t="s">
        <v>284</v>
      </c>
      <c r="AO14" s="21" t="s">
        <v>285</v>
      </c>
      <c r="AP14" s="21" t="s">
        <v>286</v>
      </c>
      <c r="AQ14" s="21" t="s">
        <v>287</v>
      </c>
      <c r="AR14" s="21" t="s">
        <v>288</v>
      </c>
      <c r="AS14" s="21" t="s">
        <v>289</v>
      </c>
      <c r="AT14" s="21" t="s">
        <v>290</v>
      </c>
      <c r="AU14" s="21" t="s">
        <v>291</v>
      </c>
      <c r="AV14" s="21" t="s">
        <v>292</v>
      </c>
      <c r="AW14" s="21" t="s">
        <v>293</v>
      </c>
      <c r="AX14" s="21" t="s">
        <v>294</v>
      </c>
      <c r="AY14" s="21" t="s">
        <v>295</v>
      </c>
      <c r="AZ14" s="21" t="s">
        <v>296</v>
      </c>
      <c r="BA14" s="21" t="s">
        <v>297</v>
      </c>
      <c r="BB14" s="21" t="s">
        <v>298</v>
      </c>
      <c r="BC14" s="21" t="s">
        <v>299</v>
      </c>
      <c r="BD14" s="21" t="s">
        <v>300</v>
      </c>
      <c r="BE14" s="21" t="s">
        <v>301</v>
      </c>
      <c r="BF14" s="21" t="s">
        <v>302</v>
      </c>
      <c r="BG14" s="21" t="s">
        <v>303</v>
      </c>
      <c r="BH14" s="21" t="s">
        <v>304</v>
      </c>
      <c r="BI14" s="21" t="s">
        <v>305</v>
      </c>
      <c r="BJ14" s="21" t="s">
        <v>306</v>
      </c>
      <c r="BK14" s="21" t="s">
        <v>308</v>
      </c>
      <c r="BL14" s="21" t="s">
        <v>309</v>
      </c>
      <c r="BM14" s="21" t="s">
        <v>310</v>
      </c>
      <c r="BN14" s="21" t="s">
        <v>311</v>
      </c>
      <c r="BO14" s="21" t="s">
        <v>312</v>
      </c>
      <c r="BP14" s="21" t="s">
        <v>313</v>
      </c>
      <c r="BQ14" s="21" t="s">
        <v>314</v>
      </c>
      <c r="BR14" s="21" t="s">
        <v>315</v>
      </c>
      <c r="BS14" s="21" t="s">
        <v>316</v>
      </c>
      <c r="BT14" s="21" t="s">
        <v>317</v>
      </c>
      <c r="BU14" s="21" t="s">
        <v>318</v>
      </c>
      <c r="BV14" s="21" t="s">
        <v>319</v>
      </c>
      <c r="BW14" s="21" t="s">
        <v>320</v>
      </c>
      <c r="BX14" s="21" t="s">
        <v>321</v>
      </c>
      <c r="BY14" s="21" t="s">
        <v>322</v>
      </c>
      <c r="BZ14" s="21" t="s">
        <v>323</v>
      </c>
      <c r="CA14" s="21" t="s">
        <v>324</v>
      </c>
      <c r="CB14" s="21" t="s">
        <v>325</v>
      </c>
      <c r="CC14" s="21" t="s">
        <v>326</v>
      </c>
      <c r="CD14" s="21" t="s">
        <v>327</v>
      </c>
      <c r="CE14" s="21" t="s">
        <v>328</v>
      </c>
    </row>
    <row r="15" spans="1:83" s="11" customFormat="1" ht="12.75" x14ac:dyDescent="0.2">
      <c r="A15" s="27" t="s">
        <v>15</v>
      </c>
      <c r="B15" s="9">
        <f>SUMIF(RAW_Cases!$B:$B,Tabelle2[[#This Row],[Country/Region]],RAW_Cases!C:C)</f>
        <v>0</v>
      </c>
      <c r="C15" s="9">
        <f>SUMIF(RAW_Cases!$B:$B,Tabelle2[[#This Row],[Country/Region]],RAW_Cases!D:D)</f>
        <v>0</v>
      </c>
      <c r="D15" s="9">
        <f>SUMIF(RAW_Cases!$B:$B,Tabelle2[[#This Row],[Country/Region]],RAW_Cases!E:E)</f>
        <v>0</v>
      </c>
      <c r="E15" s="9">
        <f>SUMIF(RAW_Cases!$B:$B,Tabelle2[[#This Row],[Country/Region]],RAW_Cases!F:F)</f>
        <v>0</v>
      </c>
      <c r="F15" s="9">
        <f>SUMIF(RAW_Cases!$B:$B,Tabelle2[[#This Row],[Country/Region]],RAW_Cases!G:G)</f>
        <v>0</v>
      </c>
      <c r="G15" s="9">
        <f>SUMIF(RAW_Cases!$B:$B,Tabelle2[[#This Row],[Country/Region]],RAW_Cases!H:H)</f>
        <v>1</v>
      </c>
      <c r="H15" s="9">
        <f>SUMIF(RAW_Cases!$B:$B,Tabelle2[[#This Row],[Country/Region]],RAW_Cases!I:I)</f>
        <v>4</v>
      </c>
      <c r="I15" s="9">
        <f>SUMIF(RAW_Cases!$B:$B,Tabelle2[[#This Row],[Country/Region]],RAW_Cases!J:J)</f>
        <v>4</v>
      </c>
      <c r="J15" s="9">
        <f>SUMIF(RAW_Cases!$B:$B,Tabelle2[[#This Row],[Country/Region]],RAW_Cases!K:K)</f>
        <v>4</v>
      </c>
      <c r="K15" s="9">
        <f>SUMIF(RAW_Cases!$B:$B,Tabelle2[[#This Row],[Country/Region]],RAW_Cases!L:L)</f>
        <v>5</v>
      </c>
      <c r="L15" s="9">
        <f>SUMIF(RAW_Cases!$B:$B,Tabelle2[[#This Row],[Country/Region]],RAW_Cases!M:M)</f>
        <v>8</v>
      </c>
      <c r="M15" s="9">
        <f>SUMIF(RAW_Cases!$B:$B,Tabelle2[[#This Row],[Country/Region]],RAW_Cases!N:N)</f>
        <v>10</v>
      </c>
      <c r="N15" s="9">
        <f>SUMIF(RAW_Cases!$B:$B,Tabelle2[[#This Row],[Country/Region]],RAW_Cases!O:O)</f>
        <v>12</v>
      </c>
      <c r="O15" s="9">
        <f>SUMIF(RAW_Cases!$B:$B,Tabelle2[[#This Row],[Country/Region]],RAW_Cases!P:P)</f>
        <v>12</v>
      </c>
      <c r="P15" s="9">
        <f>SUMIF(RAW_Cases!$B:$B,Tabelle2[[#This Row],[Country/Region]],RAW_Cases!Q:Q)</f>
        <v>12</v>
      </c>
      <c r="Q15" s="9">
        <f>SUMIF(RAW_Cases!$B:$B,Tabelle2[[#This Row],[Country/Region]],RAW_Cases!R:R)</f>
        <v>12</v>
      </c>
      <c r="R15" s="9">
        <f>SUMIF(RAW_Cases!$B:$B,Tabelle2[[#This Row],[Country/Region]],RAW_Cases!S:S)</f>
        <v>13</v>
      </c>
      <c r="S15" s="9">
        <f>SUMIF(RAW_Cases!$B:$B,Tabelle2[[#This Row],[Country/Region]],RAW_Cases!T:T)</f>
        <v>13</v>
      </c>
      <c r="T15" s="9">
        <f>SUMIF(RAW_Cases!$B:$B,Tabelle2[[#This Row],[Country/Region]],RAW_Cases!U:U)</f>
        <v>14</v>
      </c>
      <c r="U15" s="9">
        <f>SUMIF(RAW_Cases!$B:$B,Tabelle2[[#This Row],[Country/Region]],RAW_Cases!V:V)</f>
        <v>14</v>
      </c>
      <c r="V15" s="9">
        <f>SUMIF(RAW_Cases!$B:$B,Tabelle2[[#This Row],[Country/Region]],RAW_Cases!W:W)</f>
        <v>16</v>
      </c>
      <c r="W15" s="9">
        <f>SUMIF(RAW_Cases!$B:$B,Tabelle2[[#This Row],[Country/Region]],RAW_Cases!X:X)</f>
        <v>16</v>
      </c>
      <c r="X15" s="9">
        <f>SUMIF(RAW_Cases!$B:$B,Tabelle2[[#This Row],[Country/Region]],RAW_Cases!Y:Y)</f>
        <v>16</v>
      </c>
      <c r="Y15" s="9">
        <f>SUMIF(RAW_Cases!$B:$B,Tabelle2[[#This Row],[Country/Region]],RAW_Cases!Z:Z)</f>
        <v>16</v>
      </c>
      <c r="Z15" s="9">
        <f>SUMIF(RAW_Cases!$B:$B,Tabelle2[[#This Row],[Country/Region]],RAW_Cases!AA:AA)</f>
        <v>16</v>
      </c>
      <c r="AA15" s="9">
        <f>SUMIF(RAW_Cases!$B:$B,Tabelle2[[#This Row],[Country/Region]],RAW_Cases!AB:AB)</f>
        <v>16</v>
      </c>
      <c r="AB15" s="9">
        <f>SUMIF(RAW_Cases!$B:$B,Tabelle2[[#This Row],[Country/Region]],RAW_Cases!AC:AC)</f>
        <v>16</v>
      </c>
      <c r="AC15" s="9">
        <f>SUMIF(RAW_Cases!$B:$B,Tabelle2[[#This Row],[Country/Region]],RAW_Cases!AD:AD)</f>
        <v>16</v>
      </c>
      <c r="AD15" s="9">
        <f>SUMIF(RAW_Cases!$B:$B,Tabelle2[[#This Row],[Country/Region]],RAW_Cases!AE:AE)</f>
        <v>16</v>
      </c>
      <c r="AE15" s="9">
        <f>SUMIF(RAW_Cases!$B:$B,Tabelle2[[#This Row],[Country/Region]],RAW_Cases!AF:AF)</f>
        <v>16</v>
      </c>
      <c r="AF15" s="9">
        <f>SUMIF(RAW_Cases!$B:$B,Tabelle2[[#This Row],[Country/Region]],RAW_Cases!AG:AG)</f>
        <v>16</v>
      </c>
      <c r="AG15" s="9">
        <f>SUMIF(RAW_Cases!$B:$B,Tabelle2[[#This Row],[Country/Region]],RAW_Cases!AH:AH)</f>
        <v>16</v>
      </c>
      <c r="AH15" s="9">
        <f>SUMIF(RAW_Cases!$B:$B,Tabelle2[[#This Row],[Country/Region]],RAW_Cases!AI:AI)</f>
        <v>16</v>
      </c>
      <c r="AI15" s="9">
        <f>SUMIF(RAW_Cases!$B:$B,Tabelle2[[#This Row],[Country/Region]],RAW_Cases!AJ:AJ)</f>
        <v>16</v>
      </c>
      <c r="AJ15" s="9">
        <f>SUMIF(RAW_Cases!$B:$B,Tabelle2[[#This Row],[Country/Region]],RAW_Cases!AK:AK)</f>
        <v>17</v>
      </c>
      <c r="AK15" s="9">
        <f>SUMIF(RAW_Cases!$B:$B,Tabelle2[[#This Row],[Country/Region]],RAW_Cases!AL:AL)</f>
        <v>27</v>
      </c>
      <c r="AL15" s="9">
        <f>SUMIF(RAW_Cases!$B:$B,Tabelle2[[#This Row],[Country/Region]],RAW_Cases!AM:AM)</f>
        <v>46</v>
      </c>
      <c r="AM15" s="9">
        <f>SUMIF(RAW_Cases!$B:$B,Tabelle2[[#This Row],[Country/Region]],RAW_Cases!AN:AN)</f>
        <v>48</v>
      </c>
      <c r="AN15" s="9">
        <f>SUMIF(RAW_Cases!$B:$B,Tabelle2[[#This Row],[Country/Region]],RAW_Cases!AO:AO)</f>
        <v>79</v>
      </c>
      <c r="AO15" s="9">
        <f>SUMIF(RAW_Cases!$B:$B,Tabelle2[[#This Row],[Country/Region]],RAW_Cases!AP:AP)</f>
        <v>130</v>
      </c>
      <c r="AP15" s="9">
        <f>SUMIF(RAW_Cases!$B:$B,Tabelle2[[#This Row],[Country/Region]],RAW_Cases!AQ:AQ)</f>
        <v>159</v>
      </c>
      <c r="AQ15" s="9">
        <f>SUMIF(RAW_Cases!$B:$B,Tabelle2[[#This Row],[Country/Region]],RAW_Cases!AR:AR)</f>
        <v>196</v>
      </c>
      <c r="AR15" s="9">
        <f>SUMIF(RAW_Cases!$B:$B,Tabelle2[[#This Row],[Country/Region]],RAW_Cases!AS:AS)</f>
        <v>262</v>
      </c>
      <c r="AS15" s="9">
        <f>SUMIF(RAW_Cases!$B:$B,Tabelle2[[#This Row],[Country/Region]],RAW_Cases!AT:AT)</f>
        <v>482</v>
      </c>
      <c r="AT15" s="9">
        <f>SUMIF(RAW_Cases!$B:$B,Tabelle2[[#This Row],[Country/Region]],RAW_Cases!AU:AU)</f>
        <v>670</v>
      </c>
      <c r="AU15" s="9">
        <f>SUMIF(RAW_Cases!$B:$B,Tabelle2[[#This Row],[Country/Region]],RAW_Cases!AV:AV)</f>
        <v>799</v>
      </c>
      <c r="AV15" s="9">
        <f>SUMIF(RAW_Cases!$B:$B,Tabelle2[[#This Row],[Country/Region]],RAW_Cases!AW:AW)</f>
        <v>1040</v>
      </c>
      <c r="AW15" s="9">
        <f>SUMIF(RAW_Cases!$B:$B,Tabelle2[[#This Row],[Country/Region]],RAW_Cases!AX:AX)</f>
        <v>1176</v>
      </c>
      <c r="AX15" s="9">
        <f>SUMIF(RAW_Cases!$B:$B,Tabelle2[[#This Row],[Country/Region]],RAW_Cases!AY:AY)</f>
        <v>1457</v>
      </c>
      <c r="AY15" s="9">
        <f>SUMIF(RAW_Cases!$B:$B,Tabelle2[[#This Row],[Country/Region]],RAW_Cases!AZ:AZ)</f>
        <v>1908</v>
      </c>
      <c r="AZ15" s="9">
        <f>SUMIF(RAW_Cases!$B:$B,Tabelle2[[#This Row],[Country/Region]],RAW_Cases!BA:BA)</f>
        <v>2078</v>
      </c>
      <c r="BA15" s="9">
        <f>SUMIF(RAW_Cases!$B:$B,Tabelle2[[#This Row],[Country/Region]],RAW_Cases!BB:BB)</f>
        <v>3675</v>
      </c>
      <c r="BB15" s="9">
        <f>SUMIF(RAW_Cases!$B:$B,Tabelle2[[#This Row],[Country/Region]],RAW_Cases!BC:BC)</f>
        <v>4585</v>
      </c>
      <c r="BC15" s="9">
        <f>SUMIF(RAW_Cases!$B:$B,Tabelle2[[#This Row],[Country/Region]],RAW_Cases!BD:BD)</f>
        <v>5795</v>
      </c>
      <c r="BD15" s="9">
        <f>SUMIF(RAW_Cases!$B:$B,Tabelle2[[#This Row],[Country/Region]],RAW_Cases!BE:BE)</f>
        <v>7272</v>
      </c>
      <c r="BE15" s="9">
        <f>SUMIF(RAW_Cases!$B:$B,Tabelle2[[#This Row],[Country/Region]],RAW_Cases!BF:BF)</f>
        <v>9257</v>
      </c>
      <c r="BF15" s="9">
        <f>SUMIF(RAW_Cases!$B:$B,Tabelle2[[#This Row],[Country/Region]],RAW_Cases!BG:BG)</f>
        <v>12327</v>
      </c>
      <c r="BG15" s="9">
        <f>SUMIF(RAW_Cases!$B:$B,Tabelle2[[#This Row],[Country/Region]],RAW_Cases!BH:BH)</f>
        <v>15320</v>
      </c>
      <c r="BH15" s="9">
        <f>SUMIF(RAW_Cases!$B:$B,Tabelle2[[#This Row],[Country/Region]],RAW_Cases!BI:BI)</f>
        <v>19848</v>
      </c>
      <c r="BI15" s="9">
        <f>SUMIF(RAW_Cases!$B:$B,Tabelle2[[#This Row],[Country/Region]],RAW_Cases!BJ:BJ)</f>
        <v>22213</v>
      </c>
      <c r="BJ15" s="9">
        <f>SUMIF(RAW_Cases!$B:$B,Tabelle2[[#This Row],[Country/Region]],RAW_Cases!BK:BK)</f>
        <v>24873</v>
      </c>
      <c r="BK15" s="9">
        <f>SUMIF(RAW_Cases!$B:$B,Tabelle2[[#This Row],[Country/Region]],RAW_Cases!BL:BL)</f>
        <v>29056</v>
      </c>
      <c r="BL15" s="9">
        <f>SUMIF(RAW_Cases!$B:$B,Tabelle2[[#This Row],[Country/Region]],RAW_Cases!BM:BM)</f>
        <v>32986</v>
      </c>
      <c r="BM15" s="9">
        <f>SUMIF(RAW_Cases!$B:$B,Tabelle2[[#This Row],[Country/Region]],RAW_Cases!BN:BN)</f>
        <v>37323</v>
      </c>
      <c r="BN15" s="9">
        <f>SUMIF(RAW_Cases!$B:$B,Tabelle2[[#This Row],[Country/Region]],RAW_Cases!BO:BO)</f>
        <v>43938</v>
      </c>
      <c r="BO15" s="9">
        <f>SUMIF(RAW_Cases!$B:$B,Tabelle2[[#This Row],[Country/Region]],RAW_Cases!BP:BP)</f>
        <v>50871</v>
      </c>
      <c r="BP15" s="9">
        <f>SUMIF(RAW_Cases!$B:$B,Tabelle2[[#This Row],[Country/Region]],RAW_Cases!BQ:BQ)</f>
        <v>57695</v>
      </c>
      <c r="BQ15" s="9">
        <f>SUMIF(RAW_Cases!$B:$B,Tabelle2[[#This Row],[Country/Region]],RAW_Cases!BR:BR)</f>
        <v>62095</v>
      </c>
      <c r="BR15" s="9">
        <f>SUMIF(RAW_Cases!$B:$B,Tabelle2[[#This Row],[Country/Region]],RAW_Cases!BS:BS)</f>
        <v>0</v>
      </c>
      <c r="BS15" s="9">
        <f>SUMIF(RAW_Cases!$B:$B,Tabelle2[[#This Row],[Country/Region]],RAW_Cases!BT:BT)</f>
        <v>0</v>
      </c>
      <c r="BT15" s="9">
        <f>SUMIF(RAW_Cases!$B:$B,Tabelle2[[#This Row],[Country/Region]],RAW_Cases!BU:BU)</f>
        <v>0</v>
      </c>
      <c r="BU15" s="9">
        <f>SUMIF(RAW_Cases!$B:$B,Tabelle2[[#This Row],[Country/Region]],RAW_Cases!BV:BV)</f>
        <v>0</v>
      </c>
      <c r="BV15" s="9">
        <f>SUMIF(RAW_Cases!$B:$B,Tabelle2[[#This Row],[Country/Region]],RAW_Cases!BW:BW)</f>
        <v>0</v>
      </c>
      <c r="BW15" s="9">
        <f>SUMIF(RAW_Cases!$B:$B,Tabelle2[[#This Row],[Country/Region]],RAW_Cases!BX:BX)</f>
        <v>0</v>
      </c>
      <c r="BX15" s="9">
        <f>SUMIF(RAW_Cases!$B:$B,Tabelle2[[#This Row],[Country/Region]],RAW_Cases!BY:BY)</f>
        <v>0</v>
      </c>
      <c r="BY15" s="9">
        <f>SUMIF(RAW_Cases!$B:$B,Tabelle2[[#This Row],[Country/Region]],RAW_Cases!BZ:BZ)</f>
        <v>0</v>
      </c>
      <c r="BZ15" s="9">
        <f>SUMIF(RAW_Cases!$B:$B,Tabelle2[[#This Row],[Country/Region]],RAW_Cases!CA:CA)</f>
        <v>0</v>
      </c>
      <c r="CA15" s="9">
        <f>SUMIF(RAW_Cases!$B:$B,Tabelle2[[#This Row],[Country/Region]],RAW_Cases!CB:CB)</f>
        <v>0</v>
      </c>
      <c r="CB15" s="9">
        <f>SUMIF(RAW_Cases!$B:$B,Tabelle2[[#This Row],[Country/Region]],RAW_Cases!CC:CC)</f>
        <v>0</v>
      </c>
      <c r="CC15" s="9">
        <f>SUMIF(RAW_Cases!$B:$B,Tabelle2[[#This Row],[Country/Region]],RAW_Cases!CD:CD)</f>
        <v>0</v>
      </c>
      <c r="CD15" s="9">
        <f>SUMIF(RAW_Cases!$B:$B,Tabelle2[[#This Row],[Country/Region]],RAW_Cases!CE:CE)</f>
        <v>0</v>
      </c>
      <c r="CE15" s="9">
        <f>SUMIF(RAW_Cases!$B:$B,Tabelle2[[#This Row],[Country/Region]],RAW_Cases!CF:CF)</f>
        <v>0</v>
      </c>
    </row>
    <row r="16" spans="1:83" s="11" customFormat="1" ht="12.75" x14ac:dyDescent="0.2">
      <c r="A16" s="27" t="s">
        <v>101</v>
      </c>
      <c r="B16" s="9">
        <f>SUMIF(RAW_Cases!$B:$B,Tabelle2[[#This Row],[Country/Region]],RAW_Cases!C:C)</f>
        <v>1</v>
      </c>
      <c r="C16" s="9">
        <f>SUMIF(RAW_Cases!$B:$B,Tabelle2[[#This Row],[Country/Region]],RAW_Cases!D:D)</f>
        <v>1</v>
      </c>
      <c r="D16" s="9">
        <f>SUMIF(RAW_Cases!$B:$B,Tabelle2[[#This Row],[Country/Region]],RAW_Cases!E:E)</f>
        <v>2</v>
      </c>
      <c r="E16" s="9">
        <f>SUMIF(RAW_Cases!$B:$B,Tabelle2[[#This Row],[Country/Region]],RAW_Cases!F:F)</f>
        <v>2</v>
      </c>
      <c r="F16" s="9">
        <f>SUMIF(RAW_Cases!$B:$B,Tabelle2[[#This Row],[Country/Region]],RAW_Cases!G:G)</f>
        <v>5</v>
      </c>
      <c r="G16" s="9">
        <f>SUMIF(RAW_Cases!$B:$B,Tabelle2[[#This Row],[Country/Region]],RAW_Cases!H:H)</f>
        <v>5</v>
      </c>
      <c r="H16" s="9">
        <f>SUMIF(RAW_Cases!$B:$B,Tabelle2[[#This Row],[Country/Region]],RAW_Cases!I:I)</f>
        <v>5</v>
      </c>
      <c r="I16" s="9">
        <f>SUMIF(RAW_Cases!$B:$B,Tabelle2[[#This Row],[Country/Region]],RAW_Cases!J:J)</f>
        <v>5</v>
      </c>
      <c r="J16" s="9">
        <f>SUMIF(RAW_Cases!$B:$B,Tabelle2[[#This Row],[Country/Region]],RAW_Cases!K:K)</f>
        <v>5</v>
      </c>
      <c r="K16" s="9">
        <f>SUMIF(RAW_Cases!$B:$B,Tabelle2[[#This Row],[Country/Region]],RAW_Cases!L:L)</f>
        <v>7</v>
      </c>
      <c r="L16" s="9">
        <f>SUMIF(RAW_Cases!$B:$B,Tabelle2[[#This Row],[Country/Region]],RAW_Cases!M:M)</f>
        <v>8</v>
      </c>
      <c r="M16" s="9">
        <f>SUMIF(RAW_Cases!$B:$B,Tabelle2[[#This Row],[Country/Region]],RAW_Cases!N:N)</f>
        <v>8</v>
      </c>
      <c r="N16" s="9">
        <f>SUMIF(RAW_Cases!$B:$B,Tabelle2[[#This Row],[Country/Region]],RAW_Cases!O:O)</f>
        <v>11</v>
      </c>
      <c r="O16" s="9">
        <f>SUMIF(RAW_Cases!$B:$B,Tabelle2[[#This Row],[Country/Region]],RAW_Cases!P:P)</f>
        <v>11</v>
      </c>
      <c r="P16" s="9">
        <f>SUMIF(RAW_Cases!$B:$B,Tabelle2[[#This Row],[Country/Region]],RAW_Cases!Q:Q)</f>
        <v>11</v>
      </c>
      <c r="Q16" s="9">
        <f>SUMIF(RAW_Cases!$B:$B,Tabelle2[[#This Row],[Country/Region]],RAW_Cases!R:R)</f>
        <v>11</v>
      </c>
      <c r="R16" s="9">
        <f>SUMIF(RAW_Cases!$B:$B,Tabelle2[[#This Row],[Country/Region]],RAW_Cases!S:S)</f>
        <v>11</v>
      </c>
      <c r="S16" s="9">
        <f>SUMIF(RAW_Cases!$B:$B,Tabelle2[[#This Row],[Country/Region]],RAW_Cases!T:T)</f>
        <v>11</v>
      </c>
      <c r="T16" s="9">
        <f>SUMIF(RAW_Cases!$B:$B,Tabelle2[[#This Row],[Country/Region]],RAW_Cases!U:U)</f>
        <v>11</v>
      </c>
      <c r="U16" s="9">
        <f>SUMIF(RAW_Cases!$B:$B,Tabelle2[[#This Row],[Country/Region]],RAW_Cases!V:V)</f>
        <v>11</v>
      </c>
      <c r="V16" s="9">
        <f>SUMIF(RAW_Cases!$B:$B,Tabelle2[[#This Row],[Country/Region]],RAW_Cases!W:W)</f>
        <v>12</v>
      </c>
      <c r="W16" s="9">
        <f>SUMIF(RAW_Cases!$B:$B,Tabelle2[[#This Row],[Country/Region]],RAW_Cases!X:X)</f>
        <v>12</v>
      </c>
      <c r="X16" s="9">
        <f>SUMIF(RAW_Cases!$B:$B,Tabelle2[[#This Row],[Country/Region]],RAW_Cases!Y:Y)</f>
        <v>13</v>
      </c>
      <c r="Y16" s="9">
        <f>SUMIF(RAW_Cases!$B:$B,Tabelle2[[#This Row],[Country/Region]],RAW_Cases!Z:Z)</f>
        <v>13</v>
      </c>
      <c r="Z16" s="9">
        <f>SUMIF(RAW_Cases!$B:$B,Tabelle2[[#This Row],[Country/Region]],RAW_Cases!AA:AA)</f>
        <v>13</v>
      </c>
      <c r="AA16" s="9">
        <f>SUMIF(RAW_Cases!$B:$B,Tabelle2[[#This Row],[Country/Region]],RAW_Cases!AB:AB)</f>
        <v>13</v>
      </c>
      <c r="AB16" s="9">
        <f>SUMIF(RAW_Cases!$B:$B,Tabelle2[[#This Row],[Country/Region]],RAW_Cases!AC:AC)</f>
        <v>13</v>
      </c>
      <c r="AC16" s="9">
        <f>SUMIF(RAW_Cases!$B:$B,Tabelle2[[#This Row],[Country/Region]],RAW_Cases!AD:AD)</f>
        <v>13</v>
      </c>
      <c r="AD16" s="9">
        <f>SUMIF(RAW_Cases!$B:$B,Tabelle2[[#This Row],[Country/Region]],RAW_Cases!AE:AE)</f>
        <v>13</v>
      </c>
      <c r="AE16" s="9">
        <f>SUMIF(RAW_Cases!$B:$B,Tabelle2[[#This Row],[Country/Region]],RAW_Cases!AF:AF)</f>
        <v>13</v>
      </c>
      <c r="AF16" s="9">
        <f>SUMIF(RAW_Cases!$B:$B,Tabelle2[[#This Row],[Country/Region]],RAW_Cases!AG:AG)</f>
        <v>15</v>
      </c>
      <c r="AG16" s="9">
        <f>SUMIF(RAW_Cases!$B:$B,Tabelle2[[#This Row],[Country/Region]],RAW_Cases!AH:AH)</f>
        <v>15</v>
      </c>
      <c r="AH16" s="9">
        <f>SUMIF(RAW_Cases!$B:$B,Tabelle2[[#This Row],[Country/Region]],RAW_Cases!AI:AI)</f>
        <v>15</v>
      </c>
      <c r="AI16" s="9">
        <f>SUMIF(RAW_Cases!$B:$B,Tabelle2[[#This Row],[Country/Region]],RAW_Cases!AJ:AJ)</f>
        <v>51</v>
      </c>
      <c r="AJ16" s="9">
        <f>SUMIF(RAW_Cases!$B:$B,Tabelle2[[#This Row],[Country/Region]],RAW_Cases!AK:AK)</f>
        <v>51</v>
      </c>
      <c r="AK16" s="9">
        <f>SUMIF(RAW_Cases!$B:$B,Tabelle2[[#This Row],[Country/Region]],RAW_Cases!AL:AL)</f>
        <v>57</v>
      </c>
      <c r="AL16" s="9">
        <f>SUMIF(RAW_Cases!$B:$B,Tabelle2[[#This Row],[Country/Region]],RAW_Cases!AM:AM)</f>
        <v>58</v>
      </c>
      <c r="AM16" s="9">
        <f>SUMIF(RAW_Cases!$B:$B,Tabelle2[[#This Row],[Country/Region]],RAW_Cases!AN:AN)</f>
        <v>60</v>
      </c>
      <c r="AN16" s="9">
        <f>SUMIF(RAW_Cases!$B:$B,Tabelle2[[#This Row],[Country/Region]],RAW_Cases!AO:AO)</f>
        <v>68</v>
      </c>
      <c r="AO16" s="9">
        <f>SUMIF(RAW_Cases!$B:$B,Tabelle2[[#This Row],[Country/Region]],RAW_Cases!AP:AP)</f>
        <v>74</v>
      </c>
      <c r="AP16" s="9">
        <f>SUMIF(RAW_Cases!$B:$B,Tabelle2[[#This Row],[Country/Region]],RAW_Cases!AQ:AQ)</f>
        <v>98</v>
      </c>
      <c r="AQ16" s="9">
        <f>SUMIF(RAW_Cases!$B:$B,Tabelle2[[#This Row],[Country/Region]],RAW_Cases!AR:AR)</f>
        <v>118</v>
      </c>
      <c r="AR16" s="9">
        <f>SUMIF(RAW_Cases!$B:$B,Tabelle2[[#This Row],[Country/Region]],RAW_Cases!AS:AS)</f>
        <v>149</v>
      </c>
      <c r="AS16" s="9">
        <f>SUMIF(RAW_Cases!$B:$B,Tabelle2[[#This Row],[Country/Region]],RAW_Cases!AT:AT)</f>
        <v>217</v>
      </c>
      <c r="AT16" s="9">
        <f>SUMIF(RAW_Cases!$B:$B,Tabelle2[[#This Row],[Country/Region]],RAW_Cases!AU:AU)</f>
        <v>262</v>
      </c>
      <c r="AU16" s="9">
        <f>SUMIF(RAW_Cases!$B:$B,Tabelle2[[#This Row],[Country/Region]],RAW_Cases!AV:AV)</f>
        <v>402</v>
      </c>
      <c r="AV16" s="9">
        <f>SUMIF(RAW_Cases!$B:$B,Tabelle2[[#This Row],[Country/Region]],RAW_Cases!AW:AW)</f>
        <v>518</v>
      </c>
      <c r="AW16" s="9">
        <f>SUMIF(RAW_Cases!$B:$B,Tabelle2[[#This Row],[Country/Region]],RAW_Cases!AX:AX)</f>
        <v>583</v>
      </c>
      <c r="AX16" s="9">
        <f>SUMIF(RAW_Cases!$B:$B,Tabelle2[[#This Row],[Country/Region]],RAW_Cases!AY:AY)</f>
        <v>959</v>
      </c>
      <c r="AY16" s="9">
        <f>SUMIF(RAW_Cases!$B:$B,Tabelle2[[#This Row],[Country/Region]],RAW_Cases!AZ:AZ)</f>
        <v>1281</v>
      </c>
      <c r="AZ16" s="9">
        <f>SUMIF(RAW_Cases!$B:$B,Tabelle2[[#This Row],[Country/Region]],RAW_Cases!BA:BA)</f>
        <v>1663</v>
      </c>
      <c r="BA16" s="9">
        <f>SUMIF(RAW_Cases!$B:$B,Tabelle2[[#This Row],[Country/Region]],RAW_Cases!BB:BB)</f>
        <v>2179</v>
      </c>
      <c r="BB16" s="9">
        <f>SUMIF(RAW_Cases!$B:$B,Tabelle2[[#This Row],[Country/Region]],RAW_Cases!BC:BC)</f>
        <v>2727</v>
      </c>
      <c r="BC16" s="9">
        <f>SUMIF(RAW_Cases!$B:$B,Tabelle2[[#This Row],[Country/Region]],RAW_Cases!BD:BD)</f>
        <v>3499</v>
      </c>
      <c r="BD16" s="9">
        <f>SUMIF(RAW_Cases!$B:$B,Tabelle2[[#This Row],[Country/Region]],RAW_Cases!BE:BE)</f>
        <v>4632</v>
      </c>
      <c r="BE16" s="9">
        <f>SUMIF(RAW_Cases!$B:$B,Tabelle2[[#This Row],[Country/Region]],RAW_Cases!BF:BF)</f>
        <v>6421</v>
      </c>
      <c r="BF16" s="9">
        <f>SUMIF(RAW_Cases!$B:$B,Tabelle2[[#This Row],[Country/Region]],RAW_Cases!BG:BG)</f>
        <v>7783</v>
      </c>
      <c r="BG16" s="9">
        <f>SUMIF(RAW_Cases!$B:$B,Tabelle2[[#This Row],[Country/Region]],RAW_Cases!BH:BH)</f>
        <v>13677</v>
      </c>
      <c r="BH16" s="9">
        <f>SUMIF(RAW_Cases!$B:$B,Tabelle2[[#This Row],[Country/Region]],RAW_Cases!BI:BI)</f>
        <v>19100</v>
      </c>
      <c r="BI16" s="9">
        <f>SUMIF(RAW_Cases!$B:$B,Tabelle2[[#This Row],[Country/Region]],RAW_Cases!BJ:BJ)</f>
        <v>25489</v>
      </c>
      <c r="BJ16" s="9">
        <f>SUMIF(RAW_Cases!$B:$B,Tabelle2[[#This Row],[Country/Region]],RAW_Cases!BK:BK)</f>
        <v>33276</v>
      </c>
      <c r="BK16" s="9">
        <f>SUMIF(RAW_Cases!$B:$B,Tabelle2[[#This Row],[Country/Region]],RAW_Cases!BL:BL)</f>
        <v>43847</v>
      </c>
      <c r="BL16" s="9">
        <f>SUMIF(RAW_Cases!$B:$B,Tabelle2[[#This Row],[Country/Region]],RAW_Cases!BM:BM)</f>
        <v>53740</v>
      </c>
      <c r="BM16" s="9">
        <f>SUMIF(RAW_Cases!$B:$B,Tabelle2[[#This Row],[Country/Region]],RAW_Cases!BN:BN)</f>
        <v>65778</v>
      </c>
      <c r="BN16" s="9">
        <f>SUMIF(RAW_Cases!$B:$B,Tabelle2[[#This Row],[Country/Region]],RAW_Cases!BO:BO)</f>
        <v>83836</v>
      </c>
      <c r="BO16" s="9">
        <f>SUMIF(RAW_Cases!$B:$B,Tabelle2[[#This Row],[Country/Region]],RAW_Cases!BP:BP)</f>
        <v>101657</v>
      </c>
      <c r="BP16" s="9">
        <f>SUMIF(RAW_Cases!$B:$B,Tabelle2[[#This Row],[Country/Region]],RAW_Cases!BQ:BQ)</f>
        <v>121478</v>
      </c>
      <c r="BQ16" s="9">
        <f>SUMIF(RAW_Cases!$B:$B,Tabelle2[[#This Row],[Country/Region]],RAW_Cases!BR:BR)</f>
        <v>140886</v>
      </c>
      <c r="BR16" s="9">
        <f>SUMIF(RAW_Cases!$B:$B,Tabelle2[[#This Row],[Country/Region]],RAW_Cases!BS:BS)</f>
        <v>0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2.75" x14ac:dyDescent="0.2">
      <c r="A17" s="27" t="s">
        <v>20</v>
      </c>
      <c r="B17" s="9">
        <f>SUMIF(RAW_Cases!$B:$B,Tabelle2[[#This Row],[Country/Region]],RAW_Cases!C:C)</f>
        <v>0</v>
      </c>
      <c r="C17" s="9">
        <f>SUMIF(RAW_Cases!$B:$B,Tabelle2[[#This Row],[Country/Region]],RAW_Cases!D:D)</f>
        <v>0</v>
      </c>
      <c r="D17" s="9">
        <f>SUMIF(RAW_Cases!$B:$B,Tabelle2[[#This Row],[Country/Region]],RAW_Cases!E:E)</f>
        <v>0</v>
      </c>
      <c r="E17" s="9">
        <f>SUMIF(RAW_Cases!$B:$B,Tabelle2[[#This Row],[Country/Region]],RAW_Cases!F:F)</f>
        <v>0</v>
      </c>
      <c r="F17" s="9">
        <f>SUMIF(RAW_Cases!$B:$B,Tabelle2[[#This Row],[Country/Region]],RAW_Cases!G:G)</f>
        <v>0</v>
      </c>
      <c r="G17" s="9">
        <f>SUMIF(RAW_Cases!$B:$B,Tabelle2[[#This Row],[Country/Region]],RAW_Cases!H:H)</f>
        <v>0</v>
      </c>
      <c r="H17" s="9">
        <f>SUMIF(RAW_Cases!$B:$B,Tabelle2[[#This Row],[Country/Region]],RAW_Cases!I:I)</f>
        <v>0</v>
      </c>
      <c r="I17" s="9">
        <f>SUMIF(RAW_Cases!$B:$B,Tabelle2[[#This Row],[Country/Region]],RAW_Cases!J:J)</f>
        <v>0</v>
      </c>
      <c r="J17" s="9">
        <f>SUMIF(RAW_Cases!$B:$B,Tabelle2[[#This Row],[Country/Region]],RAW_Cases!K:K)</f>
        <v>0</v>
      </c>
      <c r="K17" s="9">
        <f>SUMIF(RAW_Cases!$B:$B,Tabelle2[[#This Row],[Country/Region]],RAW_Cases!L:L)</f>
        <v>2</v>
      </c>
      <c r="L17" s="9">
        <f>SUMIF(RAW_Cases!$B:$B,Tabelle2[[#This Row],[Country/Region]],RAW_Cases!M:M)</f>
        <v>2</v>
      </c>
      <c r="M17" s="9">
        <f>SUMIF(RAW_Cases!$B:$B,Tabelle2[[#This Row],[Country/Region]],RAW_Cases!N:N)</f>
        <v>2</v>
      </c>
      <c r="N17" s="9">
        <f>SUMIF(RAW_Cases!$B:$B,Tabelle2[[#This Row],[Country/Region]],RAW_Cases!O:O)</f>
        <v>2</v>
      </c>
      <c r="O17" s="9">
        <f>SUMIF(RAW_Cases!$B:$B,Tabelle2[[#This Row],[Country/Region]],RAW_Cases!P:P)</f>
        <v>2</v>
      </c>
      <c r="P17" s="9">
        <f>SUMIF(RAW_Cases!$B:$B,Tabelle2[[#This Row],[Country/Region]],RAW_Cases!Q:Q)</f>
        <v>2</v>
      </c>
      <c r="Q17" s="9">
        <f>SUMIF(RAW_Cases!$B:$B,Tabelle2[[#This Row],[Country/Region]],RAW_Cases!R:R)</f>
        <v>2</v>
      </c>
      <c r="R17" s="9">
        <f>SUMIF(RAW_Cases!$B:$B,Tabelle2[[#This Row],[Country/Region]],RAW_Cases!S:S)</f>
        <v>3</v>
      </c>
      <c r="S17" s="9">
        <f>SUMIF(RAW_Cases!$B:$B,Tabelle2[[#This Row],[Country/Region]],RAW_Cases!T:T)</f>
        <v>3</v>
      </c>
      <c r="T17" s="9">
        <f>SUMIF(RAW_Cases!$B:$B,Tabelle2[[#This Row],[Country/Region]],RAW_Cases!U:U)</f>
        <v>3</v>
      </c>
      <c r="U17" s="9">
        <f>SUMIF(RAW_Cases!$B:$B,Tabelle2[[#This Row],[Country/Region]],RAW_Cases!V:V)</f>
        <v>3</v>
      </c>
      <c r="V17" s="9">
        <f>SUMIF(RAW_Cases!$B:$B,Tabelle2[[#This Row],[Country/Region]],RAW_Cases!W:W)</f>
        <v>3</v>
      </c>
      <c r="W17" s="9">
        <f>SUMIF(RAW_Cases!$B:$B,Tabelle2[[#This Row],[Country/Region]],RAW_Cases!X:X)</f>
        <v>3</v>
      </c>
      <c r="X17" s="9">
        <f>SUMIF(RAW_Cases!$B:$B,Tabelle2[[#This Row],[Country/Region]],RAW_Cases!Y:Y)</f>
        <v>3</v>
      </c>
      <c r="Y17" s="9">
        <f>SUMIF(RAW_Cases!$B:$B,Tabelle2[[#This Row],[Country/Region]],RAW_Cases!Z:Z)</f>
        <v>3</v>
      </c>
      <c r="Z17" s="9">
        <f>SUMIF(RAW_Cases!$B:$B,Tabelle2[[#This Row],[Country/Region]],RAW_Cases!AA:AA)</f>
        <v>3</v>
      </c>
      <c r="AA17" s="9">
        <f>SUMIF(RAW_Cases!$B:$B,Tabelle2[[#This Row],[Country/Region]],RAW_Cases!AB:AB)</f>
        <v>3</v>
      </c>
      <c r="AB17" s="9">
        <f>SUMIF(RAW_Cases!$B:$B,Tabelle2[[#This Row],[Country/Region]],RAW_Cases!AC:AC)</f>
        <v>3</v>
      </c>
      <c r="AC17" s="9">
        <f>SUMIF(RAW_Cases!$B:$B,Tabelle2[[#This Row],[Country/Region]],RAW_Cases!AD:AD)</f>
        <v>3</v>
      </c>
      <c r="AD17" s="9">
        <f>SUMIF(RAW_Cases!$B:$B,Tabelle2[[#This Row],[Country/Region]],RAW_Cases!AE:AE)</f>
        <v>3</v>
      </c>
      <c r="AE17" s="9">
        <f>SUMIF(RAW_Cases!$B:$B,Tabelle2[[#This Row],[Country/Region]],RAW_Cases!AF:AF)</f>
        <v>3</v>
      </c>
      <c r="AF17" s="9">
        <f>SUMIF(RAW_Cases!$B:$B,Tabelle2[[#This Row],[Country/Region]],RAW_Cases!AG:AG)</f>
        <v>20</v>
      </c>
      <c r="AG17" s="9">
        <f>SUMIF(RAW_Cases!$B:$B,Tabelle2[[#This Row],[Country/Region]],RAW_Cases!AH:AH)</f>
        <v>62</v>
      </c>
      <c r="AH17" s="9">
        <f>SUMIF(RAW_Cases!$B:$B,Tabelle2[[#This Row],[Country/Region]],RAW_Cases!AI:AI)</f>
        <v>155</v>
      </c>
      <c r="AI17" s="9">
        <f>SUMIF(RAW_Cases!$B:$B,Tabelle2[[#This Row],[Country/Region]],RAW_Cases!AJ:AJ)</f>
        <v>229</v>
      </c>
      <c r="AJ17" s="9">
        <f>SUMIF(RAW_Cases!$B:$B,Tabelle2[[#This Row],[Country/Region]],RAW_Cases!AK:AK)</f>
        <v>322</v>
      </c>
      <c r="AK17" s="9">
        <f>SUMIF(RAW_Cases!$B:$B,Tabelle2[[#This Row],[Country/Region]],RAW_Cases!AL:AL)</f>
        <v>453</v>
      </c>
      <c r="AL17" s="9">
        <f>SUMIF(RAW_Cases!$B:$B,Tabelle2[[#This Row],[Country/Region]],RAW_Cases!AM:AM)</f>
        <v>655</v>
      </c>
      <c r="AM17" s="9">
        <f>SUMIF(RAW_Cases!$B:$B,Tabelle2[[#This Row],[Country/Region]],RAW_Cases!AN:AN)</f>
        <v>888</v>
      </c>
      <c r="AN17" s="9">
        <f>SUMIF(RAW_Cases!$B:$B,Tabelle2[[#This Row],[Country/Region]],RAW_Cases!AO:AO)</f>
        <v>1128</v>
      </c>
      <c r="AO17" s="9">
        <f>SUMIF(RAW_Cases!$B:$B,Tabelle2[[#This Row],[Country/Region]],RAW_Cases!AP:AP)</f>
        <v>1694</v>
      </c>
      <c r="AP17" s="9">
        <f>SUMIF(RAW_Cases!$B:$B,Tabelle2[[#This Row],[Country/Region]],RAW_Cases!AQ:AQ)</f>
        <v>2036</v>
      </c>
      <c r="AQ17" s="9">
        <f>SUMIF(RAW_Cases!$B:$B,Tabelle2[[#This Row],[Country/Region]],RAW_Cases!AR:AR)</f>
        <v>2502</v>
      </c>
      <c r="AR17" s="9">
        <f>SUMIF(RAW_Cases!$B:$B,Tabelle2[[#This Row],[Country/Region]],RAW_Cases!AS:AS)</f>
        <v>3089</v>
      </c>
      <c r="AS17" s="9">
        <f>SUMIF(RAW_Cases!$B:$B,Tabelle2[[#This Row],[Country/Region]],RAW_Cases!AT:AT)</f>
        <v>3858</v>
      </c>
      <c r="AT17" s="9">
        <f>SUMIF(RAW_Cases!$B:$B,Tabelle2[[#This Row],[Country/Region]],RAW_Cases!AU:AU)</f>
        <v>4636</v>
      </c>
      <c r="AU17" s="9">
        <f>SUMIF(RAW_Cases!$B:$B,Tabelle2[[#This Row],[Country/Region]],RAW_Cases!AV:AV)</f>
        <v>5883</v>
      </c>
      <c r="AV17" s="9">
        <f>SUMIF(RAW_Cases!$B:$B,Tabelle2[[#This Row],[Country/Region]],RAW_Cases!AW:AW)</f>
        <v>7375</v>
      </c>
      <c r="AW17" s="9">
        <f>SUMIF(RAW_Cases!$B:$B,Tabelle2[[#This Row],[Country/Region]],RAW_Cases!AX:AX)</f>
        <v>9172</v>
      </c>
      <c r="AX17" s="9">
        <f>SUMIF(RAW_Cases!$B:$B,Tabelle2[[#This Row],[Country/Region]],RAW_Cases!AY:AY)</f>
        <v>10149</v>
      </c>
      <c r="AY17" s="9">
        <f>SUMIF(RAW_Cases!$B:$B,Tabelle2[[#This Row],[Country/Region]],RAW_Cases!AZ:AZ)</f>
        <v>12462</v>
      </c>
      <c r="AZ17" s="9">
        <f>SUMIF(RAW_Cases!$B:$B,Tabelle2[[#This Row],[Country/Region]],RAW_Cases!BA:BA)</f>
        <v>12462</v>
      </c>
      <c r="BA17" s="9">
        <f>SUMIF(RAW_Cases!$B:$B,Tabelle2[[#This Row],[Country/Region]],RAW_Cases!BB:BB)</f>
        <v>17660</v>
      </c>
      <c r="BB17" s="9">
        <f>SUMIF(RAW_Cases!$B:$B,Tabelle2[[#This Row],[Country/Region]],RAW_Cases!BC:BC)</f>
        <v>21157</v>
      </c>
      <c r="BC17" s="9">
        <f>SUMIF(RAW_Cases!$B:$B,Tabelle2[[#This Row],[Country/Region]],RAW_Cases!BD:BD)</f>
        <v>24747</v>
      </c>
      <c r="BD17" s="9">
        <f>SUMIF(RAW_Cases!$B:$B,Tabelle2[[#This Row],[Country/Region]],RAW_Cases!BE:BE)</f>
        <v>27980</v>
      </c>
      <c r="BE17" s="9">
        <f>SUMIF(RAW_Cases!$B:$B,Tabelle2[[#This Row],[Country/Region]],RAW_Cases!BF:BF)</f>
        <v>31506</v>
      </c>
      <c r="BF17" s="9">
        <f>SUMIF(RAW_Cases!$B:$B,Tabelle2[[#This Row],[Country/Region]],RAW_Cases!BG:BG)</f>
        <v>35713</v>
      </c>
      <c r="BG17" s="9">
        <f>SUMIF(RAW_Cases!$B:$B,Tabelle2[[#This Row],[Country/Region]],RAW_Cases!BH:BH)</f>
        <v>41035</v>
      </c>
      <c r="BH17" s="9">
        <f>SUMIF(RAW_Cases!$B:$B,Tabelle2[[#This Row],[Country/Region]],RAW_Cases!BI:BI)</f>
        <v>47021</v>
      </c>
      <c r="BI17" s="9">
        <f>SUMIF(RAW_Cases!$B:$B,Tabelle2[[#This Row],[Country/Region]],RAW_Cases!BJ:BJ)</f>
        <v>53578</v>
      </c>
      <c r="BJ17" s="9">
        <f>SUMIF(RAW_Cases!$B:$B,Tabelle2[[#This Row],[Country/Region]],RAW_Cases!BK:BK)</f>
        <v>59138</v>
      </c>
      <c r="BK17" s="9">
        <f>SUMIF(RAW_Cases!$B:$B,Tabelle2[[#This Row],[Country/Region]],RAW_Cases!BL:BL)</f>
        <v>63927</v>
      </c>
      <c r="BL17" s="9">
        <f>SUMIF(RAW_Cases!$B:$B,Tabelle2[[#This Row],[Country/Region]],RAW_Cases!BM:BM)</f>
        <v>69176</v>
      </c>
      <c r="BM17" s="9">
        <f>SUMIF(RAW_Cases!$B:$B,Tabelle2[[#This Row],[Country/Region]],RAW_Cases!BN:BN)</f>
        <v>74386</v>
      </c>
      <c r="BN17" s="9">
        <f>SUMIF(RAW_Cases!$B:$B,Tabelle2[[#This Row],[Country/Region]],RAW_Cases!BO:BO)</f>
        <v>80589</v>
      </c>
      <c r="BO17" s="9">
        <f>SUMIF(RAW_Cases!$B:$B,Tabelle2[[#This Row],[Country/Region]],RAW_Cases!BP:BP)</f>
        <v>86498</v>
      </c>
      <c r="BP17" s="9">
        <f>SUMIF(RAW_Cases!$B:$B,Tabelle2[[#This Row],[Country/Region]],RAW_Cases!BQ:BQ)</f>
        <v>92472</v>
      </c>
      <c r="BQ17" s="9">
        <f>SUMIF(RAW_Cases!$B:$B,Tabelle2[[#This Row],[Country/Region]],RAW_Cases!BR:BR)</f>
        <v>97689</v>
      </c>
      <c r="BR17" s="9">
        <f>SUMIF(RAW_Cases!$B:$B,Tabelle2[[#This Row],[Country/Region]],RAW_Cases!BS:BS)</f>
        <v>0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2.75" x14ac:dyDescent="0.2">
      <c r="A18" s="27" t="s">
        <v>199</v>
      </c>
      <c r="B18" s="9">
        <f>SUMIF(RAW_Cases!$B:$B,Tabelle2[[#This Row],[Country/Region]],RAW_Cases!C:C)</f>
        <v>0</v>
      </c>
      <c r="C18" s="9">
        <f>SUMIF(RAW_Cases!$B:$B,Tabelle2[[#This Row],[Country/Region]],RAW_Cases!D:D)</f>
        <v>0</v>
      </c>
      <c r="D18" s="9">
        <f>SUMIF(RAW_Cases!$B:$B,Tabelle2[[#This Row],[Country/Region]],RAW_Cases!E:E)</f>
        <v>0</v>
      </c>
      <c r="E18" s="9">
        <f>SUMIF(RAW_Cases!$B:$B,Tabelle2[[#This Row],[Country/Region]],RAW_Cases!F:F)</f>
        <v>0</v>
      </c>
      <c r="F18" s="9">
        <f>SUMIF(RAW_Cases!$B:$B,Tabelle2[[#This Row],[Country/Region]],RAW_Cases!G:G)</f>
        <v>0</v>
      </c>
      <c r="G18" s="9">
        <f>SUMIF(RAW_Cases!$B:$B,Tabelle2[[#This Row],[Country/Region]],RAW_Cases!H:H)</f>
        <v>0</v>
      </c>
      <c r="H18" s="9">
        <f>SUMIF(RAW_Cases!$B:$B,Tabelle2[[#This Row],[Country/Region]],RAW_Cases!I:I)</f>
        <v>0</v>
      </c>
      <c r="I18" s="9">
        <f>SUMIF(RAW_Cases!$B:$B,Tabelle2[[#This Row],[Country/Region]],RAW_Cases!J:J)</f>
        <v>0</v>
      </c>
      <c r="J18" s="9">
        <f>SUMIF(RAW_Cases!$B:$B,Tabelle2[[#This Row],[Country/Region]],RAW_Cases!K:K)</f>
        <v>0</v>
      </c>
      <c r="K18" s="9">
        <f>SUMIF(RAW_Cases!$B:$B,Tabelle2[[#This Row],[Country/Region]],RAW_Cases!L:L)</f>
        <v>0</v>
      </c>
      <c r="L18" s="9">
        <f>SUMIF(RAW_Cases!$B:$B,Tabelle2[[#This Row],[Country/Region]],RAW_Cases!M:M)</f>
        <v>0</v>
      </c>
      <c r="M18" s="9">
        <f>SUMIF(RAW_Cases!$B:$B,Tabelle2[[#This Row],[Country/Region]],RAW_Cases!N:N)</f>
        <v>0</v>
      </c>
      <c r="N18" s="9">
        <f>SUMIF(RAW_Cases!$B:$B,Tabelle2[[#This Row],[Country/Region]],RAW_Cases!O:O)</f>
        <v>0</v>
      </c>
      <c r="O18" s="9">
        <f>SUMIF(RAW_Cases!$B:$B,Tabelle2[[#This Row],[Country/Region]],RAW_Cases!P:P)</f>
        <v>0</v>
      </c>
      <c r="P18" s="9">
        <f>SUMIF(RAW_Cases!$B:$B,Tabelle2[[#This Row],[Country/Region]],RAW_Cases!Q:Q)</f>
        <v>0</v>
      </c>
      <c r="Q18" s="9">
        <f>SUMIF(RAW_Cases!$B:$B,Tabelle2[[#This Row],[Country/Region]],RAW_Cases!R:R)</f>
        <v>0</v>
      </c>
      <c r="R18" s="9">
        <f>SUMIF(RAW_Cases!$B:$B,Tabelle2[[#This Row],[Country/Region]],RAW_Cases!S:S)</f>
        <v>0</v>
      </c>
      <c r="S18" s="9">
        <f>SUMIF(RAW_Cases!$B:$B,Tabelle2[[#This Row],[Country/Region]],RAW_Cases!T:T)</f>
        <v>0</v>
      </c>
      <c r="T18" s="9">
        <f>SUMIF(RAW_Cases!$B:$B,Tabelle2[[#This Row],[Country/Region]],RAW_Cases!U:U)</f>
        <v>0</v>
      </c>
      <c r="U18" s="9">
        <f>SUMIF(RAW_Cases!$B:$B,Tabelle2[[#This Row],[Country/Region]],RAW_Cases!V:V)</f>
        <v>0</v>
      </c>
      <c r="V18" s="9">
        <f>SUMIF(RAW_Cases!$B:$B,Tabelle2[[#This Row],[Country/Region]],RAW_Cases!W:W)</f>
        <v>0</v>
      </c>
      <c r="W18" s="9">
        <f>SUMIF(RAW_Cases!$B:$B,Tabelle2[[#This Row],[Country/Region]],RAW_Cases!X:X)</f>
        <v>0</v>
      </c>
      <c r="X18" s="9">
        <f>SUMIF(RAW_Cases!$B:$B,Tabelle2[[#This Row],[Country/Region]],RAW_Cases!Y:Y)</f>
        <v>0</v>
      </c>
      <c r="Y18" s="9">
        <f>SUMIF(RAW_Cases!$B:$B,Tabelle2[[#This Row],[Country/Region]],RAW_Cases!Z:Z)</f>
        <v>0</v>
      </c>
      <c r="Z18" s="9">
        <f>SUMIF(RAW_Cases!$B:$B,Tabelle2[[#This Row],[Country/Region]],RAW_Cases!AA:AA)</f>
        <v>0</v>
      </c>
      <c r="AA18" s="9">
        <f>SUMIF(RAW_Cases!$B:$B,Tabelle2[[#This Row],[Country/Region]],RAW_Cases!AB:AB)</f>
        <v>0</v>
      </c>
      <c r="AB18" s="9">
        <f>SUMIF(RAW_Cases!$B:$B,Tabelle2[[#This Row],[Country/Region]],RAW_Cases!AC:AC)</f>
        <v>0</v>
      </c>
      <c r="AC18" s="9">
        <f>SUMIF(RAW_Cases!$B:$B,Tabelle2[[#This Row],[Country/Region]],RAW_Cases!AD:AD)</f>
        <v>0</v>
      </c>
      <c r="AD18" s="9">
        <f>SUMIF(RAW_Cases!$B:$B,Tabelle2[[#This Row],[Country/Region]],RAW_Cases!AE:AE)</f>
        <v>0</v>
      </c>
      <c r="AE18" s="9">
        <f>SUMIF(RAW_Cases!$B:$B,Tabelle2[[#This Row],[Country/Region]],RAW_Cases!AF:AF)</f>
        <v>0</v>
      </c>
      <c r="AF18" s="9">
        <f>SUMIF(RAW_Cases!$B:$B,Tabelle2[[#This Row],[Country/Region]],RAW_Cases!AG:AG)</f>
        <v>0</v>
      </c>
      <c r="AG18" s="9">
        <f>SUMIF(RAW_Cases!$B:$B,Tabelle2[[#This Row],[Country/Region]],RAW_Cases!AH:AH)</f>
        <v>0</v>
      </c>
      <c r="AH18" s="9">
        <f>SUMIF(RAW_Cases!$B:$B,Tabelle2[[#This Row],[Country/Region]],RAW_Cases!AI:AI)</f>
        <v>0</v>
      </c>
      <c r="AI18" s="9">
        <f>SUMIF(RAW_Cases!$B:$B,Tabelle2[[#This Row],[Country/Region]],RAW_Cases!AJ:AJ)</f>
        <v>0</v>
      </c>
      <c r="AJ18" s="9">
        <f>SUMIF(RAW_Cases!$B:$B,Tabelle2[[#This Row],[Country/Region]],RAW_Cases!AK:AK)</f>
        <v>0</v>
      </c>
      <c r="AK18" s="9">
        <f>SUMIF(RAW_Cases!$B:$B,Tabelle2[[#This Row],[Country/Region]],RAW_Cases!AL:AL)</f>
        <v>0</v>
      </c>
      <c r="AL18" s="9">
        <f>SUMIF(RAW_Cases!$B:$B,Tabelle2[[#This Row],[Country/Region]],RAW_Cases!AM:AM)</f>
        <v>1</v>
      </c>
      <c r="AM18" s="9">
        <f>SUMIF(RAW_Cases!$B:$B,Tabelle2[[#This Row],[Country/Region]],RAW_Cases!AN:AN)</f>
        <v>1</v>
      </c>
      <c r="AN18" s="9">
        <f>SUMIF(RAW_Cases!$B:$B,Tabelle2[[#This Row],[Country/Region]],RAW_Cases!AO:AO)</f>
        <v>6</v>
      </c>
      <c r="AO18" s="9">
        <f>SUMIF(RAW_Cases!$B:$B,Tabelle2[[#This Row],[Country/Region]],RAW_Cases!AP:AP)</f>
        <v>10</v>
      </c>
      <c r="AP18" s="9">
        <f>SUMIF(RAW_Cases!$B:$B,Tabelle2[[#This Row],[Country/Region]],RAW_Cases!AQ:AQ)</f>
        <v>18</v>
      </c>
      <c r="AQ18" s="9">
        <f>SUMIF(RAW_Cases!$B:$B,Tabelle2[[#This Row],[Country/Region]],RAW_Cases!AR:AR)</f>
        <v>24</v>
      </c>
      <c r="AR18" s="9">
        <f>SUMIF(RAW_Cases!$B:$B,Tabelle2[[#This Row],[Country/Region]],RAW_Cases!AS:AS)</f>
        <v>38</v>
      </c>
      <c r="AS18" s="9">
        <f>SUMIF(RAW_Cases!$B:$B,Tabelle2[[#This Row],[Country/Region]],RAW_Cases!AT:AT)</f>
        <v>82</v>
      </c>
      <c r="AT18" s="9">
        <f>SUMIF(RAW_Cases!$B:$B,Tabelle2[[#This Row],[Country/Region]],RAW_Cases!AU:AU)</f>
        <v>128</v>
      </c>
      <c r="AU18" s="9">
        <f>SUMIF(RAW_Cases!$B:$B,Tabelle2[[#This Row],[Country/Region]],RAW_Cases!AV:AV)</f>
        <v>188</v>
      </c>
      <c r="AV18" s="9">
        <f>SUMIF(RAW_Cases!$B:$B,Tabelle2[[#This Row],[Country/Region]],RAW_Cases!AW:AW)</f>
        <v>265</v>
      </c>
      <c r="AW18" s="9">
        <f>SUMIF(RAW_Cases!$B:$B,Tabelle2[[#This Row],[Country/Region]],RAW_Cases!AX:AX)</f>
        <v>321</v>
      </c>
      <c r="AX18" s="9">
        <f>SUMIF(RAW_Cases!$B:$B,Tabelle2[[#This Row],[Country/Region]],RAW_Cases!AY:AY)</f>
        <v>382</v>
      </c>
      <c r="AY18" s="9">
        <f>SUMIF(RAW_Cases!$B:$B,Tabelle2[[#This Row],[Country/Region]],RAW_Cases!AZ:AZ)</f>
        <v>503</v>
      </c>
      <c r="AZ18" s="9">
        <f>SUMIF(RAW_Cases!$B:$B,Tabelle2[[#This Row],[Country/Region]],RAW_Cases!BA:BA)</f>
        <v>503</v>
      </c>
      <c r="BA18" s="9">
        <f>SUMIF(RAW_Cases!$B:$B,Tabelle2[[#This Row],[Country/Region]],RAW_Cases!BB:BB)</f>
        <v>806</v>
      </c>
      <c r="BB18" s="9">
        <f>SUMIF(RAW_Cases!$B:$B,Tabelle2[[#This Row],[Country/Region]],RAW_Cases!BC:BC)</f>
        <v>962</v>
      </c>
      <c r="BC18" s="9">
        <f>SUMIF(RAW_Cases!$B:$B,Tabelle2[[#This Row],[Country/Region]],RAW_Cases!BD:BD)</f>
        <v>1138</v>
      </c>
      <c r="BD18" s="9">
        <f>SUMIF(RAW_Cases!$B:$B,Tabelle2[[#This Row],[Country/Region]],RAW_Cases!BE:BE)</f>
        <v>1416</v>
      </c>
      <c r="BE18" s="9">
        <f>SUMIF(RAW_Cases!$B:$B,Tabelle2[[#This Row],[Country/Region]],RAW_Cases!BF:BF)</f>
        <v>1711</v>
      </c>
      <c r="BF18" s="9">
        <f>SUMIF(RAW_Cases!$B:$B,Tabelle2[[#This Row],[Country/Region]],RAW_Cases!BG:BG)</f>
        <v>2058</v>
      </c>
      <c r="BG18" s="9">
        <f>SUMIF(RAW_Cases!$B:$B,Tabelle2[[#This Row],[Country/Region]],RAW_Cases!BH:BH)</f>
        <v>2467</v>
      </c>
      <c r="BH18" s="9">
        <f>SUMIF(RAW_Cases!$B:$B,Tabelle2[[#This Row],[Country/Region]],RAW_Cases!BI:BI)</f>
        <v>3003</v>
      </c>
      <c r="BI18" s="9">
        <f>SUMIF(RAW_Cases!$B:$B,Tabelle2[[#This Row],[Country/Region]],RAW_Cases!BJ:BJ)</f>
        <v>3640</v>
      </c>
      <c r="BJ18" s="9">
        <f>SUMIF(RAW_Cases!$B:$B,Tabelle2[[#This Row],[Country/Region]],RAW_Cases!BK:BK)</f>
        <v>4217</v>
      </c>
      <c r="BK18" s="9">
        <f>SUMIF(RAW_Cases!$B:$B,Tabelle2[[#This Row],[Country/Region]],RAW_Cases!BL:BL)</f>
        <v>4764</v>
      </c>
      <c r="BL18" s="9">
        <f>SUMIF(RAW_Cases!$B:$B,Tabelle2[[#This Row],[Country/Region]],RAW_Cases!BM:BM)</f>
        <v>5580</v>
      </c>
      <c r="BM18" s="9">
        <f>SUMIF(RAW_Cases!$B:$B,Tabelle2[[#This Row],[Country/Region]],RAW_Cases!BN:BN)</f>
        <v>6438</v>
      </c>
      <c r="BN18" s="9">
        <f>SUMIF(RAW_Cases!$B:$B,Tabelle2[[#This Row],[Country/Region]],RAW_Cases!BO:BO)</f>
        <v>7468</v>
      </c>
      <c r="BO18" s="9">
        <f>SUMIF(RAW_Cases!$B:$B,Tabelle2[[#This Row],[Country/Region]],RAW_Cases!BP:BP)</f>
        <v>8647</v>
      </c>
      <c r="BP18" s="9">
        <f>SUMIF(RAW_Cases!$B:$B,Tabelle2[[#This Row],[Country/Region]],RAW_Cases!BQ:BQ)</f>
        <v>9819</v>
      </c>
      <c r="BQ18" s="9">
        <f>SUMIF(RAW_Cases!$B:$B,Tabelle2[[#This Row],[Country/Region]],RAW_Cases!BR:BR)</f>
        <v>10930</v>
      </c>
      <c r="BR18" s="9">
        <f>SUMIF(RAW_Cases!$B:$B,Tabelle2[[#This Row],[Country/Region]],RAW_Cases!BS:BS)</f>
        <v>0</v>
      </c>
      <c r="BS18" s="9">
        <f>SUMIF(RAW_Cases!$B:$B,Tabelle2[[#This Row],[Country/Region]],RAW_Cases!BT:BT)</f>
        <v>0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2.75" x14ac:dyDescent="0.2">
      <c r="A19" s="27" t="s">
        <v>111</v>
      </c>
      <c r="B19" s="9">
        <f>SUMIF(RAW_Cases!$B:$B,Tabelle2[[#This Row],[Country/Region]],RAW_Cases!C:C)</f>
        <v>1</v>
      </c>
      <c r="C19" s="9">
        <f>SUMIF(RAW_Cases!$B:$B,Tabelle2[[#This Row],[Country/Region]],RAW_Cases!D:D)</f>
        <v>1</v>
      </c>
      <c r="D19" s="9">
        <f>SUMIF(RAW_Cases!$B:$B,Tabelle2[[#This Row],[Country/Region]],RAW_Cases!E:E)</f>
        <v>2</v>
      </c>
      <c r="E19" s="9">
        <f>SUMIF(RAW_Cases!$B:$B,Tabelle2[[#This Row],[Country/Region]],RAW_Cases!F:F)</f>
        <v>2</v>
      </c>
      <c r="F19" s="9">
        <f>SUMIF(RAW_Cases!$B:$B,Tabelle2[[#This Row],[Country/Region]],RAW_Cases!G:G)</f>
        <v>3</v>
      </c>
      <c r="G19" s="9">
        <f>SUMIF(RAW_Cases!$B:$B,Tabelle2[[#This Row],[Country/Region]],RAW_Cases!H:H)</f>
        <v>4</v>
      </c>
      <c r="H19" s="9">
        <f>SUMIF(RAW_Cases!$B:$B,Tabelle2[[#This Row],[Country/Region]],RAW_Cases!I:I)</f>
        <v>4</v>
      </c>
      <c r="I19" s="9">
        <f>SUMIF(RAW_Cases!$B:$B,Tabelle2[[#This Row],[Country/Region]],RAW_Cases!J:J)</f>
        <v>4</v>
      </c>
      <c r="J19" s="9">
        <f>SUMIF(RAW_Cases!$B:$B,Tabelle2[[#This Row],[Country/Region]],RAW_Cases!K:K)</f>
        <v>4</v>
      </c>
      <c r="K19" s="9">
        <f>SUMIF(RAW_Cases!$B:$B,Tabelle2[[#This Row],[Country/Region]],RAW_Cases!L:L)</f>
        <v>11</v>
      </c>
      <c r="L19" s="9">
        <f>SUMIF(RAW_Cases!$B:$B,Tabelle2[[#This Row],[Country/Region]],RAW_Cases!M:M)</f>
        <v>12</v>
      </c>
      <c r="M19" s="9">
        <f>SUMIF(RAW_Cases!$B:$B,Tabelle2[[#This Row],[Country/Region]],RAW_Cases!N:N)</f>
        <v>15</v>
      </c>
      <c r="N19" s="9">
        <f>SUMIF(RAW_Cases!$B:$B,Tabelle2[[#This Row],[Country/Region]],RAW_Cases!O:O)</f>
        <v>15</v>
      </c>
      <c r="O19" s="9">
        <f>SUMIF(RAW_Cases!$B:$B,Tabelle2[[#This Row],[Country/Region]],RAW_Cases!P:P)</f>
        <v>16</v>
      </c>
      <c r="P19" s="9">
        <f>SUMIF(RAW_Cases!$B:$B,Tabelle2[[#This Row],[Country/Region]],RAW_Cases!Q:Q)</f>
        <v>19</v>
      </c>
      <c r="Q19" s="9">
        <f>SUMIF(RAW_Cases!$B:$B,Tabelle2[[#This Row],[Country/Region]],RAW_Cases!R:R)</f>
        <v>23</v>
      </c>
      <c r="R19" s="9">
        <f>SUMIF(RAW_Cases!$B:$B,Tabelle2[[#This Row],[Country/Region]],RAW_Cases!S:S)</f>
        <v>24</v>
      </c>
      <c r="S19" s="9">
        <f>SUMIF(RAW_Cases!$B:$B,Tabelle2[[#This Row],[Country/Region]],RAW_Cases!T:T)</f>
        <v>24</v>
      </c>
      <c r="T19" s="9">
        <f>SUMIF(RAW_Cases!$B:$B,Tabelle2[[#This Row],[Country/Region]],RAW_Cases!U:U)</f>
        <v>25</v>
      </c>
      <c r="U19" s="9">
        <f>SUMIF(RAW_Cases!$B:$B,Tabelle2[[#This Row],[Country/Region]],RAW_Cases!V:V)</f>
        <v>27</v>
      </c>
      <c r="V19" s="9">
        <f>SUMIF(RAW_Cases!$B:$B,Tabelle2[[#This Row],[Country/Region]],RAW_Cases!W:W)</f>
        <v>28</v>
      </c>
      <c r="W19" s="9">
        <f>SUMIF(RAW_Cases!$B:$B,Tabelle2[[#This Row],[Country/Region]],RAW_Cases!X:X)</f>
        <v>28</v>
      </c>
      <c r="X19" s="9">
        <f>SUMIF(RAW_Cases!$B:$B,Tabelle2[[#This Row],[Country/Region]],RAW_Cases!Y:Y)</f>
        <v>28</v>
      </c>
      <c r="Y19" s="9">
        <f>SUMIF(RAW_Cases!$B:$B,Tabelle2[[#This Row],[Country/Region]],RAW_Cases!Z:Z)</f>
        <v>28</v>
      </c>
      <c r="Z19" s="9">
        <f>SUMIF(RAW_Cases!$B:$B,Tabelle2[[#This Row],[Country/Region]],RAW_Cases!AA:AA)</f>
        <v>28</v>
      </c>
      <c r="AA19" s="9">
        <f>SUMIF(RAW_Cases!$B:$B,Tabelle2[[#This Row],[Country/Region]],RAW_Cases!AB:AB)</f>
        <v>29</v>
      </c>
      <c r="AB19" s="9">
        <f>SUMIF(RAW_Cases!$B:$B,Tabelle2[[#This Row],[Country/Region]],RAW_Cases!AC:AC)</f>
        <v>30</v>
      </c>
      <c r="AC19" s="9">
        <f>SUMIF(RAW_Cases!$B:$B,Tabelle2[[#This Row],[Country/Region]],RAW_Cases!AD:AD)</f>
        <v>31</v>
      </c>
      <c r="AD19" s="9">
        <f>SUMIF(RAW_Cases!$B:$B,Tabelle2[[#This Row],[Country/Region]],RAW_Cases!AE:AE)</f>
        <v>31</v>
      </c>
      <c r="AE19" s="9">
        <f>SUMIF(RAW_Cases!$B:$B,Tabelle2[[#This Row],[Country/Region]],RAW_Cases!AF:AF)</f>
        <v>104</v>
      </c>
      <c r="AF19" s="9">
        <f>SUMIF(RAW_Cases!$B:$B,Tabelle2[[#This Row],[Country/Region]],RAW_Cases!AG:AG)</f>
        <v>204</v>
      </c>
      <c r="AG19" s="9">
        <f>SUMIF(RAW_Cases!$B:$B,Tabelle2[[#This Row],[Country/Region]],RAW_Cases!AH:AH)</f>
        <v>433</v>
      </c>
      <c r="AH19" s="9">
        <f>SUMIF(RAW_Cases!$B:$B,Tabelle2[[#This Row],[Country/Region]],RAW_Cases!AI:AI)</f>
        <v>602</v>
      </c>
      <c r="AI19" s="9">
        <f>SUMIF(RAW_Cases!$B:$B,Tabelle2[[#This Row],[Country/Region]],RAW_Cases!AJ:AJ)</f>
        <v>833</v>
      </c>
      <c r="AJ19" s="9">
        <f>SUMIF(RAW_Cases!$B:$B,Tabelle2[[#This Row],[Country/Region]],RAW_Cases!AK:AK)</f>
        <v>977</v>
      </c>
      <c r="AK19" s="9">
        <f>SUMIF(RAW_Cases!$B:$B,Tabelle2[[#This Row],[Country/Region]],RAW_Cases!AL:AL)</f>
        <v>1261</v>
      </c>
      <c r="AL19" s="9">
        <f>SUMIF(RAW_Cases!$B:$B,Tabelle2[[#This Row],[Country/Region]],RAW_Cases!AM:AM)</f>
        <v>1766</v>
      </c>
      <c r="AM19" s="9">
        <f>SUMIF(RAW_Cases!$B:$B,Tabelle2[[#This Row],[Country/Region]],RAW_Cases!AN:AN)</f>
        <v>2337</v>
      </c>
      <c r="AN19" s="9">
        <f>SUMIF(RAW_Cases!$B:$B,Tabelle2[[#This Row],[Country/Region]],RAW_Cases!AO:AO)</f>
        <v>3150</v>
      </c>
      <c r="AO19" s="9">
        <f>SUMIF(RAW_Cases!$B:$B,Tabelle2[[#This Row],[Country/Region]],RAW_Cases!AP:AP)</f>
        <v>3736</v>
      </c>
      <c r="AP19" s="9">
        <f>SUMIF(RAW_Cases!$B:$B,Tabelle2[[#This Row],[Country/Region]],RAW_Cases!AQ:AQ)</f>
        <v>4335</v>
      </c>
      <c r="AQ19" s="9">
        <f>SUMIF(RAW_Cases!$B:$B,Tabelle2[[#This Row],[Country/Region]],RAW_Cases!AR:AR)</f>
        <v>5186</v>
      </c>
      <c r="AR19" s="9">
        <f>SUMIF(RAW_Cases!$B:$B,Tabelle2[[#This Row],[Country/Region]],RAW_Cases!AS:AS)</f>
        <v>5621</v>
      </c>
      <c r="AS19" s="9">
        <f>SUMIF(RAW_Cases!$B:$B,Tabelle2[[#This Row],[Country/Region]],RAW_Cases!AT:AT)</f>
        <v>6088</v>
      </c>
      <c r="AT19" s="9">
        <f>SUMIF(RAW_Cases!$B:$B,Tabelle2[[#This Row],[Country/Region]],RAW_Cases!AU:AU)</f>
        <v>6593</v>
      </c>
      <c r="AU19" s="9">
        <f>SUMIF(RAW_Cases!$B:$B,Tabelle2[[#This Row],[Country/Region]],RAW_Cases!AV:AV)</f>
        <v>7041</v>
      </c>
      <c r="AV19" s="9">
        <f>SUMIF(RAW_Cases!$B:$B,Tabelle2[[#This Row],[Country/Region]],RAW_Cases!AW:AW)</f>
        <v>7314</v>
      </c>
      <c r="AW19" s="9">
        <f>SUMIF(RAW_Cases!$B:$B,Tabelle2[[#This Row],[Country/Region]],RAW_Cases!AX:AX)</f>
        <v>7478</v>
      </c>
      <c r="AX19" s="9">
        <f>SUMIF(RAW_Cases!$B:$B,Tabelle2[[#This Row],[Country/Region]],RAW_Cases!AY:AY)</f>
        <v>7513</v>
      </c>
      <c r="AY19" s="9">
        <f>SUMIF(RAW_Cases!$B:$B,Tabelle2[[#This Row],[Country/Region]],RAW_Cases!AZ:AZ)</f>
        <v>7755</v>
      </c>
      <c r="AZ19" s="9">
        <f>SUMIF(RAW_Cases!$B:$B,Tabelle2[[#This Row],[Country/Region]],RAW_Cases!BA:BA)</f>
        <v>7869</v>
      </c>
      <c r="BA19" s="9">
        <f>SUMIF(RAW_Cases!$B:$B,Tabelle2[[#This Row],[Country/Region]],RAW_Cases!BB:BB)</f>
        <v>7979</v>
      </c>
      <c r="BB19" s="9">
        <f>SUMIF(RAW_Cases!$B:$B,Tabelle2[[#This Row],[Country/Region]],RAW_Cases!BC:BC)</f>
        <v>8086</v>
      </c>
      <c r="BC19" s="9">
        <f>SUMIF(RAW_Cases!$B:$B,Tabelle2[[#This Row],[Country/Region]],RAW_Cases!BD:BD)</f>
        <v>8162</v>
      </c>
      <c r="BD19" s="9">
        <f>SUMIF(RAW_Cases!$B:$B,Tabelle2[[#This Row],[Country/Region]],RAW_Cases!BE:BE)</f>
        <v>8236</v>
      </c>
      <c r="BE19" s="9">
        <f>SUMIF(RAW_Cases!$B:$B,Tabelle2[[#This Row],[Country/Region]],RAW_Cases!BF:BF)</f>
        <v>8320</v>
      </c>
      <c r="BF19" s="9">
        <f>SUMIF(RAW_Cases!$B:$B,Tabelle2[[#This Row],[Country/Region]],RAW_Cases!BG:BG)</f>
        <v>8413</v>
      </c>
      <c r="BG19" s="9">
        <f>SUMIF(RAW_Cases!$B:$B,Tabelle2[[#This Row],[Country/Region]],RAW_Cases!BH:BH)</f>
        <v>8565</v>
      </c>
      <c r="BH19" s="9">
        <f>SUMIF(RAW_Cases!$B:$B,Tabelle2[[#This Row],[Country/Region]],RAW_Cases!BI:BI)</f>
        <v>8652</v>
      </c>
      <c r="BI19" s="9">
        <f>SUMIF(RAW_Cases!$B:$B,Tabelle2[[#This Row],[Country/Region]],RAW_Cases!BJ:BJ)</f>
        <v>8799</v>
      </c>
      <c r="BJ19" s="9">
        <f>SUMIF(RAW_Cases!$B:$B,Tabelle2[[#This Row],[Country/Region]],RAW_Cases!BK:BK)</f>
        <v>8961</v>
      </c>
      <c r="BK19" s="9">
        <f>SUMIF(RAW_Cases!$B:$B,Tabelle2[[#This Row],[Country/Region]],RAW_Cases!BL:BL)</f>
        <v>8961</v>
      </c>
      <c r="BL19" s="9">
        <f>SUMIF(RAW_Cases!$B:$B,Tabelle2[[#This Row],[Country/Region]],RAW_Cases!BM:BM)</f>
        <v>9037</v>
      </c>
      <c r="BM19" s="9">
        <f>SUMIF(RAW_Cases!$B:$B,Tabelle2[[#This Row],[Country/Region]],RAW_Cases!BN:BN)</f>
        <v>9137</v>
      </c>
      <c r="BN19" s="9">
        <f>SUMIF(RAW_Cases!$B:$B,Tabelle2[[#This Row],[Country/Region]],RAW_Cases!BO:BO)</f>
        <v>9241</v>
      </c>
      <c r="BO19" s="9">
        <f>SUMIF(RAW_Cases!$B:$B,Tabelle2[[#This Row],[Country/Region]],RAW_Cases!BP:BP)</f>
        <v>9332</v>
      </c>
      <c r="BP19" s="9">
        <f>SUMIF(RAW_Cases!$B:$B,Tabelle2[[#This Row],[Country/Region]],RAW_Cases!BQ:BQ)</f>
        <v>9478</v>
      </c>
      <c r="BQ19" s="9">
        <f>SUMIF(RAW_Cases!$B:$B,Tabelle2[[#This Row],[Country/Region]],RAW_Cases!BR:BR)</f>
        <v>9583</v>
      </c>
      <c r="BR19" s="9">
        <f>SUMIF(RAW_Cases!$B:$B,Tabelle2[[#This Row],[Country/Region]],RAW_Cases!BS:BS)</f>
        <v>0</v>
      </c>
      <c r="BS19" s="9">
        <f>SUMIF(RAW_Cases!$B:$B,Tabelle2[[#This Row],[Country/Region]],RAW_Cases!BT:BT)</f>
        <v>0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2.75" x14ac:dyDescent="0.2">
      <c r="A20" s="27" t="s">
        <v>22</v>
      </c>
      <c r="B20" s="9">
        <f>SUMIF(RAW_Cases!$B:$B,Tabelle2[[#This Row],[Country/Region]],RAW_Cases!C:C)</f>
        <v>0</v>
      </c>
      <c r="C20" s="9">
        <f>SUMIF(RAW_Cases!$B:$B,Tabelle2[[#This Row],[Country/Region]],RAW_Cases!D:D)</f>
        <v>0</v>
      </c>
      <c r="D20" s="9">
        <f>SUMIF(RAW_Cases!$B:$B,Tabelle2[[#This Row],[Country/Region]],RAW_Cases!E:E)</f>
        <v>0</v>
      </c>
      <c r="E20" s="9">
        <f>SUMIF(RAW_Cases!$B:$B,Tabelle2[[#This Row],[Country/Region]],RAW_Cases!F:F)</f>
        <v>0</v>
      </c>
      <c r="F20" s="9">
        <f>SUMIF(RAW_Cases!$B:$B,Tabelle2[[#This Row],[Country/Region]],RAW_Cases!G:G)</f>
        <v>0</v>
      </c>
      <c r="G20" s="9">
        <f>SUMIF(RAW_Cases!$B:$B,Tabelle2[[#This Row],[Country/Region]],RAW_Cases!H:H)</f>
        <v>0</v>
      </c>
      <c r="H20" s="9">
        <f>SUMIF(RAW_Cases!$B:$B,Tabelle2[[#This Row],[Country/Region]],RAW_Cases!I:I)</f>
        <v>0</v>
      </c>
      <c r="I20" s="9">
        <f>SUMIF(RAW_Cases!$B:$B,Tabelle2[[#This Row],[Country/Region]],RAW_Cases!J:J)</f>
        <v>0</v>
      </c>
      <c r="J20" s="9">
        <f>SUMIF(RAW_Cases!$B:$B,Tabelle2[[#This Row],[Country/Region]],RAW_Cases!K:K)</f>
        <v>0</v>
      </c>
      <c r="K20" s="9">
        <f>SUMIF(RAW_Cases!$B:$B,Tabelle2[[#This Row],[Country/Region]],RAW_Cases!L:L)</f>
        <v>0</v>
      </c>
      <c r="L20" s="9">
        <f>SUMIF(RAW_Cases!$B:$B,Tabelle2[[#This Row],[Country/Region]],RAW_Cases!M:M)</f>
        <v>1</v>
      </c>
      <c r="M20" s="9">
        <f>SUMIF(RAW_Cases!$B:$B,Tabelle2[[#This Row],[Country/Region]],RAW_Cases!N:N)</f>
        <v>1</v>
      </c>
      <c r="N20" s="9">
        <f>SUMIF(RAW_Cases!$B:$B,Tabelle2[[#This Row],[Country/Region]],RAW_Cases!O:O)</f>
        <v>1</v>
      </c>
      <c r="O20" s="9">
        <f>SUMIF(RAW_Cases!$B:$B,Tabelle2[[#This Row],[Country/Region]],RAW_Cases!P:P)</f>
        <v>1</v>
      </c>
      <c r="P20" s="9">
        <f>SUMIF(RAW_Cases!$B:$B,Tabelle2[[#This Row],[Country/Region]],RAW_Cases!Q:Q)</f>
        <v>1</v>
      </c>
      <c r="Q20" s="9">
        <f>SUMIF(RAW_Cases!$B:$B,Tabelle2[[#This Row],[Country/Region]],RAW_Cases!R:R)</f>
        <v>1</v>
      </c>
      <c r="R20" s="9">
        <f>SUMIF(RAW_Cases!$B:$B,Tabelle2[[#This Row],[Country/Region]],RAW_Cases!S:S)</f>
        <v>1</v>
      </c>
      <c r="S20" s="9">
        <f>SUMIF(RAW_Cases!$B:$B,Tabelle2[[#This Row],[Country/Region]],RAW_Cases!T:T)</f>
        <v>1</v>
      </c>
      <c r="T20" s="9">
        <f>SUMIF(RAW_Cases!$B:$B,Tabelle2[[#This Row],[Country/Region]],RAW_Cases!U:U)</f>
        <v>2</v>
      </c>
      <c r="U20" s="9">
        <f>SUMIF(RAW_Cases!$B:$B,Tabelle2[[#This Row],[Country/Region]],RAW_Cases!V:V)</f>
        <v>2</v>
      </c>
      <c r="V20" s="9">
        <f>SUMIF(RAW_Cases!$B:$B,Tabelle2[[#This Row],[Country/Region]],RAW_Cases!W:W)</f>
        <v>2</v>
      </c>
      <c r="W20" s="9">
        <f>SUMIF(RAW_Cases!$B:$B,Tabelle2[[#This Row],[Country/Region]],RAW_Cases!X:X)</f>
        <v>2</v>
      </c>
      <c r="X20" s="9">
        <f>SUMIF(RAW_Cases!$B:$B,Tabelle2[[#This Row],[Country/Region]],RAW_Cases!Y:Y)</f>
        <v>2</v>
      </c>
      <c r="Y20" s="9">
        <f>SUMIF(RAW_Cases!$B:$B,Tabelle2[[#This Row],[Country/Region]],RAW_Cases!Z:Z)</f>
        <v>2</v>
      </c>
      <c r="Z20" s="9">
        <f>SUMIF(RAW_Cases!$B:$B,Tabelle2[[#This Row],[Country/Region]],RAW_Cases!AA:AA)</f>
        <v>2</v>
      </c>
      <c r="AA20" s="9">
        <f>SUMIF(RAW_Cases!$B:$B,Tabelle2[[#This Row],[Country/Region]],RAW_Cases!AB:AB)</f>
        <v>2</v>
      </c>
      <c r="AB20" s="9">
        <f>SUMIF(RAW_Cases!$B:$B,Tabelle2[[#This Row],[Country/Region]],RAW_Cases!AC:AC)</f>
        <v>2</v>
      </c>
      <c r="AC20" s="9">
        <f>SUMIF(RAW_Cases!$B:$B,Tabelle2[[#This Row],[Country/Region]],RAW_Cases!AD:AD)</f>
        <v>2</v>
      </c>
      <c r="AD20" s="9">
        <f>SUMIF(RAW_Cases!$B:$B,Tabelle2[[#This Row],[Country/Region]],RAW_Cases!AE:AE)</f>
        <v>2</v>
      </c>
      <c r="AE20" s="9">
        <f>SUMIF(RAW_Cases!$B:$B,Tabelle2[[#This Row],[Country/Region]],RAW_Cases!AF:AF)</f>
        <v>2</v>
      </c>
      <c r="AF20" s="9">
        <f>SUMIF(RAW_Cases!$B:$B,Tabelle2[[#This Row],[Country/Region]],RAW_Cases!AG:AG)</f>
        <v>2</v>
      </c>
      <c r="AG20" s="9">
        <f>SUMIF(RAW_Cases!$B:$B,Tabelle2[[#This Row],[Country/Region]],RAW_Cases!AH:AH)</f>
        <v>2</v>
      </c>
      <c r="AH20" s="9">
        <f>SUMIF(RAW_Cases!$B:$B,Tabelle2[[#This Row],[Country/Region]],RAW_Cases!AI:AI)</f>
        <v>2</v>
      </c>
      <c r="AI20" s="9">
        <f>SUMIF(RAW_Cases!$B:$B,Tabelle2[[#This Row],[Country/Region]],RAW_Cases!AJ:AJ)</f>
        <v>2</v>
      </c>
      <c r="AJ20" s="9">
        <f>SUMIF(RAW_Cases!$B:$B,Tabelle2[[#This Row],[Country/Region]],RAW_Cases!AK:AK)</f>
        <v>6</v>
      </c>
      <c r="AK20" s="9">
        <f>SUMIF(RAW_Cases!$B:$B,Tabelle2[[#This Row],[Country/Region]],RAW_Cases!AL:AL)</f>
        <v>13</v>
      </c>
      <c r="AL20" s="9">
        <f>SUMIF(RAW_Cases!$B:$B,Tabelle2[[#This Row],[Country/Region]],RAW_Cases!AM:AM)</f>
        <v>15</v>
      </c>
      <c r="AM20" s="9">
        <f>SUMIF(RAW_Cases!$B:$B,Tabelle2[[#This Row],[Country/Region]],RAW_Cases!AN:AN)</f>
        <v>32</v>
      </c>
      <c r="AN20" s="9">
        <f>SUMIF(RAW_Cases!$B:$B,Tabelle2[[#This Row],[Country/Region]],RAW_Cases!AO:AO)</f>
        <v>45</v>
      </c>
      <c r="AO20" s="9">
        <f>SUMIF(RAW_Cases!$B:$B,Tabelle2[[#This Row],[Country/Region]],RAW_Cases!AP:AP)</f>
        <v>84</v>
      </c>
      <c r="AP20" s="9">
        <f>SUMIF(RAW_Cases!$B:$B,Tabelle2[[#This Row],[Country/Region]],RAW_Cases!AQ:AQ)</f>
        <v>120</v>
      </c>
      <c r="AQ20" s="9">
        <f>SUMIF(RAW_Cases!$B:$B,Tabelle2[[#This Row],[Country/Region]],RAW_Cases!AR:AR)</f>
        <v>165</v>
      </c>
      <c r="AR20" s="9">
        <f>SUMIF(RAW_Cases!$B:$B,Tabelle2[[#This Row],[Country/Region]],RAW_Cases!AS:AS)</f>
        <v>222</v>
      </c>
      <c r="AS20" s="9">
        <f>SUMIF(RAW_Cases!$B:$B,Tabelle2[[#This Row],[Country/Region]],RAW_Cases!AT:AT)</f>
        <v>259</v>
      </c>
      <c r="AT20" s="9">
        <f>SUMIF(RAW_Cases!$B:$B,Tabelle2[[#This Row],[Country/Region]],RAW_Cases!AU:AU)</f>
        <v>400</v>
      </c>
      <c r="AU20" s="9">
        <f>SUMIF(RAW_Cases!$B:$B,Tabelle2[[#This Row],[Country/Region]],RAW_Cases!AV:AV)</f>
        <v>500</v>
      </c>
      <c r="AV20" s="9">
        <f>SUMIF(RAW_Cases!$B:$B,Tabelle2[[#This Row],[Country/Region]],RAW_Cases!AW:AW)</f>
        <v>673</v>
      </c>
      <c r="AW20" s="9">
        <f>SUMIF(RAW_Cases!$B:$B,Tabelle2[[#This Row],[Country/Region]],RAW_Cases!AX:AX)</f>
        <v>1073</v>
      </c>
      <c r="AX20" s="9">
        <f>SUMIF(RAW_Cases!$B:$B,Tabelle2[[#This Row],[Country/Region]],RAW_Cases!AY:AY)</f>
        <v>1695</v>
      </c>
      <c r="AY20" s="9">
        <f>SUMIF(RAW_Cases!$B:$B,Tabelle2[[#This Row],[Country/Region]],RAW_Cases!AZ:AZ)</f>
        <v>2277</v>
      </c>
      <c r="AZ20" s="9">
        <f>SUMIF(RAW_Cases!$B:$B,Tabelle2[[#This Row],[Country/Region]],RAW_Cases!BA:BA)</f>
        <v>2277</v>
      </c>
      <c r="BA20" s="9">
        <f>SUMIF(RAW_Cases!$B:$B,Tabelle2[[#This Row],[Country/Region]],RAW_Cases!BB:BB)</f>
        <v>5232</v>
      </c>
      <c r="BB20" s="9">
        <f>SUMIF(RAW_Cases!$B:$B,Tabelle2[[#This Row],[Country/Region]],RAW_Cases!BC:BC)</f>
        <v>6391</v>
      </c>
      <c r="BC20" s="9">
        <f>SUMIF(RAW_Cases!$B:$B,Tabelle2[[#This Row],[Country/Region]],RAW_Cases!BD:BD)</f>
        <v>7798</v>
      </c>
      <c r="BD20" s="9">
        <f>SUMIF(RAW_Cases!$B:$B,Tabelle2[[#This Row],[Country/Region]],RAW_Cases!BE:BE)</f>
        <v>9942</v>
      </c>
      <c r="BE20" s="9">
        <f>SUMIF(RAW_Cases!$B:$B,Tabelle2[[#This Row],[Country/Region]],RAW_Cases!BF:BF)</f>
        <v>11748</v>
      </c>
      <c r="BF20" s="9">
        <f>SUMIF(RAW_Cases!$B:$B,Tabelle2[[#This Row],[Country/Region]],RAW_Cases!BG:BG)</f>
        <v>13910</v>
      </c>
      <c r="BG20" s="9">
        <f>SUMIF(RAW_Cases!$B:$B,Tabelle2[[#This Row],[Country/Region]],RAW_Cases!BH:BH)</f>
        <v>17963</v>
      </c>
      <c r="BH20" s="9">
        <f>SUMIF(RAW_Cases!$B:$B,Tabelle2[[#This Row],[Country/Region]],RAW_Cases!BI:BI)</f>
        <v>20410</v>
      </c>
      <c r="BI20" s="9">
        <f>SUMIF(RAW_Cases!$B:$B,Tabelle2[[#This Row],[Country/Region]],RAW_Cases!BJ:BJ)</f>
        <v>25374</v>
      </c>
      <c r="BJ20" s="9">
        <f>SUMIF(RAW_Cases!$B:$B,Tabelle2[[#This Row],[Country/Region]],RAW_Cases!BK:BK)</f>
        <v>28768</v>
      </c>
      <c r="BK20" s="9">
        <f>SUMIF(RAW_Cases!$B:$B,Tabelle2[[#This Row],[Country/Region]],RAW_Cases!BL:BL)</f>
        <v>35136</v>
      </c>
      <c r="BL20" s="9">
        <f>SUMIF(RAW_Cases!$B:$B,Tabelle2[[#This Row],[Country/Region]],RAW_Cases!BM:BM)</f>
        <v>39885</v>
      </c>
      <c r="BM20" s="9">
        <f>SUMIF(RAW_Cases!$B:$B,Tabelle2[[#This Row],[Country/Region]],RAW_Cases!BN:BN)</f>
        <v>49515</v>
      </c>
      <c r="BN20" s="9">
        <f>SUMIF(RAW_Cases!$B:$B,Tabelle2[[#This Row],[Country/Region]],RAW_Cases!BO:BO)</f>
        <v>57786</v>
      </c>
      <c r="BO20" s="9">
        <f>SUMIF(RAW_Cases!$B:$B,Tabelle2[[#This Row],[Country/Region]],RAW_Cases!BP:BP)</f>
        <v>65719</v>
      </c>
      <c r="BP20" s="9">
        <f>SUMIF(RAW_Cases!$B:$B,Tabelle2[[#This Row],[Country/Region]],RAW_Cases!BQ:BQ)</f>
        <v>73235</v>
      </c>
      <c r="BQ20" s="9">
        <f>SUMIF(RAW_Cases!$B:$B,Tabelle2[[#This Row],[Country/Region]],RAW_Cases!BR:BR)</f>
        <v>80110</v>
      </c>
      <c r="BR20" s="9">
        <f>SUMIF(RAW_Cases!$B:$B,Tabelle2[[#This Row],[Country/Region]],RAW_Cases!BS:BS)</f>
        <v>0</v>
      </c>
      <c r="BS20" s="9">
        <f>SUMIF(RAW_Cases!$B:$B,Tabelle2[[#This Row],[Country/Region]],RAW_Cases!BT:BT)</f>
        <v>0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1" customFormat="1" ht="12.75" x14ac:dyDescent="0.2">
      <c r="A21" s="27" t="s">
        <v>112</v>
      </c>
      <c r="B21" s="9">
        <f>SUMIF(RAW_Cases!$B:$B,Tabelle2[[#This Row],[Country/Region]],RAW_Cases!C:C)</f>
        <v>0</v>
      </c>
      <c r="C21" s="9">
        <f>SUMIF(RAW_Cases!$B:$B,Tabelle2[[#This Row],[Country/Region]],RAW_Cases!D:D)</f>
        <v>0</v>
      </c>
      <c r="D21" s="9">
        <f>SUMIF(RAW_Cases!$B:$B,Tabelle2[[#This Row],[Country/Region]],RAW_Cases!E:E)</f>
        <v>2</v>
      </c>
      <c r="E21" s="9">
        <f>SUMIF(RAW_Cases!$B:$B,Tabelle2[[#This Row],[Country/Region]],RAW_Cases!F:F)</f>
        <v>3</v>
      </c>
      <c r="F21" s="9">
        <f>SUMIF(RAW_Cases!$B:$B,Tabelle2[[#This Row],[Country/Region]],RAW_Cases!G:G)</f>
        <v>3</v>
      </c>
      <c r="G21" s="9">
        <f>SUMIF(RAW_Cases!$B:$B,Tabelle2[[#This Row],[Country/Region]],RAW_Cases!H:H)</f>
        <v>3</v>
      </c>
      <c r="H21" s="9">
        <f>SUMIF(RAW_Cases!$B:$B,Tabelle2[[#This Row],[Country/Region]],RAW_Cases!I:I)</f>
        <v>4</v>
      </c>
      <c r="I21" s="9">
        <f>SUMIF(RAW_Cases!$B:$B,Tabelle2[[#This Row],[Country/Region]],RAW_Cases!J:J)</f>
        <v>5</v>
      </c>
      <c r="J21" s="9">
        <f>SUMIF(RAW_Cases!$B:$B,Tabelle2[[#This Row],[Country/Region]],RAW_Cases!K:K)</f>
        <v>5</v>
      </c>
      <c r="K21" s="9">
        <f>SUMIF(RAW_Cases!$B:$B,Tabelle2[[#This Row],[Country/Region]],RAW_Cases!L:L)</f>
        <v>5</v>
      </c>
      <c r="L21" s="9">
        <f>SUMIF(RAW_Cases!$B:$B,Tabelle2[[#This Row],[Country/Region]],RAW_Cases!M:M)</f>
        <v>6</v>
      </c>
      <c r="M21" s="9">
        <f>SUMIF(RAW_Cases!$B:$B,Tabelle2[[#This Row],[Country/Region]],RAW_Cases!N:N)</f>
        <v>6</v>
      </c>
      <c r="N21" s="9">
        <f>SUMIF(RAW_Cases!$B:$B,Tabelle2[[#This Row],[Country/Region]],RAW_Cases!O:O)</f>
        <v>6</v>
      </c>
      <c r="O21" s="9">
        <f>SUMIF(RAW_Cases!$B:$B,Tabelle2[[#This Row],[Country/Region]],RAW_Cases!P:P)</f>
        <v>6</v>
      </c>
      <c r="P21" s="9">
        <f>SUMIF(RAW_Cases!$B:$B,Tabelle2[[#This Row],[Country/Region]],RAW_Cases!Q:Q)</f>
        <v>6</v>
      </c>
      <c r="Q21" s="9">
        <f>SUMIF(RAW_Cases!$B:$B,Tabelle2[[#This Row],[Country/Region]],RAW_Cases!R:R)</f>
        <v>6</v>
      </c>
      <c r="R21" s="9">
        <f>SUMIF(RAW_Cases!$B:$B,Tabelle2[[#This Row],[Country/Region]],RAW_Cases!S:S)</f>
        <v>6</v>
      </c>
      <c r="S21" s="9">
        <f>SUMIF(RAW_Cases!$B:$B,Tabelle2[[#This Row],[Country/Region]],RAW_Cases!T:T)</f>
        <v>11</v>
      </c>
      <c r="T21" s="9">
        <f>SUMIF(RAW_Cases!$B:$B,Tabelle2[[#This Row],[Country/Region]],RAW_Cases!U:U)</f>
        <v>11</v>
      </c>
      <c r="U21" s="9">
        <f>SUMIF(RAW_Cases!$B:$B,Tabelle2[[#This Row],[Country/Region]],RAW_Cases!V:V)</f>
        <v>11</v>
      </c>
      <c r="V21" s="9">
        <f>SUMIF(RAW_Cases!$B:$B,Tabelle2[[#This Row],[Country/Region]],RAW_Cases!W:W)</f>
        <v>11</v>
      </c>
      <c r="W21" s="9">
        <f>SUMIF(RAW_Cases!$B:$B,Tabelle2[[#This Row],[Country/Region]],RAW_Cases!X:X)</f>
        <v>11</v>
      </c>
      <c r="X21" s="9">
        <f>SUMIF(RAW_Cases!$B:$B,Tabelle2[[#This Row],[Country/Region]],RAW_Cases!Y:Y)</f>
        <v>11</v>
      </c>
      <c r="Y21" s="9">
        <f>SUMIF(RAW_Cases!$B:$B,Tabelle2[[#This Row],[Country/Region]],RAW_Cases!Z:Z)</f>
        <v>11</v>
      </c>
      <c r="Z21" s="9">
        <f>SUMIF(RAW_Cases!$B:$B,Tabelle2[[#This Row],[Country/Region]],RAW_Cases!AA:AA)</f>
        <v>12</v>
      </c>
      <c r="AA21" s="9">
        <f>SUMIF(RAW_Cases!$B:$B,Tabelle2[[#This Row],[Country/Region]],RAW_Cases!AB:AB)</f>
        <v>12</v>
      </c>
      <c r="AB21" s="9">
        <f>SUMIF(RAW_Cases!$B:$B,Tabelle2[[#This Row],[Country/Region]],RAW_Cases!AC:AC)</f>
        <v>12</v>
      </c>
      <c r="AC21" s="9">
        <f>SUMIF(RAW_Cases!$B:$B,Tabelle2[[#This Row],[Country/Region]],RAW_Cases!AD:AD)</f>
        <v>12</v>
      </c>
      <c r="AD21" s="9">
        <f>SUMIF(RAW_Cases!$B:$B,Tabelle2[[#This Row],[Country/Region]],RAW_Cases!AE:AE)</f>
        <v>12</v>
      </c>
      <c r="AE21" s="9">
        <f>SUMIF(RAW_Cases!$B:$B,Tabelle2[[#This Row],[Country/Region]],RAW_Cases!AF:AF)</f>
        <v>12</v>
      </c>
      <c r="AF21" s="9">
        <f>SUMIF(RAW_Cases!$B:$B,Tabelle2[[#This Row],[Country/Region]],RAW_Cases!AG:AG)</f>
        <v>12</v>
      </c>
      <c r="AG21" s="9">
        <f>SUMIF(RAW_Cases!$B:$B,Tabelle2[[#This Row],[Country/Region]],RAW_Cases!AH:AH)</f>
        <v>12</v>
      </c>
      <c r="AH21" s="9">
        <f>SUMIF(RAW_Cases!$B:$B,Tabelle2[[#This Row],[Country/Region]],RAW_Cases!AI:AI)</f>
        <v>12</v>
      </c>
      <c r="AI21" s="9">
        <f>SUMIF(RAW_Cases!$B:$B,Tabelle2[[#This Row],[Country/Region]],RAW_Cases!AJ:AJ)</f>
        <v>12</v>
      </c>
      <c r="AJ21" s="9">
        <f>SUMIF(RAW_Cases!$B:$B,Tabelle2[[#This Row],[Country/Region]],RAW_Cases!AK:AK)</f>
        <v>14</v>
      </c>
      <c r="AK21" s="9">
        <f>SUMIF(RAW_Cases!$B:$B,Tabelle2[[#This Row],[Country/Region]],RAW_Cases!AL:AL)</f>
        <v>18</v>
      </c>
      <c r="AL21" s="9">
        <f>SUMIF(RAW_Cases!$B:$B,Tabelle2[[#This Row],[Country/Region]],RAW_Cases!AM:AM)</f>
        <v>38</v>
      </c>
      <c r="AM21" s="9">
        <f>SUMIF(RAW_Cases!$B:$B,Tabelle2[[#This Row],[Country/Region]],RAW_Cases!AN:AN)</f>
        <v>57</v>
      </c>
      <c r="AN21" s="9">
        <f>SUMIF(RAW_Cases!$B:$B,Tabelle2[[#This Row],[Country/Region]],RAW_Cases!AO:AO)</f>
        <v>100</v>
      </c>
      <c r="AO21" s="9">
        <f>SUMIF(RAW_Cases!$B:$B,Tabelle2[[#This Row],[Country/Region]],RAW_Cases!AP:AP)</f>
        <v>130</v>
      </c>
      <c r="AP21" s="9">
        <f>SUMIF(RAW_Cases!$B:$B,Tabelle2[[#This Row],[Country/Region]],RAW_Cases!AQ:AQ)</f>
        <v>191</v>
      </c>
      <c r="AQ21" s="9">
        <f>SUMIF(RAW_Cases!$B:$B,Tabelle2[[#This Row],[Country/Region]],RAW_Cases!AR:AR)</f>
        <v>204</v>
      </c>
      <c r="AR21" s="9">
        <f>SUMIF(RAW_Cases!$B:$B,Tabelle2[[#This Row],[Country/Region]],RAW_Cases!AS:AS)</f>
        <v>288</v>
      </c>
      <c r="AS21" s="9">
        <f>SUMIF(RAW_Cases!$B:$B,Tabelle2[[#This Row],[Country/Region]],RAW_Cases!AT:AT)</f>
        <v>380</v>
      </c>
      <c r="AT21" s="9">
        <f>SUMIF(RAW_Cases!$B:$B,Tabelle2[[#This Row],[Country/Region]],RAW_Cases!AU:AU)</f>
        <v>656</v>
      </c>
      <c r="AU21" s="9">
        <f>SUMIF(RAW_Cases!$B:$B,Tabelle2[[#This Row],[Country/Region]],RAW_Cases!AV:AV)</f>
        <v>959</v>
      </c>
      <c r="AV21" s="9">
        <f>SUMIF(RAW_Cases!$B:$B,Tabelle2[[#This Row],[Country/Region]],RAW_Cases!AW:AW)</f>
        <v>1136</v>
      </c>
      <c r="AW21" s="9">
        <f>SUMIF(RAW_Cases!$B:$B,Tabelle2[[#This Row],[Country/Region]],RAW_Cases!AX:AX)</f>
        <v>1219</v>
      </c>
      <c r="AX21" s="9">
        <f>SUMIF(RAW_Cases!$B:$B,Tabelle2[[#This Row],[Country/Region]],RAW_Cases!AY:AY)</f>
        <v>1794</v>
      </c>
      <c r="AY21" s="9">
        <f>SUMIF(RAW_Cases!$B:$B,Tabelle2[[#This Row],[Country/Region]],RAW_Cases!AZ:AZ)</f>
        <v>2293</v>
      </c>
      <c r="AZ21" s="9">
        <f>SUMIF(RAW_Cases!$B:$B,Tabelle2[[#This Row],[Country/Region]],RAW_Cases!BA:BA)</f>
        <v>2293</v>
      </c>
      <c r="BA21" s="9">
        <f>SUMIF(RAW_Cases!$B:$B,Tabelle2[[#This Row],[Country/Region]],RAW_Cases!BB:BB)</f>
        <v>3681</v>
      </c>
      <c r="BB21" s="9">
        <f>SUMIF(RAW_Cases!$B:$B,Tabelle2[[#This Row],[Country/Region]],RAW_Cases!BC:BC)</f>
        <v>4496</v>
      </c>
      <c r="BC21" s="9">
        <f>SUMIF(RAW_Cases!$B:$B,Tabelle2[[#This Row],[Country/Region]],RAW_Cases!BD:BD)</f>
        <v>4532</v>
      </c>
      <c r="BD21" s="9">
        <f>SUMIF(RAW_Cases!$B:$B,Tabelle2[[#This Row],[Country/Region]],RAW_Cases!BE:BE)</f>
        <v>6683</v>
      </c>
      <c r="BE21" s="9">
        <f>SUMIF(RAW_Cases!$B:$B,Tabelle2[[#This Row],[Country/Region]],RAW_Cases!BF:BF)</f>
        <v>7715</v>
      </c>
      <c r="BF21" s="9">
        <f>SUMIF(RAW_Cases!$B:$B,Tabelle2[[#This Row],[Country/Region]],RAW_Cases!BG:BG)</f>
        <v>9124</v>
      </c>
      <c r="BG21" s="9">
        <f>SUMIF(RAW_Cases!$B:$B,Tabelle2[[#This Row],[Country/Region]],RAW_Cases!BH:BH)</f>
        <v>10970</v>
      </c>
      <c r="BH21" s="9">
        <f>SUMIF(RAW_Cases!$B:$B,Tabelle2[[#This Row],[Country/Region]],RAW_Cases!BI:BI)</f>
        <v>12758</v>
      </c>
      <c r="BI21" s="9">
        <f>SUMIF(RAW_Cases!$B:$B,Tabelle2[[#This Row],[Country/Region]],RAW_Cases!BJ:BJ)</f>
        <v>14463</v>
      </c>
      <c r="BJ21" s="9">
        <f>SUMIF(RAW_Cases!$B:$B,Tabelle2[[#This Row],[Country/Region]],RAW_Cases!BK:BK)</f>
        <v>16243</v>
      </c>
      <c r="BK21" s="9">
        <f>SUMIF(RAW_Cases!$B:$B,Tabelle2[[#This Row],[Country/Region]],RAW_Cases!BL:BL)</f>
        <v>20123</v>
      </c>
      <c r="BL21" s="9">
        <f>SUMIF(RAW_Cases!$B:$B,Tabelle2[[#This Row],[Country/Region]],RAW_Cases!BM:BM)</f>
        <v>22622</v>
      </c>
      <c r="BM21" s="9">
        <f>SUMIF(RAW_Cases!$B:$B,Tabelle2[[#This Row],[Country/Region]],RAW_Cases!BN:BN)</f>
        <v>25600</v>
      </c>
      <c r="BN21" s="9">
        <f>SUMIF(RAW_Cases!$B:$B,Tabelle2[[#This Row],[Country/Region]],RAW_Cases!BO:BO)</f>
        <v>29551</v>
      </c>
      <c r="BO21" s="9">
        <f>SUMIF(RAW_Cases!$B:$B,Tabelle2[[#This Row],[Country/Region]],RAW_Cases!BP:BP)</f>
        <v>33402</v>
      </c>
      <c r="BP21" s="9">
        <f>SUMIF(RAW_Cases!$B:$B,Tabelle2[[#This Row],[Country/Region]],RAW_Cases!BQ:BQ)</f>
        <v>38105</v>
      </c>
      <c r="BQ21" s="9">
        <f>SUMIF(RAW_Cases!$B:$B,Tabelle2[[#This Row],[Country/Region]],RAW_Cases!BR:BR)</f>
        <v>40708</v>
      </c>
      <c r="BR21" s="9">
        <f>SUMIF(RAW_Cases!$B:$B,Tabelle2[[#This Row],[Country/Region]],RAW_Cases!BS:BS)</f>
        <v>0</v>
      </c>
      <c r="BS21" s="9">
        <f>SUMIF(RAW_Cases!$B:$B,Tabelle2[[#This Row],[Country/Region]],RAW_Cases!BT:BT)</f>
        <v>0</v>
      </c>
      <c r="BT21" s="9">
        <f>SUMIF(RAW_Cases!$B:$B,Tabelle2[[#This Row],[Country/Region]],RAW_Cases!BU:BU)</f>
        <v>0</v>
      </c>
      <c r="BU21" s="9">
        <f>SUMIF(RAW_Cases!$B:$B,Tabelle2[[#This Row],[Country/Region]],RAW_Cases!BV:BV)</f>
        <v>0</v>
      </c>
      <c r="BV21" s="9">
        <f>SUMIF(RAW_Cases!$B:$B,Tabelle2[[#This Row],[Country/Region]],RAW_Cases!BW:BW)</f>
        <v>0</v>
      </c>
      <c r="BW21" s="9">
        <f>SUMIF(RAW_Cases!$B:$B,Tabelle2[[#This Row],[Country/Region]],RAW_Cases!BX:BX)</f>
        <v>0</v>
      </c>
      <c r="BX21" s="9">
        <f>SUMIF(RAW_Cases!$B:$B,Tabelle2[[#This Row],[Country/Region]],RAW_Cases!BY:BY)</f>
        <v>0</v>
      </c>
      <c r="BY21" s="9">
        <f>SUMIF(RAW_Cases!$B:$B,Tabelle2[[#This Row],[Country/Region]],RAW_Cases!BZ:BZ)</f>
        <v>0</v>
      </c>
      <c r="BZ21" s="9">
        <f>SUMIF(RAW_Cases!$B:$B,Tabelle2[[#This Row],[Country/Region]],RAW_Cases!CA:CA)</f>
        <v>0</v>
      </c>
      <c r="CA21" s="9">
        <f>SUMIF(RAW_Cases!$B:$B,Tabelle2[[#This Row],[Country/Region]],RAW_Cases!CB:CB)</f>
        <v>0</v>
      </c>
      <c r="CB21" s="9">
        <f>SUMIF(RAW_Cases!$B:$B,Tabelle2[[#This Row],[Country/Region]],RAW_Cases!CC:CC)</f>
        <v>0</v>
      </c>
      <c r="CC21" s="9">
        <f>SUMIF(RAW_Cases!$B:$B,Tabelle2[[#This Row],[Country/Region]],RAW_Cases!CD:CD)</f>
        <v>0</v>
      </c>
      <c r="CD21" s="9">
        <f>SUMIF(RAW_Cases!$B:$B,Tabelle2[[#This Row],[Country/Region]],RAW_Cases!CE:CE)</f>
        <v>0</v>
      </c>
      <c r="CE21" s="9">
        <f>SUMIF(RAW_Cases!$B:$B,Tabelle2[[#This Row],[Country/Region]],RAW_Cases!CF:CF)</f>
        <v>0</v>
      </c>
    </row>
    <row r="22" spans="1:87" s="17" customFormat="1" ht="12" x14ac:dyDescent="0.2">
      <c r="A22" s="17" t="s">
        <v>240</v>
      </c>
      <c r="B22" s="8">
        <f>SUM(RAW_Cases!C:C)</f>
        <v>555</v>
      </c>
      <c r="C22" s="8">
        <f>SUM(RAW_Cases!D:D)</f>
        <v>654</v>
      </c>
      <c r="D22" s="8">
        <f>SUM(RAW_Cases!E:E)</f>
        <v>941</v>
      </c>
      <c r="E22" s="8">
        <f>SUM(RAW_Cases!F:F)</f>
        <v>1434</v>
      </c>
      <c r="F22" s="8">
        <f>SUM(RAW_Cases!G:G)</f>
        <v>2118</v>
      </c>
      <c r="G22" s="8">
        <f>SUM(RAW_Cases!H:H)</f>
        <v>2927</v>
      </c>
      <c r="H22" s="8">
        <f>SUM(RAW_Cases!I:I)</f>
        <v>5578</v>
      </c>
      <c r="I22" s="8">
        <f>SUM(RAW_Cases!J:J)</f>
        <v>6166</v>
      </c>
      <c r="J22" s="8">
        <f>SUM(RAW_Cases!K:K)</f>
        <v>8234</v>
      </c>
      <c r="K22" s="8">
        <f>SUM(RAW_Cases!L:L)</f>
        <v>9927</v>
      </c>
      <c r="L22" s="8">
        <f>SUM(RAW_Cases!M:M)</f>
        <v>12038</v>
      </c>
      <c r="M22" s="8">
        <f>SUM(RAW_Cases!N:N)</f>
        <v>16787</v>
      </c>
      <c r="N22" s="8">
        <f>SUM(RAW_Cases!O:O)</f>
        <v>19881</v>
      </c>
      <c r="O22" s="8">
        <f>SUM(RAW_Cases!P:P)</f>
        <v>23892</v>
      </c>
      <c r="P22" s="8">
        <f>SUM(RAW_Cases!Q:Q)</f>
        <v>27635</v>
      </c>
      <c r="Q22" s="8">
        <f>SUM(RAW_Cases!R:R)</f>
        <v>30794</v>
      </c>
      <c r="R22" s="8">
        <f>SUM(RAW_Cases!S:S)</f>
        <v>34391</v>
      </c>
      <c r="S22" s="8">
        <f>SUM(RAW_Cases!T:T)</f>
        <v>37120</v>
      </c>
      <c r="T22" s="8">
        <f>SUM(RAW_Cases!U:U)</f>
        <v>40150</v>
      </c>
      <c r="U22" s="8">
        <f>SUM(RAW_Cases!V:V)</f>
        <v>42762</v>
      </c>
      <c r="V22" s="8">
        <f>SUM(RAW_Cases!W:W)</f>
        <v>44802</v>
      </c>
      <c r="W22" s="8">
        <f>SUM(RAW_Cases!X:X)</f>
        <v>45221</v>
      </c>
      <c r="X22" s="8">
        <f>SUM(RAW_Cases!Y:Y)</f>
        <v>60368</v>
      </c>
      <c r="Y22" s="8">
        <f>SUM(RAW_Cases!Z:Z)</f>
        <v>66885</v>
      </c>
      <c r="Z22" s="8">
        <f>SUM(RAW_Cases!AA:AA)</f>
        <v>69030</v>
      </c>
      <c r="AA22" s="8">
        <f>SUM(RAW_Cases!AB:AB)</f>
        <v>71224</v>
      </c>
      <c r="AB22" s="8">
        <f>SUM(RAW_Cases!AC:AC)</f>
        <v>73258</v>
      </c>
      <c r="AC22" s="8">
        <f>SUM(RAW_Cases!AD:AD)</f>
        <v>75136</v>
      </c>
      <c r="AD22" s="8">
        <f>SUM(RAW_Cases!AE:AE)</f>
        <v>75639</v>
      </c>
      <c r="AE22" s="8">
        <f>SUM(RAW_Cases!AF:AF)</f>
        <v>76197</v>
      </c>
      <c r="AF22" s="8">
        <f>SUM(RAW_Cases!AG:AG)</f>
        <v>76819</v>
      </c>
      <c r="AG22" s="8">
        <f>SUM(RAW_Cases!AH:AH)</f>
        <v>78572</v>
      </c>
      <c r="AH22" s="8">
        <f>SUM(RAW_Cases!AI:AI)</f>
        <v>78958</v>
      </c>
      <c r="AI22" s="8">
        <f>SUM(RAW_Cases!AJ:AJ)</f>
        <v>79561</v>
      </c>
      <c r="AJ22" s="8">
        <f>SUM(RAW_Cases!AK:AK)</f>
        <v>80406</v>
      </c>
      <c r="AK22" s="8">
        <f>SUM(RAW_Cases!AL:AL)</f>
        <v>81388</v>
      </c>
      <c r="AL22" s="8">
        <f>SUM(RAW_Cases!AM:AM)</f>
        <v>82746</v>
      </c>
      <c r="AM22" s="8">
        <f>SUM(RAW_Cases!AN:AN)</f>
        <v>84112</v>
      </c>
      <c r="AN22" s="8">
        <f>SUM(RAW_Cases!AO:AO)</f>
        <v>86011</v>
      </c>
      <c r="AO22" s="8">
        <f>SUM(RAW_Cases!AP:AP)</f>
        <v>88369</v>
      </c>
      <c r="AP22" s="8">
        <f>SUM(RAW_Cases!AQ:AQ)</f>
        <v>90306</v>
      </c>
      <c r="AQ22" s="8">
        <f>SUM(RAW_Cases!AR:AR)</f>
        <v>92840</v>
      </c>
      <c r="AR22" s="8">
        <f>SUM(RAW_Cases!AS:AS)</f>
        <v>95120</v>
      </c>
      <c r="AS22" s="8">
        <f>SUM(RAW_Cases!AT:AT)</f>
        <v>97886</v>
      </c>
      <c r="AT22" s="8">
        <f>SUM(RAW_Cases!AU:AU)</f>
        <v>101801</v>
      </c>
      <c r="AU22" s="8">
        <f>SUM(RAW_Cases!AV:AV)</f>
        <v>105847</v>
      </c>
      <c r="AV22" s="8">
        <f>SUM(RAW_Cases!AW:AW)</f>
        <v>109821</v>
      </c>
      <c r="AW22" s="8">
        <f>SUM(RAW_Cases!AX:AX)</f>
        <v>113590</v>
      </c>
      <c r="AX22" s="8">
        <f>SUM(RAW_Cases!AY:AY)</f>
        <v>118620</v>
      </c>
      <c r="AY22" s="8">
        <f>SUM(RAW_Cases!AZ:AZ)</f>
        <v>125875</v>
      </c>
      <c r="AZ22" s="8">
        <f>SUM(RAW_Cases!BA:BA)</f>
        <v>128352</v>
      </c>
      <c r="BA22" s="8">
        <f>SUM(RAW_Cases!BB:BB)</f>
        <v>145205</v>
      </c>
      <c r="BB22" s="8">
        <f>SUM(RAW_Cases!BC:BC)</f>
        <v>156101</v>
      </c>
      <c r="BC22" s="8">
        <f>SUM(RAW_Cases!BD:BD)</f>
        <v>167454</v>
      </c>
      <c r="BD22" s="8">
        <f>SUM(RAW_Cases!BE:BE)</f>
        <v>181574</v>
      </c>
      <c r="BE22" s="8">
        <f>SUM(RAW_Cases!BF:BF)</f>
        <v>197102</v>
      </c>
      <c r="BF22" s="8">
        <f>SUM(RAW_Cases!BG:BG)</f>
        <v>214821</v>
      </c>
      <c r="BG22" s="8">
        <f>SUM(RAW_Cases!BH:BH)</f>
        <v>242500</v>
      </c>
      <c r="BH22" s="8">
        <f>SUM(RAW_Cases!BI:BI)</f>
        <v>272035</v>
      </c>
      <c r="BI22" s="8">
        <f>SUM(RAW_Cases!BJ:BJ)</f>
        <v>304396</v>
      </c>
      <c r="BJ22" s="8">
        <f>SUM(RAW_Cases!BK:BK)</f>
        <v>336953</v>
      </c>
      <c r="BK22" s="8">
        <f>SUM(RAW_Cases!BL:BL)</f>
        <v>378235</v>
      </c>
      <c r="BL22" s="8">
        <f>SUM(RAW_Cases!BM:BM)</f>
        <v>418045</v>
      </c>
      <c r="BM22" s="8">
        <f>SUM(RAW_Cases!BN:BN)</f>
        <v>467653</v>
      </c>
      <c r="BN22" s="8">
        <f>SUM(RAW_Cases!BO:BO)</f>
        <v>529591</v>
      </c>
      <c r="BO22" s="8">
        <f>SUM(RAW_Cases!BP:BP)</f>
        <v>593291</v>
      </c>
      <c r="BP22" s="8">
        <f>SUM(RAW_Cases!BQ:BQ)</f>
        <v>660706</v>
      </c>
      <c r="BQ22" s="8">
        <f>SUM(RAW_Cases!BR:BR)</f>
        <v>720117</v>
      </c>
      <c r="BR22" s="8">
        <f>SUM(RAW_Cases!BS:BS)</f>
        <v>0</v>
      </c>
      <c r="BS22" s="8">
        <f>SUM(RAW_Cases!BT:BT)</f>
        <v>0</v>
      </c>
      <c r="BT22" s="8">
        <f>SUM(RAW_Cases!BU:BU)</f>
        <v>0</v>
      </c>
      <c r="BU22" s="8">
        <f>SUM(RAW_Cases!BV:BV)</f>
        <v>0</v>
      </c>
      <c r="BV22" s="8">
        <f>SUM(RAW_Cases!BW:BW)</f>
        <v>0</v>
      </c>
      <c r="BW22" s="8">
        <f>SUM(RAW_Cases!BX:BX)</f>
        <v>0</v>
      </c>
      <c r="BX22" s="8">
        <f>SUM(RAW_Cases!BY:BY)</f>
        <v>0</v>
      </c>
      <c r="BY22" s="8">
        <f>SUM(RAW_Cases!BZ:BZ)</f>
        <v>0</v>
      </c>
      <c r="BZ22" s="8">
        <f>SUM(RAW_Cases!CA:CA)</f>
        <v>0</v>
      </c>
      <c r="CA22" s="8">
        <f>SUM(RAW_Cases!CB:CB)</f>
        <v>0</v>
      </c>
      <c r="CB22" s="8">
        <f>SUM(RAW_Cases!CC:CC)</f>
        <v>0</v>
      </c>
      <c r="CC22" s="8">
        <f>SUM(RAW_Cases!CD:CD)</f>
        <v>0</v>
      </c>
      <c r="CD22" s="8">
        <f>SUM(RAW_Cases!CE:CE)</f>
        <v>0</v>
      </c>
      <c r="CE22" s="8">
        <f>SUM(RAW_Cases!CF:CF)</f>
        <v>0</v>
      </c>
      <c r="CF22" s="8">
        <f>SUM(RAW_Cases!CG:CG)</f>
        <v>0</v>
      </c>
      <c r="CG22" s="8">
        <f>SUM(RAW_Cases!CH:CH)</f>
        <v>0</v>
      </c>
      <c r="CH22" s="8">
        <f>SUM(RAW_Cases!CI:CI)</f>
        <v>0</v>
      </c>
      <c r="CI22" s="8">
        <f>SUM(RAW_Cases!CJ:CJ)</f>
        <v>0</v>
      </c>
    </row>
    <row r="23" spans="1:87" s="18" customFormat="1" x14ac:dyDescent="0.25">
      <c r="B23" s="19"/>
    </row>
    <row r="24" spans="1:87" s="16" customFormat="1" ht="29.25" customHeight="1" x14ac:dyDescent="0.25">
      <c r="A24" s="14" t="s">
        <v>242</v>
      </c>
      <c r="B24" s="15"/>
    </row>
    <row r="25" spans="1:87" s="30" customFormat="1" ht="25.5" customHeight="1" x14ac:dyDescent="0.25">
      <c r="A25" s="22" t="s">
        <v>0</v>
      </c>
      <c r="B25" s="20" t="s">
        <v>246</v>
      </c>
      <c r="C25" s="21" t="s">
        <v>247</v>
      </c>
      <c r="D25" s="21" t="s">
        <v>248</v>
      </c>
      <c r="E25" s="21" t="s">
        <v>249</v>
      </c>
      <c r="F25" s="21" t="s">
        <v>250</v>
      </c>
      <c r="G25" s="21" t="s">
        <v>251</v>
      </c>
      <c r="H25" s="21" t="s">
        <v>252</v>
      </c>
      <c r="I25" s="21" t="s">
        <v>253</v>
      </c>
      <c r="J25" s="21" t="s">
        <v>254</v>
      </c>
      <c r="K25" s="21" t="s">
        <v>255</v>
      </c>
      <c r="L25" s="21" t="s">
        <v>256</v>
      </c>
      <c r="M25" s="21" t="s">
        <v>257</v>
      </c>
      <c r="N25" s="21" t="s">
        <v>258</v>
      </c>
      <c r="O25" s="21" t="s">
        <v>259</v>
      </c>
      <c r="P25" s="21" t="s">
        <v>260</v>
      </c>
      <c r="Q25" s="21" t="s">
        <v>261</v>
      </c>
      <c r="R25" s="21" t="s">
        <v>262</v>
      </c>
      <c r="S25" s="21" t="s">
        <v>263</v>
      </c>
      <c r="T25" s="21" t="s">
        <v>264</v>
      </c>
      <c r="U25" s="21" t="s">
        <v>265</v>
      </c>
      <c r="V25" s="21" t="s">
        <v>266</v>
      </c>
      <c r="W25" s="21" t="s">
        <v>267</v>
      </c>
      <c r="X25" s="21" t="s">
        <v>268</v>
      </c>
      <c r="Y25" s="21" t="s">
        <v>269</v>
      </c>
      <c r="Z25" s="21" t="s">
        <v>270</v>
      </c>
      <c r="AA25" s="21" t="s">
        <v>271</v>
      </c>
      <c r="AB25" s="21" t="s">
        <v>272</v>
      </c>
      <c r="AC25" s="21" t="s">
        <v>273</v>
      </c>
      <c r="AD25" s="21" t="s">
        <v>274</v>
      </c>
      <c r="AE25" s="21" t="s">
        <v>275</v>
      </c>
      <c r="AF25" s="21" t="s">
        <v>276</v>
      </c>
      <c r="AG25" s="21" t="s">
        <v>277</v>
      </c>
      <c r="AH25" s="21" t="s">
        <v>278</v>
      </c>
      <c r="AI25" s="21" t="s">
        <v>279</v>
      </c>
      <c r="AJ25" s="21" t="s">
        <v>280</v>
      </c>
      <c r="AK25" s="21" t="s">
        <v>281</v>
      </c>
      <c r="AL25" s="21" t="s">
        <v>282</v>
      </c>
      <c r="AM25" s="21" t="s">
        <v>283</v>
      </c>
      <c r="AN25" s="21" t="s">
        <v>284</v>
      </c>
      <c r="AO25" s="21" t="s">
        <v>285</v>
      </c>
      <c r="AP25" s="21" t="s">
        <v>286</v>
      </c>
      <c r="AQ25" s="21" t="s">
        <v>287</v>
      </c>
      <c r="AR25" s="21" t="s">
        <v>288</v>
      </c>
      <c r="AS25" s="21" t="s">
        <v>289</v>
      </c>
      <c r="AT25" s="21" t="s">
        <v>290</v>
      </c>
      <c r="AU25" s="21" t="s">
        <v>291</v>
      </c>
      <c r="AV25" s="21" t="s">
        <v>292</v>
      </c>
      <c r="AW25" s="21" t="s">
        <v>293</v>
      </c>
      <c r="AX25" s="21" t="s">
        <v>294</v>
      </c>
      <c r="AY25" s="21" t="s">
        <v>295</v>
      </c>
      <c r="AZ25" s="21" t="s">
        <v>296</v>
      </c>
      <c r="BA25" s="21" t="s">
        <v>297</v>
      </c>
      <c r="BB25" s="21" t="s">
        <v>298</v>
      </c>
      <c r="BC25" s="21" t="s">
        <v>299</v>
      </c>
      <c r="BD25" s="21" t="s">
        <v>300</v>
      </c>
      <c r="BE25" s="21" t="s">
        <v>301</v>
      </c>
      <c r="BF25" s="21" t="s">
        <v>302</v>
      </c>
      <c r="BG25" s="21" t="s">
        <v>303</v>
      </c>
      <c r="BH25" s="21" t="s">
        <v>304</v>
      </c>
      <c r="BI25" s="21" t="s">
        <v>305</v>
      </c>
      <c r="BJ25" s="21" t="s">
        <v>306</v>
      </c>
      <c r="BK25" s="21" t="s">
        <v>308</v>
      </c>
      <c r="BL25" s="21" t="s">
        <v>309</v>
      </c>
      <c r="BM25" s="21" t="s">
        <v>310</v>
      </c>
      <c r="BN25" s="21" t="s">
        <v>311</v>
      </c>
      <c r="BO25" s="21" t="s">
        <v>312</v>
      </c>
      <c r="BP25" s="21" t="s">
        <v>313</v>
      </c>
      <c r="BQ25" s="21" t="s">
        <v>314</v>
      </c>
      <c r="BR25" s="21" t="s">
        <v>315</v>
      </c>
      <c r="BS25" s="21" t="s">
        <v>316</v>
      </c>
      <c r="BT25" s="21" t="s">
        <v>317</v>
      </c>
      <c r="BU25" s="21" t="s">
        <v>318</v>
      </c>
      <c r="BV25" s="21" t="s">
        <v>319</v>
      </c>
      <c r="BW25" s="21" t="s">
        <v>320</v>
      </c>
      <c r="BX25" s="21" t="s">
        <v>321</v>
      </c>
      <c r="BY25" s="21" t="s">
        <v>322</v>
      </c>
      <c r="BZ25" s="21" t="s">
        <v>323</v>
      </c>
      <c r="CA25" s="21" t="s">
        <v>324</v>
      </c>
      <c r="CB25" s="21" t="s">
        <v>325</v>
      </c>
      <c r="CC25" s="21" t="s">
        <v>326</v>
      </c>
      <c r="CD25" s="21" t="s">
        <v>327</v>
      </c>
      <c r="CE25" s="21" t="s">
        <v>328</v>
      </c>
    </row>
    <row r="26" spans="1:87" s="11" customFormat="1" ht="12.75" x14ac:dyDescent="0.2">
      <c r="A26" s="27" t="str">
        <f t="shared" ref="A26:A30" si="13">IF(ISBLANK(A15),"",A15)</f>
        <v>Germany</v>
      </c>
      <c r="B26" s="28">
        <f>SUMIF(RAW_DEATHS!$B:$B,Tabelle28[[#This Row],[Country/Region]],RAW_DEATHS!C:C)</f>
        <v>0</v>
      </c>
      <c r="C26" s="28">
        <f>SUMIF(RAW_DEATHS!$B:$B,Tabelle28[[#This Row],[Country/Region]],RAW_DEATHS!D:D)</f>
        <v>0</v>
      </c>
      <c r="D26" s="28">
        <f>SUMIF(RAW_DEATHS!$B:$B,Tabelle28[[#This Row],[Country/Region]],RAW_DEATHS!E:E)</f>
        <v>0</v>
      </c>
      <c r="E26" s="28">
        <f>SUMIF(RAW_DEATHS!$B:$B,Tabelle28[[#This Row],[Country/Region]],RAW_DEATHS!F:F)</f>
        <v>0</v>
      </c>
      <c r="F26" s="28">
        <f>SUMIF(RAW_DEATHS!$B:$B,Tabelle28[[#This Row],[Country/Region]],RAW_DEATHS!G:G)</f>
        <v>0</v>
      </c>
      <c r="G26" s="28">
        <f>SUMIF(RAW_DEATHS!$B:$B,Tabelle28[[#This Row],[Country/Region]],RAW_DEATHS!H:H)</f>
        <v>0</v>
      </c>
      <c r="H26" s="28">
        <f>SUMIF(RAW_DEATHS!$B:$B,Tabelle28[[#This Row],[Country/Region]],RAW_DEATHS!I:I)</f>
        <v>0</v>
      </c>
      <c r="I26" s="28">
        <f>SUMIF(RAW_DEATHS!$B:$B,Tabelle28[[#This Row],[Country/Region]],RAW_DEATHS!J:J)</f>
        <v>0</v>
      </c>
      <c r="J26" s="28">
        <f>SUMIF(RAW_DEATHS!$B:$B,Tabelle28[[#This Row],[Country/Region]],RAW_DEATHS!K:K)</f>
        <v>0</v>
      </c>
      <c r="K26" s="28">
        <f>SUMIF(RAW_DEATHS!$B:$B,Tabelle28[[#This Row],[Country/Region]],RAW_DEATHS!L:L)</f>
        <v>0</v>
      </c>
      <c r="L26" s="28">
        <f>SUMIF(RAW_DEATHS!$B:$B,Tabelle28[[#This Row],[Country/Region]],RAW_DEATHS!M:M)</f>
        <v>0</v>
      </c>
      <c r="M26" s="28">
        <f>SUMIF(RAW_DEATHS!$B:$B,Tabelle28[[#This Row],[Country/Region]],RAW_DEATHS!N:N)</f>
        <v>0</v>
      </c>
      <c r="N26" s="28">
        <f>SUMIF(RAW_DEATHS!$B:$B,Tabelle28[[#This Row],[Country/Region]],RAW_DEATHS!O:O)</f>
        <v>0</v>
      </c>
      <c r="O26" s="28">
        <f>SUMIF(RAW_DEATHS!$B:$B,Tabelle28[[#This Row],[Country/Region]],RAW_DEATHS!P:P)</f>
        <v>0</v>
      </c>
      <c r="P26" s="28">
        <f>SUMIF(RAW_DEATHS!$B:$B,Tabelle28[[#This Row],[Country/Region]],RAW_DEATHS!Q:Q)</f>
        <v>0</v>
      </c>
      <c r="Q26" s="28">
        <f>SUMIF(RAW_DEATHS!$B:$B,Tabelle28[[#This Row],[Country/Region]],RAW_DEATHS!R:R)</f>
        <v>0</v>
      </c>
      <c r="R26" s="28">
        <f>SUMIF(RAW_DEATHS!$B:$B,Tabelle28[[#This Row],[Country/Region]],RAW_DEATHS!S:S)</f>
        <v>0</v>
      </c>
      <c r="S26" s="28">
        <f>SUMIF(RAW_DEATHS!$B:$B,Tabelle28[[#This Row],[Country/Region]],RAW_DEATHS!T:T)</f>
        <v>0</v>
      </c>
      <c r="T26" s="28">
        <f>SUMIF(RAW_DEATHS!$B:$B,Tabelle28[[#This Row],[Country/Region]],RAW_DEATHS!U:U)</f>
        <v>0</v>
      </c>
      <c r="U26" s="28">
        <f>SUMIF(RAW_DEATHS!$B:$B,Tabelle28[[#This Row],[Country/Region]],RAW_DEATHS!V:V)</f>
        <v>0</v>
      </c>
      <c r="V26" s="28">
        <f>SUMIF(RAW_DEATHS!$B:$B,Tabelle28[[#This Row],[Country/Region]],RAW_DEATHS!W:W)</f>
        <v>0</v>
      </c>
      <c r="W26" s="28">
        <f>SUMIF(RAW_DEATHS!$B:$B,Tabelle28[[#This Row],[Country/Region]],RAW_DEATHS!X:X)</f>
        <v>0</v>
      </c>
      <c r="X26" s="28">
        <f>SUMIF(RAW_DEATHS!$B:$B,Tabelle28[[#This Row],[Country/Region]],RAW_DEATHS!Y:Y)</f>
        <v>0</v>
      </c>
      <c r="Y26" s="28">
        <f>SUMIF(RAW_DEATHS!$B:$B,Tabelle28[[#This Row],[Country/Region]],RAW_DEATHS!Z:Z)</f>
        <v>0</v>
      </c>
      <c r="Z26" s="28">
        <f>SUMIF(RAW_DEATHS!$B:$B,Tabelle28[[#This Row],[Country/Region]],RAW_DEATHS!AA:AA)</f>
        <v>0</v>
      </c>
      <c r="AA26" s="28">
        <f>SUMIF(RAW_DEATHS!$B:$B,Tabelle28[[#This Row],[Country/Region]],RAW_DEATHS!AB:AB)</f>
        <v>0</v>
      </c>
      <c r="AB26" s="28">
        <f>SUMIF(RAW_DEATHS!$B:$B,Tabelle28[[#This Row],[Country/Region]],RAW_DEATHS!AC:AC)</f>
        <v>0</v>
      </c>
      <c r="AC26" s="28">
        <f>SUMIF(RAW_DEATHS!$B:$B,Tabelle28[[#This Row],[Country/Region]],RAW_DEATHS!AD:AD)</f>
        <v>0</v>
      </c>
      <c r="AD26" s="28">
        <f>SUMIF(RAW_DEATHS!$B:$B,Tabelle28[[#This Row],[Country/Region]],RAW_DEATHS!AE:AE)</f>
        <v>0</v>
      </c>
      <c r="AE26" s="28">
        <f>SUMIF(RAW_DEATHS!$B:$B,Tabelle28[[#This Row],[Country/Region]],RAW_DEATHS!AF:AF)</f>
        <v>0</v>
      </c>
      <c r="AF26" s="28">
        <f>SUMIF(RAW_DEATHS!$B:$B,Tabelle28[[#This Row],[Country/Region]],RAW_DEATHS!AG:AG)</f>
        <v>0</v>
      </c>
      <c r="AG26" s="28">
        <f>SUMIF(RAW_DEATHS!$B:$B,Tabelle28[[#This Row],[Country/Region]],RAW_DEATHS!AH:AH)</f>
        <v>0</v>
      </c>
      <c r="AH26" s="28">
        <f>SUMIF(RAW_DEATHS!$B:$B,Tabelle28[[#This Row],[Country/Region]],RAW_DEATHS!AI:AI)</f>
        <v>0</v>
      </c>
      <c r="AI26" s="28">
        <f>SUMIF(RAW_DEATHS!$B:$B,Tabelle28[[#This Row],[Country/Region]],RAW_DEATHS!AJ:AJ)</f>
        <v>0</v>
      </c>
      <c r="AJ26" s="28">
        <f>SUMIF(RAW_DEATHS!$B:$B,Tabelle28[[#This Row],[Country/Region]],RAW_DEATHS!AK:AK)</f>
        <v>0</v>
      </c>
      <c r="AK26" s="28">
        <f>SUMIF(RAW_DEATHS!$B:$B,Tabelle28[[#This Row],[Country/Region]],RAW_DEATHS!AL:AL)</f>
        <v>0</v>
      </c>
      <c r="AL26" s="28">
        <f>SUMIF(RAW_DEATHS!$B:$B,Tabelle28[[#This Row],[Country/Region]],RAW_DEATHS!AM:AM)</f>
        <v>0</v>
      </c>
      <c r="AM26" s="28">
        <f>SUMIF(RAW_DEATHS!$B:$B,Tabelle28[[#This Row],[Country/Region]],RAW_DEATHS!AN:AN)</f>
        <v>0</v>
      </c>
      <c r="AN26" s="28">
        <f>SUMIF(RAW_DEATHS!$B:$B,Tabelle28[[#This Row],[Country/Region]],RAW_DEATHS!AO:AO)</f>
        <v>0</v>
      </c>
      <c r="AO26" s="28">
        <f>SUMIF(RAW_DEATHS!$B:$B,Tabelle28[[#This Row],[Country/Region]],RAW_DEATHS!AP:AP)</f>
        <v>0</v>
      </c>
      <c r="AP26" s="28">
        <f>SUMIF(RAW_DEATHS!$B:$B,Tabelle28[[#This Row],[Country/Region]],RAW_DEATHS!AQ:AQ)</f>
        <v>0</v>
      </c>
      <c r="AQ26" s="28">
        <f>SUMIF(RAW_DEATHS!$B:$B,Tabelle28[[#This Row],[Country/Region]],RAW_DEATHS!AR:AR)</f>
        <v>0</v>
      </c>
      <c r="AR26" s="28">
        <f>SUMIF(RAW_DEATHS!$B:$B,Tabelle28[[#This Row],[Country/Region]],RAW_DEATHS!AS:AS)</f>
        <v>0</v>
      </c>
      <c r="AS26" s="28">
        <f>SUMIF(RAW_DEATHS!$B:$B,Tabelle28[[#This Row],[Country/Region]],RAW_DEATHS!AT:AT)</f>
        <v>0</v>
      </c>
      <c r="AT26" s="28">
        <f>SUMIF(RAW_DEATHS!$B:$B,Tabelle28[[#This Row],[Country/Region]],RAW_DEATHS!AU:AU)</f>
        <v>0</v>
      </c>
      <c r="AU26" s="28">
        <f>SUMIF(RAW_DEATHS!$B:$B,Tabelle28[[#This Row],[Country/Region]],RAW_DEATHS!AV:AV)</f>
        <v>0</v>
      </c>
      <c r="AV26" s="28">
        <f>SUMIF(RAW_DEATHS!$B:$B,Tabelle28[[#This Row],[Country/Region]],RAW_DEATHS!AW:AW)</f>
        <v>0</v>
      </c>
      <c r="AW26" s="28">
        <f>SUMIF(RAW_DEATHS!$B:$B,Tabelle28[[#This Row],[Country/Region]],RAW_DEATHS!AX:AX)</f>
        <v>2</v>
      </c>
      <c r="AX26" s="28">
        <f>SUMIF(RAW_DEATHS!$B:$B,Tabelle28[[#This Row],[Country/Region]],RAW_DEATHS!AY:AY)</f>
        <v>2</v>
      </c>
      <c r="AY26" s="28">
        <f>SUMIF(RAW_DEATHS!$B:$B,Tabelle28[[#This Row],[Country/Region]],RAW_DEATHS!AZ:AZ)</f>
        <v>3</v>
      </c>
      <c r="AZ26" s="28">
        <f>SUMIF(RAW_DEATHS!$B:$B,Tabelle28[[#This Row],[Country/Region]],RAW_DEATHS!BA:BA)</f>
        <v>3</v>
      </c>
      <c r="BA26" s="28">
        <f>SUMIF(RAW_DEATHS!$B:$B,Tabelle28[[#This Row],[Country/Region]],RAW_DEATHS!BB:BB)</f>
        <v>7</v>
      </c>
      <c r="BB26" s="28">
        <f>SUMIF(RAW_DEATHS!$B:$B,Tabelle28[[#This Row],[Country/Region]],RAW_DEATHS!BC:BC)</f>
        <v>9</v>
      </c>
      <c r="BC26" s="28">
        <f>SUMIF(RAW_DEATHS!$B:$B,Tabelle28[[#This Row],[Country/Region]],RAW_DEATHS!BD:BD)</f>
        <v>11</v>
      </c>
      <c r="BD26" s="28">
        <f>SUMIF(RAW_DEATHS!$B:$B,Tabelle28[[#This Row],[Country/Region]],RAW_DEATHS!BE:BE)</f>
        <v>17</v>
      </c>
      <c r="BE26" s="28">
        <f>SUMIF(RAW_DEATHS!$B:$B,Tabelle28[[#This Row],[Country/Region]],RAW_DEATHS!BF:BF)</f>
        <v>24</v>
      </c>
      <c r="BF26" s="28">
        <f>SUMIF(RAW_DEATHS!$B:$B,Tabelle28[[#This Row],[Country/Region]],RAW_DEATHS!BG:BG)</f>
        <v>28</v>
      </c>
      <c r="BG26" s="28">
        <f>SUMIF(RAW_DEATHS!$B:$B,Tabelle28[[#This Row],[Country/Region]],RAW_DEATHS!BH:BH)</f>
        <v>44</v>
      </c>
      <c r="BH26" s="28">
        <f>SUMIF(RAW_DEATHS!$B:$B,Tabelle28[[#This Row],[Country/Region]],RAW_DEATHS!BI:BI)</f>
        <v>67</v>
      </c>
      <c r="BI26" s="28">
        <f>SUMIF(RAW_DEATHS!$B:$B,Tabelle28[[#This Row],[Country/Region]],RAW_DEATHS!BJ:BJ)</f>
        <v>84</v>
      </c>
      <c r="BJ26" s="28">
        <f>SUMIF(RAW_DEATHS!$B:$B,Tabelle28[[#This Row],[Country/Region]],RAW_DEATHS!BK:BK)</f>
        <v>94</v>
      </c>
      <c r="BK26" s="28">
        <f>SUMIF(RAW_DEATHS!$B:$B,Tabelle28[[#This Row],[Country/Region]],RAW_DEATHS!BL:BL)</f>
        <v>123</v>
      </c>
      <c r="BL26" s="28">
        <f>SUMIF(RAW_DEATHS!$B:$B,Tabelle28[[#This Row],[Country/Region]],RAW_DEATHS!BM:BM)</f>
        <v>157</v>
      </c>
      <c r="BM26" s="28">
        <f>SUMIF(RAW_DEATHS!$B:$B,Tabelle28[[#This Row],[Country/Region]],RAW_DEATHS!BN:BN)</f>
        <v>206</v>
      </c>
      <c r="BN26" s="28">
        <f>SUMIF(RAW_DEATHS!$B:$B,Tabelle28[[#This Row],[Country/Region]],RAW_DEATHS!BO:BO)</f>
        <v>267</v>
      </c>
      <c r="BO26" s="28">
        <f>SUMIF(RAW_DEATHS!$B:$B,Tabelle28[[#This Row],[Country/Region]],RAW_DEATHS!BP:BP)</f>
        <v>342</v>
      </c>
      <c r="BP26" s="28">
        <f>SUMIF(RAW_DEATHS!$B:$B,Tabelle28[[#This Row],[Country/Region]],RAW_DEATHS!BQ:BQ)</f>
        <v>433</v>
      </c>
      <c r="BQ26" s="28">
        <f>SUMIF(RAW_DEATHS!$B:$B,Tabelle28[[#This Row],[Country/Region]],RAW_DEATHS!BR:BR)</f>
        <v>533</v>
      </c>
      <c r="BR26" s="28">
        <f>SUMIF(RAW_DEATHS!$B:$B,Tabelle28[[#This Row],[Country/Region]],RAW_DEATHS!BS:BS)</f>
        <v>0</v>
      </c>
      <c r="BS26" s="28">
        <f>SUMIF(RAW_DEATHS!$B:$B,Tabelle28[[#This Row],[Country/Region]],RAW_DEATHS!BT:BT)</f>
        <v>0</v>
      </c>
      <c r="BT26" s="28">
        <f>SUMIF(RAW_DEATHS!$B:$B,Tabelle28[[#This Row],[Country/Region]],RAW_DEATHS!BU:BU)</f>
        <v>0</v>
      </c>
      <c r="BU26" s="28">
        <f>SUMIF(RAW_DEATHS!$B:$B,Tabelle28[[#This Row],[Country/Region]],RAW_DEATHS!BV:BV)</f>
        <v>0</v>
      </c>
      <c r="BV26" s="28">
        <f>SUMIF(RAW_DEATHS!$B:$B,Tabelle28[[#This Row],[Country/Region]],RAW_DEATHS!BW:BW)</f>
        <v>0</v>
      </c>
      <c r="BW26" s="28">
        <f>SUMIF(RAW_DEATHS!$B:$B,Tabelle28[[#This Row],[Country/Region]],RAW_DEATHS!BX:BX)</f>
        <v>0</v>
      </c>
      <c r="BX26" s="28">
        <f>SUMIF(RAW_DEATHS!$B:$B,Tabelle28[[#This Row],[Country/Region]],RAW_DEATHS!BY:BY)</f>
        <v>0</v>
      </c>
      <c r="BY26" s="28">
        <f>SUMIF(RAW_DEATHS!$B:$B,Tabelle28[[#This Row],[Country/Region]],RAW_DEATHS!BZ:BZ)</f>
        <v>0</v>
      </c>
      <c r="BZ26" s="28">
        <f>SUMIF(RAW_DEATHS!$B:$B,Tabelle28[[#This Row],[Country/Region]],RAW_DEATHS!CA:CA)</f>
        <v>0</v>
      </c>
      <c r="CA26" s="28">
        <f>SUMIF(RAW_DEATHS!$B:$B,Tabelle28[[#This Row],[Country/Region]],RAW_DEATHS!CB:CB)</f>
        <v>0</v>
      </c>
      <c r="CB26" s="28">
        <f>SUMIF(RAW_DEATHS!$B:$B,Tabelle28[[#This Row],[Country/Region]],RAW_DEATHS!CC:CC)</f>
        <v>0</v>
      </c>
      <c r="CC26" s="28">
        <f>SUMIF(RAW_DEATHS!$B:$B,Tabelle28[[#This Row],[Country/Region]],RAW_DEATHS!CD:CD)</f>
        <v>0</v>
      </c>
      <c r="CD26" s="28">
        <f>SUMIF(RAW_DEATHS!$B:$B,Tabelle28[[#This Row],[Country/Region]],RAW_DEATHS!CE:CE)</f>
        <v>0</v>
      </c>
      <c r="CE26" s="28">
        <f>SUMIF(RAW_DEATHS!$B:$B,Tabelle28[[#This Row],[Country/Region]],RAW_DEATHS!CF:CF)</f>
        <v>0</v>
      </c>
    </row>
    <row r="27" spans="1:87" s="11" customFormat="1" ht="12.75" x14ac:dyDescent="0.2">
      <c r="A27" s="27" t="str">
        <f t="shared" si="13"/>
        <v>US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1</v>
      </c>
      <c r="AO27" s="28">
        <f>SUMIF(RAW_DEATHS!$B:$B,Tabelle28[[#This Row],[Country/Region]],RAW_DEATHS!AP:AP)</f>
        <v>1</v>
      </c>
      <c r="AP27" s="28">
        <f>SUMIF(RAW_DEATHS!$B:$B,Tabelle28[[#This Row],[Country/Region]],RAW_DEATHS!AQ:AQ)</f>
        <v>6</v>
      </c>
      <c r="AQ27" s="28">
        <f>SUMIF(RAW_DEATHS!$B:$B,Tabelle28[[#This Row],[Country/Region]],RAW_DEATHS!AR:AR)</f>
        <v>7</v>
      </c>
      <c r="AR27" s="28">
        <f>SUMIF(RAW_DEATHS!$B:$B,Tabelle28[[#This Row],[Country/Region]],RAW_DEATHS!AS:AS)</f>
        <v>11</v>
      </c>
      <c r="AS27" s="28">
        <f>SUMIF(RAW_DEATHS!$B:$B,Tabelle28[[#This Row],[Country/Region]],RAW_DEATHS!AT:AT)</f>
        <v>12</v>
      </c>
      <c r="AT27" s="28">
        <f>SUMIF(RAW_DEATHS!$B:$B,Tabelle28[[#This Row],[Country/Region]],RAW_DEATHS!AU:AU)</f>
        <v>14</v>
      </c>
      <c r="AU27" s="28">
        <f>SUMIF(RAW_DEATHS!$B:$B,Tabelle28[[#This Row],[Country/Region]],RAW_DEATHS!AV:AV)</f>
        <v>17</v>
      </c>
      <c r="AV27" s="28">
        <f>SUMIF(RAW_DEATHS!$B:$B,Tabelle28[[#This Row],[Country/Region]],RAW_DEATHS!AW:AW)</f>
        <v>21</v>
      </c>
      <c r="AW27" s="28">
        <f>SUMIF(RAW_DEATHS!$B:$B,Tabelle28[[#This Row],[Country/Region]],RAW_DEATHS!AX:AX)</f>
        <v>22</v>
      </c>
      <c r="AX27" s="28">
        <f>SUMIF(RAW_DEATHS!$B:$B,Tabelle28[[#This Row],[Country/Region]],RAW_DEATHS!AY:AY)</f>
        <v>28</v>
      </c>
      <c r="AY27" s="28">
        <f>SUMIF(RAW_DEATHS!$B:$B,Tabelle28[[#This Row],[Country/Region]],RAW_DEATHS!AZ:AZ)</f>
        <v>36</v>
      </c>
      <c r="AZ27" s="28">
        <f>SUMIF(RAW_DEATHS!$B:$B,Tabelle28[[#This Row],[Country/Region]],RAW_DEATHS!BA:BA)</f>
        <v>40</v>
      </c>
      <c r="BA27" s="28">
        <f>SUMIF(RAW_DEATHS!$B:$B,Tabelle28[[#This Row],[Country/Region]],RAW_DEATHS!BB:BB)</f>
        <v>47</v>
      </c>
      <c r="BB27" s="28">
        <f>SUMIF(RAW_DEATHS!$B:$B,Tabelle28[[#This Row],[Country/Region]],RAW_DEATHS!BC:BC)</f>
        <v>54</v>
      </c>
      <c r="BC27" s="28">
        <f>SUMIF(RAW_DEATHS!$B:$B,Tabelle28[[#This Row],[Country/Region]],RAW_DEATHS!BD:BD)</f>
        <v>63</v>
      </c>
      <c r="BD27" s="28">
        <f>SUMIF(RAW_DEATHS!$B:$B,Tabelle28[[#This Row],[Country/Region]],RAW_DEATHS!BE:BE)</f>
        <v>85</v>
      </c>
      <c r="BE27" s="28">
        <f>SUMIF(RAW_DEATHS!$B:$B,Tabelle28[[#This Row],[Country/Region]],RAW_DEATHS!BF:BF)</f>
        <v>108</v>
      </c>
      <c r="BF27" s="28">
        <f>SUMIF(RAW_DEATHS!$B:$B,Tabelle28[[#This Row],[Country/Region]],RAW_DEATHS!BG:BG)</f>
        <v>118</v>
      </c>
      <c r="BG27" s="28">
        <f>SUMIF(RAW_DEATHS!$B:$B,Tabelle28[[#This Row],[Country/Region]],RAW_DEATHS!BH:BH)</f>
        <v>200</v>
      </c>
      <c r="BH27" s="28">
        <f>SUMIF(RAW_DEATHS!$B:$B,Tabelle28[[#This Row],[Country/Region]],RAW_DEATHS!BI:BI)</f>
        <v>244</v>
      </c>
      <c r="BI27" s="28">
        <f>SUMIF(RAW_DEATHS!$B:$B,Tabelle28[[#This Row],[Country/Region]],RAW_DEATHS!BJ:BJ)</f>
        <v>307</v>
      </c>
      <c r="BJ27" s="28">
        <f>SUMIF(RAW_DEATHS!$B:$B,Tabelle28[[#This Row],[Country/Region]],RAW_DEATHS!BK:BK)</f>
        <v>417</v>
      </c>
      <c r="BK27" s="28">
        <f>SUMIF(RAW_DEATHS!$B:$B,Tabelle28[[#This Row],[Country/Region]],RAW_DEATHS!BL:BL)</f>
        <v>557</v>
      </c>
      <c r="BL27" s="28">
        <f>SUMIF(RAW_DEATHS!$B:$B,Tabelle28[[#This Row],[Country/Region]],RAW_DEATHS!BM:BM)</f>
        <v>706</v>
      </c>
      <c r="BM27" s="28">
        <f>SUMIF(RAW_DEATHS!$B:$B,Tabelle28[[#This Row],[Country/Region]],RAW_DEATHS!BN:BN)</f>
        <v>942</v>
      </c>
      <c r="BN27" s="28">
        <f>SUMIF(RAW_DEATHS!$B:$B,Tabelle28[[#This Row],[Country/Region]],RAW_DEATHS!BO:BO)</f>
        <v>1209</v>
      </c>
      <c r="BO27" s="28">
        <f>SUMIF(RAW_DEATHS!$B:$B,Tabelle28[[#This Row],[Country/Region]],RAW_DEATHS!BP:BP)</f>
        <v>1581</v>
      </c>
      <c r="BP27" s="28">
        <f>SUMIF(RAW_DEATHS!$B:$B,Tabelle28[[#This Row],[Country/Region]],RAW_DEATHS!BQ:BQ)</f>
        <v>2026</v>
      </c>
      <c r="BQ27" s="28">
        <f>SUMIF(RAW_DEATHS!$B:$B,Tabelle28[[#This Row],[Country/Region]],RAW_DEATHS!BR:BR)</f>
        <v>2467</v>
      </c>
      <c r="BR27" s="28">
        <f>SUMIF(RAW_DEATHS!$B:$B,Tabelle28[[#This Row],[Country/Region]],RAW_DEATHS!BS:BS)</f>
        <v>0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2.75" x14ac:dyDescent="0.2">
      <c r="A28" s="27" t="str">
        <f t="shared" si="13"/>
        <v>Italy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1</v>
      </c>
      <c r="AG28" s="28">
        <f>SUMIF(RAW_DEATHS!$B:$B,Tabelle28[[#This Row],[Country/Region]],RAW_DEATHS!AH:AH)</f>
        <v>2</v>
      </c>
      <c r="AH28" s="28">
        <f>SUMIF(RAW_DEATHS!$B:$B,Tabelle28[[#This Row],[Country/Region]],RAW_DEATHS!AI:AI)</f>
        <v>3</v>
      </c>
      <c r="AI28" s="28">
        <f>SUMIF(RAW_DEATHS!$B:$B,Tabelle28[[#This Row],[Country/Region]],RAW_DEATHS!AJ:AJ)</f>
        <v>7</v>
      </c>
      <c r="AJ28" s="28">
        <f>SUMIF(RAW_DEATHS!$B:$B,Tabelle28[[#This Row],[Country/Region]],RAW_DEATHS!AK:AK)</f>
        <v>10</v>
      </c>
      <c r="AK28" s="28">
        <f>SUMIF(RAW_DEATHS!$B:$B,Tabelle28[[#This Row],[Country/Region]],RAW_DEATHS!AL:AL)</f>
        <v>12</v>
      </c>
      <c r="AL28" s="28">
        <f>SUMIF(RAW_DEATHS!$B:$B,Tabelle28[[#This Row],[Country/Region]],RAW_DEATHS!AM:AM)</f>
        <v>17</v>
      </c>
      <c r="AM28" s="28">
        <f>SUMIF(RAW_DEATHS!$B:$B,Tabelle28[[#This Row],[Country/Region]],RAW_DEATHS!AN:AN)</f>
        <v>21</v>
      </c>
      <c r="AN28" s="28">
        <f>SUMIF(RAW_DEATHS!$B:$B,Tabelle28[[#This Row],[Country/Region]],RAW_DEATHS!AO:AO)</f>
        <v>29</v>
      </c>
      <c r="AO28" s="28">
        <f>SUMIF(RAW_DEATHS!$B:$B,Tabelle28[[#This Row],[Country/Region]],RAW_DEATHS!AP:AP)</f>
        <v>34</v>
      </c>
      <c r="AP28" s="28">
        <f>SUMIF(RAW_DEATHS!$B:$B,Tabelle28[[#This Row],[Country/Region]],RAW_DEATHS!AQ:AQ)</f>
        <v>52</v>
      </c>
      <c r="AQ28" s="28">
        <f>SUMIF(RAW_DEATHS!$B:$B,Tabelle28[[#This Row],[Country/Region]],RAW_DEATHS!AR:AR)</f>
        <v>79</v>
      </c>
      <c r="AR28" s="28">
        <f>SUMIF(RAW_DEATHS!$B:$B,Tabelle28[[#This Row],[Country/Region]],RAW_DEATHS!AS:AS)</f>
        <v>107</v>
      </c>
      <c r="AS28" s="28">
        <f>SUMIF(RAW_DEATHS!$B:$B,Tabelle28[[#This Row],[Country/Region]],RAW_DEATHS!AT:AT)</f>
        <v>148</v>
      </c>
      <c r="AT28" s="28">
        <f>SUMIF(RAW_DEATHS!$B:$B,Tabelle28[[#This Row],[Country/Region]],RAW_DEATHS!AU:AU)</f>
        <v>197</v>
      </c>
      <c r="AU28" s="28">
        <f>SUMIF(RAW_DEATHS!$B:$B,Tabelle28[[#This Row],[Country/Region]],RAW_DEATHS!AV:AV)</f>
        <v>233</v>
      </c>
      <c r="AV28" s="28">
        <f>SUMIF(RAW_DEATHS!$B:$B,Tabelle28[[#This Row],[Country/Region]],RAW_DEATHS!AW:AW)</f>
        <v>366</v>
      </c>
      <c r="AW28" s="28">
        <f>SUMIF(RAW_DEATHS!$B:$B,Tabelle28[[#This Row],[Country/Region]],RAW_DEATHS!AX:AX)</f>
        <v>463</v>
      </c>
      <c r="AX28" s="28">
        <f>SUMIF(RAW_DEATHS!$B:$B,Tabelle28[[#This Row],[Country/Region]],RAW_DEATHS!AY:AY)</f>
        <v>631</v>
      </c>
      <c r="AY28" s="28">
        <f>SUMIF(RAW_DEATHS!$B:$B,Tabelle28[[#This Row],[Country/Region]],RAW_DEATHS!AZ:AZ)</f>
        <v>827</v>
      </c>
      <c r="AZ28" s="28">
        <f>SUMIF(RAW_DEATHS!$B:$B,Tabelle28[[#This Row],[Country/Region]],RAW_DEATHS!BA:BA)</f>
        <v>827</v>
      </c>
      <c r="BA28" s="28">
        <f>SUMIF(RAW_DEATHS!$B:$B,Tabelle28[[#This Row],[Country/Region]],RAW_DEATHS!BB:BB)</f>
        <v>1266</v>
      </c>
      <c r="BB28" s="28">
        <f>SUMIF(RAW_DEATHS!$B:$B,Tabelle28[[#This Row],[Country/Region]],RAW_DEATHS!BC:BC)</f>
        <v>1441</v>
      </c>
      <c r="BC28" s="28">
        <f>SUMIF(RAW_DEATHS!$B:$B,Tabelle28[[#This Row],[Country/Region]],RAW_DEATHS!BD:BD)</f>
        <v>1809</v>
      </c>
      <c r="BD28" s="28">
        <f>SUMIF(RAW_DEATHS!$B:$B,Tabelle28[[#This Row],[Country/Region]],RAW_DEATHS!BE:BE)</f>
        <v>2158</v>
      </c>
      <c r="BE28" s="28">
        <f>SUMIF(RAW_DEATHS!$B:$B,Tabelle28[[#This Row],[Country/Region]],RAW_DEATHS!BF:BF)</f>
        <v>2503</v>
      </c>
      <c r="BF28" s="28">
        <f>SUMIF(RAW_DEATHS!$B:$B,Tabelle28[[#This Row],[Country/Region]],RAW_DEATHS!BG:BG)</f>
        <v>2978</v>
      </c>
      <c r="BG28" s="28">
        <f>SUMIF(RAW_DEATHS!$B:$B,Tabelle28[[#This Row],[Country/Region]],RAW_DEATHS!BH:BH)</f>
        <v>3405</v>
      </c>
      <c r="BH28" s="28">
        <f>SUMIF(RAW_DEATHS!$B:$B,Tabelle28[[#This Row],[Country/Region]],RAW_DEATHS!BI:BI)</f>
        <v>4032</v>
      </c>
      <c r="BI28" s="28">
        <f>SUMIF(RAW_DEATHS!$B:$B,Tabelle28[[#This Row],[Country/Region]],RAW_DEATHS!BJ:BJ)</f>
        <v>4825</v>
      </c>
      <c r="BJ28" s="28">
        <f>SUMIF(RAW_DEATHS!$B:$B,Tabelle28[[#This Row],[Country/Region]],RAW_DEATHS!BK:BK)</f>
        <v>5476</v>
      </c>
      <c r="BK28" s="28">
        <f>SUMIF(RAW_DEATHS!$B:$B,Tabelle28[[#This Row],[Country/Region]],RAW_DEATHS!BL:BL)</f>
        <v>6077</v>
      </c>
      <c r="BL28" s="28">
        <f>SUMIF(RAW_DEATHS!$B:$B,Tabelle28[[#This Row],[Country/Region]],RAW_DEATHS!BM:BM)</f>
        <v>6820</v>
      </c>
      <c r="BM28" s="28">
        <f>SUMIF(RAW_DEATHS!$B:$B,Tabelle28[[#This Row],[Country/Region]],RAW_DEATHS!BN:BN)</f>
        <v>7503</v>
      </c>
      <c r="BN28" s="28">
        <f>SUMIF(RAW_DEATHS!$B:$B,Tabelle28[[#This Row],[Country/Region]],RAW_DEATHS!BO:BO)</f>
        <v>8215</v>
      </c>
      <c r="BO28" s="28">
        <f>SUMIF(RAW_DEATHS!$B:$B,Tabelle28[[#This Row],[Country/Region]],RAW_DEATHS!BP:BP)</f>
        <v>9134</v>
      </c>
      <c r="BP28" s="28">
        <f>SUMIF(RAW_DEATHS!$B:$B,Tabelle28[[#This Row],[Country/Region]],RAW_DEATHS!BQ:BQ)</f>
        <v>10023</v>
      </c>
      <c r="BQ28" s="28">
        <f>SUMIF(RAW_DEATHS!$B:$B,Tabelle28[[#This Row],[Country/Region]],RAW_DEATHS!BR:BR)</f>
        <v>10779</v>
      </c>
      <c r="BR28" s="28">
        <f>SUMIF(RAW_DEATHS!$B:$B,Tabelle28[[#This Row],[Country/Region]],RAW_DEATHS!BS:BS)</f>
        <v>0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2.75" x14ac:dyDescent="0.2">
      <c r="A29" s="27" t="str">
        <f t="shared" si="13"/>
        <v>Netherlands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0</v>
      </c>
      <c r="AF29" s="28">
        <f>SUMIF(RAW_DEATHS!$B:$B,Tabelle28[[#This Row],[Country/Region]],RAW_DEATHS!AG:AG)</f>
        <v>0</v>
      </c>
      <c r="AG29" s="28">
        <f>SUMIF(RAW_DEATHS!$B:$B,Tabelle28[[#This Row],[Country/Region]],RAW_DEATHS!AH:AH)</f>
        <v>0</v>
      </c>
      <c r="AH29" s="28">
        <f>SUMIF(RAW_DEATHS!$B:$B,Tabelle28[[#This Row],[Country/Region]],RAW_DEATHS!AI:AI)</f>
        <v>0</v>
      </c>
      <c r="AI29" s="28">
        <f>SUMIF(RAW_DEATHS!$B:$B,Tabelle28[[#This Row],[Country/Region]],RAW_DEATHS!AJ:AJ)</f>
        <v>0</v>
      </c>
      <c r="AJ29" s="28">
        <f>SUMIF(RAW_DEATHS!$B:$B,Tabelle28[[#This Row],[Country/Region]],RAW_DEATHS!AK:AK)</f>
        <v>0</v>
      </c>
      <c r="AK29" s="28">
        <f>SUMIF(RAW_DEATHS!$B:$B,Tabelle28[[#This Row],[Country/Region]],RAW_DEATHS!AL:AL)</f>
        <v>0</v>
      </c>
      <c r="AL29" s="28">
        <f>SUMIF(RAW_DEATHS!$B:$B,Tabelle28[[#This Row],[Country/Region]],RAW_DEATHS!AM:AM)</f>
        <v>0</v>
      </c>
      <c r="AM29" s="28">
        <f>SUMIF(RAW_DEATHS!$B:$B,Tabelle28[[#This Row],[Country/Region]],RAW_DEATHS!AN:AN)</f>
        <v>0</v>
      </c>
      <c r="AN29" s="28">
        <f>SUMIF(RAW_DEATHS!$B:$B,Tabelle28[[#This Row],[Country/Region]],RAW_DEATHS!AO:AO)</f>
        <v>0</v>
      </c>
      <c r="AO29" s="28">
        <f>SUMIF(RAW_DEATHS!$B:$B,Tabelle28[[#This Row],[Country/Region]],RAW_DEATHS!AP:AP)</f>
        <v>0</v>
      </c>
      <c r="AP29" s="28">
        <f>SUMIF(RAW_DEATHS!$B:$B,Tabelle28[[#This Row],[Country/Region]],RAW_DEATHS!AQ:AQ)</f>
        <v>0</v>
      </c>
      <c r="AQ29" s="28">
        <f>SUMIF(RAW_DEATHS!$B:$B,Tabelle28[[#This Row],[Country/Region]],RAW_DEATHS!AR:AR)</f>
        <v>0</v>
      </c>
      <c r="AR29" s="28">
        <f>SUMIF(RAW_DEATHS!$B:$B,Tabelle28[[#This Row],[Country/Region]],RAW_DEATHS!AS:AS)</f>
        <v>0</v>
      </c>
      <c r="AS29" s="28">
        <f>SUMIF(RAW_DEATHS!$B:$B,Tabelle28[[#This Row],[Country/Region]],RAW_DEATHS!AT:AT)</f>
        <v>0</v>
      </c>
      <c r="AT29" s="28">
        <f>SUMIF(RAW_DEATHS!$B:$B,Tabelle28[[#This Row],[Country/Region]],RAW_DEATHS!AU:AU)</f>
        <v>1</v>
      </c>
      <c r="AU29" s="28">
        <f>SUMIF(RAW_DEATHS!$B:$B,Tabelle28[[#This Row],[Country/Region]],RAW_DEATHS!AV:AV)</f>
        <v>1</v>
      </c>
      <c r="AV29" s="28">
        <f>SUMIF(RAW_DEATHS!$B:$B,Tabelle28[[#This Row],[Country/Region]],RAW_DEATHS!AW:AW)</f>
        <v>3</v>
      </c>
      <c r="AW29" s="28">
        <f>SUMIF(RAW_DEATHS!$B:$B,Tabelle28[[#This Row],[Country/Region]],RAW_DEATHS!AX:AX)</f>
        <v>3</v>
      </c>
      <c r="AX29" s="28">
        <f>SUMIF(RAW_DEATHS!$B:$B,Tabelle28[[#This Row],[Country/Region]],RAW_DEATHS!AY:AY)</f>
        <v>4</v>
      </c>
      <c r="AY29" s="28">
        <f>SUMIF(RAW_DEATHS!$B:$B,Tabelle28[[#This Row],[Country/Region]],RAW_DEATHS!AZ:AZ)</f>
        <v>5</v>
      </c>
      <c r="AZ29" s="28">
        <f>SUMIF(RAW_DEATHS!$B:$B,Tabelle28[[#This Row],[Country/Region]],RAW_DEATHS!BA:BA)</f>
        <v>5</v>
      </c>
      <c r="BA29" s="28">
        <f>SUMIF(RAW_DEATHS!$B:$B,Tabelle28[[#This Row],[Country/Region]],RAW_DEATHS!BB:BB)</f>
        <v>10</v>
      </c>
      <c r="BB29" s="28">
        <f>SUMIF(RAW_DEATHS!$B:$B,Tabelle28[[#This Row],[Country/Region]],RAW_DEATHS!BC:BC)</f>
        <v>12</v>
      </c>
      <c r="BC29" s="28">
        <f>SUMIF(RAW_DEATHS!$B:$B,Tabelle28[[#This Row],[Country/Region]],RAW_DEATHS!BD:BD)</f>
        <v>20</v>
      </c>
      <c r="BD29" s="28">
        <f>SUMIF(RAW_DEATHS!$B:$B,Tabelle28[[#This Row],[Country/Region]],RAW_DEATHS!BE:BE)</f>
        <v>24</v>
      </c>
      <c r="BE29" s="28">
        <f>SUMIF(RAW_DEATHS!$B:$B,Tabelle28[[#This Row],[Country/Region]],RAW_DEATHS!BF:BF)</f>
        <v>43</v>
      </c>
      <c r="BF29" s="28">
        <f>SUMIF(RAW_DEATHS!$B:$B,Tabelle28[[#This Row],[Country/Region]],RAW_DEATHS!BG:BG)</f>
        <v>58</v>
      </c>
      <c r="BG29" s="28">
        <f>SUMIF(RAW_DEATHS!$B:$B,Tabelle28[[#This Row],[Country/Region]],RAW_DEATHS!BH:BH)</f>
        <v>77</v>
      </c>
      <c r="BH29" s="28">
        <f>SUMIF(RAW_DEATHS!$B:$B,Tabelle28[[#This Row],[Country/Region]],RAW_DEATHS!BI:BI)</f>
        <v>107</v>
      </c>
      <c r="BI29" s="28">
        <f>SUMIF(RAW_DEATHS!$B:$B,Tabelle28[[#This Row],[Country/Region]],RAW_DEATHS!BJ:BJ)</f>
        <v>137</v>
      </c>
      <c r="BJ29" s="28">
        <f>SUMIF(RAW_DEATHS!$B:$B,Tabelle28[[#This Row],[Country/Region]],RAW_DEATHS!BK:BK)</f>
        <v>180</v>
      </c>
      <c r="BK29" s="28">
        <f>SUMIF(RAW_DEATHS!$B:$B,Tabelle28[[#This Row],[Country/Region]],RAW_DEATHS!BL:BL)</f>
        <v>214</v>
      </c>
      <c r="BL29" s="28">
        <f>SUMIF(RAW_DEATHS!$B:$B,Tabelle28[[#This Row],[Country/Region]],RAW_DEATHS!BM:BM)</f>
        <v>277</v>
      </c>
      <c r="BM29" s="28">
        <f>SUMIF(RAW_DEATHS!$B:$B,Tabelle28[[#This Row],[Country/Region]],RAW_DEATHS!BN:BN)</f>
        <v>357</v>
      </c>
      <c r="BN29" s="28">
        <f>SUMIF(RAW_DEATHS!$B:$B,Tabelle28[[#This Row],[Country/Region]],RAW_DEATHS!BO:BO)</f>
        <v>435</v>
      </c>
      <c r="BO29" s="28">
        <f>SUMIF(RAW_DEATHS!$B:$B,Tabelle28[[#This Row],[Country/Region]],RAW_DEATHS!BP:BP)</f>
        <v>547</v>
      </c>
      <c r="BP29" s="28">
        <f>SUMIF(RAW_DEATHS!$B:$B,Tabelle28[[#This Row],[Country/Region]],RAW_DEATHS!BQ:BQ)</f>
        <v>640</v>
      </c>
      <c r="BQ29" s="28">
        <f>SUMIF(RAW_DEATHS!$B:$B,Tabelle28[[#This Row],[Country/Region]],RAW_DEATHS!BR:BR)</f>
        <v>772</v>
      </c>
      <c r="BR29" s="28">
        <f>SUMIF(RAW_DEATHS!$B:$B,Tabelle28[[#This Row],[Country/Region]],RAW_DEATHS!BS:BS)</f>
        <v>0</v>
      </c>
      <c r="BS29" s="28">
        <f>SUMIF(RAW_DEATHS!$B:$B,Tabelle28[[#This Row],[Country/Region]],RAW_DEATHS!BT:BT)</f>
        <v>0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2.75" x14ac:dyDescent="0.2">
      <c r="A30" s="27" t="str">
        <f t="shared" si="13"/>
        <v>Korea, South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0</v>
      </c>
      <c r="AA30" s="28">
        <f>SUMIF(RAW_DEATHS!$B:$B,Tabelle28[[#This Row],[Country/Region]],RAW_DEATHS!AB:AB)</f>
        <v>0</v>
      </c>
      <c r="AB30" s="28">
        <f>SUMIF(RAW_DEATHS!$B:$B,Tabelle28[[#This Row],[Country/Region]],RAW_DEATHS!AC:AC)</f>
        <v>0</v>
      </c>
      <c r="AC30" s="28">
        <f>SUMIF(RAW_DEATHS!$B:$B,Tabelle28[[#This Row],[Country/Region]],RAW_DEATHS!AD:AD)</f>
        <v>0</v>
      </c>
      <c r="AD30" s="28">
        <f>SUMIF(RAW_DEATHS!$B:$B,Tabelle28[[#This Row],[Country/Region]],RAW_DEATHS!AE:AE)</f>
        <v>0</v>
      </c>
      <c r="AE30" s="28">
        <f>SUMIF(RAW_DEATHS!$B:$B,Tabelle28[[#This Row],[Country/Region]],RAW_DEATHS!AF:AF)</f>
        <v>1</v>
      </c>
      <c r="AF30" s="28">
        <f>SUMIF(RAW_DEATHS!$B:$B,Tabelle28[[#This Row],[Country/Region]],RAW_DEATHS!AG:AG)</f>
        <v>2</v>
      </c>
      <c r="AG30" s="28">
        <f>SUMIF(RAW_DEATHS!$B:$B,Tabelle28[[#This Row],[Country/Region]],RAW_DEATHS!AH:AH)</f>
        <v>2</v>
      </c>
      <c r="AH30" s="28">
        <f>SUMIF(RAW_DEATHS!$B:$B,Tabelle28[[#This Row],[Country/Region]],RAW_DEATHS!AI:AI)</f>
        <v>6</v>
      </c>
      <c r="AI30" s="28">
        <f>SUMIF(RAW_DEATHS!$B:$B,Tabelle28[[#This Row],[Country/Region]],RAW_DEATHS!AJ:AJ)</f>
        <v>8</v>
      </c>
      <c r="AJ30" s="28">
        <f>SUMIF(RAW_DEATHS!$B:$B,Tabelle28[[#This Row],[Country/Region]],RAW_DEATHS!AK:AK)</f>
        <v>10</v>
      </c>
      <c r="AK30" s="28">
        <f>SUMIF(RAW_DEATHS!$B:$B,Tabelle28[[#This Row],[Country/Region]],RAW_DEATHS!AL:AL)</f>
        <v>12</v>
      </c>
      <c r="AL30" s="28">
        <f>SUMIF(RAW_DEATHS!$B:$B,Tabelle28[[#This Row],[Country/Region]],RAW_DEATHS!AM:AM)</f>
        <v>13</v>
      </c>
      <c r="AM30" s="28">
        <f>SUMIF(RAW_DEATHS!$B:$B,Tabelle28[[#This Row],[Country/Region]],RAW_DEATHS!AN:AN)</f>
        <v>13</v>
      </c>
      <c r="AN30" s="28">
        <f>SUMIF(RAW_DEATHS!$B:$B,Tabelle28[[#This Row],[Country/Region]],RAW_DEATHS!AO:AO)</f>
        <v>16</v>
      </c>
      <c r="AO30" s="28">
        <f>SUMIF(RAW_DEATHS!$B:$B,Tabelle28[[#This Row],[Country/Region]],RAW_DEATHS!AP:AP)</f>
        <v>17</v>
      </c>
      <c r="AP30" s="28">
        <f>SUMIF(RAW_DEATHS!$B:$B,Tabelle28[[#This Row],[Country/Region]],RAW_DEATHS!AQ:AQ)</f>
        <v>28</v>
      </c>
      <c r="AQ30" s="28">
        <f>SUMIF(RAW_DEATHS!$B:$B,Tabelle28[[#This Row],[Country/Region]],RAW_DEATHS!AR:AR)</f>
        <v>28</v>
      </c>
      <c r="AR30" s="28">
        <f>SUMIF(RAW_DEATHS!$B:$B,Tabelle28[[#This Row],[Country/Region]],RAW_DEATHS!AS:AS)</f>
        <v>35</v>
      </c>
      <c r="AS30" s="28">
        <f>SUMIF(RAW_DEATHS!$B:$B,Tabelle28[[#This Row],[Country/Region]],RAW_DEATHS!AT:AT)</f>
        <v>35</v>
      </c>
      <c r="AT30" s="28">
        <f>SUMIF(RAW_DEATHS!$B:$B,Tabelle28[[#This Row],[Country/Region]],RAW_DEATHS!AU:AU)</f>
        <v>42</v>
      </c>
      <c r="AU30" s="28">
        <f>SUMIF(RAW_DEATHS!$B:$B,Tabelle28[[#This Row],[Country/Region]],RAW_DEATHS!AV:AV)</f>
        <v>44</v>
      </c>
      <c r="AV30" s="28">
        <f>SUMIF(RAW_DEATHS!$B:$B,Tabelle28[[#This Row],[Country/Region]],RAW_DEATHS!AW:AW)</f>
        <v>50</v>
      </c>
      <c r="AW30" s="28">
        <f>SUMIF(RAW_DEATHS!$B:$B,Tabelle28[[#This Row],[Country/Region]],RAW_DEATHS!AX:AX)</f>
        <v>53</v>
      </c>
      <c r="AX30" s="28">
        <f>SUMIF(RAW_DEATHS!$B:$B,Tabelle28[[#This Row],[Country/Region]],RAW_DEATHS!AY:AY)</f>
        <v>54</v>
      </c>
      <c r="AY30" s="28">
        <f>SUMIF(RAW_DEATHS!$B:$B,Tabelle28[[#This Row],[Country/Region]],RAW_DEATHS!AZ:AZ)</f>
        <v>60</v>
      </c>
      <c r="AZ30" s="28">
        <f>SUMIF(RAW_DEATHS!$B:$B,Tabelle28[[#This Row],[Country/Region]],RAW_DEATHS!BA:BA)</f>
        <v>66</v>
      </c>
      <c r="BA30" s="28">
        <f>SUMIF(RAW_DEATHS!$B:$B,Tabelle28[[#This Row],[Country/Region]],RAW_DEATHS!BB:BB)</f>
        <v>66</v>
      </c>
      <c r="BB30" s="28">
        <f>SUMIF(RAW_DEATHS!$B:$B,Tabelle28[[#This Row],[Country/Region]],RAW_DEATHS!BC:BC)</f>
        <v>72</v>
      </c>
      <c r="BC30" s="28">
        <f>SUMIF(RAW_DEATHS!$B:$B,Tabelle28[[#This Row],[Country/Region]],RAW_DEATHS!BD:BD)</f>
        <v>75</v>
      </c>
      <c r="BD30" s="28">
        <f>SUMIF(RAW_DEATHS!$B:$B,Tabelle28[[#This Row],[Country/Region]],RAW_DEATHS!BE:BE)</f>
        <v>75</v>
      </c>
      <c r="BE30" s="28">
        <f>SUMIF(RAW_DEATHS!$B:$B,Tabelle28[[#This Row],[Country/Region]],RAW_DEATHS!BF:BF)</f>
        <v>81</v>
      </c>
      <c r="BF30" s="28">
        <f>SUMIF(RAW_DEATHS!$B:$B,Tabelle28[[#This Row],[Country/Region]],RAW_DEATHS!BG:BG)</f>
        <v>84</v>
      </c>
      <c r="BG30" s="28">
        <f>SUMIF(RAW_DEATHS!$B:$B,Tabelle28[[#This Row],[Country/Region]],RAW_DEATHS!BH:BH)</f>
        <v>91</v>
      </c>
      <c r="BH30" s="28">
        <f>SUMIF(RAW_DEATHS!$B:$B,Tabelle28[[#This Row],[Country/Region]],RAW_DEATHS!BI:BI)</f>
        <v>94</v>
      </c>
      <c r="BI30" s="28">
        <f>SUMIF(RAW_DEATHS!$B:$B,Tabelle28[[#This Row],[Country/Region]],RAW_DEATHS!BJ:BJ)</f>
        <v>102</v>
      </c>
      <c r="BJ30" s="28">
        <f>SUMIF(RAW_DEATHS!$B:$B,Tabelle28[[#This Row],[Country/Region]],RAW_DEATHS!BK:BK)</f>
        <v>111</v>
      </c>
      <c r="BK30" s="28">
        <f>SUMIF(RAW_DEATHS!$B:$B,Tabelle28[[#This Row],[Country/Region]],RAW_DEATHS!BL:BL)</f>
        <v>111</v>
      </c>
      <c r="BL30" s="28">
        <f>SUMIF(RAW_DEATHS!$B:$B,Tabelle28[[#This Row],[Country/Region]],RAW_DEATHS!BM:BM)</f>
        <v>120</v>
      </c>
      <c r="BM30" s="28">
        <f>SUMIF(RAW_DEATHS!$B:$B,Tabelle28[[#This Row],[Country/Region]],RAW_DEATHS!BN:BN)</f>
        <v>126</v>
      </c>
      <c r="BN30" s="28">
        <f>SUMIF(RAW_DEATHS!$B:$B,Tabelle28[[#This Row],[Country/Region]],RAW_DEATHS!BO:BO)</f>
        <v>131</v>
      </c>
      <c r="BO30" s="28">
        <f>SUMIF(RAW_DEATHS!$B:$B,Tabelle28[[#This Row],[Country/Region]],RAW_DEATHS!BP:BP)</f>
        <v>139</v>
      </c>
      <c r="BP30" s="28">
        <f>SUMIF(RAW_DEATHS!$B:$B,Tabelle28[[#This Row],[Country/Region]],RAW_DEATHS!BQ:BQ)</f>
        <v>144</v>
      </c>
      <c r="BQ30" s="28">
        <f>SUMIF(RAW_DEATHS!$B:$B,Tabelle28[[#This Row],[Country/Region]],RAW_DEATHS!BR:BR)</f>
        <v>152</v>
      </c>
      <c r="BR30" s="28">
        <f>SUMIF(RAW_DEATHS!$B:$B,Tabelle28[[#This Row],[Country/Region]],RAW_DEATHS!BS:BS)</f>
        <v>0</v>
      </c>
      <c r="BS30" s="28">
        <f>SUMIF(RAW_DEATHS!$B:$B,Tabelle28[[#This Row],[Country/Region]],RAW_DEATHS!BT:BT)</f>
        <v>0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2.75" x14ac:dyDescent="0.2">
      <c r="A31" s="27" t="str">
        <f>IF(ISBLANK(A20),"",A20)</f>
        <v>Spain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0</v>
      </c>
      <c r="AA31" s="28">
        <f>SUMIF(RAW_DEATHS!$B:$B,Tabelle28[[#This Row],[Country/Region]],RAW_DEATHS!AB:AB)</f>
        <v>0</v>
      </c>
      <c r="AB31" s="28">
        <f>SUMIF(RAW_DEATHS!$B:$B,Tabelle28[[#This Row],[Country/Region]],RAW_DEATHS!AC:AC)</f>
        <v>0</v>
      </c>
      <c r="AC31" s="28">
        <f>SUMIF(RAW_DEATHS!$B:$B,Tabelle28[[#This Row],[Country/Region]],RAW_DEATHS!AD:AD)</f>
        <v>0</v>
      </c>
      <c r="AD31" s="28">
        <f>SUMIF(RAW_DEATHS!$B:$B,Tabelle28[[#This Row],[Country/Region]],RAW_DEATHS!AE:AE)</f>
        <v>0</v>
      </c>
      <c r="AE31" s="28">
        <f>SUMIF(RAW_DEATHS!$B:$B,Tabelle28[[#This Row],[Country/Region]],RAW_DEATHS!AF:AF)</f>
        <v>0</v>
      </c>
      <c r="AF31" s="28">
        <f>SUMIF(RAW_DEATHS!$B:$B,Tabelle28[[#This Row],[Country/Region]],RAW_DEATHS!AG:AG)</f>
        <v>0</v>
      </c>
      <c r="AG31" s="28">
        <f>SUMIF(RAW_DEATHS!$B:$B,Tabelle28[[#This Row],[Country/Region]],RAW_DEATHS!AH:AH)</f>
        <v>0</v>
      </c>
      <c r="AH31" s="28">
        <f>SUMIF(RAW_DEATHS!$B:$B,Tabelle28[[#This Row],[Country/Region]],RAW_DEATHS!AI:AI)</f>
        <v>0</v>
      </c>
      <c r="AI31" s="28">
        <f>SUMIF(RAW_DEATHS!$B:$B,Tabelle28[[#This Row],[Country/Region]],RAW_DEATHS!AJ:AJ)</f>
        <v>0</v>
      </c>
      <c r="AJ31" s="28">
        <f>SUMIF(RAW_DEATHS!$B:$B,Tabelle28[[#This Row],[Country/Region]],RAW_DEATHS!AK:AK)</f>
        <v>0</v>
      </c>
      <c r="AK31" s="28">
        <f>SUMIF(RAW_DEATHS!$B:$B,Tabelle28[[#This Row],[Country/Region]],RAW_DEATHS!AL:AL)</f>
        <v>0</v>
      </c>
      <c r="AL31" s="28">
        <f>SUMIF(RAW_DEATHS!$B:$B,Tabelle28[[#This Row],[Country/Region]],RAW_DEATHS!AM:AM)</f>
        <v>0</v>
      </c>
      <c r="AM31" s="28">
        <f>SUMIF(RAW_DEATHS!$B:$B,Tabelle28[[#This Row],[Country/Region]],RAW_DEATHS!AN:AN)</f>
        <v>0</v>
      </c>
      <c r="AN31" s="28">
        <f>SUMIF(RAW_DEATHS!$B:$B,Tabelle28[[#This Row],[Country/Region]],RAW_DEATHS!AO:AO)</f>
        <v>0</v>
      </c>
      <c r="AO31" s="28">
        <f>SUMIF(RAW_DEATHS!$B:$B,Tabelle28[[#This Row],[Country/Region]],RAW_DEATHS!AP:AP)</f>
        <v>0</v>
      </c>
      <c r="AP31" s="28">
        <f>SUMIF(RAW_DEATHS!$B:$B,Tabelle28[[#This Row],[Country/Region]],RAW_DEATHS!AQ:AQ)</f>
        <v>0</v>
      </c>
      <c r="AQ31" s="28">
        <f>SUMIF(RAW_DEATHS!$B:$B,Tabelle28[[#This Row],[Country/Region]],RAW_DEATHS!AR:AR)</f>
        <v>1</v>
      </c>
      <c r="AR31" s="28">
        <f>SUMIF(RAW_DEATHS!$B:$B,Tabelle28[[#This Row],[Country/Region]],RAW_DEATHS!AS:AS)</f>
        <v>2</v>
      </c>
      <c r="AS31" s="28">
        <f>SUMIF(RAW_DEATHS!$B:$B,Tabelle28[[#This Row],[Country/Region]],RAW_DEATHS!AT:AT)</f>
        <v>3</v>
      </c>
      <c r="AT31" s="28">
        <f>SUMIF(RAW_DEATHS!$B:$B,Tabelle28[[#This Row],[Country/Region]],RAW_DEATHS!AU:AU)</f>
        <v>5</v>
      </c>
      <c r="AU31" s="28">
        <f>SUMIF(RAW_DEATHS!$B:$B,Tabelle28[[#This Row],[Country/Region]],RAW_DEATHS!AV:AV)</f>
        <v>10</v>
      </c>
      <c r="AV31" s="28">
        <f>SUMIF(RAW_DEATHS!$B:$B,Tabelle28[[#This Row],[Country/Region]],RAW_DEATHS!AW:AW)</f>
        <v>17</v>
      </c>
      <c r="AW31" s="28">
        <f>SUMIF(RAW_DEATHS!$B:$B,Tabelle28[[#This Row],[Country/Region]],RAW_DEATHS!AX:AX)</f>
        <v>28</v>
      </c>
      <c r="AX31" s="28">
        <f>SUMIF(RAW_DEATHS!$B:$B,Tabelle28[[#This Row],[Country/Region]],RAW_DEATHS!AY:AY)</f>
        <v>35</v>
      </c>
      <c r="AY31" s="28">
        <f>SUMIF(RAW_DEATHS!$B:$B,Tabelle28[[#This Row],[Country/Region]],RAW_DEATHS!AZ:AZ)</f>
        <v>54</v>
      </c>
      <c r="AZ31" s="28">
        <f>SUMIF(RAW_DEATHS!$B:$B,Tabelle28[[#This Row],[Country/Region]],RAW_DEATHS!BA:BA)</f>
        <v>55</v>
      </c>
      <c r="BA31" s="28">
        <f>SUMIF(RAW_DEATHS!$B:$B,Tabelle28[[#This Row],[Country/Region]],RAW_DEATHS!BB:BB)</f>
        <v>133</v>
      </c>
      <c r="BB31" s="28">
        <f>SUMIF(RAW_DEATHS!$B:$B,Tabelle28[[#This Row],[Country/Region]],RAW_DEATHS!BC:BC)</f>
        <v>195</v>
      </c>
      <c r="BC31" s="28">
        <f>SUMIF(RAW_DEATHS!$B:$B,Tabelle28[[#This Row],[Country/Region]],RAW_DEATHS!BD:BD)</f>
        <v>289</v>
      </c>
      <c r="BD31" s="28">
        <f>SUMIF(RAW_DEATHS!$B:$B,Tabelle28[[#This Row],[Country/Region]],RAW_DEATHS!BE:BE)</f>
        <v>342</v>
      </c>
      <c r="BE31" s="28">
        <f>SUMIF(RAW_DEATHS!$B:$B,Tabelle28[[#This Row],[Country/Region]],RAW_DEATHS!BF:BF)</f>
        <v>533</v>
      </c>
      <c r="BF31" s="28">
        <f>SUMIF(RAW_DEATHS!$B:$B,Tabelle28[[#This Row],[Country/Region]],RAW_DEATHS!BG:BG)</f>
        <v>623</v>
      </c>
      <c r="BG31" s="28">
        <f>SUMIF(RAW_DEATHS!$B:$B,Tabelle28[[#This Row],[Country/Region]],RAW_DEATHS!BH:BH)</f>
        <v>830</v>
      </c>
      <c r="BH31" s="28">
        <f>SUMIF(RAW_DEATHS!$B:$B,Tabelle28[[#This Row],[Country/Region]],RAW_DEATHS!BI:BI)</f>
        <v>1043</v>
      </c>
      <c r="BI31" s="28">
        <f>SUMIF(RAW_DEATHS!$B:$B,Tabelle28[[#This Row],[Country/Region]],RAW_DEATHS!BJ:BJ)</f>
        <v>1375</v>
      </c>
      <c r="BJ31" s="28">
        <f>SUMIF(RAW_DEATHS!$B:$B,Tabelle28[[#This Row],[Country/Region]],RAW_DEATHS!BK:BK)</f>
        <v>1772</v>
      </c>
      <c r="BK31" s="28">
        <f>SUMIF(RAW_DEATHS!$B:$B,Tabelle28[[#This Row],[Country/Region]],RAW_DEATHS!BL:BL)</f>
        <v>2311</v>
      </c>
      <c r="BL31" s="28">
        <f>SUMIF(RAW_DEATHS!$B:$B,Tabelle28[[#This Row],[Country/Region]],RAW_DEATHS!BM:BM)</f>
        <v>2808</v>
      </c>
      <c r="BM31" s="28">
        <f>SUMIF(RAW_DEATHS!$B:$B,Tabelle28[[#This Row],[Country/Region]],RAW_DEATHS!BN:BN)</f>
        <v>3647</v>
      </c>
      <c r="BN31" s="28">
        <f>SUMIF(RAW_DEATHS!$B:$B,Tabelle28[[#This Row],[Country/Region]],RAW_DEATHS!BO:BO)</f>
        <v>4365</v>
      </c>
      <c r="BO31" s="28">
        <f>SUMIF(RAW_DEATHS!$B:$B,Tabelle28[[#This Row],[Country/Region]],RAW_DEATHS!BP:BP)</f>
        <v>5138</v>
      </c>
      <c r="BP31" s="28">
        <f>SUMIF(RAW_DEATHS!$B:$B,Tabelle28[[#This Row],[Country/Region]],RAW_DEATHS!BQ:BQ)</f>
        <v>5982</v>
      </c>
      <c r="BQ31" s="28">
        <f>SUMIF(RAW_DEATHS!$B:$B,Tabelle28[[#This Row],[Country/Region]],RAW_DEATHS!BR:BR)</f>
        <v>6803</v>
      </c>
      <c r="BR31" s="28">
        <f>SUMIF(RAW_DEATHS!$B:$B,Tabelle28[[#This Row],[Country/Region]],RAW_DEATHS!BS:BS)</f>
        <v>0</v>
      </c>
      <c r="BS31" s="28">
        <f>SUMIF(RAW_DEATHS!$B:$B,Tabelle28[[#This Row],[Country/Region]],RAW_DEATHS!BT:BT)</f>
        <v>0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1" customFormat="1" ht="12.75" x14ac:dyDescent="0.2">
      <c r="A32" s="27" t="str">
        <f t="shared" ref="A32" si="14">IF(ISBLANK(A21),"",A21)</f>
        <v>France</v>
      </c>
      <c r="B32" s="28">
        <f>SUMIF(RAW_DEATHS!$B:$B,Tabelle28[[#This Row],[Country/Region]],RAW_DEATHS!C:C)</f>
        <v>0</v>
      </c>
      <c r="C32" s="28">
        <f>SUMIF(RAW_DEATHS!$B:$B,Tabelle28[[#This Row],[Country/Region]],RAW_DEATHS!D:D)</f>
        <v>0</v>
      </c>
      <c r="D32" s="28">
        <f>SUMIF(RAW_DEATHS!$B:$B,Tabelle28[[#This Row],[Country/Region]],RAW_DEATHS!E:E)</f>
        <v>0</v>
      </c>
      <c r="E32" s="28">
        <f>SUMIF(RAW_DEATHS!$B:$B,Tabelle28[[#This Row],[Country/Region]],RAW_DEATHS!F:F)</f>
        <v>0</v>
      </c>
      <c r="F32" s="28">
        <f>SUMIF(RAW_DEATHS!$B:$B,Tabelle28[[#This Row],[Country/Region]],RAW_DEATHS!G:G)</f>
        <v>0</v>
      </c>
      <c r="G32" s="28">
        <f>SUMIF(RAW_DEATHS!$B:$B,Tabelle28[[#This Row],[Country/Region]],RAW_DEATHS!H:H)</f>
        <v>0</v>
      </c>
      <c r="H32" s="28">
        <f>SUMIF(RAW_DEATHS!$B:$B,Tabelle28[[#This Row],[Country/Region]],RAW_DEATHS!I:I)</f>
        <v>0</v>
      </c>
      <c r="I32" s="28">
        <f>SUMIF(RAW_DEATHS!$B:$B,Tabelle28[[#This Row],[Country/Region]],RAW_DEATHS!J:J)</f>
        <v>0</v>
      </c>
      <c r="J32" s="28">
        <f>SUMIF(RAW_DEATHS!$B:$B,Tabelle28[[#This Row],[Country/Region]],RAW_DEATHS!K:K)</f>
        <v>0</v>
      </c>
      <c r="K32" s="28">
        <f>SUMIF(RAW_DEATHS!$B:$B,Tabelle28[[#This Row],[Country/Region]],RAW_DEATHS!L:L)</f>
        <v>0</v>
      </c>
      <c r="L32" s="28">
        <f>SUMIF(RAW_DEATHS!$B:$B,Tabelle28[[#This Row],[Country/Region]],RAW_DEATHS!M:M)</f>
        <v>0</v>
      </c>
      <c r="M32" s="28">
        <f>SUMIF(RAW_DEATHS!$B:$B,Tabelle28[[#This Row],[Country/Region]],RAW_DEATHS!N:N)</f>
        <v>0</v>
      </c>
      <c r="N32" s="28">
        <f>SUMIF(RAW_DEATHS!$B:$B,Tabelle28[[#This Row],[Country/Region]],RAW_DEATHS!O:O)</f>
        <v>0</v>
      </c>
      <c r="O32" s="28">
        <f>SUMIF(RAW_DEATHS!$B:$B,Tabelle28[[#This Row],[Country/Region]],RAW_DEATHS!P:P)</f>
        <v>0</v>
      </c>
      <c r="P32" s="28">
        <f>SUMIF(RAW_DEATHS!$B:$B,Tabelle28[[#This Row],[Country/Region]],RAW_DEATHS!Q:Q)</f>
        <v>0</v>
      </c>
      <c r="Q32" s="28">
        <f>SUMIF(RAW_DEATHS!$B:$B,Tabelle28[[#This Row],[Country/Region]],RAW_DEATHS!R:R)</f>
        <v>0</v>
      </c>
      <c r="R32" s="28">
        <f>SUMIF(RAW_DEATHS!$B:$B,Tabelle28[[#This Row],[Country/Region]],RAW_DEATHS!S:S)</f>
        <v>0</v>
      </c>
      <c r="S32" s="28">
        <f>SUMIF(RAW_DEATHS!$B:$B,Tabelle28[[#This Row],[Country/Region]],RAW_DEATHS!T:T)</f>
        <v>0</v>
      </c>
      <c r="T32" s="28">
        <f>SUMIF(RAW_DEATHS!$B:$B,Tabelle28[[#This Row],[Country/Region]],RAW_DEATHS!U:U)</f>
        <v>0</v>
      </c>
      <c r="U32" s="28">
        <f>SUMIF(RAW_DEATHS!$B:$B,Tabelle28[[#This Row],[Country/Region]],RAW_DEATHS!V:V)</f>
        <v>0</v>
      </c>
      <c r="V32" s="28">
        <f>SUMIF(RAW_DEATHS!$B:$B,Tabelle28[[#This Row],[Country/Region]],RAW_DEATHS!W:W)</f>
        <v>0</v>
      </c>
      <c r="W32" s="28">
        <f>SUMIF(RAW_DEATHS!$B:$B,Tabelle28[[#This Row],[Country/Region]],RAW_DEATHS!X:X)</f>
        <v>0</v>
      </c>
      <c r="X32" s="28">
        <f>SUMIF(RAW_DEATHS!$B:$B,Tabelle28[[#This Row],[Country/Region]],RAW_DEATHS!Y:Y)</f>
        <v>0</v>
      </c>
      <c r="Y32" s="28">
        <f>SUMIF(RAW_DEATHS!$B:$B,Tabelle28[[#This Row],[Country/Region]],RAW_DEATHS!Z:Z)</f>
        <v>0</v>
      </c>
      <c r="Z32" s="28">
        <f>SUMIF(RAW_DEATHS!$B:$B,Tabelle28[[#This Row],[Country/Region]],RAW_DEATHS!AA:AA)</f>
        <v>1</v>
      </c>
      <c r="AA32" s="28">
        <f>SUMIF(RAW_DEATHS!$B:$B,Tabelle28[[#This Row],[Country/Region]],RAW_DEATHS!AB:AB)</f>
        <v>1</v>
      </c>
      <c r="AB32" s="28">
        <f>SUMIF(RAW_DEATHS!$B:$B,Tabelle28[[#This Row],[Country/Region]],RAW_DEATHS!AC:AC)</f>
        <v>1</v>
      </c>
      <c r="AC32" s="28">
        <f>SUMIF(RAW_DEATHS!$B:$B,Tabelle28[[#This Row],[Country/Region]],RAW_DEATHS!AD:AD)</f>
        <v>1</v>
      </c>
      <c r="AD32" s="28">
        <f>SUMIF(RAW_DEATHS!$B:$B,Tabelle28[[#This Row],[Country/Region]],RAW_DEATHS!AE:AE)</f>
        <v>1</v>
      </c>
      <c r="AE32" s="28">
        <f>SUMIF(RAW_DEATHS!$B:$B,Tabelle28[[#This Row],[Country/Region]],RAW_DEATHS!AF:AF)</f>
        <v>1</v>
      </c>
      <c r="AF32" s="28">
        <f>SUMIF(RAW_DEATHS!$B:$B,Tabelle28[[#This Row],[Country/Region]],RAW_DEATHS!AG:AG)</f>
        <v>1</v>
      </c>
      <c r="AG32" s="28">
        <f>SUMIF(RAW_DEATHS!$B:$B,Tabelle28[[#This Row],[Country/Region]],RAW_DEATHS!AH:AH)</f>
        <v>1</v>
      </c>
      <c r="AH32" s="28">
        <f>SUMIF(RAW_DEATHS!$B:$B,Tabelle28[[#This Row],[Country/Region]],RAW_DEATHS!AI:AI)</f>
        <v>1</v>
      </c>
      <c r="AI32" s="28">
        <f>SUMIF(RAW_DEATHS!$B:$B,Tabelle28[[#This Row],[Country/Region]],RAW_DEATHS!AJ:AJ)</f>
        <v>1</v>
      </c>
      <c r="AJ32" s="28">
        <f>SUMIF(RAW_DEATHS!$B:$B,Tabelle28[[#This Row],[Country/Region]],RAW_DEATHS!AK:AK)</f>
        <v>1</v>
      </c>
      <c r="AK32" s="28">
        <f>SUMIF(RAW_DEATHS!$B:$B,Tabelle28[[#This Row],[Country/Region]],RAW_DEATHS!AL:AL)</f>
        <v>2</v>
      </c>
      <c r="AL32" s="28">
        <f>SUMIF(RAW_DEATHS!$B:$B,Tabelle28[[#This Row],[Country/Region]],RAW_DEATHS!AM:AM)</f>
        <v>2</v>
      </c>
      <c r="AM32" s="28">
        <f>SUMIF(RAW_DEATHS!$B:$B,Tabelle28[[#This Row],[Country/Region]],RAW_DEATHS!AN:AN)</f>
        <v>2</v>
      </c>
      <c r="AN32" s="28">
        <f>SUMIF(RAW_DEATHS!$B:$B,Tabelle28[[#This Row],[Country/Region]],RAW_DEATHS!AO:AO)</f>
        <v>2</v>
      </c>
      <c r="AO32" s="28">
        <f>SUMIF(RAW_DEATHS!$B:$B,Tabelle28[[#This Row],[Country/Region]],RAW_DEATHS!AP:AP)</f>
        <v>2</v>
      </c>
      <c r="AP32" s="28">
        <f>SUMIF(RAW_DEATHS!$B:$B,Tabelle28[[#This Row],[Country/Region]],RAW_DEATHS!AQ:AQ)</f>
        <v>3</v>
      </c>
      <c r="AQ32" s="28">
        <f>SUMIF(RAW_DEATHS!$B:$B,Tabelle28[[#This Row],[Country/Region]],RAW_DEATHS!AR:AR)</f>
        <v>4</v>
      </c>
      <c r="AR32" s="28">
        <f>SUMIF(RAW_DEATHS!$B:$B,Tabelle28[[#This Row],[Country/Region]],RAW_DEATHS!AS:AS)</f>
        <v>4</v>
      </c>
      <c r="AS32" s="28">
        <f>SUMIF(RAW_DEATHS!$B:$B,Tabelle28[[#This Row],[Country/Region]],RAW_DEATHS!AT:AT)</f>
        <v>6</v>
      </c>
      <c r="AT32" s="28">
        <f>SUMIF(RAW_DEATHS!$B:$B,Tabelle28[[#This Row],[Country/Region]],RAW_DEATHS!AU:AU)</f>
        <v>9</v>
      </c>
      <c r="AU32" s="28">
        <f>SUMIF(RAW_DEATHS!$B:$B,Tabelle28[[#This Row],[Country/Region]],RAW_DEATHS!AV:AV)</f>
        <v>11</v>
      </c>
      <c r="AV32" s="28">
        <f>SUMIF(RAW_DEATHS!$B:$B,Tabelle28[[#This Row],[Country/Region]],RAW_DEATHS!AW:AW)</f>
        <v>19</v>
      </c>
      <c r="AW32" s="28">
        <f>SUMIF(RAW_DEATHS!$B:$B,Tabelle28[[#This Row],[Country/Region]],RAW_DEATHS!AX:AX)</f>
        <v>19</v>
      </c>
      <c r="AX32" s="28">
        <f>SUMIF(RAW_DEATHS!$B:$B,Tabelle28[[#This Row],[Country/Region]],RAW_DEATHS!AY:AY)</f>
        <v>33</v>
      </c>
      <c r="AY32" s="28">
        <f>SUMIF(RAW_DEATHS!$B:$B,Tabelle28[[#This Row],[Country/Region]],RAW_DEATHS!AZ:AZ)</f>
        <v>48</v>
      </c>
      <c r="AZ32" s="28">
        <f>SUMIF(RAW_DEATHS!$B:$B,Tabelle28[[#This Row],[Country/Region]],RAW_DEATHS!BA:BA)</f>
        <v>48</v>
      </c>
      <c r="BA32" s="28">
        <f>SUMIF(RAW_DEATHS!$B:$B,Tabelle28[[#This Row],[Country/Region]],RAW_DEATHS!BB:BB)</f>
        <v>79</v>
      </c>
      <c r="BB32" s="28">
        <f>SUMIF(RAW_DEATHS!$B:$B,Tabelle28[[#This Row],[Country/Region]],RAW_DEATHS!BC:BC)</f>
        <v>91</v>
      </c>
      <c r="BC32" s="28">
        <f>SUMIF(RAW_DEATHS!$B:$B,Tabelle28[[#This Row],[Country/Region]],RAW_DEATHS!BD:BD)</f>
        <v>91</v>
      </c>
      <c r="BD32" s="28">
        <f>SUMIF(RAW_DEATHS!$B:$B,Tabelle28[[#This Row],[Country/Region]],RAW_DEATHS!BE:BE)</f>
        <v>149</v>
      </c>
      <c r="BE32" s="28">
        <f>SUMIF(RAW_DEATHS!$B:$B,Tabelle28[[#This Row],[Country/Region]],RAW_DEATHS!BF:BF)</f>
        <v>149</v>
      </c>
      <c r="BF32" s="28">
        <f>SUMIF(RAW_DEATHS!$B:$B,Tabelle28[[#This Row],[Country/Region]],RAW_DEATHS!BG:BG)</f>
        <v>149</v>
      </c>
      <c r="BG32" s="28">
        <f>SUMIF(RAW_DEATHS!$B:$B,Tabelle28[[#This Row],[Country/Region]],RAW_DEATHS!BH:BH)</f>
        <v>244</v>
      </c>
      <c r="BH32" s="28">
        <f>SUMIF(RAW_DEATHS!$B:$B,Tabelle28[[#This Row],[Country/Region]],RAW_DEATHS!BI:BI)</f>
        <v>451</v>
      </c>
      <c r="BI32" s="28">
        <f>SUMIF(RAW_DEATHS!$B:$B,Tabelle28[[#This Row],[Country/Region]],RAW_DEATHS!BJ:BJ)</f>
        <v>563</v>
      </c>
      <c r="BJ32" s="28">
        <f>SUMIF(RAW_DEATHS!$B:$B,Tabelle28[[#This Row],[Country/Region]],RAW_DEATHS!BK:BK)</f>
        <v>676</v>
      </c>
      <c r="BK32" s="28">
        <f>SUMIF(RAW_DEATHS!$B:$B,Tabelle28[[#This Row],[Country/Region]],RAW_DEATHS!BL:BL)</f>
        <v>862</v>
      </c>
      <c r="BL32" s="28">
        <f>SUMIF(RAW_DEATHS!$B:$B,Tabelle28[[#This Row],[Country/Region]],RAW_DEATHS!BM:BM)</f>
        <v>1102</v>
      </c>
      <c r="BM32" s="28">
        <f>SUMIF(RAW_DEATHS!$B:$B,Tabelle28[[#This Row],[Country/Region]],RAW_DEATHS!BN:BN)</f>
        <v>1333</v>
      </c>
      <c r="BN32" s="28">
        <f>SUMIF(RAW_DEATHS!$B:$B,Tabelle28[[#This Row],[Country/Region]],RAW_DEATHS!BO:BO)</f>
        <v>1698</v>
      </c>
      <c r="BO32" s="28">
        <f>SUMIF(RAW_DEATHS!$B:$B,Tabelle28[[#This Row],[Country/Region]],RAW_DEATHS!BP:BP)</f>
        <v>1997</v>
      </c>
      <c r="BP32" s="28">
        <f>SUMIF(RAW_DEATHS!$B:$B,Tabelle28[[#This Row],[Country/Region]],RAW_DEATHS!BQ:BQ)</f>
        <v>2317</v>
      </c>
      <c r="BQ32" s="28">
        <f>SUMIF(RAW_DEATHS!$B:$B,Tabelle28[[#This Row],[Country/Region]],RAW_DEATHS!BR:BR)</f>
        <v>2611</v>
      </c>
      <c r="BR32" s="28">
        <f>SUMIF(RAW_DEATHS!$B:$B,Tabelle28[[#This Row],[Country/Region]],RAW_DEATHS!BS:BS)</f>
        <v>0</v>
      </c>
      <c r="BS32" s="28">
        <f>SUMIF(RAW_DEATHS!$B:$B,Tabelle28[[#This Row],[Country/Region]],RAW_DEATHS!BT:BT)</f>
        <v>0</v>
      </c>
      <c r="BT32" s="28">
        <f>SUMIF(RAW_DEATHS!$B:$B,Tabelle28[[#This Row],[Country/Region]],RAW_DEATHS!BU:BU)</f>
        <v>0</v>
      </c>
      <c r="BU32" s="28">
        <f>SUMIF(RAW_DEATHS!$B:$B,Tabelle28[[#This Row],[Country/Region]],RAW_DEATHS!BV:BV)</f>
        <v>0</v>
      </c>
      <c r="BV32" s="28">
        <f>SUMIF(RAW_DEATHS!$B:$B,Tabelle28[[#This Row],[Country/Region]],RAW_DEATHS!BW:BW)</f>
        <v>0</v>
      </c>
      <c r="BW32" s="28">
        <f>SUMIF(RAW_DEATHS!$B:$B,Tabelle28[[#This Row],[Country/Region]],RAW_DEATHS!BX:BX)</f>
        <v>0</v>
      </c>
      <c r="BX32" s="28">
        <f>SUMIF(RAW_DEATHS!$B:$B,Tabelle28[[#This Row],[Country/Region]],RAW_DEATHS!BY:BY)</f>
        <v>0</v>
      </c>
      <c r="BY32" s="28">
        <f>SUMIF(RAW_DEATHS!$B:$B,Tabelle28[[#This Row],[Country/Region]],RAW_DEATHS!BZ:BZ)</f>
        <v>0</v>
      </c>
      <c r="BZ32" s="28">
        <f>SUMIF(RAW_DEATHS!$B:$B,Tabelle28[[#This Row],[Country/Region]],RAW_DEATHS!CA:CA)</f>
        <v>0</v>
      </c>
      <c r="CA32" s="28">
        <f>SUMIF(RAW_DEATHS!$B:$B,Tabelle28[[#This Row],[Country/Region]],RAW_DEATHS!CB:CB)</f>
        <v>0</v>
      </c>
      <c r="CB32" s="28">
        <f>SUMIF(RAW_DEATHS!$B:$B,Tabelle28[[#This Row],[Country/Region]],RAW_DEATHS!CC:CC)</f>
        <v>0</v>
      </c>
      <c r="CC32" s="28">
        <f>SUMIF(RAW_DEATHS!$B:$B,Tabelle28[[#This Row],[Country/Region]],RAW_DEATHS!CD:CD)</f>
        <v>0</v>
      </c>
      <c r="CD32" s="28">
        <f>SUMIF(RAW_DEATHS!$B:$B,Tabelle28[[#This Row],[Country/Region]],RAW_DEATHS!CE:CE)</f>
        <v>0</v>
      </c>
      <c r="CE32" s="28">
        <f>SUMIF(RAW_DEATHS!$B:$B,Tabelle28[[#This Row],[Country/Region]],RAW_DEATHS!CF:CF)</f>
        <v>0</v>
      </c>
    </row>
    <row r="33" spans="1:87" s="17" customFormat="1" ht="12" x14ac:dyDescent="0.2">
      <c r="A33" s="17" t="s">
        <v>240</v>
      </c>
      <c r="B33" s="8">
        <f>SUM(RAW_DEATHS!C:C)</f>
        <v>17</v>
      </c>
      <c r="C33" s="8">
        <f>SUM(RAW_DEATHS!D:D)</f>
        <v>18</v>
      </c>
      <c r="D33" s="8">
        <f>SUM(RAW_DEATHS!E:E)</f>
        <v>26</v>
      </c>
      <c r="E33" s="8">
        <f>SUM(RAW_DEATHS!F:F)</f>
        <v>42</v>
      </c>
      <c r="F33" s="8">
        <f>SUM(RAW_DEATHS!G:G)</f>
        <v>56</v>
      </c>
      <c r="G33" s="8">
        <f>SUM(RAW_DEATHS!H:H)</f>
        <v>82</v>
      </c>
      <c r="H33" s="8">
        <f>SUM(RAW_DEATHS!I:I)</f>
        <v>131</v>
      </c>
      <c r="I33" s="8">
        <f>SUM(RAW_DEATHS!J:J)</f>
        <v>133</v>
      </c>
      <c r="J33" s="8">
        <f>SUM(RAW_DEATHS!K:K)</f>
        <v>171</v>
      </c>
      <c r="K33" s="8">
        <f>SUM(RAW_DEATHS!L:L)</f>
        <v>213</v>
      </c>
      <c r="L33" s="8">
        <f>SUM(RAW_DEATHS!M:M)</f>
        <v>259</v>
      </c>
      <c r="M33" s="8">
        <f>SUM(RAW_DEATHS!N:N)</f>
        <v>362</v>
      </c>
      <c r="N33" s="8">
        <f>SUM(RAW_DEATHS!O:O)</f>
        <v>426</v>
      </c>
      <c r="O33" s="8">
        <f>SUM(RAW_DEATHS!P:P)</f>
        <v>492</v>
      </c>
      <c r="P33" s="8">
        <f>SUM(RAW_DEATHS!Q:Q)</f>
        <v>564</v>
      </c>
      <c r="Q33" s="8">
        <f>SUM(RAW_DEATHS!R:R)</f>
        <v>634</v>
      </c>
      <c r="R33" s="8">
        <f>SUM(RAW_DEATHS!S:S)</f>
        <v>719</v>
      </c>
      <c r="S33" s="8">
        <f>SUM(RAW_DEATHS!T:T)</f>
        <v>806</v>
      </c>
      <c r="T33" s="8">
        <f>SUM(RAW_DEATHS!U:U)</f>
        <v>906</v>
      </c>
      <c r="U33" s="8">
        <f>SUM(RAW_DEATHS!V:V)</f>
        <v>1013</v>
      </c>
      <c r="V33" s="8">
        <f>SUM(RAW_DEATHS!W:W)</f>
        <v>1113</v>
      </c>
      <c r="W33" s="8">
        <f>SUM(RAW_DEATHS!X:X)</f>
        <v>1118</v>
      </c>
      <c r="X33" s="8">
        <f>SUM(RAW_DEATHS!Y:Y)</f>
        <v>1371</v>
      </c>
      <c r="Y33" s="8">
        <f>SUM(RAW_DEATHS!Z:Z)</f>
        <v>1523</v>
      </c>
      <c r="Z33" s="8">
        <f>SUM(RAW_DEATHS!AA:AA)</f>
        <v>1666</v>
      </c>
      <c r="AA33" s="8">
        <f>SUM(RAW_DEATHS!AB:AB)</f>
        <v>1770</v>
      </c>
      <c r="AB33" s="8">
        <f>SUM(RAW_DEATHS!AC:AC)</f>
        <v>1868</v>
      </c>
      <c r="AC33" s="8">
        <f>SUM(RAW_DEATHS!AD:AD)</f>
        <v>2007</v>
      </c>
      <c r="AD33" s="8">
        <f>SUM(RAW_DEATHS!AE:AE)</f>
        <v>2122</v>
      </c>
      <c r="AE33" s="8">
        <f>SUM(RAW_DEATHS!AF:AF)</f>
        <v>2247</v>
      </c>
      <c r="AF33" s="8">
        <f>SUM(RAW_DEATHS!AG:AG)</f>
        <v>2251</v>
      </c>
      <c r="AG33" s="8">
        <f>SUM(RAW_DEATHS!AH:AH)</f>
        <v>2458</v>
      </c>
      <c r="AH33" s="8">
        <f>SUM(RAW_DEATHS!AI:AI)</f>
        <v>2469</v>
      </c>
      <c r="AI33" s="8">
        <f>SUM(RAW_DEATHS!AJ:AJ)</f>
        <v>2629</v>
      </c>
      <c r="AJ33" s="8">
        <f>SUM(RAW_DEATHS!AK:AK)</f>
        <v>2708</v>
      </c>
      <c r="AK33" s="8">
        <f>SUM(RAW_DEATHS!AL:AL)</f>
        <v>2770</v>
      </c>
      <c r="AL33" s="8">
        <f>SUM(RAW_DEATHS!AM:AM)</f>
        <v>2814</v>
      </c>
      <c r="AM33" s="8">
        <f>SUM(RAW_DEATHS!AN:AN)</f>
        <v>2872</v>
      </c>
      <c r="AN33" s="8">
        <f>SUM(RAW_DEATHS!AO:AO)</f>
        <v>2941</v>
      </c>
      <c r="AO33" s="8">
        <f>SUM(RAW_DEATHS!AP:AP)</f>
        <v>2996</v>
      </c>
      <c r="AP33" s="8">
        <f>SUM(RAW_DEATHS!AQ:AQ)</f>
        <v>3085</v>
      </c>
      <c r="AQ33" s="8">
        <f>SUM(RAW_DEATHS!AR:AR)</f>
        <v>3160</v>
      </c>
      <c r="AR33" s="8">
        <f>SUM(RAW_DEATHS!AS:AS)</f>
        <v>3254</v>
      </c>
      <c r="AS33" s="8">
        <f>SUM(RAW_DEATHS!AT:AT)</f>
        <v>3348</v>
      </c>
      <c r="AT33" s="8">
        <f>SUM(RAW_DEATHS!AU:AU)</f>
        <v>3460</v>
      </c>
      <c r="AU33" s="8">
        <f>SUM(RAW_DEATHS!AV:AV)</f>
        <v>3558</v>
      </c>
      <c r="AV33" s="8">
        <f>SUM(RAW_DEATHS!AW:AW)</f>
        <v>3802</v>
      </c>
      <c r="AW33" s="8">
        <f>SUM(RAW_DEATHS!AX:AX)</f>
        <v>3988</v>
      </c>
      <c r="AX33" s="8">
        <f>SUM(RAW_DEATHS!AY:AY)</f>
        <v>4262</v>
      </c>
      <c r="AY33" s="8">
        <f>SUM(RAW_DEATHS!AZ:AZ)</f>
        <v>4615</v>
      </c>
      <c r="AZ33" s="8">
        <f>SUM(RAW_DEATHS!BA:BA)</f>
        <v>4720</v>
      </c>
      <c r="BA33" s="8">
        <f>SUM(RAW_DEATHS!BB:BB)</f>
        <v>5404</v>
      </c>
      <c r="BB33" s="8">
        <f>SUM(RAW_DEATHS!BC:BC)</f>
        <v>5819</v>
      </c>
      <c r="BC33" s="8">
        <f>SUM(RAW_DEATHS!BD:BD)</f>
        <v>6440</v>
      </c>
      <c r="BD33" s="8">
        <f>SUM(RAW_DEATHS!BE:BE)</f>
        <v>7126</v>
      </c>
      <c r="BE33" s="8">
        <f>SUM(RAW_DEATHS!BF:BF)</f>
        <v>7905</v>
      </c>
      <c r="BF33" s="8">
        <f>SUM(RAW_DEATHS!BG:BG)</f>
        <v>8733</v>
      </c>
      <c r="BG33" s="8">
        <f>SUM(RAW_DEATHS!BH:BH)</f>
        <v>9867</v>
      </c>
      <c r="BH33" s="8">
        <f>SUM(RAW_DEATHS!BI:BI)</f>
        <v>11299</v>
      </c>
      <c r="BI33" s="8">
        <f>SUM(RAW_DEATHS!BJ:BJ)</f>
        <v>12973</v>
      </c>
      <c r="BJ33" s="8">
        <f>SUM(RAW_DEATHS!BK:BK)</f>
        <v>14651</v>
      </c>
      <c r="BK33" s="8">
        <f>SUM(RAW_DEATHS!BL:BL)</f>
        <v>16505</v>
      </c>
      <c r="BL33" s="8">
        <f>SUM(RAW_DEATHS!BM:BM)</f>
        <v>18625</v>
      </c>
      <c r="BM33" s="8">
        <f>SUM(RAW_DEATHS!BN:BN)</f>
        <v>21181</v>
      </c>
      <c r="BN33" s="8">
        <f>SUM(RAW_DEATHS!BO:BO)</f>
        <v>23970</v>
      </c>
      <c r="BO33" s="8">
        <f>SUM(RAW_DEATHS!BP:BP)</f>
        <v>27198</v>
      </c>
      <c r="BP33" s="8">
        <f>SUM(RAW_DEATHS!BQ:BQ)</f>
        <v>30652</v>
      </c>
      <c r="BQ33" s="8">
        <f>SUM(RAW_DEATHS!BR:BR)</f>
        <v>33925</v>
      </c>
      <c r="BR33" s="8">
        <f>SUM(RAW_DEATHS!BS:BS)</f>
        <v>0</v>
      </c>
      <c r="BS33" s="8">
        <f>SUM(RAW_DEATHS!BT:BT)</f>
        <v>0</v>
      </c>
      <c r="BT33" s="8">
        <f>SUM(RAW_DEATHS!BU:BU)</f>
        <v>0</v>
      </c>
      <c r="BU33" s="8">
        <f>SUM(RAW_DEATHS!BV:BV)</f>
        <v>0</v>
      </c>
      <c r="BV33" s="8">
        <f>SUM(RAW_DEATHS!BW:BW)</f>
        <v>0</v>
      </c>
      <c r="BW33" s="8">
        <f>SUM(RAW_DEATHS!BX:BX)</f>
        <v>0</v>
      </c>
      <c r="BX33" s="8">
        <f>SUM(RAW_DEATHS!BY:BY)</f>
        <v>0</v>
      </c>
      <c r="BY33" s="8">
        <f>SUM(RAW_DEATHS!BZ:BZ)</f>
        <v>0</v>
      </c>
      <c r="BZ33" s="8">
        <f>SUM(RAW_DEATHS!CA:CA)</f>
        <v>0</v>
      </c>
      <c r="CA33" s="8">
        <f>SUM(RAW_DEATHS!CB:CB)</f>
        <v>0</v>
      </c>
      <c r="CB33" s="8">
        <f>SUM(RAW_DEATHS!CC:CC)</f>
        <v>0</v>
      </c>
      <c r="CC33" s="8">
        <f>SUM(RAW_DEATHS!CD:CD)</f>
        <v>0</v>
      </c>
      <c r="CD33" s="8">
        <f>SUM(RAW_DEATHS!CE:CE)</f>
        <v>0</v>
      </c>
      <c r="CE33" s="8">
        <f>SUM(RAW_DEATHS!CF:CF)</f>
        <v>0</v>
      </c>
      <c r="CF33" s="8">
        <f>SUM(RAW_DEATHS!CG:CG)</f>
        <v>0</v>
      </c>
      <c r="CG33" s="8">
        <f>SUM(RAW_DEATHS!CH:CH)</f>
        <v>0</v>
      </c>
      <c r="CH33" s="8">
        <f>SUM(RAW_DEATHS!CI:CI)</f>
        <v>0</v>
      </c>
      <c r="CI33" s="8">
        <f>SUM(RAW_DEATHS!CJ:CJ)</f>
        <v>0</v>
      </c>
    </row>
    <row r="34" spans="1:87" s="18" customFormat="1" x14ac:dyDescent="0.25">
      <c r="B34" s="19"/>
    </row>
    <row r="35" spans="1:87" s="16" customFormat="1" ht="29.25" customHeight="1" x14ac:dyDescent="0.25">
      <c r="A35" s="14" t="s">
        <v>243</v>
      </c>
      <c r="B35" s="15"/>
    </row>
    <row r="36" spans="1:87" s="29" customFormat="1" ht="25.5" customHeight="1" x14ac:dyDescent="0.25">
      <c r="A36" s="22" t="s">
        <v>0</v>
      </c>
      <c r="B36" s="29" t="s">
        <v>246</v>
      </c>
      <c r="C36" s="29" t="s">
        <v>247</v>
      </c>
      <c r="D36" s="29" t="s">
        <v>248</v>
      </c>
      <c r="E36" s="29" t="s">
        <v>249</v>
      </c>
      <c r="F36" s="29" t="s">
        <v>250</v>
      </c>
      <c r="G36" s="29" t="s">
        <v>251</v>
      </c>
      <c r="H36" s="29" t="s">
        <v>252</v>
      </c>
      <c r="I36" s="29" t="s">
        <v>253</v>
      </c>
      <c r="J36" s="29" t="s">
        <v>254</v>
      </c>
      <c r="K36" s="29" t="s">
        <v>255</v>
      </c>
      <c r="L36" s="29" t="s">
        <v>256</v>
      </c>
      <c r="M36" s="29" t="s">
        <v>257</v>
      </c>
      <c r="N36" s="29" t="s">
        <v>258</v>
      </c>
      <c r="O36" s="29" t="s">
        <v>259</v>
      </c>
      <c r="P36" s="29" t="s">
        <v>260</v>
      </c>
      <c r="Q36" s="29" t="s">
        <v>261</v>
      </c>
      <c r="R36" s="29" t="s">
        <v>262</v>
      </c>
      <c r="S36" s="29" t="s">
        <v>263</v>
      </c>
      <c r="T36" s="29" t="s">
        <v>264</v>
      </c>
      <c r="U36" s="29" t="s">
        <v>265</v>
      </c>
      <c r="V36" s="29" t="s">
        <v>266</v>
      </c>
      <c r="W36" s="29" t="s">
        <v>267</v>
      </c>
      <c r="X36" s="29" t="s">
        <v>268</v>
      </c>
      <c r="Y36" s="29" t="s">
        <v>269</v>
      </c>
      <c r="Z36" s="29" t="s">
        <v>270</v>
      </c>
      <c r="AA36" s="29" t="s">
        <v>271</v>
      </c>
      <c r="AB36" s="29" t="s">
        <v>272</v>
      </c>
      <c r="AC36" s="29" t="s">
        <v>273</v>
      </c>
      <c r="AD36" s="29" t="s">
        <v>274</v>
      </c>
      <c r="AE36" s="29" t="s">
        <v>275</v>
      </c>
      <c r="AF36" s="29" t="s">
        <v>276</v>
      </c>
      <c r="AG36" s="29" t="s">
        <v>277</v>
      </c>
      <c r="AH36" s="29" t="s">
        <v>278</v>
      </c>
      <c r="AI36" s="29" t="s">
        <v>279</v>
      </c>
      <c r="AJ36" s="29" t="s">
        <v>280</v>
      </c>
      <c r="AK36" s="29" t="s">
        <v>281</v>
      </c>
      <c r="AL36" s="29" t="s">
        <v>282</v>
      </c>
      <c r="AM36" s="29" t="s">
        <v>283</v>
      </c>
      <c r="AN36" s="29" t="s">
        <v>284</v>
      </c>
      <c r="AO36" s="29" t="s">
        <v>285</v>
      </c>
      <c r="AP36" s="29" t="s">
        <v>286</v>
      </c>
      <c r="AQ36" s="29" t="s">
        <v>287</v>
      </c>
      <c r="AR36" s="29" t="s">
        <v>288</v>
      </c>
      <c r="AS36" s="29" t="s">
        <v>289</v>
      </c>
      <c r="AT36" s="29" t="s">
        <v>290</v>
      </c>
      <c r="AU36" s="29" t="s">
        <v>291</v>
      </c>
      <c r="AV36" s="29" t="s">
        <v>292</v>
      </c>
      <c r="AW36" s="29" t="s">
        <v>293</v>
      </c>
      <c r="AX36" s="29" t="s">
        <v>294</v>
      </c>
      <c r="AY36" s="29" t="s">
        <v>295</v>
      </c>
      <c r="AZ36" s="29" t="s">
        <v>296</v>
      </c>
      <c r="BA36" s="29" t="s">
        <v>297</v>
      </c>
      <c r="BB36" s="29" t="s">
        <v>298</v>
      </c>
      <c r="BC36" s="29" t="s">
        <v>299</v>
      </c>
      <c r="BD36" s="29" t="s">
        <v>300</v>
      </c>
      <c r="BE36" s="29" t="s">
        <v>301</v>
      </c>
      <c r="BF36" s="29" t="s">
        <v>302</v>
      </c>
      <c r="BG36" s="29" t="s">
        <v>303</v>
      </c>
      <c r="BH36" s="29" t="s">
        <v>304</v>
      </c>
      <c r="BI36" s="29" t="s">
        <v>305</v>
      </c>
      <c r="BJ36" s="29" t="s">
        <v>306</v>
      </c>
      <c r="BK36" s="29" t="s">
        <v>308</v>
      </c>
      <c r="BL36" s="29" t="s">
        <v>309</v>
      </c>
      <c r="BM36" s="29" t="s">
        <v>310</v>
      </c>
      <c r="BN36" s="29" t="s">
        <v>311</v>
      </c>
      <c r="BO36" s="29" t="s">
        <v>312</v>
      </c>
      <c r="BP36" s="29" t="s">
        <v>313</v>
      </c>
      <c r="BQ36" s="29" t="s">
        <v>314</v>
      </c>
      <c r="BR36" s="29" t="s">
        <v>315</v>
      </c>
      <c r="BS36" s="29" t="s">
        <v>316</v>
      </c>
      <c r="BT36" s="29" t="s">
        <v>317</v>
      </c>
      <c r="BU36" s="29" t="s">
        <v>318</v>
      </c>
      <c r="BV36" s="29" t="s">
        <v>319</v>
      </c>
      <c r="BW36" s="29" t="s">
        <v>320</v>
      </c>
      <c r="BX36" s="29" t="s">
        <v>321</v>
      </c>
      <c r="BY36" s="29" t="s">
        <v>322</v>
      </c>
      <c r="BZ36" s="29" t="s">
        <v>323</v>
      </c>
      <c r="CA36" s="29" t="s">
        <v>324</v>
      </c>
      <c r="CB36" s="29" t="s">
        <v>325</v>
      </c>
      <c r="CC36" s="29" t="s">
        <v>326</v>
      </c>
      <c r="CD36" s="29" t="s">
        <v>327</v>
      </c>
      <c r="CE36" s="29" t="s">
        <v>328</v>
      </c>
    </row>
    <row r="37" spans="1:87" s="11" customFormat="1" ht="12.75" x14ac:dyDescent="0.2">
      <c r="A37" s="27" t="str">
        <f t="shared" ref="A37:A43" si="15">IF(ISBLANK(A26),"",A26)</f>
        <v>Germany</v>
      </c>
      <c r="B37" s="28">
        <f>SUMIF(RAW_RECOVERED!$B:$B,Tabelle289[[#This Row],[Country/Region]],RAW_RECOVERED!C:C)</f>
        <v>0</v>
      </c>
      <c r="C37" s="28">
        <f>SUMIF(RAW_RECOVERED!$B:$B,Tabelle289[[#This Row],[Country/Region]],RAW_RECOVERED!D:D)</f>
        <v>0</v>
      </c>
      <c r="D37" s="28">
        <f>SUMIF(RAW_RECOVERED!$B:$B,Tabelle289[[#This Row],[Country/Region]],RAW_RECOVERED!E:E)</f>
        <v>0</v>
      </c>
      <c r="E37" s="28">
        <f>SUMIF(RAW_RECOVERED!$B:$B,Tabelle289[[#This Row],[Country/Region]],RAW_RECOVERED!F:F)</f>
        <v>0</v>
      </c>
      <c r="F37" s="28">
        <f>SUMIF(RAW_RECOVERED!$B:$B,Tabelle289[[#This Row],[Country/Region]],RAW_RECOVERED!G:G)</f>
        <v>0</v>
      </c>
      <c r="G37" s="28">
        <f>SUMIF(RAW_RECOVERED!$B:$B,Tabelle289[[#This Row],[Country/Region]],RAW_RECOVERED!H:H)</f>
        <v>0</v>
      </c>
      <c r="H37" s="28">
        <f>SUMIF(RAW_RECOVERED!$B:$B,Tabelle289[[#This Row],[Country/Region]],RAW_RECOVERED!I:I)</f>
        <v>0</v>
      </c>
      <c r="I37" s="28">
        <f>SUMIF(RAW_RECOVERED!$B:$B,Tabelle289[[#This Row],[Country/Region]],RAW_RECOVERED!J:J)</f>
        <v>0</v>
      </c>
      <c r="J37" s="28">
        <f>SUMIF(RAW_RECOVERED!$B:$B,Tabelle289[[#This Row],[Country/Region]],RAW_RECOVERED!K:K)</f>
        <v>0</v>
      </c>
      <c r="K37" s="28">
        <f>SUMIF(RAW_RECOVERED!$B:$B,Tabelle289[[#This Row],[Country/Region]],RAW_RECOVERED!L:L)</f>
        <v>0</v>
      </c>
      <c r="L37" s="28">
        <f>SUMIF(RAW_RECOVERED!$B:$B,Tabelle289[[#This Row],[Country/Region]],RAW_RECOVERED!M:M)</f>
        <v>0</v>
      </c>
      <c r="M37" s="28">
        <f>SUMIF(RAW_RECOVERED!$B:$B,Tabelle289[[#This Row],[Country/Region]],RAW_RECOVERED!N:N)</f>
        <v>0</v>
      </c>
      <c r="N37" s="28">
        <f>SUMIF(RAW_RECOVERED!$B:$B,Tabelle289[[#This Row],[Country/Region]],RAW_RECOVERED!O:O)</f>
        <v>0</v>
      </c>
      <c r="O37" s="28">
        <f>SUMIF(RAW_RECOVERED!$B:$B,Tabelle289[[#This Row],[Country/Region]],RAW_RECOVERED!P:P)</f>
        <v>0</v>
      </c>
      <c r="P37" s="28">
        <f>SUMIF(RAW_RECOVERED!$B:$B,Tabelle289[[#This Row],[Country/Region]],RAW_RECOVERED!Q:Q)</f>
        <v>0</v>
      </c>
      <c r="Q37" s="28">
        <f>SUMIF(RAW_RECOVERED!$B:$B,Tabelle289[[#This Row],[Country/Region]],RAW_RECOVERED!R:R)</f>
        <v>0</v>
      </c>
      <c r="R37" s="28">
        <f>SUMIF(RAW_RECOVERED!$B:$B,Tabelle289[[#This Row],[Country/Region]],RAW_RECOVERED!S:S)</f>
        <v>0</v>
      </c>
      <c r="S37" s="28">
        <f>SUMIF(RAW_RECOVERED!$B:$B,Tabelle289[[#This Row],[Country/Region]],RAW_RECOVERED!T:T)</f>
        <v>0</v>
      </c>
      <c r="T37" s="28">
        <f>SUMIF(RAW_RECOVERED!$B:$B,Tabelle289[[#This Row],[Country/Region]],RAW_RECOVERED!U:U)</f>
        <v>0</v>
      </c>
      <c r="U37" s="28">
        <f>SUMIF(RAW_RECOVERED!$B:$B,Tabelle289[[#This Row],[Country/Region]],RAW_RECOVERED!V:V)</f>
        <v>0</v>
      </c>
      <c r="V37" s="28">
        <f>SUMIF(RAW_RECOVERED!$B:$B,Tabelle289[[#This Row],[Country/Region]],RAW_RECOVERED!W:W)</f>
        <v>0</v>
      </c>
      <c r="W37" s="28">
        <f>SUMIF(RAW_RECOVERED!$B:$B,Tabelle289[[#This Row],[Country/Region]],RAW_RECOVERED!X:X)</f>
        <v>0</v>
      </c>
      <c r="X37" s="28">
        <f>SUMIF(RAW_RECOVERED!$B:$B,Tabelle289[[#This Row],[Country/Region]],RAW_RECOVERED!Y:Y)</f>
        <v>1</v>
      </c>
      <c r="Y37" s="28">
        <f>SUMIF(RAW_RECOVERED!$B:$B,Tabelle289[[#This Row],[Country/Region]],RAW_RECOVERED!Z:Z)</f>
        <v>1</v>
      </c>
      <c r="Z37" s="28">
        <f>SUMIF(RAW_RECOVERED!$B:$B,Tabelle289[[#This Row],[Country/Region]],RAW_RECOVERED!AA:AA)</f>
        <v>1</v>
      </c>
      <c r="AA37" s="28">
        <f>SUMIF(RAW_RECOVERED!$B:$B,Tabelle289[[#This Row],[Country/Region]],RAW_RECOVERED!AB:AB)</f>
        <v>1</v>
      </c>
      <c r="AB37" s="28">
        <f>SUMIF(RAW_RECOVERED!$B:$B,Tabelle289[[#This Row],[Country/Region]],RAW_RECOVERED!AC:AC)</f>
        <v>1</v>
      </c>
      <c r="AC37" s="28">
        <f>SUMIF(RAW_RECOVERED!$B:$B,Tabelle289[[#This Row],[Country/Region]],RAW_RECOVERED!AD:AD)</f>
        <v>12</v>
      </c>
      <c r="AD37" s="28">
        <f>SUMIF(RAW_RECOVERED!$B:$B,Tabelle289[[#This Row],[Country/Region]],RAW_RECOVERED!AE:AE)</f>
        <v>12</v>
      </c>
      <c r="AE37" s="28">
        <f>SUMIF(RAW_RECOVERED!$B:$B,Tabelle289[[#This Row],[Country/Region]],RAW_RECOVERED!AF:AF)</f>
        <v>12</v>
      </c>
      <c r="AF37" s="28">
        <f>SUMIF(RAW_RECOVERED!$B:$B,Tabelle289[[#This Row],[Country/Region]],RAW_RECOVERED!AG:AG)</f>
        <v>14</v>
      </c>
      <c r="AG37" s="28">
        <f>SUMIF(RAW_RECOVERED!$B:$B,Tabelle289[[#This Row],[Country/Region]],RAW_RECOVERED!AH:AH)</f>
        <v>14</v>
      </c>
      <c r="AH37" s="28">
        <f>SUMIF(RAW_RECOVERED!$B:$B,Tabelle289[[#This Row],[Country/Region]],RAW_RECOVERED!AI:AI)</f>
        <v>14</v>
      </c>
      <c r="AI37" s="28">
        <f>SUMIF(RAW_RECOVERED!$B:$B,Tabelle289[[#This Row],[Country/Region]],RAW_RECOVERED!AJ:AJ)</f>
        <v>14</v>
      </c>
      <c r="AJ37" s="28">
        <f>SUMIF(RAW_RECOVERED!$B:$B,Tabelle289[[#This Row],[Country/Region]],RAW_RECOVERED!AK:AK)</f>
        <v>14</v>
      </c>
      <c r="AK37" s="28">
        <f>SUMIF(RAW_RECOVERED!$B:$B,Tabelle289[[#This Row],[Country/Region]],RAW_RECOVERED!AL:AL)</f>
        <v>15</v>
      </c>
      <c r="AL37" s="28">
        <f>SUMIF(RAW_RECOVERED!$B:$B,Tabelle289[[#This Row],[Country/Region]],RAW_RECOVERED!AM:AM)</f>
        <v>16</v>
      </c>
      <c r="AM37" s="28">
        <f>SUMIF(RAW_RECOVERED!$B:$B,Tabelle289[[#This Row],[Country/Region]],RAW_RECOVERED!AN:AN)</f>
        <v>16</v>
      </c>
      <c r="AN37" s="28">
        <f>SUMIF(RAW_RECOVERED!$B:$B,Tabelle289[[#This Row],[Country/Region]],RAW_RECOVERED!AO:AO)</f>
        <v>16</v>
      </c>
      <c r="AO37" s="28">
        <f>SUMIF(RAW_RECOVERED!$B:$B,Tabelle289[[#This Row],[Country/Region]],RAW_RECOVERED!AP:AP)</f>
        <v>16</v>
      </c>
      <c r="AP37" s="28">
        <f>SUMIF(RAW_RECOVERED!$B:$B,Tabelle289[[#This Row],[Country/Region]],RAW_RECOVERED!AQ:AQ)</f>
        <v>16</v>
      </c>
      <c r="AQ37" s="28">
        <f>SUMIF(RAW_RECOVERED!$B:$B,Tabelle289[[#This Row],[Country/Region]],RAW_RECOVERED!AR:AR)</f>
        <v>16</v>
      </c>
      <c r="AR37" s="28">
        <f>SUMIF(RAW_RECOVERED!$B:$B,Tabelle289[[#This Row],[Country/Region]],RAW_RECOVERED!AS:AS)</f>
        <v>16</v>
      </c>
      <c r="AS37" s="28">
        <f>SUMIF(RAW_RECOVERED!$B:$B,Tabelle289[[#This Row],[Country/Region]],RAW_RECOVERED!AT:AT)</f>
        <v>16</v>
      </c>
      <c r="AT37" s="28">
        <f>SUMIF(RAW_RECOVERED!$B:$B,Tabelle289[[#This Row],[Country/Region]],RAW_RECOVERED!AU:AU)</f>
        <v>17</v>
      </c>
      <c r="AU37" s="28">
        <f>SUMIF(RAW_RECOVERED!$B:$B,Tabelle289[[#This Row],[Country/Region]],RAW_RECOVERED!AV:AV)</f>
        <v>18</v>
      </c>
      <c r="AV37" s="28">
        <f>SUMIF(RAW_RECOVERED!$B:$B,Tabelle289[[#This Row],[Country/Region]],RAW_RECOVERED!AW:AW)</f>
        <v>18</v>
      </c>
      <c r="AW37" s="28">
        <f>SUMIF(RAW_RECOVERED!$B:$B,Tabelle289[[#This Row],[Country/Region]],RAW_RECOVERED!AX:AX)</f>
        <v>18</v>
      </c>
      <c r="AX37" s="28">
        <f>SUMIF(RAW_RECOVERED!$B:$B,Tabelle289[[#This Row],[Country/Region]],RAW_RECOVERED!AY:AY)</f>
        <v>18</v>
      </c>
      <c r="AY37" s="28">
        <f>SUMIF(RAW_RECOVERED!$B:$B,Tabelle289[[#This Row],[Country/Region]],RAW_RECOVERED!AZ:AZ)</f>
        <v>25</v>
      </c>
      <c r="AZ37" s="28">
        <f>SUMIF(RAW_RECOVERED!$B:$B,Tabelle289[[#This Row],[Country/Region]],RAW_RECOVERED!BA:BA)</f>
        <v>25</v>
      </c>
      <c r="BA37" s="28">
        <f>SUMIF(RAW_RECOVERED!$B:$B,Tabelle289[[#This Row],[Country/Region]],RAW_RECOVERED!BB:BB)</f>
        <v>46</v>
      </c>
      <c r="BB37" s="28">
        <f>SUMIF(RAW_RECOVERED!$B:$B,Tabelle289[[#This Row],[Country/Region]],RAW_RECOVERED!BC:BC)</f>
        <v>46</v>
      </c>
      <c r="BC37" s="28">
        <f>SUMIF(RAW_RECOVERED!$B:$B,Tabelle289[[#This Row],[Country/Region]],RAW_RECOVERED!BD:BD)</f>
        <v>46</v>
      </c>
      <c r="BD37" s="28">
        <f>SUMIF(RAW_RECOVERED!$B:$B,Tabelle289[[#This Row],[Country/Region]],RAW_RECOVERED!BE:BE)</f>
        <v>67</v>
      </c>
      <c r="BE37" s="28">
        <f>SUMIF(RAW_RECOVERED!$B:$B,Tabelle289[[#This Row],[Country/Region]],RAW_RECOVERED!BF:BF)</f>
        <v>67</v>
      </c>
      <c r="BF37" s="28">
        <f>SUMIF(RAW_RECOVERED!$B:$B,Tabelle289[[#This Row],[Country/Region]],RAW_RECOVERED!BG:BG)</f>
        <v>105</v>
      </c>
      <c r="BG37" s="28">
        <f>SUMIF(RAW_RECOVERED!$B:$B,Tabelle289[[#This Row],[Country/Region]],RAW_RECOVERED!BH:BH)</f>
        <v>113</v>
      </c>
      <c r="BH37" s="28">
        <f>SUMIF(RAW_RECOVERED!$B:$B,Tabelle289[[#This Row],[Country/Region]],RAW_RECOVERED!BI:BI)</f>
        <v>180</v>
      </c>
      <c r="BI37" s="28">
        <f>SUMIF(RAW_RECOVERED!$B:$B,Tabelle289[[#This Row],[Country/Region]],RAW_RECOVERED!BJ:BJ)</f>
        <v>233</v>
      </c>
      <c r="BJ37" s="28">
        <f>SUMIF(RAW_RECOVERED!$B:$B,Tabelle289[[#This Row],[Country/Region]],RAW_RECOVERED!BK:BK)</f>
        <v>266</v>
      </c>
      <c r="BK37" s="28">
        <f>SUMIF(RAW_RECOVERED!$B:$B,Tabelle289[[#This Row],[Country/Region]],RAW_RECOVERED!BL:BL)</f>
        <v>266</v>
      </c>
      <c r="BL37" s="28">
        <f>SUMIF(RAW_RECOVERED!$B:$B,Tabelle289[[#This Row],[Country/Region]],RAW_RECOVERED!BM:BM)</f>
        <v>3243</v>
      </c>
      <c r="BM37" s="28">
        <f>SUMIF(RAW_RECOVERED!$B:$B,Tabelle289[[#This Row],[Country/Region]],RAW_RECOVERED!BN:BN)</f>
        <v>3547</v>
      </c>
      <c r="BN37" s="28">
        <f>SUMIF(RAW_RECOVERED!$B:$B,Tabelle289[[#This Row],[Country/Region]],RAW_RECOVERED!BO:BO)</f>
        <v>5673</v>
      </c>
      <c r="BO37" s="28">
        <f>SUMIF(RAW_RECOVERED!$B:$B,Tabelle289[[#This Row],[Country/Region]],RAW_RECOVERED!BP:BP)</f>
        <v>6658</v>
      </c>
      <c r="BP37" s="28">
        <f>SUMIF(RAW_RECOVERED!$B:$B,Tabelle289[[#This Row],[Country/Region]],RAW_RECOVERED!BQ:BQ)</f>
        <v>8481</v>
      </c>
      <c r="BQ37" s="28">
        <f>SUMIF(RAW_RECOVERED!$B:$B,Tabelle289[[#This Row],[Country/Region]],RAW_RECOVERED!BR:BR)</f>
        <v>9211</v>
      </c>
      <c r="BR37" s="28">
        <f>SUMIF(RAW_RECOVERED!$B:$B,Tabelle289[[#This Row],[Country/Region]],RAW_RECOVERED!BS:BS)</f>
        <v>0</v>
      </c>
      <c r="BS37" s="28">
        <f>SUMIF(RAW_RECOVERED!$B:$B,Tabelle289[[#This Row],[Country/Region]],RAW_RECOVERED!BT:BT)</f>
        <v>0</v>
      </c>
      <c r="BT37" s="28">
        <f>SUMIF(RAW_RECOVERED!$B:$B,Tabelle289[[#This Row],[Country/Region]],RAW_RECOVERED!BU:BU)</f>
        <v>0</v>
      </c>
      <c r="BU37" s="28">
        <f>SUMIF(RAW_RECOVERED!$B:$B,Tabelle289[[#This Row],[Country/Region]],RAW_RECOVERED!BV:BV)</f>
        <v>0</v>
      </c>
      <c r="BV37" s="28">
        <f>SUMIF(RAW_RECOVERED!$B:$B,Tabelle289[[#This Row],[Country/Region]],RAW_RECOVERED!BW:BW)</f>
        <v>0</v>
      </c>
      <c r="BW37" s="28">
        <f>SUMIF(RAW_RECOVERED!$B:$B,Tabelle289[[#This Row],[Country/Region]],RAW_RECOVERED!BX:BX)</f>
        <v>0</v>
      </c>
      <c r="BX37" s="28">
        <f>SUMIF(RAW_RECOVERED!$B:$B,Tabelle289[[#This Row],[Country/Region]],RAW_RECOVERED!BY:BY)</f>
        <v>0</v>
      </c>
      <c r="BY37" s="28">
        <f>SUMIF(RAW_RECOVERED!$B:$B,Tabelle289[[#This Row],[Country/Region]],RAW_RECOVERED!BZ:BZ)</f>
        <v>0</v>
      </c>
      <c r="BZ37" s="28">
        <f>SUMIF(RAW_RECOVERED!$B:$B,Tabelle289[[#This Row],[Country/Region]],RAW_RECOVERED!CA:CA)</f>
        <v>0</v>
      </c>
      <c r="CA37" s="28">
        <f>SUMIF(RAW_RECOVERED!$B:$B,Tabelle289[[#This Row],[Country/Region]],RAW_RECOVERED!CB:CB)</f>
        <v>0</v>
      </c>
      <c r="CB37" s="28">
        <f>SUMIF(RAW_RECOVERED!$B:$B,Tabelle289[[#This Row],[Country/Region]],RAW_RECOVERED!CC:CC)</f>
        <v>0</v>
      </c>
      <c r="CC37" s="28">
        <f>SUMIF(RAW_RECOVERED!$B:$B,Tabelle289[[#This Row],[Country/Region]],RAW_RECOVERED!CD:CD)</f>
        <v>0</v>
      </c>
      <c r="CD37" s="28">
        <f>SUMIF(RAW_RECOVERED!$B:$B,Tabelle289[[#This Row],[Country/Region]],RAW_RECOVERED!CE:CE)</f>
        <v>0</v>
      </c>
      <c r="CE37" s="28"/>
      <c r="CF37" s="28"/>
      <c r="CG37" s="28"/>
      <c r="CH37" s="28"/>
      <c r="CI37" s="28"/>
    </row>
    <row r="38" spans="1:87" s="11" customFormat="1" ht="12.75" x14ac:dyDescent="0.2">
      <c r="A38" s="27" t="str">
        <f t="shared" si="15"/>
        <v>US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3</v>
      </c>
      <c r="U38" s="28">
        <f>SUMIF(RAW_RECOVERED!$B:$B,Tabelle289[[#This Row],[Country/Region]],RAW_RECOVERED!V:V)</f>
        <v>3</v>
      </c>
      <c r="V38" s="28">
        <f>SUMIF(RAW_RECOVERED!$B:$B,Tabelle289[[#This Row],[Country/Region]],RAW_RECOVERED!W:W)</f>
        <v>3</v>
      </c>
      <c r="W38" s="28">
        <f>SUMIF(RAW_RECOVERED!$B:$B,Tabelle289[[#This Row],[Country/Region]],RAW_RECOVERED!X:X)</f>
        <v>3</v>
      </c>
      <c r="X38" s="28">
        <f>SUMIF(RAW_RECOVERED!$B:$B,Tabelle289[[#This Row],[Country/Region]],RAW_RECOVERED!Y:Y)</f>
        <v>3</v>
      </c>
      <c r="Y38" s="28">
        <f>SUMIF(RAW_RECOVERED!$B:$B,Tabelle289[[#This Row],[Country/Region]],RAW_RECOVERED!Z:Z)</f>
        <v>3</v>
      </c>
      <c r="Z38" s="28">
        <f>SUMIF(RAW_RECOVERED!$B:$B,Tabelle289[[#This Row],[Country/Region]],RAW_RECOVERED!AA:AA)</f>
        <v>3</v>
      </c>
      <c r="AA38" s="28">
        <f>SUMIF(RAW_RECOVERED!$B:$B,Tabelle289[[#This Row],[Country/Region]],RAW_RECOVERED!AB:AB)</f>
        <v>3</v>
      </c>
      <c r="AB38" s="28">
        <f>SUMIF(RAW_RECOVERED!$B:$B,Tabelle289[[#This Row],[Country/Region]],RAW_RECOVERED!AC:AC)</f>
        <v>3</v>
      </c>
      <c r="AC38" s="28">
        <f>SUMIF(RAW_RECOVERED!$B:$B,Tabelle289[[#This Row],[Country/Region]],RAW_RECOVERED!AD:AD)</f>
        <v>3</v>
      </c>
      <c r="AD38" s="28">
        <f>SUMIF(RAW_RECOVERED!$B:$B,Tabelle289[[#This Row],[Country/Region]],RAW_RECOVERED!AE:AE)</f>
        <v>3</v>
      </c>
      <c r="AE38" s="28">
        <f>SUMIF(RAW_RECOVERED!$B:$B,Tabelle289[[#This Row],[Country/Region]],RAW_RECOVERED!AF:AF)</f>
        <v>3</v>
      </c>
      <c r="AF38" s="28">
        <f>SUMIF(RAW_RECOVERED!$B:$B,Tabelle289[[#This Row],[Country/Region]],RAW_RECOVERED!AG:AG)</f>
        <v>5</v>
      </c>
      <c r="AG38" s="28">
        <f>SUMIF(RAW_RECOVERED!$B:$B,Tabelle289[[#This Row],[Country/Region]],RAW_RECOVERED!AH:AH)</f>
        <v>5</v>
      </c>
      <c r="AH38" s="28">
        <f>SUMIF(RAW_RECOVERED!$B:$B,Tabelle289[[#This Row],[Country/Region]],RAW_RECOVERED!AI:AI)</f>
        <v>5</v>
      </c>
      <c r="AI38" s="28">
        <f>SUMIF(RAW_RECOVERED!$B:$B,Tabelle289[[#This Row],[Country/Region]],RAW_RECOVERED!AJ:AJ)</f>
        <v>5</v>
      </c>
      <c r="AJ38" s="28">
        <f>SUMIF(RAW_RECOVERED!$B:$B,Tabelle289[[#This Row],[Country/Region]],RAW_RECOVERED!AK:AK)</f>
        <v>6</v>
      </c>
      <c r="AK38" s="28">
        <f>SUMIF(RAW_RECOVERED!$B:$B,Tabelle289[[#This Row],[Country/Region]],RAW_RECOVERED!AL:AL)</f>
        <v>6</v>
      </c>
      <c r="AL38" s="28">
        <f>SUMIF(RAW_RECOVERED!$B:$B,Tabelle289[[#This Row],[Country/Region]],RAW_RECOVERED!AM:AM)</f>
        <v>6</v>
      </c>
      <c r="AM38" s="28">
        <f>SUMIF(RAW_RECOVERED!$B:$B,Tabelle289[[#This Row],[Country/Region]],RAW_RECOVERED!AN:AN)</f>
        <v>7</v>
      </c>
      <c r="AN38" s="28">
        <f>SUMIF(RAW_RECOVERED!$B:$B,Tabelle289[[#This Row],[Country/Region]],RAW_RECOVERED!AO:AO)</f>
        <v>7</v>
      </c>
      <c r="AO38" s="28">
        <f>SUMIF(RAW_RECOVERED!$B:$B,Tabelle289[[#This Row],[Country/Region]],RAW_RECOVERED!AP:AP)</f>
        <v>7</v>
      </c>
      <c r="AP38" s="28">
        <f>SUMIF(RAW_RECOVERED!$B:$B,Tabelle289[[#This Row],[Country/Region]],RAW_RECOVERED!AQ:AQ)</f>
        <v>7</v>
      </c>
      <c r="AQ38" s="28">
        <f>SUMIF(RAW_RECOVERED!$B:$B,Tabelle289[[#This Row],[Country/Region]],RAW_RECOVERED!AR:AR)</f>
        <v>7</v>
      </c>
      <c r="AR38" s="28">
        <f>SUMIF(RAW_RECOVERED!$B:$B,Tabelle289[[#This Row],[Country/Region]],RAW_RECOVERED!AS:AS)</f>
        <v>7</v>
      </c>
      <c r="AS38" s="28">
        <f>SUMIF(RAW_RECOVERED!$B:$B,Tabelle289[[#This Row],[Country/Region]],RAW_RECOVERED!AT:AT)</f>
        <v>7</v>
      </c>
      <c r="AT38" s="28">
        <f>SUMIF(RAW_RECOVERED!$B:$B,Tabelle289[[#This Row],[Country/Region]],RAW_RECOVERED!AU:AU)</f>
        <v>7</v>
      </c>
      <c r="AU38" s="28">
        <f>SUMIF(RAW_RECOVERED!$B:$B,Tabelle289[[#This Row],[Country/Region]],RAW_RECOVERED!AV:AV)</f>
        <v>7</v>
      </c>
      <c r="AV38" s="28">
        <f>SUMIF(RAW_RECOVERED!$B:$B,Tabelle289[[#This Row],[Country/Region]],RAW_RECOVERED!AW:AW)</f>
        <v>7</v>
      </c>
      <c r="AW38" s="28">
        <f>SUMIF(RAW_RECOVERED!$B:$B,Tabelle289[[#This Row],[Country/Region]],RAW_RECOVERED!AX:AX)</f>
        <v>7</v>
      </c>
      <c r="AX38" s="28">
        <f>SUMIF(RAW_RECOVERED!$B:$B,Tabelle289[[#This Row],[Country/Region]],RAW_RECOVERED!AY:AY)</f>
        <v>8</v>
      </c>
      <c r="AY38" s="28">
        <f>SUMIF(RAW_RECOVERED!$B:$B,Tabelle289[[#This Row],[Country/Region]],RAW_RECOVERED!AZ:AZ)</f>
        <v>8</v>
      </c>
      <c r="AZ38" s="28">
        <f>SUMIF(RAW_RECOVERED!$B:$B,Tabelle289[[#This Row],[Country/Region]],RAW_RECOVERED!BA:BA)</f>
        <v>12</v>
      </c>
      <c r="BA38" s="28">
        <f>SUMIF(RAW_RECOVERED!$B:$B,Tabelle289[[#This Row],[Country/Region]],RAW_RECOVERED!BB:BB)</f>
        <v>12</v>
      </c>
      <c r="BB38" s="28">
        <f>SUMIF(RAW_RECOVERED!$B:$B,Tabelle289[[#This Row],[Country/Region]],RAW_RECOVERED!BC:BC)</f>
        <v>12</v>
      </c>
      <c r="BC38" s="28">
        <f>SUMIF(RAW_RECOVERED!$B:$B,Tabelle289[[#This Row],[Country/Region]],RAW_RECOVERED!BD:BD)</f>
        <v>12</v>
      </c>
      <c r="BD38" s="28">
        <f>SUMIF(RAW_RECOVERED!$B:$B,Tabelle289[[#This Row],[Country/Region]],RAW_RECOVERED!BE:BE)</f>
        <v>17</v>
      </c>
      <c r="BE38" s="28">
        <f>SUMIF(RAW_RECOVERED!$B:$B,Tabelle289[[#This Row],[Country/Region]],RAW_RECOVERED!BF:BF)</f>
        <v>17</v>
      </c>
      <c r="BF38" s="28">
        <f>SUMIF(RAW_RECOVERED!$B:$B,Tabelle289[[#This Row],[Country/Region]],RAW_RECOVERED!BG:BG)</f>
        <v>105</v>
      </c>
      <c r="BG38" s="28">
        <f>SUMIF(RAW_RECOVERED!$B:$B,Tabelle289[[#This Row],[Country/Region]],RAW_RECOVERED!BH:BH)</f>
        <v>121</v>
      </c>
      <c r="BH38" s="28">
        <f>SUMIF(RAW_RECOVERED!$B:$B,Tabelle289[[#This Row],[Country/Region]],RAW_RECOVERED!BI:BI)</f>
        <v>147</v>
      </c>
      <c r="BI38" s="28">
        <f>SUMIF(RAW_RECOVERED!$B:$B,Tabelle289[[#This Row],[Country/Region]],RAW_RECOVERED!BJ:BJ)</f>
        <v>176</v>
      </c>
      <c r="BJ38" s="28">
        <f>SUMIF(RAW_RECOVERED!$B:$B,Tabelle289[[#This Row],[Country/Region]],RAW_RECOVERED!BK:BK)</f>
        <v>178</v>
      </c>
      <c r="BK38" s="28">
        <f>SUMIF(RAW_RECOVERED!$B:$B,Tabelle289[[#This Row],[Country/Region]],RAW_RECOVERED!BL:BL)</f>
        <v>178</v>
      </c>
      <c r="BL38" s="28">
        <f>SUMIF(RAW_RECOVERED!$B:$B,Tabelle289[[#This Row],[Country/Region]],RAW_RECOVERED!BM:BM)</f>
        <v>348</v>
      </c>
      <c r="BM38" s="28">
        <f>SUMIF(RAW_RECOVERED!$B:$B,Tabelle289[[#This Row],[Country/Region]],RAW_RECOVERED!BN:BN)</f>
        <v>361</v>
      </c>
      <c r="BN38" s="28">
        <f>SUMIF(RAW_RECOVERED!$B:$B,Tabelle289[[#This Row],[Country/Region]],RAW_RECOVERED!BO:BO)</f>
        <v>681</v>
      </c>
      <c r="BO38" s="28">
        <f>SUMIF(RAW_RECOVERED!$B:$B,Tabelle289[[#This Row],[Country/Region]],RAW_RECOVERED!BP:BP)</f>
        <v>869</v>
      </c>
      <c r="BP38" s="28">
        <f>SUMIF(RAW_RECOVERED!$B:$B,Tabelle289[[#This Row],[Country/Region]],RAW_RECOVERED!BQ:BQ)</f>
        <v>1072</v>
      </c>
      <c r="BQ38" s="28">
        <f>SUMIF(RAW_RECOVERED!$B:$B,Tabelle289[[#This Row],[Country/Region]],RAW_RECOVERED!BR:BR)</f>
        <v>2665</v>
      </c>
      <c r="BR38" s="28">
        <f>SUMIF(RAW_RECOVERED!$B:$B,Tabelle289[[#This Row],[Country/Region]],RAW_RECOVERED!BS:BS)</f>
        <v>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2.75" x14ac:dyDescent="0.2">
      <c r="A39" s="27" t="str">
        <f t="shared" si="15"/>
        <v>Italy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0</v>
      </c>
      <c r="U39" s="28">
        <f>SUMIF(RAW_RECOVERED!$B:$B,Tabelle289[[#This Row],[Country/Region]],RAW_RECOVERED!V:V)</f>
        <v>0</v>
      </c>
      <c r="V39" s="28">
        <f>SUMIF(RAW_RECOVERED!$B:$B,Tabelle289[[#This Row],[Country/Region]],RAW_RECOVERED!W:W)</f>
        <v>0</v>
      </c>
      <c r="W39" s="28">
        <f>SUMIF(RAW_RECOVERED!$B:$B,Tabelle289[[#This Row],[Country/Region]],RAW_RECOVERED!X:X)</f>
        <v>0</v>
      </c>
      <c r="X39" s="28">
        <f>SUMIF(RAW_RECOVERED!$B:$B,Tabelle289[[#This Row],[Country/Region]],RAW_RECOVERED!Y:Y)</f>
        <v>0</v>
      </c>
      <c r="Y39" s="28">
        <f>SUMIF(RAW_RECOVERED!$B:$B,Tabelle289[[#This Row],[Country/Region]],RAW_RECOVERED!Z:Z)</f>
        <v>0</v>
      </c>
      <c r="Z39" s="28">
        <f>SUMIF(RAW_RECOVERED!$B:$B,Tabelle289[[#This Row],[Country/Region]],RAW_RECOVERED!AA:AA)</f>
        <v>0</v>
      </c>
      <c r="AA39" s="28">
        <f>SUMIF(RAW_RECOVERED!$B:$B,Tabelle289[[#This Row],[Country/Region]],RAW_RECOVERED!AB:AB)</f>
        <v>0</v>
      </c>
      <c r="AB39" s="28">
        <f>SUMIF(RAW_RECOVERED!$B:$B,Tabelle289[[#This Row],[Country/Region]],RAW_RECOVERED!AC:AC)</f>
        <v>0</v>
      </c>
      <c r="AC39" s="28">
        <f>SUMIF(RAW_RECOVERED!$B:$B,Tabelle289[[#This Row],[Country/Region]],RAW_RECOVERED!AD:AD)</f>
        <v>0</v>
      </c>
      <c r="AD39" s="28">
        <f>SUMIF(RAW_RECOVERED!$B:$B,Tabelle289[[#This Row],[Country/Region]],RAW_RECOVERED!AE:AE)</f>
        <v>0</v>
      </c>
      <c r="AE39" s="28">
        <f>SUMIF(RAW_RECOVERED!$B:$B,Tabelle289[[#This Row],[Country/Region]],RAW_RECOVERED!AF:AF)</f>
        <v>0</v>
      </c>
      <c r="AF39" s="28">
        <f>SUMIF(RAW_RECOVERED!$B:$B,Tabelle289[[#This Row],[Country/Region]],RAW_RECOVERED!AG:AG)</f>
        <v>0</v>
      </c>
      <c r="AG39" s="28">
        <f>SUMIF(RAW_RECOVERED!$B:$B,Tabelle289[[#This Row],[Country/Region]],RAW_RECOVERED!AH:AH)</f>
        <v>1</v>
      </c>
      <c r="AH39" s="28">
        <f>SUMIF(RAW_RECOVERED!$B:$B,Tabelle289[[#This Row],[Country/Region]],RAW_RECOVERED!AI:AI)</f>
        <v>2</v>
      </c>
      <c r="AI39" s="28">
        <f>SUMIF(RAW_RECOVERED!$B:$B,Tabelle289[[#This Row],[Country/Region]],RAW_RECOVERED!AJ:AJ)</f>
        <v>1</v>
      </c>
      <c r="AJ39" s="28">
        <f>SUMIF(RAW_RECOVERED!$B:$B,Tabelle289[[#This Row],[Country/Region]],RAW_RECOVERED!AK:AK)</f>
        <v>1</v>
      </c>
      <c r="AK39" s="28">
        <f>SUMIF(RAW_RECOVERED!$B:$B,Tabelle289[[#This Row],[Country/Region]],RAW_RECOVERED!AL:AL)</f>
        <v>3</v>
      </c>
      <c r="AL39" s="28">
        <f>SUMIF(RAW_RECOVERED!$B:$B,Tabelle289[[#This Row],[Country/Region]],RAW_RECOVERED!AM:AM)</f>
        <v>45</v>
      </c>
      <c r="AM39" s="28">
        <f>SUMIF(RAW_RECOVERED!$B:$B,Tabelle289[[#This Row],[Country/Region]],RAW_RECOVERED!AN:AN)</f>
        <v>46</v>
      </c>
      <c r="AN39" s="28">
        <f>SUMIF(RAW_RECOVERED!$B:$B,Tabelle289[[#This Row],[Country/Region]],RAW_RECOVERED!AO:AO)</f>
        <v>46</v>
      </c>
      <c r="AO39" s="28">
        <f>SUMIF(RAW_RECOVERED!$B:$B,Tabelle289[[#This Row],[Country/Region]],RAW_RECOVERED!AP:AP)</f>
        <v>83</v>
      </c>
      <c r="AP39" s="28">
        <f>SUMIF(RAW_RECOVERED!$B:$B,Tabelle289[[#This Row],[Country/Region]],RAW_RECOVERED!AQ:AQ)</f>
        <v>149</v>
      </c>
      <c r="AQ39" s="28">
        <f>SUMIF(RAW_RECOVERED!$B:$B,Tabelle289[[#This Row],[Country/Region]],RAW_RECOVERED!AR:AR)</f>
        <v>160</v>
      </c>
      <c r="AR39" s="28">
        <f>SUMIF(RAW_RECOVERED!$B:$B,Tabelle289[[#This Row],[Country/Region]],RAW_RECOVERED!AS:AS)</f>
        <v>276</v>
      </c>
      <c r="AS39" s="28">
        <f>SUMIF(RAW_RECOVERED!$B:$B,Tabelle289[[#This Row],[Country/Region]],RAW_RECOVERED!AT:AT)</f>
        <v>414</v>
      </c>
      <c r="AT39" s="28">
        <f>SUMIF(RAW_RECOVERED!$B:$B,Tabelle289[[#This Row],[Country/Region]],RAW_RECOVERED!AU:AU)</f>
        <v>523</v>
      </c>
      <c r="AU39" s="28">
        <f>SUMIF(RAW_RECOVERED!$B:$B,Tabelle289[[#This Row],[Country/Region]],RAW_RECOVERED!AV:AV)</f>
        <v>589</v>
      </c>
      <c r="AV39" s="28">
        <f>SUMIF(RAW_RECOVERED!$B:$B,Tabelle289[[#This Row],[Country/Region]],RAW_RECOVERED!AW:AW)</f>
        <v>622</v>
      </c>
      <c r="AW39" s="28">
        <f>SUMIF(RAW_RECOVERED!$B:$B,Tabelle289[[#This Row],[Country/Region]],RAW_RECOVERED!AX:AX)</f>
        <v>724</v>
      </c>
      <c r="AX39" s="28">
        <f>SUMIF(RAW_RECOVERED!$B:$B,Tabelle289[[#This Row],[Country/Region]],RAW_RECOVERED!AY:AY)</f>
        <v>724</v>
      </c>
      <c r="AY39" s="28">
        <f>SUMIF(RAW_RECOVERED!$B:$B,Tabelle289[[#This Row],[Country/Region]],RAW_RECOVERED!AZ:AZ)</f>
        <v>1045</v>
      </c>
      <c r="AZ39" s="28">
        <f>SUMIF(RAW_RECOVERED!$B:$B,Tabelle289[[#This Row],[Country/Region]],RAW_RECOVERED!BA:BA)</f>
        <v>1045</v>
      </c>
      <c r="BA39" s="28">
        <f>SUMIF(RAW_RECOVERED!$B:$B,Tabelle289[[#This Row],[Country/Region]],RAW_RECOVERED!BB:BB)</f>
        <v>1439</v>
      </c>
      <c r="BB39" s="28">
        <f>SUMIF(RAW_RECOVERED!$B:$B,Tabelle289[[#This Row],[Country/Region]],RAW_RECOVERED!BC:BC)</f>
        <v>1966</v>
      </c>
      <c r="BC39" s="28">
        <f>SUMIF(RAW_RECOVERED!$B:$B,Tabelle289[[#This Row],[Country/Region]],RAW_RECOVERED!BD:BD)</f>
        <v>2335</v>
      </c>
      <c r="BD39" s="28">
        <f>SUMIF(RAW_RECOVERED!$B:$B,Tabelle289[[#This Row],[Country/Region]],RAW_RECOVERED!BE:BE)</f>
        <v>2749</v>
      </c>
      <c r="BE39" s="28">
        <f>SUMIF(RAW_RECOVERED!$B:$B,Tabelle289[[#This Row],[Country/Region]],RAW_RECOVERED!BF:BF)</f>
        <v>2941</v>
      </c>
      <c r="BF39" s="28">
        <f>SUMIF(RAW_RECOVERED!$B:$B,Tabelle289[[#This Row],[Country/Region]],RAW_RECOVERED!BG:BG)</f>
        <v>4025</v>
      </c>
      <c r="BG39" s="28">
        <f>SUMIF(RAW_RECOVERED!$B:$B,Tabelle289[[#This Row],[Country/Region]],RAW_RECOVERED!BH:BH)</f>
        <v>4440</v>
      </c>
      <c r="BH39" s="28">
        <f>SUMIF(RAW_RECOVERED!$B:$B,Tabelle289[[#This Row],[Country/Region]],RAW_RECOVERED!BI:BI)</f>
        <v>4440</v>
      </c>
      <c r="BI39" s="28">
        <f>SUMIF(RAW_RECOVERED!$B:$B,Tabelle289[[#This Row],[Country/Region]],RAW_RECOVERED!BJ:BJ)</f>
        <v>6072</v>
      </c>
      <c r="BJ39" s="28">
        <f>SUMIF(RAW_RECOVERED!$B:$B,Tabelle289[[#This Row],[Country/Region]],RAW_RECOVERED!BK:BK)</f>
        <v>7024</v>
      </c>
      <c r="BK39" s="28">
        <f>SUMIF(RAW_RECOVERED!$B:$B,Tabelle289[[#This Row],[Country/Region]],RAW_RECOVERED!BL:BL)</f>
        <v>7024</v>
      </c>
      <c r="BL39" s="28">
        <f>SUMIF(RAW_RECOVERED!$B:$B,Tabelle289[[#This Row],[Country/Region]],RAW_RECOVERED!BM:BM)</f>
        <v>8326</v>
      </c>
      <c r="BM39" s="28">
        <f>SUMIF(RAW_RECOVERED!$B:$B,Tabelle289[[#This Row],[Country/Region]],RAW_RECOVERED!BN:BN)</f>
        <v>9362</v>
      </c>
      <c r="BN39" s="28">
        <f>SUMIF(RAW_RECOVERED!$B:$B,Tabelle289[[#This Row],[Country/Region]],RAW_RECOVERED!BO:BO)</f>
        <v>10361</v>
      </c>
      <c r="BO39" s="28">
        <f>SUMIF(RAW_RECOVERED!$B:$B,Tabelle289[[#This Row],[Country/Region]],RAW_RECOVERED!BP:BP)</f>
        <v>10950</v>
      </c>
      <c r="BP39" s="28">
        <f>SUMIF(RAW_RECOVERED!$B:$B,Tabelle289[[#This Row],[Country/Region]],RAW_RECOVERED!BQ:BQ)</f>
        <v>12384</v>
      </c>
      <c r="BQ39" s="28">
        <f>SUMIF(RAW_RECOVERED!$B:$B,Tabelle289[[#This Row],[Country/Region]],RAW_RECOVERED!BR:BR)</f>
        <v>13030</v>
      </c>
      <c r="BR39" s="28">
        <f>SUMIF(RAW_RECOVERED!$B:$B,Tabelle289[[#This Row],[Country/Region]],RAW_RECOVERED!BS:BS)</f>
        <v>0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2.75" x14ac:dyDescent="0.2">
      <c r="A40" s="27" t="str">
        <f t="shared" si="15"/>
        <v>Netherlands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0</v>
      </c>
      <c r="K40" s="28">
        <f>SUMIF(RAW_RECOVERED!$B:$B,Tabelle289[[#This Row],[Country/Region]],RAW_RECOVERED!L:L)</f>
        <v>0</v>
      </c>
      <c r="L40" s="28">
        <f>SUMIF(RAW_RECOVERED!$B:$B,Tabelle289[[#This Row],[Country/Region]],RAW_RECOVERED!M:M)</f>
        <v>0</v>
      </c>
      <c r="M40" s="28">
        <f>SUMIF(RAW_RECOVERED!$B:$B,Tabelle289[[#This Row],[Country/Region]],RAW_RECOVERED!N:N)</f>
        <v>0</v>
      </c>
      <c r="N40" s="28">
        <f>SUMIF(RAW_RECOVERED!$B:$B,Tabelle289[[#This Row],[Country/Region]],RAW_RECOVERED!O:O)</f>
        <v>0</v>
      </c>
      <c r="O40" s="28">
        <f>SUMIF(RAW_RECOVERED!$B:$B,Tabelle289[[#This Row],[Country/Region]],RAW_RECOVERED!P:P)</f>
        <v>0</v>
      </c>
      <c r="P40" s="28">
        <f>SUMIF(RAW_RECOVERED!$B:$B,Tabelle289[[#This Row],[Country/Region]],RAW_RECOVERED!Q:Q)</f>
        <v>0</v>
      </c>
      <c r="Q40" s="28">
        <f>SUMIF(RAW_RECOVERED!$B:$B,Tabelle289[[#This Row],[Country/Region]],RAW_RECOVERED!R:R)</f>
        <v>0</v>
      </c>
      <c r="R40" s="28">
        <f>SUMIF(RAW_RECOVERED!$B:$B,Tabelle289[[#This Row],[Country/Region]],RAW_RECOVERED!S:S)</f>
        <v>0</v>
      </c>
      <c r="S40" s="28">
        <f>SUMIF(RAW_RECOVERED!$B:$B,Tabelle289[[#This Row],[Country/Region]],RAW_RECOVERED!T:T)</f>
        <v>0</v>
      </c>
      <c r="T40" s="28">
        <f>SUMIF(RAW_RECOVERED!$B:$B,Tabelle289[[#This Row],[Country/Region]],RAW_RECOVERED!U:U)</f>
        <v>0</v>
      </c>
      <c r="U40" s="28">
        <f>SUMIF(RAW_RECOVERED!$B:$B,Tabelle289[[#This Row],[Country/Region]],RAW_RECOVERED!V:V)</f>
        <v>0</v>
      </c>
      <c r="V40" s="28">
        <f>SUMIF(RAW_RECOVERED!$B:$B,Tabelle289[[#This Row],[Country/Region]],RAW_RECOVERED!W:W)</f>
        <v>0</v>
      </c>
      <c r="W40" s="28">
        <f>SUMIF(RAW_RECOVERED!$B:$B,Tabelle289[[#This Row],[Country/Region]],RAW_RECOVERED!X:X)</f>
        <v>0</v>
      </c>
      <c r="X40" s="28">
        <f>SUMIF(RAW_RECOVERED!$B:$B,Tabelle289[[#This Row],[Country/Region]],RAW_RECOVERED!Y:Y)</f>
        <v>0</v>
      </c>
      <c r="Y40" s="28">
        <f>SUMIF(RAW_RECOVERED!$B:$B,Tabelle289[[#This Row],[Country/Region]],RAW_RECOVERED!Z:Z)</f>
        <v>0</v>
      </c>
      <c r="Z40" s="28">
        <f>SUMIF(RAW_RECOVERED!$B:$B,Tabelle289[[#This Row],[Country/Region]],RAW_RECOVERED!AA:AA)</f>
        <v>0</v>
      </c>
      <c r="AA40" s="28">
        <f>SUMIF(RAW_RECOVERED!$B:$B,Tabelle289[[#This Row],[Country/Region]],RAW_RECOVERED!AB:AB)</f>
        <v>0</v>
      </c>
      <c r="AB40" s="28">
        <f>SUMIF(RAW_RECOVERED!$B:$B,Tabelle289[[#This Row],[Country/Region]],RAW_RECOVERED!AC:AC)</f>
        <v>0</v>
      </c>
      <c r="AC40" s="28">
        <f>SUMIF(RAW_RECOVERED!$B:$B,Tabelle289[[#This Row],[Country/Region]],RAW_RECOVERED!AD:AD)</f>
        <v>0</v>
      </c>
      <c r="AD40" s="28">
        <f>SUMIF(RAW_RECOVERED!$B:$B,Tabelle289[[#This Row],[Country/Region]],RAW_RECOVERED!AE:AE)</f>
        <v>0</v>
      </c>
      <c r="AE40" s="28">
        <f>SUMIF(RAW_RECOVERED!$B:$B,Tabelle289[[#This Row],[Country/Region]],RAW_RECOVERED!AF:AF)</f>
        <v>0</v>
      </c>
      <c r="AF40" s="28">
        <f>SUMIF(RAW_RECOVERED!$B:$B,Tabelle289[[#This Row],[Country/Region]],RAW_RECOVERED!AG:AG)</f>
        <v>0</v>
      </c>
      <c r="AG40" s="28">
        <f>SUMIF(RAW_RECOVERED!$B:$B,Tabelle289[[#This Row],[Country/Region]],RAW_RECOVERED!AH:AH)</f>
        <v>0</v>
      </c>
      <c r="AH40" s="28">
        <f>SUMIF(RAW_RECOVERED!$B:$B,Tabelle289[[#This Row],[Country/Region]],RAW_RECOVERED!AI:AI)</f>
        <v>0</v>
      </c>
      <c r="AI40" s="28">
        <f>SUMIF(RAW_RECOVERED!$B:$B,Tabelle289[[#This Row],[Country/Region]],RAW_RECOVERED!AJ:AJ)</f>
        <v>0</v>
      </c>
      <c r="AJ40" s="28">
        <f>SUMIF(RAW_RECOVERED!$B:$B,Tabelle289[[#This Row],[Country/Region]],RAW_RECOVERED!AK:AK)</f>
        <v>0</v>
      </c>
      <c r="AK40" s="28">
        <f>SUMIF(RAW_RECOVERED!$B:$B,Tabelle289[[#This Row],[Country/Region]],RAW_RECOVERED!AL:AL)</f>
        <v>0</v>
      </c>
      <c r="AL40" s="28">
        <f>SUMIF(RAW_RECOVERED!$B:$B,Tabelle289[[#This Row],[Country/Region]],RAW_RECOVERED!AM:AM)</f>
        <v>0</v>
      </c>
      <c r="AM40" s="28">
        <f>SUMIF(RAW_RECOVERED!$B:$B,Tabelle289[[#This Row],[Country/Region]],RAW_RECOVERED!AN:AN)</f>
        <v>0</v>
      </c>
      <c r="AN40" s="28">
        <f>SUMIF(RAW_RECOVERED!$B:$B,Tabelle289[[#This Row],[Country/Region]],RAW_RECOVERED!AO:AO)</f>
        <v>0</v>
      </c>
      <c r="AO40" s="28">
        <f>SUMIF(RAW_RECOVERED!$B:$B,Tabelle289[[#This Row],[Country/Region]],RAW_RECOVERED!AP:AP)</f>
        <v>0</v>
      </c>
      <c r="AP40" s="28">
        <f>SUMIF(RAW_RECOVERED!$B:$B,Tabelle289[[#This Row],[Country/Region]],RAW_RECOVERED!AQ:AQ)</f>
        <v>0</v>
      </c>
      <c r="AQ40" s="28">
        <f>SUMIF(RAW_RECOVERED!$B:$B,Tabelle289[[#This Row],[Country/Region]],RAW_RECOVERED!AR:AR)</f>
        <v>0</v>
      </c>
      <c r="AR40" s="28">
        <f>SUMIF(RAW_RECOVERED!$B:$B,Tabelle289[[#This Row],[Country/Region]],RAW_RECOVERED!AS:AS)</f>
        <v>0</v>
      </c>
      <c r="AS40" s="28">
        <f>SUMIF(RAW_RECOVERED!$B:$B,Tabelle289[[#This Row],[Country/Region]],RAW_RECOVERED!AT:AT)</f>
        <v>0</v>
      </c>
      <c r="AT40" s="28">
        <f>SUMIF(RAW_RECOVERED!$B:$B,Tabelle289[[#This Row],[Country/Region]],RAW_RECOVERED!AU:AU)</f>
        <v>0</v>
      </c>
      <c r="AU40" s="28">
        <f>SUMIF(RAW_RECOVERED!$B:$B,Tabelle289[[#This Row],[Country/Region]],RAW_RECOVERED!AV:AV)</f>
        <v>0</v>
      </c>
      <c r="AV40" s="28">
        <f>SUMIF(RAW_RECOVERED!$B:$B,Tabelle289[[#This Row],[Country/Region]],RAW_RECOVERED!AW:AW)</f>
        <v>0</v>
      </c>
      <c r="AW40" s="28">
        <f>SUMIF(RAW_RECOVERED!$B:$B,Tabelle289[[#This Row],[Country/Region]],RAW_RECOVERED!AX:AX)</f>
        <v>0</v>
      </c>
      <c r="AX40" s="28">
        <f>SUMIF(RAW_RECOVERED!$B:$B,Tabelle289[[#This Row],[Country/Region]],RAW_RECOVERED!AY:AY)</f>
        <v>0</v>
      </c>
      <c r="AY40" s="28">
        <f>SUMIF(RAW_RECOVERED!$B:$B,Tabelle289[[#This Row],[Country/Region]],RAW_RECOVERED!AZ:AZ)</f>
        <v>0</v>
      </c>
      <c r="AZ40" s="28">
        <f>SUMIF(RAW_RECOVERED!$B:$B,Tabelle289[[#This Row],[Country/Region]],RAW_RECOVERED!BA:BA)</f>
        <v>0</v>
      </c>
      <c r="BA40" s="28">
        <f>SUMIF(RAW_RECOVERED!$B:$B,Tabelle289[[#This Row],[Country/Region]],RAW_RECOVERED!BB:BB)</f>
        <v>0</v>
      </c>
      <c r="BB40" s="28">
        <f>SUMIF(RAW_RECOVERED!$B:$B,Tabelle289[[#This Row],[Country/Region]],RAW_RECOVERED!BC:BC)</f>
        <v>2</v>
      </c>
      <c r="BC40" s="28">
        <f>SUMIF(RAW_RECOVERED!$B:$B,Tabelle289[[#This Row],[Country/Region]],RAW_RECOVERED!BD:BD)</f>
        <v>2</v>
      </c>
      <c r="BD40" s="28">
        <f>SUMIF(RAW_RECOVERED!$B:$B,Tabelle289[[#This Row],[Country/Region]],RAW_RECOVERED!BE:BE)</f>
        <v>2</v>
      </c>
      <c r="BE40" s="28">
        <f>SUMIF(RAW_RECOVERED!$B:$B,Tabelle289[[#This Row],[Country/Region]],RAW_RECOVERED!BF:BF)</f>
        <v>2</v>
      </c>
      <c r="BF40" s="28">
        <f>SUMIF(RAW_RECOVERED!$B:$B,Tabelle289[[#This Row],[Country/Region]],RAW_RECOVERED!BG:BG)</f>
        <v>2</v>
      </c>
      <c r="BG40" s="28">
        <f>SUMIF(RAW_RECOVERED!$B:$B,Tabelle289[[#This Row],[Country/Region]],RAW_RECOVERED!BH:BH)</f>
        <v>2</v>
      </c>
      <c r="BH40" s="28">
        <f>SUMIF(RAW_RECOVERED!$B:$B,Tabelle289[[#This Row],[Country/Region]],RAW_RECOVERED!BI:BI)</f>
        <v>2</v>
      </c>
      <c r="BI40" s="28">
        <f>SUMIF(RAW_RECOVERED!$B:$B,Tabelle289[[#This Row],[Country/Region]],RAW_RECOVERED!BJ:BJ)</f>
        <v>2</v>
      </c>
      <c r="BJ40" s="28">
        <f>SUMIF(RAW_RECOVERED!$B:$B,Tabelle289[[#This Row],[Country/Region]],RAW_RECOVERED!BK:BK)</f>
        <v>2</v>
      </c>
      <c r="BK40" s="28">
        <f>SUMIF(RAW_RECOVERED!$B:$B,Tabelle289[[#This Row],[Country/Region]],RAW_RECOVERED!BL:BL)</f>
        <v>2</v>
      </c>
      <c r="BL40" s="28">
        <f>SUMIF(RAW_RECOVERED!$B:$B,Tabelle289[[#This Row],[Country/Region]],RAW_RECOVERED!BM:BM)</f>
        <v>3</v>
      </c>
      <c r="BM40" s="28">
        <f>SUMIF(RAW_RECOVERED!$B:$B,Tabelle289[[#This Row],[Country/Region]],RAW_RECOVERED!BN:BN)</f>
        <v>4</v>
      </c>
      <c r="BN40" s="28">
        <f>SUMIF(RAW_RECOVERED!$B:$B,Tabelle289[[#This Row],[Country/Region]],RAW_RECOVERED!BO:BO)</f>
        <v>6</v>
      </c>
      <c r="BO40" s="28">
        <f>SUMIF(RAW_RECOVERED!$B:$B,Tabelle289[[#This Row],[Country/Region]],RAW_RECOVERED!BP:BP)</f>
        <v>6</v>
      </c>
      <c r="BP40" s="28">
        <f>SUMIF(RAW_RECOVERED!$B:$B,Tabelle289[[#This Row],[Country/Region]],RAW_RECOVERED!BQ:BQ)</f>
        <v>6</v>
      </c>
      <c r="BQ40" s="28">
        <f>SUMIF(RAW_RECOVERED!$B:$B,Tabelle289[[#This Row],[Country/Region]],RAW_RECOVERED!BR:BR)</f>
        <v>253</v>
      </c>
      <c r="BR40" s="28">
        <f>SUMIF(RAW_RECOVERED!$B:$B,Tabelle289[[#This Row],[Country/Region]],RAW_RECOVERED!BS:BS)</f>
        <v>0</v>
      </c>
      <c r="BS40" s="28">
        <f>SUMIF(RAW_RECOVERED!$B:$B,Tabelle289[[#This Row],[Country/Region]],RAW_RECOVERED!BT:BT)</f>
        <v>0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2.75" x14ac:dyDescent="0.2">
      <c r="A41" s="27" t="str">
        <f t="shared" si="15"/>
        <v>Korea, South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1</v>
      </c>
      <c r="S41" s="28">
        <f>SUMIF(RAW_RECOVERED!$B:$B,Tabelle289[[#This Row],[Country/Region]],RAW_RECOVERED!T:T)</f>
        <v>1</v>
      </c>
      <c r="T41" s="28">
        <f>SUMIF(RAW_RECOVERED!$B:$B,Tabelle289[[#This Row],[Country/Region]],RAW_RECOVERED!U:U)</f>
        <v>3</v>
      </c>
      <c r="U41" s="28">
        <f>SUMIF(RAW_RECOVERED!$B:$B,Tabelle289[[#This Row],[Country/Region]],RAW_RECOVERED!V:V)</f>
        <v>3</v>
      </c>
      <c r="V41" s="28">
        <f>SUMIF(RAW_RECOVERED!$B:$B,Tabelle289[[#This Row],[Country/Region]],RAW_RECOVERED!W:W)</f>
        <v>3</v>
      </c>
      <c r="W41" s="28">
        <f>SUMIF(RAW_RECOVERED!$B:$B,Tabelle289[[#This Row],[Country/Region]],RAW_RECOVERED!X:X)</f>
        <v>7</v>
      </c>
      <c r="X41" s="28">
        <f>SUMIF(RAW_RECOVERED!$B:$B,Tabelle289[[#This Row],[Country/Region]],RAW_RECOVERED!Y:Y)</f>
        <v>7</v>
      </c>
      <c r="Y41" s="28">
        <f>SUMIF(RAW_RECOVERED!$B:$B,Tabelle289[[#This Row],[Country/Region]],RAW_RECOVERED!Z:Z)</f>
        <v>7</v>
      </c>
      <c r="Z41" s="28">
        <f>SUMIF(RAW_RECOVERED!$B:$B,Tabelle289[[#This Row],[Country/Region]],RAW_RECOVERED!AA:AA)</f>
        <v>9</v>
      </c>
      <c r="AA41" s="28">
        <f>SUMIF(RAW_RECOVERED!$B:$B,Tabelle289[[#This Row],[Country/Region]],RAW_RECOVERED!AB:AB)</f>
        <v>9</v>
      </c>
      <c r="AB41" s="28">
        <f>SUMIF(RAW_RECOVERED!$B:$B,Tabelle289[[#This Row],[Country/Region]],RAW_RECOVERED!AC:AC)</f>
        <v>10</v>
      </c>
      <c r="AC41" s="28">
        <f>SUMIF(RAW_RECOVERED!$B:$B,Tabelle289[[#This Row],[Country/Region]],RAW_RECOVERED!AD:AD)</f>
        <v>12</v>
      </c>
      <c r="AD41" s="28">
        <f>SUMIF(RAW_RECOVERED!$B:$B,Tabelle289[[#This Row],[Country/Region]],RAW_RECOVERED!AE:AE)</f>
        <v>12</v>
      </c>
      <c r="AE41" s="28">
        <f>SUMIF(RAW_RECOVERED!$B:$B,Tabelle289[[#This Row],[Country/Region]],RAW_RECOVERED!AF:AF)</f>
        <v>16</v>
      </c>
      <c r="AF41" s="28">
        <f>SUMIF(RAW_RECOVERED!$B:$B,Tabelle289[[#This Row],[Country/Region]],RAW_RECOVERED!AG:AG)</f>
        <v>16</v>
      </c>
      <c r="AG41" s="28">
        <f>SUMIF(RAW_RECOVERED!$B:$B,Tabelle289[[#This Row],[Country/Region]],RAW_RECOVERED!AH:AH)</f>
        <v>16</v>
      </c>
      <c r="AH41" s="28">
        <f>SUMIF(RAW_RECOVERED!$B:$B,Tabelle289[[#This Row],[Country/Region]],RAW_RECOVERED!AI:AI)</f>
        <v>18</v>
      </c>
      <c r="AI41" s="28">
        <f>SUMIF(RAW_RECOVERED!$B:$B,Tabelle289[[#This Row],[Country/Region]],RAW_RECOVERED!AJ:AJ)</f>
        <v>18</v>
      </c>
      <c r="AJ41" s="28">
        <f>SUMIF(RAW_RECOVERED!$B:$B,Tabelle289[[#This Row],[Country/Region]],RAW_RECOVERED!AK:AK)</f>
        <v>22</v>
      </c>
      <c r="AK41" s="28">
        <f>SUMIF(RAW_RECOVERED!$B:$B,Tabelle289[[#This Row],[Country/Region]],RAW_RECOVERED!AL:AL)</f>
        <v>22</v>
      </c>
      <c r="AL41" s="28">
        <f>SUMIF(RAW_RECOVERED!$B:$B,Tabelle289[[#This Row],[Country/Region]],RAW_RECOVERED!AM:AM)</f>
        <v>22</v>
      </c>
      <c r="AM41" s="28">
        <f>SUMIF(RAW_RECOVERED!$B:$B,Tabelle289[[#This Row],[Country/Region]],RAW_RECOVERED!AN:AN)</f>
        <v>22</v>
      </c>
      <c r="AN41" s="28">
        <f>SUMIF(RAW_RECOVERED!$B:$B,Tabelle289[[#This Row],[Country/Region]],RAW_RECOVERED!AO:AO)</f>
        <v>27</v>
      </c>
      <c r="AO41" s="28">
        <f>SUMIF(RAW_RECOVERED!$B:$B,Tabelle289[[#This Row],[Country/Region]],RAW_RECOVERED!AP:AP)</f>
        <v>30</v>
      </c>
      <c r="AP41" s="28">
        <f>SUMIF(RAW_RECOVERED!$B:$B,Tabelle289[[#This Row],[Country/Region]],RAW_RECOVERED!AQ:AQ)</f>
        <v>30</v>
      </c>
      <c r="AQ41" s="28">
        <f>SUMIF(RAW_RECOVERED!$B:$B,Tabelle289[[#This Row],[Country/Region]],RAW_RECOVERED!AR:AR)</f>
        <v>30</v>
      </c>
      <c r="AR41" s="28">
        <f>SUMIF(RAW_RECOVERED!$B:$B,Tabelle289[[#This Row],[Country/Region]],RAW_RECOVERED!AS:AS)</f>
        <v>41</v>
      </c>
      <c r="AS41" s="28">
        <f>SUMIF(RAW_RECOVERED!$B:$B,Tabelle289[[#This Row],[Country/Region]],RAW_RECOVERED!AT:AT)</f>
        <v>41</v>
      </c>
      <c r="AT41" s="28">
        <f>SUMIF(RAW_RECOVERED!$B:$B,Tabelle289[[#This Row],[Country/Region]],RAW_RECOVERED!AU:AU)</f>
        <v>135</v>
      </c>
      <c r="AU41" s="28">
        <f>SUMIF(RAW_RECOVERED!$B:$B,Tabelle289[[#This Row],[Country/Region]],RAW_RECOVERED!AV:AV)</f>
        <v>135</v>
      </c>
      <c r="AV41" s="28">
        <f>SUMIF(RAW_RECOVERED!$B:$B,Tabelle289[[#This Row],[Country/Region]],RAW_RECOVERED!AW:AW)</f>
        <v>118</v>
      </c>
      <c r="AW41" s="28">
        <f>SUMIF(RAW_RECOVERED!$B:$B,Tabelle289[[#This Row],[Country/Region]],RAW_RECOVERED!AX:AX)</f>
        <v>118</v>
      </c>
      <c r="AX41" s="28">
        <f>SUMIF(RAW_RECOVERED!$B:$B,Tabelle289[[#This Row],[Country/Region]],RAW_RECOVERED!AY:AY)</f>
        <v>247</v>
      </c>
      <c r="AY41" s="28">
        <f>SUMIF(RAW_RECOVERED!$B:$B,Tabelle289[[#This Row],[Country/Region]],RAW_RECOVERED!AZ:AZ)</f>
        <v>288</v>
      </c>
      <c r="AZ41" s="28">
        <f>SUMIF(RAW_RECOVERED!$B:$B,Tabelle289[[#This Row],[Country/Region]],RAW_RECOVERED!BA:BA)</f>
        <v>333</v>
      </c>
      <c r="BA41" s="28">
        <f>SUMIF(RAW_RECOVERED!$B:$B,Tabelle289[[#This Row],[Country/Region]],RAW_RECOVERED!BB:BB)</f>
        <v>510</v>
      </c>
      <c r="BB41" s="28">
        <f>SUMIF(RAW_RECOVERED!$B:$B,Tabelle289[[#This Row],[Country/Region]],RAW_RECOVERED!BC:BC)</f>
        <v>510</v>
      </c>
      <c r="BC41" s="28">
        <f>SUMIF(RAW_RECOVERED!$B:$B,Tabelle289[[#This Row],[Country/Region]],RAW_RECOVERED!BD:BD)</f>
        <v>510</v>
      </c>
      <c r="BD41" s="28">
        <f>SUMIF(RAW_RECOVERED!$B:$B,Tabelle289[[#This Row],[Country/Region]],RAW_RECOVERED!BE:BE)</f>
        <v>1137</v>
      </c>
      <c r="BE41" s="28">
        <f>SUMIF(RAW_RECOVERED!$B:$B,Tabelle289[[#This Row],[Country/Region]],RAW_RECOVERED!BF:BF)</f>
        <v>1407</v>
      </c>
      <c r="BF41" s="28">
        <f>SUMIF(RAW_RECOVERED!$B:$B,Tabelle289[[#This Row],[Country/Region]],RAW_RECOVERED!BG:BG)</f>
        <v>1540</v>
      </c>
      <c r="BG41" s="28">
        <f>SUMIF(RAW_RECOVERED!$B:$B,Tabelle289[[#This Row],[Country/Region]],RAW_RECOVERED!BH:BH)</f>
        <v>1540</v>
      </c>
      <c r="BH41" s="28">
        <f>SUMIF(RAW_RECOVERED!$B:$B,Tabelle289[[#This Row],[Country/Region]],RAW_RECOVERED!BI:BI)</f>
        <v>1540</v>
      </c>
      <c r="BI41" s="28">
        <f>SUMIF(RAW_RECOVERED!$B:$B,Tabelle289[[#This Row],[Country/Region]],RAW_RECOVERED!BJ:BJ)</f>
        <v>1540</v>
      </c>
      <c r="BJ41" s="28">
        <f>SUMIF(RAW_RECOVERED!$B:$B,Tabelle289[[#This Row],[Country/Region]],RAW_RECOVERED!BK:BK)</f>
        <v>2909</v>
      </c>
      <c r="BK41" s="28">
        <f>SUMIF(RAW_RECOVERED!$B:$B,Tabelle289[[#This Row],[Country/Region]],RAW_RECOVERED!BL:BL)</f>
        <v>2909</v>
      </c>
      <c r="BL41" s="28">
        <f>SUMIF(RAW_RECOVERED!$B:$B,Tabelle289[[#This Row],[Country/Region]],RAW_RECOVERED!BM:BM)</f>
        <v>3507</v>
      </c>
      <c r="BM41" s="28">
        <f>SUMIF(RAW_RECOVERED!$B:$B,Tabelle289[[#This Row],[Country/Region]],RAW_RECOVERED!BN:BN)</f>
        <v>3730</v>
      </c>
      <c r="BN41" s="28">
        <f>SUMIF(RAW_RECOVERED!$B:$B,Tabelle289[[#This Row],[Country/Region]],RAW_RECOVERED!BO:BO)</f>
        <v>4144</v>
      </c>
      <c r="BO41" s="28">
        <f>SUMIF(RAW_RECOVERED!$B:$B,Tabelle289[[#This Row],[Country/Region]],RAW_RECOVERED!BP:BP)</f>
        <v>4528</v>
      </c>
      <c r="BP41" s="28">
        <f>SUMIF(RAW_RECOVERED!$B:$B,Tabelle289[[#This Row],[Country/Region]],RAW_RECOVERED!BQ:BQ)</f>
        <v>4811</v>
      </c>
      <c r="BQ41" s="28">
        <f>SUMIF(RAW_RECOVERED!$B:$B,Tabelle289[[#This Row],[Country/Region]],RAW_RECOVERED!BR:BR)</f>
        <v>5033</v>
      </c>
      <c r="BR41" s="28">
        <f>SUMIF(RAW_RECOVERED!$B:$B,Tabelle289[[#This Row],[Country/Region]],RAW_RECOVERED!BS:BS)</f>
        <v>0</v>
      </c>
      <c r="BS41" s="28">
        <f>SUMIF(RAW_RECOVERED!$B:$B,Tabelle289[[#This Row],[Country/Region]],RAW_RECOVERED!BT:BT)</f>
        <v>0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2.75" x14ac:dyDescent="0.2">
      <c r="A42" s="27" t="str">
        <f t="shared" si="15"/>
        <v>Spain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0</v>
      </c>
      <c r="S42" s="28">
        <f>SUMIF(RAW_RECOVERED!$B:$B,Tabelle289[[#This Row],[Country/Region]],RAW_RECOVERED!T:T)</f>
        <v>0</v>
      </c>
      <c r="T42" s="28">
        <f>SUMIF(RAW_RECOVERED!$B:$B,Tabelle289[[#This Row],[Country/Region]],RAW_RECOVERED!U:U)</f>
        <v>0</v>
      </c>
      <c r="U42" s="28">
        <f>SUMIF(RAW_RECOVERED!$B:$B,Tabelle289[[#This Row],[Country/Region]],RAW_RECOVERED!V:V)</f>
        <v>0</v>
      </c>
      <c r="V42" s="28">
        <f>SUMIF(RAW_RECOVERED!$B:$B,Tabelle289[[#This Row],[Country/Region]],RAW_RECOVERED!W:W)</f>
        <v>0</v>
      </c>
      <c r="W42" s="28">
        <f>SUMIF(RAW_RECOVERED!$B:$B,Tabelle289[[#This Row],[Country/Region]],RAW_RECOVERED!X:X)</f>
        <v>0</v>
      </c>
      <c r="X42" s="28">
        <f>SUMIF(RAW_RECOVERED!$B:$B,Tabelle289[[#This Row],[Country/Region]],RAW_RECOVERED!Y:Y)</f>
        <v>0</v>
      </c>
      <c r="Y42" s="28">
        <f>SUMIF(RAW_RECOVERED!$B:$B,Tabelle289[[#This Row],[Country/Region]],RAW_RECOVERED!Z:Z)</f>
        <v>0</v>
      </c>
      <c r="Z42" s="28">
        <f>SUMIF(RAW_RECOVERED!$B:$B,Tabelle289[[#This Row],[Country/Region]],RAW_RECOVERED!AA:AA)</f>
        <v>2</v>
      </c>
      <c r="AA42" s="28">
        <f>SUMIF(RAW_RECOVERED!$B:$B,Tabelle289[[#This Row],[Country/Region]],RAW_RECOVERED!AB:AB)</f>
        <v>2</v>
      </c>
      <c r="AB42" s="28">
        <f>SUMIF(RAW_RECOVERED!$B:$B,Tabelle289[[#This Row],[Country/Region]],RAW_RECOVERED!AC:AC)</f>
        <v>2</v>
      </c>
      <c r="AC42" s="28">
        <f>SUMIF(RAW_RECOVERED!$B:$B,Tabelle289[[#This Row],[Country/Region]],RAW_RECOVERED!AD:AD)</f>
        <v>2</v>
      </c>
      <c r="AD42" s="28">
        <f>SUMIF(RAW_RECOVERED!$B:$B,Tabelle289[[#This Row],[Country/Region]],RAW_RECOVERED!AE:AE)</f>
        <v>2</v>
      </c>
      <c r="AE42" s="28">
        <f>SUMIF(RAW_RECOVERED!$B:$B,Tabelle289[[#This Row],[Country/Region]],RAW_RECOVERED!AF:AF)</f>
        <v>2</v>
      </c>
      <c r="AF42" s="28">
        <f>SUMIF(RAW_RECOVERED!$B:$B,Tabelle289[[#This Row],[Country/Region]],RAW_RECOVERED!AG:AG)</f>
        <v>2</v>
      </c>
      <c r="AG42" s="28">
        <f>SUMIF(RAW_RECOVERED!$B:$B,Tabelle289[[#This Row],[Country/Region]],RAW_RECOVERED!AH:AH)</f>
        <v>2</v>
      </c>
      <c r="AH42" s="28">
        <f>SUMIF(RAW_RECOVERED!$B:$B,Tabelle289[[#This Row],[Country/Region]],RAW_RECOVERED!AI:AI)</f>
        <v>2</v>
      </c>
      <c r="AI42" s="28">
        <f>SUMIF(RAW_RECOVERED!$B:$B,Tabelle289[[#This Row],[Country/Region]],RAW_RECOVERED!AJ:AJ)</f>
        <v>2</v>
      </c>
      <c r="AJ42" s="28">
        <f>SUMIF(RAW_RECOVERED!$B:$B,Tabelle289[[#This Row],[Country/Region]],RAW_RECOVERED!AK:AK)</f>
        <v>2</v>
      </c>
      <c r="AK42" s="28">
        <f>SUMIF(RAW_RECOVERED!$B:$B,Tabelle289[[#This Row],[Country/Region]],RAW_RECOVERED!AL:AL)</f>
        <v>2</v>
      </c>
      <c r="AL42" s="28">
        <f>SUMIF(RAW_RECOVERED!$B:$B,Tabelle289[[#This Row],[Country/Region]],RAW_RECOVERED!AM:AM)</f>
        <v>2</v>
      </c>
      <c r="AM42" s="28">
        <f>SUMIF(RAW_RECOVERED!$B:$B,Tabelle289[[#This Row],[Country/Region]],RAW_RECOVERED!AN:AN)</f>
        <v>2</v>
      </c>
      <c r="AN42" s="28">
        <f>SUMIF(RAW_RECOVERED!$B:$B,Tabelle289[[#This Row],[Country/Region]],RAW_RECOVERED!AO:AO)</f>
        <v>2</v>
      </c>
      <c r="AO42" s="28">
        <f>SUMIF(RAW_RECOVERED!$B:$B,Tabelle289[[#This Row],[Country/Region]],RAW_RECOVERED!AP:AP)</f>
        <v>2</v>
      </c>
      <c r="AP42" s="28">
        <f>SUMIF(RAW_RECOVERED!$B:$B,Tabelle289[[#This Row],[Country/Region]],RAW_RECOVERED!AQ:AQ)</f>
        <v>2</v>
      </c>
      <c r="AQ42" s="28">
        <f>SUMIF(RAW_RECOVERED!$B:$B,Tabelle289[[#This Row],[Country/Region]],RAW_RECOVERED!AR:AR)</f>
        <v>2</v>
      </c>
      <c r="AR42" s="28">
        <f>SUMIF(RAW_RECOVERED!$B:$B,Tabelle289[[#This Row],[Country/Region]],RAW_RECOVERED!AS:AS)</f>
        <v>2</v>
      </c>
      <c r="AS42" s="28">
        <f>SUMIF(RAW_RECOVERED!$B:$B,Tabelle289[[#This Row],[Country/Region]],RAW_RECOVERED!AT:AT)</f>
        <v>2</v>
      </c>
      <c r="AT42" s="28">
        <f>SUMIF(RAW_RECOVERED!$B:$B,Tabelle289[[#This Row],[Country/Region]],RAW_RECOVERED!AU:AU)</f>
        <v>2</v>
      </c>
      <c r="AU42" s="28">
        <f>SUMIF(RAW_RECOVERED!$B:$B,Tabelle289[[#This Row],[Country/Region]],RAW_RECOVERED!AV:AV)</f>
        <v>30</v>
      </c>
      <c r="AV42" s="28">
        <f>SUMIF(RAW_RECOVERED!$B:$B,Tabelle289[[#This Row],[Country/Region]],RAW_RECOVERED!AW:AW)</f>
        <v>30</v>
      </c>
      <c r="AW42" s="28">
        <f>SUMIF(RAW_RECOVERED!$B:$B,Tabelle289[[#This Row],[Country/Region]],RAW_RECOVERED!AX:AX)</f>
        <v>32</v>
      </c>
      <c r="AX42" s="28">
        <f>SUMIF(RAW_RECOVERED!$B:$B,Tabelle289[[#This Row],[Country/Region]],RAW_RECOVERED!AY:AY)</f>
        <v>32</v>
      </c>
      <c r="AY42" s="28">
        <f>SUMIF(RAW_RECOVERED!$B:$B,Tabelle289[[#This Row],[Country/Region]],RAW_RECOVERED!AZ:AZ)</f>
        <v>183</v>
      </c>
      <c r="AZ42" s="28">
        <f>SUMIF(RAW_RECOVERED!$B:$B,Tabelle289[[#This Row],[Country/Region]],RAW_RECOVERED!BA:BA)</f>
        <v>183</v>
      </c>
      <c r="BA42" s="28">
        <f>SUMIF(RAW_RECOVERED!$B:$B,Tabelle289[[#This Row],[Country/Region]],RAW_RECOVERED!BB:BB)</f>
        <v>193</v>
      </c>
      <c r="BB42" s="28">
        <f>SUMIF(RAW_RECOVERED!$B:$B,Tabelle289[[#This Row],[Country/Region]],RAW_RECOVERED!BC:BC)</f>
        <v>517</v>
      </c>
      <c r="BC42" s="28">
        <f>SUMIF(RAW_RECOVERED!$B:$B,Tabelle289[[#This Row],[Country/Region]],RAW_RECOVERED!BD:BD)</f>
        <v>517</v>
      </c>
      <c r="BD42" s="28">
        <f>SUMIF(RAW_RECOVERED!$B:$B,Tabelle289[[#This Row],[Country/Region]],RAW_RECOVERED!BE:BE)</f>
        <v>530</v>
      </c>
      <c r="BE42" s="28">
        <f>SUMIF(RAW_RECOVERED!$B:$B,Tabelle289[[#This Row],[Country/Region]],RAW_RECOVERED!BF:BF)</f>
        <v>1028</v>
      </c>
      <c r="BF42" s="28">
        <f>SUMIF(RAW_RECOVERED!$B:$B,Tabelle289[[#This Row],[Country/Region]],RAW_RECOVERED!BG:BG)</f>
        <v>1081</v>
      </c>
      <c r="BG42" s="28">
        <f>SUMIF(RAW_RECOVERED!$B:$B,Tabelle289[[#This Row],[Country/Region]],RAW_RECOVERED!BH:BH)</f>
        <v>1107</v>
      </c>
      <c r="BH42" s="28">
        <f>SUMIF(RAW_RECOVERED!$B:$B,Tabelle289[[#This Row],[Country/Region]],RAW_RECOVERED!BI:BI)</f>
        <v>1588</v>
      </c>
      <c r="BI42" s="28">
        <f>SUMIF(RAW_RECOVERED!$B:$B,Tabelle289[[#This Row],[Country/Region]],RAW_RECOVERED!BJ:BJ)</f>
        <v>2125</v>
      </c>
      <c r="BJ42" s="28">
        <f>SUMIF(RAW_RECOVERED!$B:$B,Tabelle289[[#This Row],[Country/Region]],RAW_RECOVERED!BK:BK)</f>
        <v>2575</v>
      </c>
      <c r="BK42" s="28">
        <f>SUMIF(RAW_RECOVERED!$B:$B,Tabelle289[[#This Row],[Country/Region]],RAW_RECOVERED!BL:BL)</f>
        <v>2575</v>
      </c>
      <c r="BL42" s="28">
        <f>SUMIF(RAW_RECOVERED!$B:$B,Tabelle289[[#This Row],[Country/Region]],RAW_RECOVERED!BM:BM)</f>
        <v>3794</v>
      </c>
      <c r="BM42" s="28">
        <f>SUMIF(RAW_RECOVERED!$B:$B,Tabelle289[[#This Row],[Country/Region]],RAW_RECOVERED!BN:BN)</f>
        <v>5367</v>
      </c>
      <c r="BN42" s="28">
        <f>SUMIF(RAW_RECOVERED!$B:$B,Tabelle289[[#This Row],[Country/Region]],RAW_RECOVERED!BO:BO)</f>
        <v>7015</v>
      </c>
      <c r="BO42" s="28">
        <f>SUMIF(RAW_RECOVERED!$B:$B,Tabelle289[[#This Row],[Country/Region]],RAW_RECOVERED!BP:BP)</f>
        <v>9357</v>
      </c>
      <c r="BP42" s="28">
        <f>SUMIF(RAW_RECOVERED!$B:$B,Tabelle289[[#This Row],[Country/Region]],RAW_RECOVERED!BQ:BQ)</f>
        <v>12285</v>
      </c>
      <c r="BQ42" s="28">
        <f>SUMIF(RAW_RECOVERED!$B:$B,Tabelle289[[#This Row],[Country/Region]],RAW_RECOVERED!BR:BR)</f>
        <v>14709</v>
      </c>
      <c r="BR42" s="28">
        <f>SUMIF(RAW_RECOVERED!$B:$B,Tabelle289[[#This Row],[Country/Region]],RAW_RECOVERED!BS:BS)</f>
        <v>0</v>
      </c>
      <c r="BS42" s="28">
        <f>SUMIF(RAW_RECOVERED!$B:$B,Tabelle289[[#This Row],[Country/Region]],RAW_RECOVERED!BT:BT)</f>
        <v>0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11" customFormat="1" ht="12.75" x14ac:dyDescent="0.2">
      <c r="A43" s="27" t="str">
        <f t="shared" si="15"/>
        <v>France</v>
      </c>
      <c r="B43" s="28">
        <f>SUMIF(RAW_RECOVERED!$B:$B,Tabelle289[[#This Row],[Country/Region]],RAW_RECOVERED!C:C)</f>
        <v>0</v>
      </c>
      <c r="C43" s="28">
        <f>SUMIF(RAW_RECOVERED!$B:$B,Tabelle289[[#This Row],[Country/Region]],RAW_RECOVERED!D:D)</f>
        <v>0</v>
      </c>
      <c r="D43" s="28">
        <f>SUMIF(RAW_RECOVERED!$B:$B,Tabelle289[[#This Row],[Country/Region]],RAW_RECOVERED!E:E)</f>
        <v>0</v>
      </c>
      <c r="E43" s="28">
        <f>SUMIF(RAW_RECOVERED!$B:$B,Tabelle289[[#This Row],[Country/Region]],RAW_RECOVERED!F:F)</f>
        <v>0</v>
      </c>
      <c r="F43" s="28">
        <f>SUMIF(RAW_RECOVERED!$B:$B,Tabelle289[[#This Row],[Country/Region]],RAW_RECOVERED!G:G)</f>
        <v>0</v>
      </c>
      <c r="G43" s="28">
        <f>SUMIF(RAW_RECOVERED!$B:$B,Tabelle289[[#This Row],[Country/Region]],RAW_RECOVERED!H:H)</f>
        <v>0</v>
      </c>
      <c r="H43" s="28">
        <f>SUMIF(RAW_RECOVERED!$B:$B,Tabelle289[[#This Row],[Country/Region]],RAW_RECOVERED!I:I)</f>
        <v>0</v>
      </c>
      <c r="I43" s="28">
        <f>SUMIF(RAW_RECOVERED!$B:$B,Tabelle289[[#This Row],[Country/Region]],RAW_RECOVERED!J:J)</f>
        <v>0</v>
      </c>
      <c r="J43" s="28">
        <f>SUMIF(RAW_RECOVERED!$B:$B,Tabelle289[[#This Row],[Country/Region]],RAW_RECOVERED!K:K)</f>
        <v>0</v>
      </c>
      <c r="K43" s="28">
        <f>SUMIF(RAW_RECOVERED!$B:$B,Tabelle289[[#This Row],[Country/Region]],RAW_RECOVERED!L:L)</f>
        <v>0</v>
      </c>
      <c r="L43" s="28">
        <f>SUMIF(RAW_RECOVERED!$B:$B,Tabelle289[[#This Row],[Country/Region]],RAW_RECOVERED!M:M)</f>
        <v>0</v>
      </c>
      <c r="M43" s="28">
        <f>SUMIF(RAW_RECOVERED!$B:$B,Tabelle289[[#This Row],[Country/Region]],RAW_RECOVERED!N:N)</f>
        <v>0</v>
      </c>
      <c r="N43" s="28">
        <f>SUMIF(RAW_RECOVERED!$B:$B,Tabelle289[[#This Row],[Country/Region]],RAW_RECOVERED!O:O)</f>
        <v>0</v>
      </c>
      <c r="O43" s="28">
        <f>SUMIF(RAW_RECOVERED!$B:$B,Tabelle289[[#This Row],[Country/Region]],RAW_RECOVERED!P:P)</f>
        <v>0</v>
      </c>
      <c r="P43" s="28">
        <f>SUMIF(RAW_RECOVERED!$B:$B,Tabelle289[[#This Row],[Country/Region]],RAW_RECOVERED!Q:Q)</f>
        <v>0</v>
      </c>
      <c r="Q43" s="28">
        <f>SUMIF(RAW_RECOVERED!$B:$B,Tabelle289[[#This Row],[Country/Region]],RAW_RECOVERED!R:R)</f>
        <v>0</v>
      </c>
      <c r="R43" s="28">
        <f>SUMIF(RAW_RECOVERED!$B:$B,Tabelle289[[#This Row],[Country/Region]],RAW_RECOVERED!S:S)</f>
        <v>0</v>
      </c>
      <c r="S43" s="28">
        <f>SUMIF(RAW_RECOVERED!$B:$B,Tabelle289[[#This Row],[Country/Region]],RAW_RECOVERED!T:T)</f>
        <v>0</v>
      </c>
      <c r="T43" s="28">
        <f>SUMIF(RAW_RECOVERED!$B:$B,Tabelle289[[#This Row],[Country/Region]],RAW_RECOVERED!U:U)</f>
        <v>0</v>
      </c>
      <c r="U43" s="28">
        <f>SUMIF(RAW_RECOVERED!$B:$B,Tabelle289[[#This Row],[Country/Region]],RAW_RECOVERED!V:V)</f>
        <v>0</v>
      </c>
      <c r="V43" s="28">
        <f>SUMIF(RAW_RECOVERED!$B:$B,Tabelle289[[#This Row],[Country/Region]],RAW_RECOVERED!W:W)</f>
        <v>0</v>
      </c>
      <c r="W43" s="28">
        <f>SUMIF(RAW_RECOVERED!$B:$B,Tabelle289[[#This Row],[Country/Region]],RAW_RECOVERED!X:X)</f>
        <v>2</v>
      </c>
      <c r="X43" s="28">
        <f>SUMIF(RAW_RECOVERED!$B:$B,Tabelle289[[#This Row],[Country/Region]],RAW_RECOVERED!Y:Y)</f>
        <v>2</v>
      </c>
      <c r="Y43" s="28">
        <f>SUMIF(RAW_RECOVERED!$B:$B,Tabelle289[[#This Row],[Country/Region]],RAW_RECOVERED!Z:Z)</f>
        <v>2</v>
      </c>
      <c r="Z43" s="28">
        <f>SUMIF(RAW_RECOVERED!$B:$B,Tabelle289[[#This Row],[Country/Region]],RAW_RECOVERED!AA:AA)</f>
        <v>4</v>
      </c>
      <c r="AA43" s="28">
        <f>SUMIF(RAW_RECOVERED!$B:$B,Tabelle289[[#This Row],[Country/Region]],RAW_RECOVERED!AB:AB)</f>
        <v>4</v>
      </c>
      <c r="AB43" s="28">
        <f>SUMIF(RAW_RECOVERED!$B:$B,Tabelle289[[#This Row],[Country/Region]],RAW_RECOVERED!AC:AC)</f>
        <v>4</v>
      </c>
      <c r="AC43" s="28">
        <f>SUMIF(RAW_RECOVERED!$B:$B,Tabelle289[[#This Row],[Country/Region]],RAW_RECOVERED!AD:AD)</f>
        <v>4</v>
      </c>
      <c r="AD43" s="28">
        <f>SUMIF(RAW_RECOVERED!$B:$B,Tabelle289[[#This Row],[Country/Region]],RAW_RECOVERED!AE:AE)</f>
        <v>4</v>
      </c>
      <c r="AE43" s="28">
        <f>SUMIF(RAW_RECOVERED!$B:$B,Tabelle289[[#This Row],[Country/Region]],RAW_RECOVERED!AF:AF)</f>
        <v>4</v>
      </c>
      <c r="AF43" s="28">
        <f>SUMIF(RAW_RECOVERED!$B:$B,Tabelle289[[#This Row],[Country/Region]],RAW_RECOVERED!AG:AG)</f>
        <v>4</v>
      </c>
      <c r="AG43" s="28">
        <f>SUMIF(RAW_RECOVERED!$B:$B,Tabelle289[[#This Row],[Country/Region]],RAW_RECOVERED!AH:AH)</f>
        <v>4</v>
      </c>
      <c r="AH43" s="28">
        <f>SUMIF(RAW_RECOVERED!$B:$B,Tabelle289[[#This Row],[Country/Region]],RAW_RECOVERED!AI:AI)</f>
        <v>4</v>
      </c>
      <c r="AI43" s="28">
        <f>SUMIF(RAW_RECOVERED!$B:$B,Tabelle289[[#This Row],[Country/Region]],RAW_RECOVERED!AJ:AJ)</f>
        <v>4</v>
      </c>
      <c r="AJ43" s="28">
        <f>SUMIF(RAW_RECOVERED!$B:$B,Tabelle289[[#This Row],[Country/Region]],RAW_RECOVERED!AK:AK)</f>
        <v>11</v>
      </c>
      <c r="AK43" s="28">
        <f>SUMIF(RAW_RECOVERED!$B:$B,Tabelle289[[#This Row],[Country/Region]],RAW_RECOVERED!AL:AL)</f>
        <v>11</v>
      </c>
      <c r="AL43" s="28">
        <f>SUMIF(RAW_RECOVERED!$B:$B,Tabelle289[[#This Row],[Country/Region]],RAW_RECOVERED!AM:AM)</f>
        <v>11</v>
      </c>
      <c r="AM43" s="28">
        <f>SUMIF(RAW_RECOVERED!$B:$B,Tabelle289[[#This Row],[Country/Region]],RAW_RECOVERED!AN:AN)</f>
        <v>11</v>
      </c>
      <c r="AN43" s="28">
        <f>SUMIF(RAW_RECOVERED!$B:$B,Tabelle289[[#This Row],[Country/Region]],RAW_RECOVERED!AO:AO)</f>
        <v>12</v>
      </c>
      <c r="AO43" s="28">
        <f>SUMIF(RAW_RECOVERED!$B:$B,Tabelle289[[#This Row],[Country/Region]],RAW_RECOVERED!AP:AP)</f>
        <v>12</v>
      </c>
      <c r="AP43" s="28">
        <f>SUMIF(RAW_RECOVERED!$B:$B,Tabelle289[[#This Row],[Country/Region]],RAW_RECOVERED!AQ:AQ)</f>
        <v>12</v>
      </c>
      <c r="AQ43" s="28">
        <f>SUMIF(RAW_RECOVERED!$B:$B,Tabelle289[[#This Row],[Country/Region]],RAW_RECOVERED!AR:AR)</f>
        <v>12</v>
      </c>
      <c r="AR43" s="28">
        <f>SUMIF(RAW_RECOVERED!$B:$B,Tabelle289[[#This Row],[Country/Region]],RAW_RECOVERED!AS:AS)</f>
        <v>12</v>
      </c>
      <c r="AS43" s="28">
        <f>SUMIF(RAW_RECOVERED!$B:$B,Tabelle289[[#This Row],[Country/Region]],RAW_RECOVERED!AT:AT)</f>
        <v>12</v>
      </c>
      <c r="AT43" s="28">
        <f>SUMIF(RAW_RECOVERED!$B:$B,Tabelle289[[#This Row],[Country/Region]],RAW_RECOVERED!AU:AU)</f>
        <v>12</v>
      </c>
      <c r="AU43" s="28">
        <f>SUMIF(RAW_RECOVERED!$B:$B,Tabelle289[[#This Row],[Country/Region]],RAW_RECOVERED!AV:AV)</f>
        <v>12</v>
      </c>
      <c r="AV43" s="28">
        <f>SUMIF(RAW_RECOVERED!$B:$B,Tabelle289[[#This Row],[Country/Region]],RAW_RECOVERED!AW:AW)</f>
        <v>12</v>
      </c>
      <c r="AW43" s="28">
        <f>SUMIF(RAW_RECOVERED!$B:$B,Tabelle289[[#This Row],[Country/Region]],RAW_RECOVERED!AX:AX)</f>
        <v>12</v>
      </c>
      <c r="AX43" s="28">
        <f>SUMIF(RAW_RECOVERED!$B:$B,Tabelle289[[#This Row],[Country/Region]],RAW_RECOVERED!AY:AY)</f>
        <v>12</v>
      </c>
      <c r="AY43" s="28">
        <f>SUMIF(RAW_RECOVERED!$B:$B,Tabelle289[[#This Row],[Country/Region]],RAW_RECOVERED!AZ:AZ)</f>
        <v>12</v>
      </c>
      <c r="AZ43" s="28">
        <f>SUMIF(RAW_RECOVERED!$B:$B,Tabelle289[[#This Row],[Country/Region]],RAW_RECOVERED!BA:BA)</f>
        <v>12</v>
      </c>
      <c r="BA43" s="28">
        <f>SUMIF(RAW_RECOVERED!$B:$B,Tabelle289[[#This Row],[Country/Region]],RAW_RECOVERED!BB:BB)</f>
        <v>12</v>
      </c>
      <c r="BB43" s="28">
        <f>SUMIF(RAW_RECOVERED!$B:$B,Tabelle289[[#This Row],[Country/Region]],RAW_RECOVERED!BC:BC)</f>
        <v>12</v>
      </c>
      <c r="BC43" s="28">
        <f>SUMIF(RAW_RECOVERED!$B:$B,Tabelle289[[#This Row],[Country/Region]],RAW_RECOVERED!BD:BD)</f>
        <v>12</v>
      </c>
      <c r="BD43" s="28">
        <f>SUMIF(RAW_RECOVERED!$B:$B,Tabelle289[[#This Row],[Country/Region]],RAW_RECOVERED!BE:BE)</f>
        <v>12</v>
      </c>
      <c r="BE43" s="28">
        <f>SUMIF(RAW_RECOVERED!$B:$B,Tabelle289[[#This Row],[Country/Region]],RAW_RECOVERED!BF:BF)</f>
        <v>12</v>
      </c>
      <c r="BF43" s="28">
        <f>SUMIF(RAW_RECOVERED!$B:$B,Tabelle289[[#This Row],[Country/Region]],RAW_RECOVERED!BG:BG)</f>
        <v>12</v>
      </c>
      <c r="BG43" s="28">
        <f>SUMIF(RAW_RECOVERED!$B:$B,Tabelle289[[#This Row],[Country/Region]],RAW_RECOVERED!BH:BH)</f>
        <v>12</v>
      </c>
      <c r="BH43" s="28">
        <f>SUMIF(RAW_RECOVERED!$B:$B,Tabelle289[[#This Row],[Country/Region]],RAW_RECOVERED!BI:BI)</f>
        <v>12</v>
      </c>
      <c r="BI43" s="28">
        <f>SUMIF(RAW_RECOVERED!$B:$B,Tabelle289[[#This Row],[Country/Region]],RAW_RECOVERED!BJ:BJ)</f>
        <v>12</v>
      </c>
      <c r="BJ43" s="28">
        <f>SUMIF(RAW_RECOVERED!$B:$B,Tabelle289[[#This Row],[Country/Region]],RAW_RECOVERED!BK:BK)</f>
        <v>2206</v>
      </c>
      <c r="BK43" s="28">
        <f>SUMIF(RAW_RECOVERED!$B:$B,Tabelle289[[#This Row],[Country/Region]],RAW_RECOVERED!BL:BL)</f>
        <v>2206</v>
      </c>
      <c r="BL43" s="28">
        <f>SUMIF(RAW_RECOVERED!$B:$B,Tabelle289[[#This Row],[Country/Region]],RAW_RECOVERED!BM:BM)</f>
        <v>3250</v>
      </c>
      <c r="BM43" s="28">
        <f>SUMIF(RAW_RECOVERED!$B:$B,Tabelle289[[#This Row],[Country/Region]],RAW_RECOVERED!BN:BN)</f>
        <v>3907</v>
      </c>
      <c r="BN43" s="28">
        <f>SUMIF(RAW_RECOVERED!$B:$B,Tabelle289[[#This Row],[Country/Region]],RAW_RECOVERED!BO:BO)</f>
        <v>4955</v>
      </c>
      <c r="BO43" s="28">
        <f>SUMIF(RAW_RECOVERED!$B:$B,Tabelle289[[#This Row],[Country/Region]],RAW_RECOVERED!BP:BP)</f>
        <v>5707</v>
      </c>
      <c r="BP43" s="28">
        <f>SUMIF(RAW_RECOVERED!$B:$B,Tabelle289[[#This Row],[Country/Region]],RAW_RECOVERED!BQ:BQ)</f>
        <v>5724</v>
      </c>
      <c r="BQ43" s="28">
        <f>SUMIF(RAW_RECOVERED!$B:$B,Tabelle289[[#This Row],[Country/Region]],RAW_RECOVERED!BR:BR)</f>
        <v>7226</v>
      </c>
      <c r="BR43" s="28">
        <f>SUMIF(RAW_RECOVERED!$B:$B,Tabelle289[[#This Row],[Country/Region]],RAW_RECOVERED!BS:BS)</f>
        <v>0</v>
      </c>
      <c r="BS43" s="28">
        <f>SUMIF(RAW_RECOVERED!$B:$B,Tabelle289[[#This Row],[Country/Region]],RAW_RECOVERED!BT:BT)</f>
        <v>0</v>
      </c>
      <c r="BT43" s="28">
        <f>SUMIF(RAW_RECOVERED!$B:$B,Tabelle289[[#This Row],[Country/Region]],RAW_RECOVERED!BU:BU)</f>
        <v>0</v>
      </c>
      <c r="BU43" s="28">
        <f>SUMIF(RAW_RECOVERED!$B:$B,Tabelle289[[#This Row],[Country/Region]],RAW_RECOVERED!BV:BV)</f>
        <v>0</v>
      </c>
      <c r="BV43" s="28">
        <f>SUMIF(RAW_RECOVERED!$B:$B,Tabelle289[[#This Row],[Country/Region]],RAW_RECOVERED!BW:BW)</f>
        <v>0</v>
      </c>
      <c r="BW43" s="28">
        <f>SUMIF(RAW_RECOVERED!$B:$B,Tabelle289[[#This Row],[Country/Region]],RAW_RECOVERED!BX:BX)</f>
        <v>0</v>
      </c>
      <c r="BX43" s="28">
        <f>SUMIF(RAW_RECOVERED!$B:$B,Tabelle289[[#This Row],[Country/Region]],RAW_RECOVERED!BY:BY)</f>
        <v>0</v>
      </c>
      <c r="BY43" s="28">
        <f>SUMIF(RAW_RECOVERED!$B:$B,Tabelle289[[#This Row],[Country/Region]],RAW_RECOVERED!BZ:BZ)</f>
        <v>0</v>
      </c>
      <c r="BZ43" s="28">
        <f>SUMIF(RAW_RECOVERED!$B:$B,Tabelle289[[#This Row],[Country/Region]],RAW_RECOVERED!CA:CA)</f>
        <v>0</v>
      </c>
      <c r="CA43" s="28">
        <f>SUMIF(RAW_RECOVERED!$B:$B,Tabelle289[[#This Row],[Country/Region]],RAW_RECOVERED!CB:CB)</f>
        <v>0</v>
      </c>
      <c r="CB43" s="28">
        <f>SUMIF(RAW_RECOVERED!$B:$B,Tabelle289[[#This Row],[Country/Region]],RAW_RECOVERED!CC:CC)</f>
        <v>0</v>
      </c>
      <c r="CC43" s="28">
        <f>SUMIF(RAW_RECOVERED!$B:$B,Tabelle289[[#This Row],[Country/Region]],RAW_RECOVERED!CD:CD)</f>
        <v>0</v>
      </c>
      <c r="CD43" s="28">
        <f>SUMIF(RAW_RECOVERED!$B:$B,Tabelle289[[#This Row],[Country/Region]],RAW_RECOVERED!CE:CE)</f>
        <v>0</v>
      </c>
      <c r="CE43" s="28"/>
      <c r="CF43" s="28"/>
      <c r="CG43" s="28"/>
      <c r="CH43" s="28"/>
      <c r="CI43" s="28"/>
    </row>
    <row r="44" spans="1:87" s="7" customFormat="1" ht="12" x14ac:dyDescent="0.2">
      <c r="A44" s="7" t="s">
        <v>240</v>
      </c>
      <c r="B44" s="10">
        <f>SUM(RAW_RECOVERED!CW:CW)</f>
        <v>0</v>
      </c>
      <c r="C44" s="10">
        <f>SUM(RAW_RECOVERED!CX:CX)</f>
        <v>0</v>
      </c>
      <c r="D44" s="10">
        <f>SUM(RAW_RECOVERED!CY:CY)</f>
        <v>0</v>
      </c>
      <c r="E44" s="10">
        <f>SUM(RAW_RECOVERED!CZ:CZ)</f>
        <v>0</v>
      </c>
      <c r="F44" s="10">
        <f>SUM(RAW_RECOVERED!DA:DA)</f>
        <v>0</v>
      </c>
      <c r="G44" s="10">
        <f>SUM(RAW_RECOVERED!DB:DB)</f>
        <v>0</v>
      </c>
      <c r="H44" s="10">
        <f>SUM(RAW_RECOVERED!DC:DC)</f>
        <v>0</v>
      </c>
      <c r="I44" s="10">
        <f>SUM(RAW_RECOVERED!DD:DD)</f>
        <v>0</v>
      </c>
      <c r="J44" s="10">
        <f>SUM(RAW_RECOVERED!DE:DE)</f>
        <v>0</v>
      </c>
      <c r="K44" s="10">
        <f>SUM(RAW_RECOVERED!DF:DF)</f>
        <v>0</v>
      </c>
      <c r="L44" s="10">
        <f>SUM(RAW_RECOVERED!DG:DG)</f>
        <v>0</v>
      </c>
      <c r="M44" s="10">
        <f>SUM(RAW_RECOVERED!DH:DH)</f>
        <v>0</v>
      </c>
      <c r="N44" s="10">
        <f>SUM(RAW_RECOVERED!DI:DI)</f>
        <v>0</v>
      </c>
      <c r="O44" s="10">
        <f>SUM(RAW_RECOVERED!DJ:DJ)</f>
        <v>0</v>
      </c>
      <c r="P44" s="10">
        <f>SUM(RAW_RECOVERED!DK:DK)</f>
        <v>0</v>
      </c>
      <c r="Q44" s="10">
        <f>SUM(RAW_RECOVERED!DL:DL)</f>
        <v>0</v>
      </c>
      <c r="R44" s="10">
        <f>SUM(RAW_RECOVERED!DM:DM)</f>
        <v>0</v>
      </c>
      <c r="S44" s="10">
        <f>SUM(RAW_RECOVERED!DN:DN)</f>
        <v>0</v>
      </c>
      <c r="T44" s="10">
        <f>SUM(RAW_RECOVERED!DO:DO)</f>
        <v>0</v>
      </c>
      <c r="U44" s="10">
        <f>SUM(RAW_RECOVERED!DP:DP)</f>
        <v>0</v>
      </c>
      <c r="V44" s="10">
        <f>SUM(RAW_RECOVERED!DQ:DQ)</f>
        <v>0</v>
      </c>
      <c r="W44" s="10">
        <f>SUM(RAW_RECOVERED!DR:DR)</f>
        <v>0</v>
      </c>
      <c r="X44" s="10">
        <f>SUM(RAW_RECOVERED!DS:DS)</f>
        <v>0</v>
      </c>
      <c r="Y44" s="10">
        <f>SUM(RAW_RECOVERED!DT:DT)</f>
        <v>0</v>
      </c>
      <c r="Z44" s="10">
        <f>SUM(RAW_RECOVERED!DU:DU)</f>
        <v>0</v>
      </c>
      <c r="AA44" s="10">
        <f>SUM(RAW_RECOVERED!DV:DV)</f>
        <v>0</v>
      </c>
      <c r="AB44" s="10">
        <f>SUM(RAW_RECOVERED!DW:DW)</f>
        <v>0</v>
      </c>
      <c r="AC44" s="10">
        <f>SUM(RAW_RECOVERED!DX:DX)</f>
        <v>0</v>
      </c>
      <c r="AD44" s="10">
        <f>SUM(RAW_RECOVERED!DY:DY)</f>
        <v>0</v>
      </c>
      <c r="AE44" s="10">
        <f>SUM(RAW_RECOVERED!DZ:DZ)</f>
        <v>0</v>
      </c>
      <c r="AF44" s="10">
        <f>SUM(RAW_RECOVERED!EA:EA)</f>
        <v>0</v>
      </c>
      <c r="AG44" s="10">
        <f>SUM(RAW_RECOVERED!EB:EB)</f>
        <v>0</v>
      </c>
      <c r="AH44" s="10">
        <f>SUM(RAW_RECOVERED!EC:EC)</f>
        <v>0</v>
      </c>
      <c r="AI44" s="10">
        <f>SUM(RAW_RECOVERED!ED:ED)</f>
        <v>0</v>
      </c>
      <c r="AJ44" s="10">
        <f>SUM(RAW_RECOVERED!EE:EE)</f>
        <v>0</v>
      </c>
      <c r="AK44" s="10">
        <f>SUM(RAW_RECOVERED!EF:EF)</f>
        <v>0</v>
      </c>
      <c r="AL44" s="10">
        <f>SUM(RAW_RECOVERED!EG:EG)</f>
        <v>0</v>
      </c>
      <c r="AM44" s="10">
        <f>SUM(RAW_RECOVERED!EH:EH)</f>
        <v>0</v>
      </c>
      <c r="AN44" s="10">
        <f>SUM(RAW_RECOVERED!EI:EI)</f>
        <v>0</v>
      </c>
      <c r="AO44" s="10">
        <f>SUM(RAW_RECOVERED!EJ:EJ)</f>
        <v>0</v>
      </c>
      <c r="AP44" s="10">
        <f>SUM(RAW_RECOVERED!EK:EK)</f>
        <v>0</v>
      </c>
      <c r="AQ44" s="10">
        <f>SUM(RAW_RECOVERED!EL:EL)</f>
        <v>0</v>
      </c>
      <c r="AR44" s="10">
        <f>SUM(RAW_RECOVERED!EM:EM)</f>
        <v>0</v>
      </c>
      <c r="AS44" s="10">
        <f>SUM(RAW_RECOVERED!EN:EN)</f>
        <v>0</v>
      </c>
      <c r="AT44" s="10">
        <f>SUM(RAW_RECOVERED!EO:EO)</f>
        <v>0</v>
      </c>
      <c r="AU44" s="10">
        <f>SUM(RAW_RECOVERED!EP:EP)</f>
        <v>0</v>
      </c>
      <c r="AV44" s="10">
        <f>SUM(RAW_RECOVERED!EQ:EQ)</f>
        <v>0</v>
      </c>
      <c r="AW44" s="10">
        <f>SUM(RAW_RECOVERED!ER:ER)</f>
        <v>0</v>
      </c>
      <c r="AX44" s="10">
        <f>SUM(RAW_RECOVERED!ES:ES)</f>
        <v>0</v>
      </c>
      <c r="AY44" s="10">
        <f>SUM(RAW_RECOVERED!ET:ET)</f>
        <v>0</v>
      </c>
      <c r="AZ44" s="10">
        <f>SUM(RAW_RECOVERED!EU:EU)</f>
        <v>0</v>
      </c>
      <c r="BA44" s="10">
        <f>SUM(RAW_RECOVERED!EV:EV)</f>
        <v>0</v>
      </c>
      <c r="BB44" s="10">
        <f>SUM(RAW_RECOVERED!EW:EW)</f>
        <v>0</v>
      </c>
      <c r="BC44" s="10">
        <f>SUM(RAW_RECOVERED!EX:EX)</f>
        <v>0</v>
      </c>
      <c r="BD44" s="10">
        <f>SUM(RAW_RECOVERED!EY:EY)</f>
        <v>0</v>
      </c>
      <c r="BE44" s="10">
        <f>SUM(RAW_RECOVERED!EZ:EZ)</f>
        <v>0</v>
      </c>
      <c r="BF44" s="10">
        <f>SUM(RAW_RECOVERED!FA:FA)</f>
        <v>0</v>
      </c>
      <c r="BG44" s="10">
        <f>SUM(RAW_RECOVERED!FB:FB)</f>
        <v>0</v>
      </c>
      <c r="BH44" s="10">
        <f>SUM(RAW_RECOVERED!FC:FC)</f>
        <v>0</v>
      </c>
      <c r="BI44" s="10">
        <f>SUM(RAW_RECOVERED!FD:FD)</f>
        <v>0</v>
      </c>
      <c r="BJ44" s="10">
        <f>SUM(RAW_RECOVERED!FE:FE)</f>
        <v>0</v>
      </c>
      <c r="BK44" s="10">
        <f>SUM(RAW_RECOVERED!FF:FF)</f>
        <v>0</v>
      </c>
      <c r="BL44" s="10">
        <f>SUM(RAW_RECOVERED!FG:FG)</f>
        <v>0</v>
      </c>
      <c r="BM44" s="10">
        <f>SUM(RAW_RECOVERED!FH:FH)</f>
        <v>0</v>
      </c>
      <c r="BN44" s="10">
        <f>SUM(RAW_RECOVERED!FI:FI)</f>
        <v>0</v>
      </c>
      <c r="BO44" s="10">
        <f>SUM(RAW_RECOVERED!FJ:FJ)</f>
        <v>0</v>
      </c>
    </row>
  </sheetData>
  <phoneticPr fontId="1" type="noConversion"/>
  <conditionalFormatting sqref="C11:CE11"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BL11:CE11">
    <cfRule type="colorScale" priority="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1:XFD11">
    <cfRule type="cellIs" dxfId="6" priority="1" operator="equal">
      <formula>"infinite"</formula>
    </cfRule>
  </conditionalFormatting>
  <dataValidations count="1">
    <dataValidation type="list" allowBlank="1" showInputMessage="1" showErrorMessage="1" sqref="A3" xr:uid="{5630CC40-A925-4325-9C5B-54FFF1992765}">
      <formula1>$A$15:$A$21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54"/>
  <sheetViews>
    <sheetView workbookViewId="0">
      <selection sqref="A1:CT249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  <col min="165" max="165" width="11.140625" bestFit="1" customWidth="1"/>
    <col min="166" max="174" width="5.28515625" bestFit="1" customWidth="1"/>
    <col min="175" max="264" width="6.28515625" bestFit="1" customWidth="1"/>
    <col min="265" max="298" width="7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  <c r="BP2">
        <v>110</v>
      </c>
      <c r="BQ2">
        <v>110</v>
      </c>
      <c r="BR2">
        <v>120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  <c r="BP3">
        <v>186</v>
      </c>
      <c r="BQ3">
        <v>197</v>
      </c>
      <c r="BR3">
        <v>212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  <c r="BP4">
        <v>409</v>
      </c>
      <c r="BQ4">
        <v>454</v>
      </c>
      <c r="BR4">
        <v>511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  <c r="BP5">
        <v>267</v>
      </c>
      <c r="BQ5">
        <v>308</v>
      </c>
      <c r="BR5">
        <v>334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  <c r="BP6">
        <v>4</v>
      </c>
      <c r="BQ6">
        <v>5</v>
      </c>
      <c r="BR6">
        <v>7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  <c r="BP7">
        <v>7</v>
      </c>
      <c r="BQ7">
        <v>7</v>
      </c>
      <c r="BR7">
        <v>7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  <c r="BP8">
        <v>589</v>
      </c>
      <c r="BQ8">
        <v>690</v>
      </c>
      <c r="BR8">
        <v>745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  <c r="BP9">
        <v>329</v>
      </c>
      <c r="BQ9">
        <v>407</v>
      </c>
      <c r="BR9">
        <v>424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  <c r="BP10">
        <v>62</v>
      </c>
      <c r="BQ10">
        <v>71</v>
      </c>
      <c r="BR10">
        <v>77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  <c r="BP11">
        <v>1405</v>
      </c>
      <c r="BQ11">
        <v>1617</v>
      </c>
      <c r="BR11">
        <v>1791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  <c r="BP12">
        <v>12</v>
      </c>
      <c r="BQ12">
        <v>15</v>
      </c>
      <c r="BR12">
        <v>15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  <c r="BP13">
        <v>555</v>
      </c>
      <c r="BQ13">
        <v>625</v>
      </c>
      <c r="BR13">
        <v>656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  <c r="BP14">
        <v>257</v>
      </c>
      <c r="BQ14">
        <v>287</v>
      </c>
      <c r="BR14">
        <v>299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  <c r="BP15">
        <v>47</v>
      </c>
      <c r="BQ15">
        <v>62</v>
      </c>
      <c r="BR15">
        <v>66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  <c r="BP16">
        <v>574</v>
      </c>
      <c r="BQ16">
        <v>685</v>
      </c>
      <c r="BR16">
        <v>769</v>
      </c>
    </row>
    <row r="17" spans="1:70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  <c r="BP17">
        <v>231</v>
      </c>
      <c r="BQ17">
        <v>278</v>
      </c>
      <c r="BR17">
        <v>311</v>
      </c>
    </row>
    <row r="18" spans="1:70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  <c r="BP18">
        <v>7657</v>
      </c>
      <c r="BQ18">
        <v>8271</v>
      </c>
      <c r="BR18">
        <v>8788</v>
      </c>
    </row>
    <row r="19" spans="1:70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  <c r="BP19">
        <v>165</v>
      </c>
      <c r="BQ19">
        <v>182</v>
      </c>
      <c r="BR19">
        <v>209</v>
      </c>
    </row>
    <row r="20" spans="1:70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  <c r="BP20">
        <v>10</v>
      </c>
      <c r="BQ20">
        <v>10</v>
      </c>
      <c r="BR20">
        <v>11</v>
      </c>
    </row>
    <row r="21" spans="1:70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  <c r="BP21">
        <v>466</v>
      </c>
      <c r="BQ21">
        <v>476</v>
      </c>
      <c r="BR21">
        <v>499</v>
      </c>
    </row>
    <row r="22" spans="1:70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  <c r="BP22">
        <v>48</v>
      </c>
      <c r="BQ22">
        <v>48</v>
      </c>
      <c r="BR22">
        <v>48</v>
      </c>
    </row>
    <row r="23" spans="1:70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  <c r="BP23">
        <v>24</v>
      </c>
      <c r="BQ23">
        <v>26</v>
      </c>
      <c r="BR23">
        <v>33</v>
      </c>
    </row>
    <row r="24" spans="1:70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  <c r="BP24">
        <v>94</v>
      </c>
      <c r="BQ24">
        <v>94</v>
      </c>
      <c r="BR24">
        <v>94</v>
      </c>
    </row>
    <row r="25" spans="1:70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  <c r="BP25">
        <v>7284</v>
      </c>
      <c r="BQ25">
        <v>9134</v>
      </c>
      <c r="BR25">
        <v>10836</v>
      </c>
    </row>
    <row r="26" spans="1:70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</row>
    <row r="27" spans="1:70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3</v>
      </c>
      <c r="BQ27">
        <v>3</v>
      </c>
      <c r="BR27">
        <v>4</v>
      </c>
    </row>
    <row r="28" spans="1:70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  <c r="BP28">
        <v>61</v>
      </c>
      <c r="BQ28">
        <v>74</v>
      </c>
      <c r="BR28">
        <v>81</v>
      </c>
    </row>
    <row r="29" spans="1:70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  <c r="BP29">
        <v>237</v>
      </c>
      <c r="BQ29">
        <v>258</v>
      </c>
      <c r="BR29">
        <v>323</v>
      </c>
    </row>
    <row r="30" spans="1:70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  <c r="BP30">
        <v>3417</v>
      </c>
      <c r="BQ30">
        <v>3904</v>
      </c>
      <c r="BR30">
        <v>4256</v>
      </c>
    </row>
    <row r="31" spans="1:70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  <c r="BP31">
        <v>115</v>
      </c>
      <c r="BQ31">
        <v>120</v>
      </c>
      <c r="BR31">
        <v>126</v>
      </c>
    </row>
    <row r="32" spans="1:70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  <c r="BP32">
        <v>293</v>
      </c>
      <c r="BQ32">
        <v>331</v>
      </c>
      <c r="BR32">
        <v>346</v>
      </c>
    </row>
    <row r="33" spans="1:70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  <c r="BP33">
        <v>180</v>
      </c>
      <c r="BQ33">
        <v>207</v>
      </c>
      <c r="BR33">
        <v>222</v>
      </c>
    </row>
    <row r="34" spans="1:70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  <c r="BP34">
        <v>5</v>
      </c>
      <c r="BQ34">
        <v>5</v>
      </c>
      <c r="BR34">
        <v>6</v>
      </c>
    </row>
    <row r="35" spans="1:70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  <c r="BP35">
        <v>99</v>
      </c>
      <c r="BQ35">
        <v>99</v>
      </c>
      <c r="BR35">
        <v>103</v>
      </c>
    </row>
    <row r="36" spans="1:70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  <c r="BP36">
        <v>91</v>
      </c>
      <c r="BQ36">
        <v>91</v>
      </c>
      <c r="BR36">
        <v>139</v>
      </c>
    </row>
    <row r="37" spans="1:70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  <c r="BP37">
        <v>542</v>
      </c>
      <c r="BQ37">
        <v>542</v>
      </c>
      <c r="BR37">
        <v>621</v>
      </c>
    </row>
    <row r="38" spans="1:70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  <c r="BP38">
        <v>725</v>
      </c>
      <c r="BQ38">
        <v>884</v>
      </c>
      <c r="BR38">
        <v>884</v>
      </c>
    </row>
    <row r="39" spans="1:70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</row>
    <row r="40" spans="1:70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  <c r="BP40">
        <v>39</v>
      </c>
      <c r="BQ40">
        <v>64</v>
      </c>
      <c r="BR40">
        <v>72</v>
      </c>
    </row>
    <row r="41" spans="1:70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  <c r="BP41">
        <v>45</v>
      </c>
      <c r="BQ41">
        <v>51</v>
      </c>
      <c r="BR41">
        <v>66</v>
      </c>
    </row>
    <row r="42" spans="1:70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  <c r="BP42">
        <v>102</v>
      </c>
      <c r="BQ42">
        <v>120</v>
      </c>
      <c r="BR42">
        <v>135</v>
      </c>
    </row>
    <row r="43" spans="1:70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  <c r="BP43">
        <v>90</v>
      </c>
      <c r="BQ43">
        <v>110</v>
      </c>
      <c r="BR43">
        <v>122</v>
      </c>
    </row>
    <row r="44" spans="1:70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  <c r="BP44">
        <v>994</v>
      </c>
      <c r="BQ44">
        <v>1144</v>
      </c>
      <c r="BR44">
        <v>1355</v>
      </c>
    </row>
    <row r="45" spans="1:70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  <c r="BP45">
        <v>9</v>
      </c>
      <c r="BQ45">
        <v>11</v>
      </c>
      <c r="BR45">
        <v>11</v>
      </c>
    </row>
    <row r="46" spans="1:70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  <c r="BP46">
        <v>2024</v>
      </c>
      <c r="BQ46">
        <v>2498</v>
      </c>
      <c r="BR46">
        <v>2840</v>
      </c>
    </row>
    <row r="47" spans="1:70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  <c r="BP47">
        <v>95</v>
      </c>
      <c r="BQ47">
        <v>134</v>
      </c>
      <c r="BR47">
        <v>156</v>
      </c>
    </row>
    <row r="48" spans="1:70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</row>
    <row r="49" spans="1:70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</row>
    <row r="50" spans="1:70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  <c r="BP50">
        <v>1610</v>
      </c>
      <c r="BQ50">
        <v>1909</v>
      </c>
      <c r="BR50">
        <v>2139</v>
      </c>
    </row>
    <row r="51" spans="1:70" x14ac:dyDescent="0.2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</row>
    <row r="52" spans="1:70" x14ac:dyDescent="0.2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  <c r="BP52">
        <v>569</v>
      </c>
      <c r="BQ52">
        <v>573</v>
      </c>
      <c r="BR52">
        <v>577</v>
      </c>
    </row>
    <row r="53" spans="1:70" x14ac:dyDescent="0.2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  <c r="BP53">
        <v>578</v>
      </c>
      <c r="BQ53">
        <v>578</v>
      </c>
      <c r="BR53">
        <v>579</v>
      </c>
    </row>
    <row r="54" spans="1:70" x14ac:dyDescent="0.2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  <c r="BP54">
        <v>331</v>
      </c>
      <c r="BQ54">
        <v>337</v>
      </c>
      <c r="BR54">
        <v>338</v>
      </c>
    </row>
    <row r="55" spans="1:70" x14ac:dyDescent="0.2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138</v>
      </c>
    </row>
    <row r="56" spans="1:70" x14ac:dyDescent="0.2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  <c r="BP56">
        <v>1456</v>
      </c>
      <c r="BQ56">
        <v>1467</v>
      </c>
      <c r="BR56">
        <v>1475</v>
      </c>
    </row>
    <row r="57" spans="1:70" x14ac:dyDescent="0.2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</row>
    <row r="58" spans="1:70" x14ac:dyDescent="0.2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</row>
    <row r="59" spans="1:70" x14ac:dyDescent="0.2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</row>
    <row r="60" spans="1:70" x14ac:dyDescent="0.2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</row>
    <row r="61" spans="1:70" x14ac:dyDescent="0.2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</row>
    <row r="62" spans="1:70" x14ac:dyDescent="0.2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  <c r="BP62">
        <v>1275</v>
      </c>
      <c r="BQ62">
        <v>1275</v>
      </c>
      <c r="BR62">
        <v>1276</v>
      </c>
    </row>
    <row r="63" spans="1:70" x14ac:dyDescent="0.2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  <c r="BP63">
        <v>519</v>
      </c>
      <c r="BQ63">
        <v>561</v>
      </c>
      <c r="BR63">
        <v>641</v>
      </c>
    </row>
    <row r="64" spans="1:70" x14ac:dyDescent="0.2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  <c r="BP64">
        <v>67801</v>
      </c>
      <c r="BQ64">
        <v>67801</v>
      </c>
      <c r="BR64">
        <v>67801</v>
      </c>
    </row>
    <row r="65" spans="1:70" x14ac:dyDescent="0.2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</row>
    <row r="66" spans="1:70" x14ac:dyDescent="0.2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  <c r="BP66">
        <v>92</v>
      </c>
      <c r="BQ66">
        <v>94</v>
      </c>
      <c r="BR66">
        <v>95</v>
      </c>
    </row>
    <row r="67" spans="1:70" x14ac:dyDescent="0.2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  <c r="BP67">
        <v>641</v>
      </c>
      <c r="BQ67">
        <v>641</v>
      </c>
      <c r="BR67">
        <v>644</v>
      </c>
    </row>
    <row r="68" spans="1:70" x14ac:dyDescent="0.2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937</v>
      </c>
    </row>
    <row r="69" spans="1:70" x14ac:dyDescent="0.2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  <c r="BP69">
        <v>95</v>
      </c>
      <c r="BQ69">
        <v>97</v>
      </c>
      <c r="BR69">
        <v>98</v>
      </c>
    </row>
    <row r="70" spans="1:70" x14ac:dyDescent="0.2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  <c r="BP70">
        <v>128</v>
      </c>
      <c r="BQ70">
        <v>132</v>
      </c>
      <c r="BR70">
        <v>134</v>
      </c>
    </row>
    <row r="71" spans="1:70" x14ac:dyDescent="0.2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  <c r="BP71">
        <v>33</v>
      </c>
      <c r="BQ71">
        <v>37</v>
      </c>
      <c r="BR71">
        <v>37</v>
      </c>
    </row>
    <row r="72" spans="1:70" x14ac:dyDescent="0.2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</row>
    <row r="73" spans="1:70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</row>
    <row r="74" spans="1:70" x14ac:dyDescent="0.2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  <c r="BP74">
        <v>253</v>
      </c>
      <c r="BQ74">
        <v>253</v>
      </c>
      <c r="BR74">
        <v>253</v>
      </c>
    </row>
    <row r="75" spans="1:70" x14ac:dyDescent="0.2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  <c r="BP75">
        <v>772</v>
      </c>
      <c r="BQ75">
        <v>772</v>
      </c>
      <c r="BR75">
        <v>772</v>
      </c>
    </row>
    <row r="76" spans="1:70" x14ac:dyDescent="0.2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  <c r="BP76">
        <v>468</v>
      </c>
      <c r="BQ76">
        <v>485</v>
      </c>
      <c r="BR76">
        <v>492</v>
      </c>
    </row>
    <row r="77" spans="1:70" x14ac:dyDescent="0.2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  <c r="BP77">
        <v>135</v>
      </c>
      <c r="BQ77">
        <v>135</v>
      </c>
      <c r="BR77">
        <v>136</v>
      </c>
    </row>
    <row r="78" spans="1:70" x14ac:dyDescent="0.2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  <c r="BP78">
        <v>548</v>
      </c>
      <c r="BQ78">
        <v>548</v>
      </c>
      <c r="BR78">
        <v>550</v>
      </c>
    </row>
    <row r="79" spans="1:70" x14ac:dyDescent="0.2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  <c r="BP79">
        <v>155</v>
      </c>
      <c r="BQ79">
        <v>161</v>
      </c>
      <c r="BR79">
        <v>166</v>
      </c>
    </row>
    <row r="80" spans="1:70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</row>
    <row r="81" spans="1:70" x14ac:dyDescent="0.2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</row>
    <row r="82" spans="1:70" x14ac:dyDescent="0.2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  <c r="BP82">
        <v>180</v>
      </c>
      <c r="BQ82">
        <v>180</v>
      </c>
      <c r="BR82">
        <v>180</v>
      </c>
    </row>
    <row r="83" spans="1:70" x14ac:dyDescent="0.2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  <c r="BP83">
        <v>1247</v>
      </c>
      <c r="BQ83">
        <v>1251</v>
      </c>
      <c r="BR83">
        <v>1254</v>
      </c>
    </row>
    <row r="84" spans="1:70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  <c r="BP84">
        <v>539</v>
      </c>
      <c r="BQ84">
        <v>608</v>
      </c>
      <c r="BR84">
        <v>702</v>
      </c>
    </row>
    <row r="85" spans="1:70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19</v>
      </c>
    </row>
    <row r="86" spans="1:70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  <c r="BP86">
        <v>51</v>
      </c>
      <c r="BQ86">
        <v>65</v>
      </c>
      <c r="BR86">
        <v>65</v>
      </c>
    </row>
    <row r="87" spans="1:70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  <c r="BP87">
        <v>263</v>
      </c>
      <c r="BQ87">
        <v>295</v>
      </c>
      <c r="BR87">
        <v>314</v>
      </c>
    </row>
    <row r="88" spans="1:70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  <c r="BP88">
        <v>101</v>
      </c>
      <c r="BQ88">
        <v>101</v>
      </c>
      <c r="BR88">
        <v>165</v>
      </c>
    </row>
    <row r="89" spans="1:70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  <c r="BP89">
        <v>586</v>
      </c>
      <c r="BQ89">
        <v>657</v>
      </c>
      <c r="BR89">
        <v>713</v>
      </c>
    </row>
    <row r="90" spans="1:70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</row>
    <row r="91" spans="1:70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  <c r="BP91">
        <v>80</v>
      </c>
      <c r="BQ91">
        <v>119</v>
      </c>
      <c r="BR91">
        <v>139</v>
      </c>
    </row>
    <row r="92" spans="1:70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  <c r="BP92">
        <v>162</v>
      </c>
      <c r="BQ92">
        <v>179</v>
      </c>
      <c r="BR92">
        <v>214</v>
      </c>
    </row>
    <row r="93" spans="1:70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  <c r="BP93">
        <v>2279</v>
      </c>
      <c r="BQ93">
        <v>2631</v>
      </c>
      <c r="BR93">
        <v>2817</v>
      </c>
    </row>
    <row r="94" spans="1:70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  <c r="BP94">
        <v>144</v>
      </c>
      <c r="BQ94">
        <v>155</v>
      </c>
      <c r="BR94">
        <v>159</v>
      </c>
    </row>
    <row r="95" spans="1:70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  <c r="BP95">
        <v>10</v>
      </c>
      <c r="BQ95">
        <v>10</v>
      </c>
      <c r="BR95">
        <v>10</v>
      </c>
    </row>
    <row r="96" spans="1:70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  <c r="BP96">
        <v>2046</v>
      </c>
      <c r="BQ96">
        <v>2201</v>
      </c>
      <c r="BR96">
        <v>2395</v>
      </c>
    </row>
    <row r="97" spans="1:70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  <c r="BP97">
        <v>12</v>
      </c>
      <c r="BQ97">
        <v>14</v>
      </c>
      <c r="BR97">
        <v>18</v>
      </c>
    </row>
    <row r="98" spans="1:70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  <c r="BP98">
        <v>581</v>
      </c>
      <c r="BQ98">
        <v>719</v>
      </c>
      <c r="BR98">
        <v>859</v>
      </c>
    </row>
    <row r="99" spans="1:70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  <c r="BP99">
        <v>1595</v>
      </c>
      <c r="BQ99">
        <v>1823</v>
      </c>
      <c r="BR99">
        <v>1924</v>
      </c>
    </row>
    <row r="100" spans="1:70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  <c r="BP100">
        <v>536</v>
      </c>
      <c r="BQ100">
        <v>576</v>
      </c>
      <c r="BR100">
        <v>609</v>
      </c>
    </row>
    <row r="101" spans="1:70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  <c r="BP101">
        <v>13</v>
      </c>
      <c r="BQ101">
        <v>19</v>
      </c>
      <c r="BR101">
        <v>24</v>
      </c>
    </row>
    <row r="102" spans="1:70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  <c r="BP102">
        <v>12</v>
      </c>
      <c r="BQ102">
        <v>12</v>
      </c>
      <c r="BR102">
        <v>12</v>
      </c>
    </row>
    <row r="103" spans="1:70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  <c r="BP103">
        <v>6</v>
      </c>
      <c r="BQ103">
        <v>6</v>
      </c>
      <c r="BR103">
        <v>12</v>
      </c>
    </row>
    <row r="104" spans="1:70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  <c r="BP104">
        <v>575</v>
      </c>
      <c r="BQ104">
        <v>645</v>
      </c>
      <c r="BR104">
        <v>679</v>
      </c>
    </row>
    <row r="105" spans="1:70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  <c r="BP105">
        <v>9</v>
      </c>
      <c r="BQ105">
        <v>9</v>
      </c>
      <c r="BR105">
        <v>9</v>
      </c>
    </row>
    <row r="106" spans="1:70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  <c r="BP106">
        <v>16</v>
      </c>
      <c r="BQ106">
        <v>16</v>
      </c>
      <c r="BR106">
        <v>21</v>
      </c>
    </row>
    <row r="107" spans="1:70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  <c r="BP107">
        <v>5</v>
      </c>
      <c r="BQ107">
        <v>5</v>
      </c>
      <c r="BR107">
        <v>5</v>
      </c>
    </row>
    <row r="108" spans="1:70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  <c r="BP108">
        <v>1041</v>
      </c>
      <c r="BQ108">
        <v>1167</v>
      </c>
      <c r="BR108">
        <v>1240</v>
      </c>
    </row>
    <row r="109" spans="1:70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  <c r="BP109">
        <v>28</v>
      </c>
      <c r="BQ109">
        <v>28</v>
      </c>
      <c r="BR109">
        <v>28</v>
      </c>
    </row>
    <row r="110" spans="1:70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  <c r="BP110">
        <v>30</v>
      </c>
      <c r="BQ110">
        <v>30</v>
      </c>
      <c r="BR110">
        <v>30</v>
      </c>
    </row>
    <row r="111" spans="1:70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  <c r="BP111">
        <v>73</v>
      </c>
      <c r="BQ111">
        <v>102</v>
      </c>
      <c r="BR111">
        <v>106</v>
      </c>
    </row>
    <row r="112" spans="1:70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  <c r="BP112">
        <v>50</v>
      </c>
      <c r="BQ112">
        <v>63</v>
      </c>
      <c r="BR112">
        <v>63</v>
      </c>
    </row>
    <row r="113" spans="1:70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  <c r="BP113">
        <v>15</v>
      </c>
      <c r="BQ113">
        <v>15</v>
      </c>
      <c r="BR113">
        <v>15</v>
      </c>
    </row>
    <row r="114" spans="1:70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  <c r="BP114">
        <v>145</v>
      </c>
      <c r="BQ114">
        <v>183</v>
      </c>
      <c r="BR114">
        <v>183</v>
      </c>
    </row>
    <row r="115" spans="1:70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5</v>
      </c>
      <c r="BQ115">
        <v>5</v>
      </c>
      <c r="BR115">
        <v>5</v>
      </c>
    </row>
    <row r="116" spans="1:70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  <c r="BP116">
        <v>11</v>
      </c>
      <c r="BQ116">
        <v>11</v>
      </c>
      <c r="BR116">
        <v>11</v>
      </c>
    </row>
    <row r="117" spans="1:70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  <c r="BP117">
        <v>81</v>
      </c>
      <c r="BQ117">
        <v>93</v>
      </c>
      <c r="BR117">
        <v>93</v>
      </c>
    </row>
    <row r="118" spans="1:70" x14ac:dyDescent="0.2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  <c r="BP118">
        <v>32964</v>
      </c>
      <c r="BQ118">
        <v>37575</v>
      </c>
      <c r="BR118">
        <v>40174</v>
      </c>
    </row>
    <row r="119" spans="1:70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  <c r="BP119">
        <v>7</v>
      </c>
      <c r="BQ119">
        <v>7</v>
      </c>
      <c r="BR119">
        <v>7</v>
      </c>
    </row>
    <row r="120" spans="1:70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4</v>
      </c>
    </row>
    <row r="121" spans="1:70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  <c r="BP121">
        <v>83</v>
      </c>
      <c r="BQ121">
        <v>90</v>
      </c>
      <c r="BR121">
        <v>91</v>
      </c>
    </row>
    <row r="122" spans="1:70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  <c r="BP122">
        <v>50871</v>
      </c>
      <c r="BQ122">
        <v>57695</v>
      </c>
      <c r="BR122">
        <v>62095</v>
      </c>
    </row>
    <row r="123" spans="1:70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  <c r="BP123">
        <v>137</v>
      </c>
      <c r="BQ123">
        <v>141</v>
      </c>
      <c r="BR123">
        <v>152</v>
      </c>
    </row>
    <row r="124" spans="1:70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  <c r="BP124">
        <v>966</v>
      </c>
      <c r="BQ124">
        <v>1061</v>
      </c>
      <c r="BR124">
        <v>1156</v>
      </c>
    </row>
    <row r="125" spans="1:70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  <c r="BP125">
        <v>28</v>
      </c>
      <c r="BQ125">
        <v>34</v>
      </c>
      <c r="BR125">
        <v>34</v>
      </c>
    </row>
    <row r="126" spans="1:70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  <c r="BP126">
        <v>8</v>
      </c>
      <c r="BQ126">
        <v>8</v>
      </c>
      <c r="BR126">
        <v>16</v>
      </c>
    </row>
    <row r="127" spans="1:70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  <c r="BP127">
        <v>5</v>
      </c>
      <c r="BQ127">
        <v>8</v>
      </c>
      <c r="BR127">
        <v>8</v>
      </c>
    </row>
    <row r="128" spans="1:70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  <c r="BP128">
        <v>8</v>
      </c>
      <c r="BQ128">
        <v>8</v>
      </c>
      <c r="BR128">
        <v>15</v>
      </c>
    </row>
    <row r="129" spans="1:70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  <c r="BP129">
        <v>4</v>
      </c>
      <c r="BQ129">
        <v>6</v>
      </c>
      <c r="BR129">
        <v>6</v>
      </c>
    </row>
    <row r="130" spans="1:70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  <c r="BP130">
        <v>68</v>
      </c>
      <c r="BQ130">
        <v>95</v>
      </c>
      <c r="BR130">
        <v>110</v>
      </c>
    </row>
    <row r="131" spans="1:70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  <c r="BP131">
        <v>300</v>
      </c>
      <c r="BQ131">
        <v>343</v>
      </c>
      <c r="BR131">
        <v>408</v>
      </c>
    </row>
    <row r="132" spans="1:70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  <c r="BP132">
        <v>890</v>
      </c>
      <c r="BQ132">
        <v>963</v>
      </c>
      <c r="BR132">
        <v>1020</v>
      </c>
    </row>
    <row r="133" spans="1:70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  <c r="BP133">
        <v>887</v>
      </c>
      <c r="BQ133">
        <v>987</v>
      </c>
      <c r="BR133">
        <v>1024</v>
      </c>
    </row>
    <row r="134" spans="1:70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  <c r="BP134">
        <v>1046</v>
      </c>
      <c r="BQ134">
        <v>1155</v>
      </c>
      <c r="BR134">
        <v>1285</v>
      </c>
    </row>
    <row r="135" spans="1:70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  <c r="BP135">
        <v>32332</v>
      </c>
      <c r="BQ135">
        <v>35408</v>
      </c>
      <c r="BR135">
        <v>38309</v>
      </c>
    </row>
    <row r="136" spans="1:70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  <c r="BP136">
        <v>458</v>
      </c>
      <c r="BQ136">
        <v>506</v>
      </c>
      <c r="BR136">
        <v>547</v>
      </c>
    </row>
    <row r="137" spans="1:70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  <c r="BP137">
        <v>2121</v>
      </c>
      <c r="BQ137">
        <v>2415</v>
      </c>
      <c r="BR137">
        <v>2615</v>
      </c>
    </row>
    <row r="138" spans="1:70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  <c r="BP138">
        <v>3035</v>
      </c>
      <c r="BQ138">
        <v>3619</v>
      </c>
      <c r="BR138">
        <v>4247</v>
      </c>
    </row>
    <row r="139" spans="1:70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  <c r="BP139">
        <v>86498</v>
      </c>
      <c r="BQ139">
        <v>92472</v>
      </c>
      <c r="BR139">
        <v>97689</v>
      </c>
    </row>
    <row r="140" spans="1:70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  <c r="BP140">
        <v>26</v>
      </c>
      <c r="BQ140">
        <v>30</v>
      </c>
      <c r="BR140">
        <v>32</v>
      </c>
    </row>
    <row r="141" spans="1:70" x14ac:dyDescent="0.2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  <c r="BP141">
        <v>1468</v>
      </c>
      <c r="BQ141">
        <v>1693</v>
      </c>
      <c r="BR141">
        <v>1866</v>
      </c>
    </row>
    <row r="142" spans="1:70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  <c r="BP142">
        <v>235</v>
      </c>
      <c r="BQ142">
        <v>246</v>
      </c>
      <c r="BR142">
        <v>259</v>
      </c>
    </row>
    <row r="143" spans="1:70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  <c r="BP143">
        <v>150</v>
      </c>
      <c r="BQ143">
        <v>228</v>
      </c>
      <c r="BR143">
        <v>284</v>
      </c>
    </row>
    <row r="144" spans="1:70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  <c r="BP144">
        <v>31</v>
      </c>
      <c r="BQ144">
        <v>38</v>
      </c>
      <c r="BR144">
        <v>42</v>
      </c>
    </row>
    <row r="145" spans="1:70" x14ac:dyDescent="0.2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  <c r="BP145">
        <v>9332</v>
      </c>
      <c r="BQ145">
        <v>9478</v>
      </c>
      <c r="BR145">
        <v>9583</v>
      </c>
    </row>
    <row r="146" spans="1:70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  <c r="BP146">
        <v>225</v>
      </c>
      <c r="BQ146">
        <v>235</v>
      </c>
      <c r="BR146">
        <v>255</v>
      </c>
    </row>
    <row r="147" spans="1:70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  <c r="BP147">
        <v>58</v>
      </c>
      <c r="BQ147">
        <v>58</v>
      </c>
      <c r="BR147">
        <v>84</v>
      </c>
    </row>
    <row r="148" spans="1:70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  <c r="BP148">
        <v>280</v>
      </c>
      <c r="BQ148">
        <v>305</v>
      </c>
      <c r="BR148">
        <v>347</v>
      </c>
    </row>
    <row r="149" spans="1:70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  <c r="BP149">
        <v>391</v>
      </c>
      <c r="BQ149">
        <v>412</v>
      </c>
      <c r="BR149">
        <v>438</v>
      </c>
    </row>
    <row r="150" spans="1:70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</row>
    <row r="151" spans="1:70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  <c r="BP151">
        <v>56</v>
      </c>
      <c r="BQ151">
        <v>56</v>
      </c>
      <c r="BR151">
        <v>56</v>
      </c>
    </row>
    <row r="152" spans="1:70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  <c r="BP152">
        <v>358</v>
      </c>
      <c r="BQ152">
        <v>394</v>
      </c>
      <c r="BR152">
        <v>460</v>
      </c>
    </row>
    <row r="153" spans="1:70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  <c r="BP153">
        <v>1605</v>
      </c>
      <c r="BQ153">
        <v>1831</v>
      </c>
      <c r="BR153">
        <v>1950</v>
      </c>
    </row>
    <row r="154" spans="1:70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  <c r="BP154">
        <v>26</v>
      </c>
      <c r="BQ154">
        <v>26</v>
      </c>
      <c r="BR154">
        <v>39</v>
      </c>
    </row>
    <row r="155" spans="1:70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  <c r="BP155">
        <v>2161</v>
      </c>
      <c r="BQ155">
        <v>2320</v>
      </c>
      <c r="BR155">
        <v>2470</v>
      </c>
    </row>
    <row r="156" spans="1:70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16</v>
      </c>
      <c r="BQ156">
        <v>16</v>
      </c>
      <c r="BR156">
        <v>17</v>
      </c>
    </row>
    <row r="157" spans="1:70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  <c r="BP157">
        <v>139</v>
      </c>
      <c r="BQ157">
        <v>149</v>
      </c>
      <c r="BR157">
        <v>151</v>
      </c>
    </row>
    <row r="158" spans="1:70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  <c r="BP158">
        <v>3</v>
      </c>
      <c r="BQ158">
        <v>5</v>
      </c>
      <c r="BR158">
        <v>5</v>
      </c>
    </row>
    <row r="159" spans="1:70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  <c r="BP159">
        <v>94</v>
      </c>
      <c r="BQ159">
        <v>102</v>
      </c>
      <c r="BR159">
        <v>107</v>
      </c>
    </row>
    <row r="160" spans="1:70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  <c r="BO160">
        <v>475</v>
      </c>
      <c r="BP160">
        <v>585</v>
      </c>
      <c r="BQ160">
        <v>717</v>
      </c>
      <c r="BR160">
        <v>848</v>
      </c>
    </row>
    <row r="161" spans="1:70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  <c r="BP161">
        <v>199</v>
      </c>
      <c r="BQ161">
        <v>231</v>
      </c>
      <c r="BR161">
        <v>263</v>
      </c>
    </row>
    <row r="162" spans="1:70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  <c r="BP162">
        <v>42</v>
      </c>
      <c r="BQ162">
        <v>42</v>
      </c>
      <c r="BR162">
        <v>46</v>
      </c>
    </row>
    <row r="163" spans="1:70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  <c r="BP163">
        <v>11</v>
      </c>
      <c r="BQ163">
        <v>12</v>
      </c>
      <c r="BR163">
        <v>12</v>
      </c>
    </row>
    <row r="164" spans="1:70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  <c r="BP164">
        <v>82</v>
      </c>
      <c r="BQ164">
        <v>84</v>
      </c>
      <c r="BR164">
        <v>85</v>
      </c>
    </row>
    <row r="165" spans="1:70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  <c r="BP165">
        <v>345</v>
      </c>
      <c r="BQ165">
        <v>402</v>
      </c>
      <c r="BR165">
        <v>479</v>
      </c>
    </row>
    <row r="166" spans="1:70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  <c r="BP166">
        <v>8</v>
      </c>
      <c r="BQ166">
        <v>8</v>
      </c>
      <c r="BR166">
        <v>11</v>
      </c>
    </row>
    <row r="167" spans="1:70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  <c r="BP167">
        <v>4</v>
      </c>
      <c r="BQ167">
        <v>5</v>
      </c>
      <c r="BR167">
        <v>5</v>
      </c>
    </row>
    <row r="168" spans="1:70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  <c r="BP168">
        <v>33</v>
      </c>
      <c r="BQ168">
        <v>46</v>
      </c>
      <c r="BR168">
        <v>50</v>
      </c>
    </row>
    <row r="169" spans="1:70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  <c r="BP169">
        <v>8</v>
      </c>
      <c r="BQ169">
        <v>8</v>
      </c>
      <c r="BR169">
        <v>8</v>
      </c>
    </row>
    <row r="170" spans="1:70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  <c r="BP170">
        <v>3</v>
      </c>
      <c r="BQ170">
        <v>3</v>
      </c>
      <c r="BR170">
        <v>6</v>
      </c>
    </row>
    <row r="171" spans="1:70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  <c r="BP171">
        <v>8603</v>
      </c>
      <c r="BQ171">
        <v>9762</v>
      </c>
      <c r="BR171">
        <v>10866</v>
      </c>
    </row>
    <row r="172" spans="1:70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  <c r="BP172">
        <v>368</v>
      </c>
      <c r="BQ172">
        <v>451</v>
      </c>
      <c r="BR172">
        <v>514</v>
      </c>
    </row>
    <row r="173" spans="1:70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4</v>
      </c>
      <c r="BR173">
        <v>4</v>
      </c>
    </row>
    <row r="174" spans="1:70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  <c r="BP174">
        <v>10</v>
      </c>
      <c r="BQ174">
        <v>10</v>
      </c>
      <c r="BR174">
        <v>18</v>
      </c>
    </row>
    <row r="175" spans="1:70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  <c r="BP175">
        <v>70</v>
      </c>
      <c r="BQ175">
        <v>89</v>
      </c>
      <c r="BR175">
        <v>111</v>
      </c>
    </row>
    <row r="176" spans="1:70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  <c r="BP176">
        <v>219</v>
      </c>
      <c r="BQ176">
        <v>241</v>
      </c>
      <c r="BR176">
        <v>259</v>
      </c>
    </row>
    <row r="177" spans="1:70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  <c r="BP177">
        <v>3755</v>
      </c>
      <c r="BQ177">
        <v>4015</v>
      </c>
      <c r="BR177">
        <v>4284</v>
      </c>
    </row>
    <row r="178" spans="1:70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  <c r="BP178">
        <v>131</v>
      </c>
      <c r="BQ178">
        <v>152</v>
      </c>
      <c r="BR178">
        <v>167</v>
      </c>
    </row>
    <row r="179" spans="1:70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  <c r="BP179">
        <v>1373</v>
      </c>
      <c r="BQ179">
        <v>1495</v>
      </c>
      <c r="BR179">
        <v>1597</v>
      </c>
    </row>
    <row r="180" spans="1:70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  <c r="BP180">
        <v>674</v>
      </c>
      <c r="BQ180">
        <v>786</v>
      </c>
      <c r="BR180">
        <v>901</v>
      </c>
    </row>
    <row r="181" spans="1:70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</row>
    <row r="182" spans="1:70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  <c r="BP182">
        <v>52</v>
      </c>
      <c r="BQ182">
        <v>56</v>
      </c>
      <c r="BR182">
        <v>59</v>
      </c>
    </row>
    <row r="183" spans="1:70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  <c r="BP183">
        <v>635</v>
      </c>
      <c r="BQ183">
        <v>671</v>
      </c>
      <c r="BR183">
        <v>852</v>
      </c>
    </row>
    <row r="184" spans="1:70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  <c r="BP184">
        <v>803</v>
      </c>
      <c r="BQ184">
        <v>1075</v>
      </c>
      <c r="BR184">
        <v>1418</v>
      </c>
    </row>
    <row r="185" spans="1:70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  <c r="BP185">
        <v>1389</v>
      </c>
      <c r="BQ185">
        <v>1638</v>
      </c>
      <c r="BR185">
        <v>1862</v>
      </c>
    </row>
    <row r="186" spans="1:70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  <c r="BP186">
        <v>4268</v>
      </c>
      <c r="BQ186">
        <v>5170</v>
      </c>
      <c r="BR186">
        <v>5962</v>
      </c>
    </row>
    <row r="187" spans="1:70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  <c r="BP187">
        <v>562</v>
      </c>
      <c r="BQ187">
        <v>590</v>
      </c>
      <c r="BR187">
        <v>634</v>
      </c>
    </row>
    <row r="188" spans="1:70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  <c r="BP188">
        <v>1292</v>
      </c>
      <c r="BQ188">
        <v>1452</v>
      </c>
      <c r="BR188">
        <v>1815</v>
      </c>
    </row>
    <row r="189" spans="1:70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  <c r="BP189">
        <v>1036</v>
      </c>
      <c r="BQ189">
        <v>1264</v>
      </c>
      <c r="BR189">
        <v>1534</v>
      </c>
    </row>
    <row r="190" spans="1:70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  <c r="BP190">
        <v>54</v>
      </c>
      <c r="BQ190">
        <v>60</v>
      </c>
      <c r="BR190">
        <v>70</v>
      </c>
    </row>
    <row r="191" spans="1:70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  <c r="BP191">
        <v>3</v>
      </c>
      <c r="BQ191">
        <v>3</v>
      </c>
      <c r="BR191">
        <v>9</v>
      </c>
    </row>
    <row r="192" spans="1:70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</row>
    <row r="193" spans="1:70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  <c r="BP193">
        <v>223</v>
      </c>
      <c r="BQ193">
        <v>224</v>
      </c>
      <c r="BR193">
        <v>224</v>
      </c>
    </row>
    <row r="194" spans="1:70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  <c r="BP194">
        <v>1104</v>
      </c>
      <c r="BQ194">
        <v>1203</v>
      </c>
      <c r="BR194">
        <v>1299</v>
      </c>
    </row>
    <row r="195" spans="1:70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  <c r="BP195">
        <v>119</v>
      </c>
      <c r="BQ195">
        <v>130</v>
      </c>
      <c r="BR195">
        <v>142</v>
      </c>
    </row>
    <row r="196" spans="1:70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  <c r="BP196">
        <v>457</v>
      </c>
      <c r="BQ196">
        <v>659</v>
      </c>
      <c r="BR196">
        <v>741</v>
      </c>
    </row>
    <row r="197" spans="1:70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8</v>
      </c>
      <c r="BR197">
        <v>8</v>
      </c>
    </row>
    <row r="198" spans="1:70" x14ac:dyDescent="0.2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  <c r="BP198">
        <v>732</v>
      </c>
      <c r="BQ198">
        <v>802</v>
      </c>
      <c r="BR198">
        <v>844</v>
      </c>
    </row>
    <row r="199" spans="1:70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  <c r="BP199">
        <v>269</v>
      </c>
      <c r="BQ199">
        <v>292</v>
      </c>
      <c r="BR199">
        <v>314</v>
      </c>
    </row>
    <row r="200" spans="1:70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  <c r="BP200">
        <v>632</v>
      </c>
      <c r="BQ200">
        <v>684</v>
      </c>
      <c r="BR200">
        <v>730</v>
      </c>
    </row>
    <row r="201" spans="1:70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  <c r="BP201">
        <v>3</v>
      </c>
      <c r="BQ201">
        <v>3</v>
      </c>
      <c r="BR201">
        <v>3</v>
      </c>
    </row>
    <row r="202" spans="1:70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  <c r="BP202">
        <v>1170</v>
      </c>
      <c r="BQ202">
        <v>1187</v>
      </c>
      <c r="BR202">
        <v>1280</v>
      </c>
    </row>
    <row r="203" spans="1:70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  <c r="BP203">
        <v>65719</v>
      </c>
      <c r="BQ203">
        <v>73235</v>
      </c>
      <c r="BR203">
        <v>80110</v>
      </c>
    </row>
    <row r="204" spans="1:70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  <c r="BP204">
        <v>106</v>
      </c>
      <c r="BQ204">
        <v>113</v>
      </c>
      <c r="BR204">
        <v>117</v>
      </c>
    </row>
    <row r="205" spans="1:70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  <c r="BP205">
        <v>3</v>
      </c>
      <c r="BQ205">
        <v>5</v>
      </c>
      <c r="BR205">
        <v>6</v>
      </c>
    </row>
    <row r="206" spans="1:70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  <c r="BP206">
        <v>8</v>
      </c>
      <c r="BQ206">
        <v>8</v>
      </c>
      <c r="BR206">
        <v>8</v>
      </c>
    </row>
    <row r="207" spans="1:70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  <c r="BP207">
        <v>3069</v>
      </c>
      <c r="BQ207">
        <v>3447</v>
      </c>
      <c r="BR207">
        <v>3700</v>
      </c>
    </row>
    <row r="208" spans="1:70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  <c r="BP208">
        <v>12928</v>
      </c>
      <c r="BQ208">
        <v>14076</v>
      </c>
      <c r="BR208">
        <v>14829</v>
      </c>
    </row>
    <row r="209" spans="1:70" x14ac:dyDescent="0.2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  <c r="BP209">
        <v>267</v>
      </c>
      <c r="BQ209">
        <v>283</v>
      </c>
      <c r="BR209">
        <v>298</v>
      </c>
    </row>
    <row r="210" spans="1:70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  <c r="BP210">
        <v>13</v>
      </c>
      <c r="BQ210">
        <v>14</v>
      </c>
      <c r="BR210">
        <v>14</v>
      </c>
    </row>
    <row r="211" spans="1:70" x14ac:dyDescent="0.2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  <c r="BP211">
        <v>1136</v>
      </c>
      <c r="BQ211">
        <v>1245</v>
      </c>
      <c r="BR211">
        <v>1388</v>
      </c>
    </row>
    <row r="212" spans="1:70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  <c r="BP212">
        <v>25</v>
      </c>
      <c r="BQ212">
        <v>25</v>
      </c>
      <c r="BR212">
        <v>25</v>
      </c>
    </row>
    <row r="213" spans="1:70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  <c r="BP213">
        <v>66</v>
      </c>
      <c r="BQ213">
        <v>74</v>
      </c>
      <c r="BR213">
        <v>78</v>
      </c>
    </row>
    <row r="214" spans="1:70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  <c r="BP214">
        <v>227</v>
      </c>
      <c r="BQ214">
        <v>278</v>
      </c>
      <c r="BR214">
        <v>312</v>
      </c>
    </row>
    <row r="215" spans="1:70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  <c r="BP215">
        <v>5698</v>
      </c>
      <c r="BQ215">
        <v>7402</v>
      </c>
      <c r="BR215">
        <v>9217</v>
      </c>
    </row>
    <row r="216" spans="1:70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  <c r="BP216">
        <v>23</v>
      </c>
      <c r="BQ216">
        <v>30</v>
      </c>
      <c r="BR216">
        <v>33</v>
      </c>
    </row>
    <row r="217" spans="1:70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  <c r="BP217">
        <v>310</v>
      </c>
      <c r="BQ217">
        <v>356</v>
      </c>
      <c r="BR217">
        <v>475</v>
      </c>
    </row>
    <row r="218" spans="1:70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  <c r="BP218">
        <v>405</v>
      </c>
      <c r="BQ218">
        <v>468</v>
      </c>
      <c r="BR218">
        <v>570</v>
      </c>
    </row>
    <row r="219" spans="1:70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  <c r="BP219">
        <v>17</v>
      </c>
      <c r="BQ219">
        <v>17</v>
      </c>
      <c r="BR219">
        <v>22</v>
      </c>
    </row>
    <row r="220" spans="1:70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  <c r="BP220">
        <v>8</v>
      </c>
      <c r="BQ220">
        <v>8</v>
      </c>
      <c r="BR220">
        <v>8</v>
      </c>
    </row>
    <row r="221" spans="1:70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  <c r="BP221">
        <v>88</v>
      </c>
      <c r="BQ221">
        <v>97</v>
      </c>
      <c r="BR221">
        <v>108</v>
      </c>
    </row>
    <row r="222" spans="1:70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  <c r="BP222">
        <v>55</v>
      </c>
      <c r="BQ222">
        <v>56</v>
      </c>
      <c r="BR222">
        <v>65</v>
      </c>
    </row>
    <row r="223" spans="1:70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  <c r="BP223">
        <v>29</v>
      </c>
      <c r="BQ223">
        <v>32</v>
      </c>
      <c r="BR223">
        <v>42</v>
      </c>
    </row>
    <row r="224" spans="1:70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  <c r="BP224">
        <v>5</v>
      </c>
      <c r="BQ224">
        <v>5</v>
      </c>
      <c r="BR224">
        <v>5</v>
      </c>
    </row>
    <row r="225" spans="1:70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  <c r="BP225">
        <v>14543</v>
      </c>
      <c r="BQ225">
        <v>17089</v>
      </c>
      <c r="BR225">
        <v>19522</v>
      </c>
    </row>
    <row r="226" spans="1:70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  <c r="BP226">
        <v>238</v>
      </c>
      <c r="BQ226">
        <v>274</v>
      </c>
      <c r="BR226">
        <v>304</v>
      </c>
    </row>
    <row r="227" spans="1:70" x14ac:dyDescent="0.2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  <c r="BO227">
        <v>83836</v>
      </c>
      <c r="BP227">
        <v>101657</v>
      </c>
      <c r="BQ227">
        <v>121478</v>
      </c>
      <c r="BR227">
        <v>140886</v>
      </c>
    </row>
    <row r="228" spans="1:70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  <c r="BP228">
        <v>88</v>
      </c>
      <c r="BQ228">
        <v>104</v>
      </c>
      <c r="BR228">
        <v>144</v>
      </c>
    </row>
    <row r="229" spans="1:70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  <c r="BP229">
        <v>107</v>
      </c>
      <c r="BQ229">
        <v>119</v>
      </c>
      <c r="BR229">
        <v>119</v>
      </c>
    </row>
    <row r="230" spans="1:70" x14ac:dyDescent="0.2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  <c r="BP230">
        <v>163</v>
      </c>
      <c r="BQ230">
        <v>174</v>
      </c>
      <c r="BR230">
        <v>188</v>
      </c>
    </row>
    <row r="231" spans="1:70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  <c r="BP231">
        <v>22</v>
      </c>
      <c r="BQ231">
        <v>28</v>
      </c>
      <c r="BR231">
        <v>29</v>
      </c>
    </row>
    <row r="232" spans="1:70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  <c r="BP232">
        <v>5</v>
      </c>
      <c r="BQ232">
        <v>7</v>
      </c>
      <c r="BR232">
        <v>7</v>
      </c>
    </row>
    <row r="233" spans="1:70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</row>
    <row r="234" spans="1:70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  <c r="BP234">
        <v>11</v>
      </c>
      <c r="BQ234">
        <v>11</v>
      </c>
      <c r="BR234">
        <v>11</v>
      </c>
    </row>
    <row r="235" spans="1:70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  <c r="BP235">
        <v>7</v>
      </c>
      <c r="BQ235">
        <v>7</v>
      </c>
      <c r="BR235">
        <v>9</v>
      </c>
    </row>
    <row r="236" spans="1:70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  <c r="BP236">
        <v>7</v>
      </c>
      <c r="BQ236">
        <v>8</v>
      </c>
      <c r="BR236">
        <v>8</v>
      </c>
    </row>
    <row r="237" spans="1:70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  <c r="BP237">
        <v>5</v>
      </c>
      <c r="BQ237">
        <v>5</v>
      </c>
      <c r="BR237">
        <v>9</v>
      </c>
    </row>
    <row r="238" spans="1:70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</row>
    <row r="239" spans="1:70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  <c r="BP239">
        <v>2</v>
      </c>
      <c r="BQ239">
        <v>2</v>
      </c>
      <c r="BR239">
        <v>2</v>
      </c>
    </row>
    <row r="240" spans="1:70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</row>
    <row r="241" spans="1:70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  <c r="BP241">
        <v>6</v>
      </c>
      <c r="BQ241">
        <v>8</v>
      </c>
      <c r="BR241">
        <v>8</v>
      </c>
    </row>
    <row r="242" spans="1:70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  <c r="BP242">
        <v>1</v>
      </c>
      <c r="BQ242">
        <v>3</v>
      </c>
      <c r="BR242">
        <v>8</v>
      </c>
    </row>
    <row r="243" spans="1:70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  <c r="BP243">
        <v>91</v>
      </c>
      <c r="BQ243">
        <v>98</v>
      </c>
      <c r="BR243">
        <v>109</v>
      </c>
    </row>
    <row r="244" spans="1:70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  <c r="BP244">
        <v>2</v>
      </c>
      <c r="BQ244">
        <v>2</v>
      </c>
      <c r="BR244">
        <v>2</v>
      </c>
    </row>
    <row r="245" spans="1:70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  <c r="BP245">
        <v>11</v>
      </c>
      <c r="BQ245">
        <v>18</v>
      </c>
      <c r="BR245">
        <v>18</v>
      </c>
    </row>
    <row r="246" spans="1:70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  <c r="BP246">
        <v>2</v>
      </c>
      <c r="BQ246">
        <v>2</v>
      </c>
      <c r="BR246">
        <v>2</v>
      </c>
    </row>
    <row r="247" spans="1:70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  <c r="BP247">
        <v>1</v>
      </c>
      <c r="BQ247">
        <v>1</v>
      </c>
      <c r="BR247">
        <v>1</v>
      </c>
    </row>
    <row r="248" spans="1:70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  <c r="BP248">
        <v>3</v>
      </c>
      <c r="BQ248">
        <v>4</v>
      </c>
      <c r="BR248">
        <v>4</v>
      </c>
    </row>
    <row r="249" spans="1:70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  <c r="BP249">
        <v>86</v>
      </c>
      <c r="BQ249">
        <v>91</v>
      </c>
      <c r="BR249">
        <v>94</v>
      </c>
    </row>
    <row r="250" spans="1:70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8</v>
      </c>
      <c r="BQ250">
        <v>8</v>
      </c>
      <c r="BR250">
        <v>10</v>
      </c>
    </row>
    <row r="251" spans="1:70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2</v>
      </c>
      <c r="BR251">
        <v>2</v>
      </c>
    </row>
    <row r="252" spans="1:70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2</v>
      </c>
      <c r="BR252">
        <v>2</v>
      </c>
    </row>
    <row r="253" spans="1:70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4</v>
      </c>
      <c r="BR253">
        <v>4</v>
      </c>
    </row>
    <row r="254" spans="1:70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2</v>
      </c>
      <c r="BR254">
        <v>2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54"/>
  <sheetViews>
    <sheetView workbookViewId="0">
      <selection sqref="A1:BN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  <c r="BP2">
        <v>4</v>
      </c>
      <c r="BQ2">
        <v>4</v>
      </c>
      <c r="BR2">
        <v>4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  <c r="BP3">
        <v>8</v>
      </c>
      <c r="BQ3">
        <v>10</v>
      </c>
      <c r="BR3">
        <v>10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  <c r="BP4">
        <v>26</v>
      </c>
      <c r="BQ4">
        <v>29</v>
      </c>
      <c r="BR4">
        <v>31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  <c r="BP5">
        <v>3</v>
      </c>
      <c r="BQ5">
        <v>3</v>
      </c>
      <c r="BR5">
        <v>6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2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  <c r="BP8">
        <v>13</v>
      </c>
      <c r="BQ8">
        <v>18</v>
      </c>
      <c r="BR8">
        <v>19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3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  <c r="BP11">
        <v>7</v>
      </c>
      <c r="BQ11">
        <v>8</v>
      </c>
      <c r="BR11">
        <v>8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1</v>
      </c>
      <c r="BQ13">
        <v>1</v>
      </c>
      <c r="BR13">
        <v>2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  <c r="BP16">
        <v>3</v>
      </c>
      <c r="BQ16">
        <v>3</v>
      </c>
      <c r="BR16">
        <v>4</v>
      </c>
    </row>
    <row r="17" spans="1:70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  <c r="BP17">
        <v>2</v>
      </c>
      <c r="BQ17">
        <v>2</v>
      </c>
      <c r="BR17">
        <v>2</v>
      </c>
    </row>
    <row r="18" spans="1:70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  <c r="BP18">
        <v>58</v>
      </c>
      <c r="BQ18">
        <v>68</v>
      </c>
      <c r="BR18">
        <v>86</v>
      </c>
    </row>
    <row r="19" spans="1:70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  <c r="BP19">
        <v>3</v>
      </c>
      <c r="BQ19">
        <v>4</v>
      </c>
      <c r="BR19">
        <v>4</v>
      </c>
    </row>
    <row r="20" spans="1:70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</row>
    <row r="21" spans="1:70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  <c r="BP21">
        <v>4</v>
      </c>
      <c r="BQ21">
        <v>4</v>
      </c>
      <c r="BR21">
        <v>4</v>
      </c>
    </row>
    <row r="22" spans="1:70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  <c r="BP22">
        <v>5</v>
      </c>
      <c r="BQ22">
        <v>5</v>
      </c>
      <c r="BR22">
        <v>5</v>
      </c>
    </row>
    <row r="23" spans="1:70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</row>
    <row r="25" spans="1:70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  <c r="BP25">
        <v>289</v>
      </c>
      <c r="BQ25">
        <v>353</v>
      </c>
      <c r="BR25">
        <v>431</v>
      </c>
    </row>
    <row r="26" spans="1:70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1</v>
      </c>
    </row>
    <row r="29" spans="1:70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  <c r="BP29">
        <v>4</v>
      </c>
      <c r="BQ29">
        <v>5</v>
      </c>
      <c r="BR29">
        <v>6</v>
      </c>
    </row>
    <row r="30" spans="1:70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  <c r="BP30">
        <v>92</v>
      </c>
      <c r="BQ30">
        <v>111</v>
      </c>
      <c r="BR30">
        <v>136</v>
      </c>
    </row>
    <row r="31" spans="1:70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</row>
    <row r="32" spans="1:70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7</v>
      </c>
      <c r="BR32">
        <v>8</v>
      </c>
    </row>
    <row r="33" spans="1:70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  <c r="BP33">
        <v>9</v>
      </c>
      <c r="BQ33">
        <v>11</v>
      </c>
      <c r="BR33">
        <v>12</v>
      </c>
    </row>
    <row r="34" spans="1:70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</row>
    <row r="35" spans="1:70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  <c r="BP36">
        <v>2</v>
      </c>
      <c r="BQ36">
        <v>2</v>
      </c>
      <c r="BR36">
        <v>6</v>
      </c>
    </row>
    <row r="37" spans="1:70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  <c r="BP37">
        <v>2</v>
      </c>
      <c r="BQ37">
        <v>2</v>
      </c>
      <c r="BR37">
        <v>2</v>
      </c>
    </row>
    <row r="38" spans="1:70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  <c r="BP38">
        <v>14</v>
      </c>
      <c r="BQ38">
        <v>17</v>
      </c>
      <c r="BR38">
        <v>17</v>
      </c>
    </row>
    <row r="39" spans="1:70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1</v>
      </c>
      <c r="BR40">
        <v>1</v>
      </c>
    </row>
    <row r="41" spans="1:70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</row>
    <row r="42" spans="1:70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</row>
    <row r="43" spans="1:70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</row>
    <row r="44" spans="1:70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  <c r="BP44">
        <v>18</v>
      </c>
      <c r="BQ44">
        <v>18</v>
      </c>
      <c r="BR44">
        <v>21</v>
      </c>
    </row>
    <row r="45" spans="1:70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</row>
    <row r="46" spans="1:70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  <c r="BP46">
        <v>18</v>
      </c>
      <c r="BQ46">
        <v>22</v>
      </c>
      <c r="BR46">
        <v>22</v>
      </c>
    </row>
    <row r="47" spans="1:70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</row>
    <row r="48" spans="1:70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</row>
    <row r="49" spans="1:70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</row>
    <row r="50" spans="1:70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  <c r="BP50">
        <v>5</v>
      </c>
      <c r="BQ50">
        <v>6</v>
      </c>
      <c r="BR50">
        <v>7</v>
      </c>
    </row>
    <row r="51" spans="1:70" x14ac:dyDescent="0.2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</row>
    <row r="52" spans="1:70" x14ac:dyDescent="0.2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</row>
    <row r="53" spans="1:70" x14ac:dyDescent="0.2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</row>
    <row r="54" spans="1:70" x14ac:dyDescent="0.2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</row>
    <row r="55" spans="1:70" x14ac:dyDescent="0.2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</row>
    <row r="56" spans="1:70" x14ac:dyDescent="0.2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</row>
    <row r="57" spans="1:70" x14ac:dyDescent="0.2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</row>
    <row r="58" spans="1:70" x14ac:dyDescent="0.2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</row>
    <row r="59" spans="1:70" x14ac:dyDescent="0.2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</row>
    <row r="60" spans="1:70" x14ac:dyDescent="0.2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</row>
    <row r="61" spans="1:70" x14ac:dyDescent="0.2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</row>
    <row r="62" spans="1:70" x14ac:dyDescent="0.2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</row>
    <row r="63" spans="1:70" x14ac:dyDescent="0.2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</row>
    <row r="64" spans="1:70" x14ac:dyDescent="0.2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  <c r="BP64">
        <v>3174</v>
      </c>
      <c r="BQ64">
        <v>3177</v>
      </c>
      <c r="BR64">
        <v>3182</v>
      </c>
    </row>
    <row r="65" spans="1:70" x14ac:dyDescent="0.2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</row>
    <row r="66" spans="1:70" x14ac:dyDescent="0.2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</row>
    <row r="67" spans="1:70" x14ac:dyDescent="0.2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</row>
    <row r="68" spans="1:70" x14ac:dyDescent="0.2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</row>
    <row r="69" spans="1:70" x14ac:dyDescent="0.2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</row>
    <row r="70" spans="1:70" x14ac:dyDescent="0.2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</row>
    <row r="71" spans="1:70" x14ac:dyDescent="0.2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</row>
    <row r="72" spans="1:70" x14ac:dyDescent="0.2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</row>
    <row r="73" spans="1:70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</row>
    <row r="74" spans="1:70" x14ac:dyDescent="0.2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</row>
    <row r="75" spans="1:70" x14ac:dyDescent="0.2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</row>
    <row r="76" spans="1:70" x14ac:dyDescent="0.2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  <c r="BP76">
        <v>5</v>
      </c>
      <c r="BQ76">
        <v>5</v>
      </c>
      <c r="BR76">
        <v>5</v>
      </c>
    </row>
    <row r="77" spans="1:70" x14ac:dyDescent="0.2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</row>
    <row r="78" spans="1:70" x14ac:dyDescent="0.2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</row>
    <row r="79" spans="1:70" x14ac:dyDescent="0.2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</row>
    <row r="80" spans="1:70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</row>
    <row r="81" spans="1:70" x14ac:dyDescent="0.2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</row>
    <row r="82" spans="1:70" x14ac:dyDescent="0.2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</row>
    <row r="83" spans="1:70" x14ac:dyDescent="0.2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</row>
    <row r="84" spans="1:70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  <c r="BP84">
        <v>6</v>
      </c>
      <c r="BQ84">
        <v>6</v>
      </c>
      <c r="BR84">
        <v>10</v>
      </c>
    </row>
    <row r="85" spans="1:70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</row>
    <row r="86" spans="1:70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  <c r="BP86">
        <v>3</v>
      </c>
      <c r="BQ86">
        <v>6</v>
      </c>
      <c r="BR86">
        <v>6</v>
      </c>
    </row>
    <row r="87" spans="1:70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</row>
    <row r="88" spans="1:70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1</v>
      </c>
    </row>
    <row r="89" spans="1:70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  <c r="BP89">
        <v>3</v>
      </c>
      <c r="BQ89">
        <v>5</v>
      </c>
      <c r="BR89">
        <v>6</v>
      </c>
    </row>
    <row r="90" spans="1:70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  <c r="BP90">
        <v>10</v>
      </c>
      <c r="BQ90">
        <v>10</v>
      </c>
      <c r="BR90">
        <v>10</v>
      </c>
    </row>
    <row r="91" spans="1:70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  <c r="BP91">
        <v>2</v>
      </c>
      <c r="BQ91">
        <v>3</v>
      </c>
      <c r="BR91">
        <v>3</v>
      </c>
    </row>
    <row r="92" spans="1:70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  <c r="BP92">
        <v>5</v>
      </c>
      <c r="BQ92">
        <v>5</v>
      </c>
      <c r="BR92">
        <v>5</v>
      </c>
    </row>
    <row r="93" spans="1:70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  <c r="BP93">
        <v>9</v>
      </c>
      <c r="BQ93">
        <v>11</v>
      </c>
      <c r="BR93">
        <v>16</v>
      </c>
    </row>
    <row r="94" spans="1:70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</row>
    <row r="95" spans="1:70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</row>
    <row r="96" spans="1:70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  <c r="BP96">
        <v>52</v>
      </c>
      <c r="BQ96">
        <v>65</v>
      </c>
      <c r="BR96">
        <v>72</v>
      </c>
    </row>
    <row r="97" spans="1:70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</row>
    <row r="98" spans="1:70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  <c r="BP98">
        <v>20</v>
      </c>
      <c r="BQ98">
        <v>28</v>
      </c>
      <c r="BR98">
        <v>39</v>
      </c>
    </row>
    <row r="99" spans="1:70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  <c r="BP99">
        <v>36</v>
      </c>
      <c r="BQ99">
        <v>48</v>
      </c>
      <c r="BR99">
        <v>58</v>
      </c>
    </row>
    <row r="100" spans="1:70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  <c r="BP100">
        <v>30</v>
      </c>
      <c r="BQ100">
        <v>36</v>
      </c>
      <c r="BR100">
        <v>40</v>
      </c>
    </row>
    <row r="101" spans="1:70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</row>
    <row r="102" spans="1:70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</row>
    <row r="103" spans="1:70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</row>
    <row r="104" spans="1:70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  <c r="BP104">
        <v>1</v>
      </c>
      <c r="BQ104">
        <v>1</v>
      </c>
      <c r="BR104">
        <v>3</v>
      </c>
    </row>
    <row r="105" spans="1:70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</row>
    <row r="106" spans="1:70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</row>
    <row r="107" spans="1:70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</row>
    <row r="108" spans="1:70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  <c r="BP108">
        <v>7</v>
      </c>
      <c r="BQ108">
        <v>9</v>
      </c>
      <c r="BR108">
        <v>11</v>
      </c>
    </row>
    <row r="109" spans="1:70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</row>
    <row r="110" spans="1:70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</row>
    <row r="111" spans="1:70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2</v>
      </c>
      <c r="BR111">
        <v>4</v>
      </c>
    </row>
    <row r="112" spans="1:70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</row>
    <row r="113" spans="1:70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</row>
    <row r="114" spans="1:70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</row>
    <row r="115" spans="1:70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</row>
    <row r="116" spans="1:70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</row>
    <row r="117" spans="1:70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</row>
    <row r="118" spans="1:70" x14ac:dyDescent="0.2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  <c r="BP118">
        <v>1995</v>
      </c>
      <c r="BQ118">
        <v>2314</v>
      </c>
      <c r="BR118">
        <v>2606</v>
      </c>
    </row>
    <row r="119" spans="1:70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</row>
    <row r="120" spans="1:70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</row>
    <row r="121" spans="1:70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</row>
    <row r="122" spans="1:70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  <c r="BP122">
        <v>342</v>
      </c>
      <c r="BQ122">
        <v>433</v>
      </c>
      <c r="BR122">
        <v>533</v>
      </c>
    </row>
    <row r="123" spans="1:70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  <c r="BP123">
        <v>4</v>
      </c>
      <c r="BQ123">
        <v>5</v>
      </c>
      <c r="BR123">
        <v>5</v>
      </c>
    </row>
    <row r="124" spans="1:70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  <c r="BP124">
        <v>28</v>
      </c>
      <c r="BQ124">
        <v>32</v>
      </c>
      <c r="BR124">
        <v>38</v>
      </c>
    </row>
    <row r="125" spans="1:70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</row>
    <row r="126" spans="1:70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</row>
    <row r="127" spans="1:70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</row>
    <row r="128" spans="1:70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</row>
    <row r="129" spans="1:70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</row>
    <row r="130" spans="1:70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3</v>
      </c>
    </row>
    <row r="131" spans="1:70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  <c r="BP131">
        <v>10</v>
      </c>
      <c r="BQ131">
        <v>11</v>
      </c>
      <c r="BR131">
        <v>13</v>
      </c>
    </row>
    <row r="132" spans="1:70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  <c r="BP132">
        <v>2</v>
      </c>
      <c r="BQ132">
        <v>2</v>
      </c>
      <c r="BR132">
        <v>2</v>
      </c>
    </row>
    <row r="133" spans="1:70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  <c r="BP133">
        <v>20</v>
      </c>
      <c r="BQ133">
        <v>24</v>
      </c>
      <c r="BR133">
        <v>27</v>
      </c>
    </row>
    <row r="134" spans="1:70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  <c r="BP134">
        <v>87</v>
      </c>
      <c r="BQ134">
        <v>102</v>
      </c>
      <c r="BR134">
        <v>114</v>
      </c>
    </row>
    <row r="135" spans="1:70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  <c r="BP135">
        <v>2378</v>
      </c>
      <c r="BQ135">
        <v>2517</v>
      </c>
      <c r="BR135">
        <v>2640</v>
      </c>
    </row>
    <row r="136" spans="1:70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  <c r="BP136">
        <v>40</v>
      </c>
      <c r="BQ136">
        <v>42</v>
      </c>
      <c r="BR136">
        <v>42</v>
      </c>
    </row>
    <row r="137" spans="1:70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  <c r="BP137">
        <v>22</v>
      </c>
      <c r="BQ137">
        <v>36</v>
      </c>
      <c r="BR137">
        <v>46</v>
      </c>
    </row>
    <row r="138" spans="1:70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  <c r="BP138">
        <v>12</v>
      </c>
      <c r="BQ138">
        <v>12</v>
      </c>
      <c r="BR138">
        <v>15</v>
      </c>
    </row>
    <row r="139" spans="1:70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  <c r="BP139">
        <v>9134</v>
      </c>
      <c r="BQ139">
        <v>10023</v>
      </c>
      <c r="BR139">
        <v>10779</v>
      </c>
    </row>
    <row r="140" spans="1:70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</row>
    <row r="141" spans="1:70" x14ac:dyDescent="0.2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  <c r="BP141">
        <v>49</v>
      </c>
      <c r="BQ141">
        <v>52</v>
      </c>
      <c r="BR141">
        <v>54</v>
      </c>
    </row>
    <row r="142" spans="1:70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1</v>
      </c>
      <c r="BQ142">
        <v>1</v>
      </c>
      <c r="BR142">
        <v>3</v>
      </c>
    </row>
    <row r="143" spans="1:70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  <c r="BP143">
        <v>1</v>
      </c>
      <c r="BQ143">
        <v>1</v>
      </c>
      <c r="BR143">
        <v>1</v>
      </c>
    </row>
    <row r="144" spans="1:70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  <c r="BP144">
        <v>1</v>
      </c>
      <c r="BQ144">
        <v>1</v>
      </c>
      <c r="BR144">
        <v>1</v>
      </c>
    </row>
    <row r="145" spans="1:70" x14ac:dyDescent="0.2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  <c r="BP145">
        <v>139</v>
      </c>
      <c r="BQ145">
        <v>144</v>
      </c>
      <c r="BR145">
        <v>152</v>
      </c>
    </row>
    <row r="146" spans="1:70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</row>
    <row r="147" spans="1:70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</row>
    <row r="148" spans="1:70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</row>
    <row r="149" spans="1:70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  <c r="BP149">
        <v>8</v>
      </c>
      <c r="BQ149">
        <v>8</v>
      </c>
      <c r="BR149">
        <v>10</v>
      </c>
    </row>
    <row r="150" spans="1:70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</row>
    <row r="151" spans="1:70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</row>
    <row r="152" spans="1:70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  <c r="BP152">
        <v>5</v>
      </c>
      <c r="BQ152">
        <v>7</v>
      </c>
      <c r="BR152">
        <v>7</v>
      </c>
    </row>
    <row r="153" spans="1:70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  <c r="BP153">
        <v>15</v>
      </c>
      <c r="BQ153">
        <v>18</v>
      </c>
      <c r="BR153">
        <v>21</v>
      </c>
    </row>
    <row r="154" spans="1:70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</row>
    <row r="155" spans="1:70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  <c r="BP155">
        <v>26</v>
      </c>
      <c r="BQ155">
        <v>27</v>
      </c>
      <c r="BR155">
        <v>35</v>
      </c>
    </row>
    <row r="156" spans="1:70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</row>
    <row r="157" spans="1:70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</row>
    <row r="158" spans="1:70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</row>
    <row r="159" spans="1:70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3</v>
      </c>
    </row>
    <row r="160" spans="1:70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  <c r="BO160">
        <v>6</v>
      </c>
      <c r="BP160">
        <v>8</v>
      </c>
      <c r="BQ160">
        <v>12</v>
      </c>
      <c r="BR160">
        <v>16</v>
      </c>
    </row>
    <row r="161" spans="1:70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2</v>
      </c>
      <c r="BQ161">
        <v>2</v>
      </c>
      <c r="BR161">
        <v>2</v>
      </c>
    </row>
    <row r="162" spans="1:70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1</v>
      </c>
    </row>
    <row r="163" spans="1:70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</row>
    <row r="164" spans="1:70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</row>
    <row r="165" spans="1:70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  <c r="BP165">
        <v>23</v>
      </c>
      <c r="BQ165">
        <v>25</v>
      </c>
      <c r="BR165">
        <v>26</v>
      </c>
    </row>
    <row r="166" spans="1:70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</row>
    <row r="167" spans="1:70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</row>
    <row r="168" spans="1:70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</row>
    <row r="169" spans="1:70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</row>
    <row r="170" spans="1:70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</row>
    <row r="171" spans="1:70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  <c r="BP171">
        <v>546</v>
      </c>
      <c r="BQ171">
        <v>639</v>
      </c>
      <c r="BR171">
        <v>771</v>
      </c>
    </row>
    <row r="172" spans="1:70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1</v>
      </c>
    </row>
    <row r="173" spans="1:70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</row>
    <row r="174" spans="1:70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1</v>
      </c>
      <c r="BR174">
        <v>1</v>
      </c>
    </row>
    <row r="175" spans="1:70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</row>
    <row r="176" spans="1:70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  <c r="BP176">
        <v>3</v>
      </c>
      <c r="BQ176">
        <v>4</v>
      </c>
      <c r="BR176">
        <v>6</v>
      </c>
    </row>
    <row r="177" spans="1:70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  <c r="BP177">
        <v>19</v>
      </c>
      <c r="BQ177">
        <v>23</v>
      </c>
      <c r="BR177">
        <v>25</v>
      </c>
    </row>
    <row r="178" spans="1:70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</row>
    <row r="179" spans="1:70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  <c r="BP179">
        <v>11</v>
      </c>
      <c r="BQ179">
        <v>12</v>
      </c>
      <c r="BR179">
        <v>14</v>
      </c>
    </row>
    <row r="180" spans="1:70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  <c r="BP180">
        <v>9</v>
      </c>
      <c r="BQ180">
        <v>14</v>
      </c>
      <c r="BR180">
        <v>17</v>
      </c>
    </row>
    <row r="181" spans="1:70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</row>
    <row r="182" spans="1:70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  <c r="BP182">
        <v>3</v>
      </c>
      <c r="BQ182">
        <v>3</v>
      </c>
      <c r="BR182">
        <v>3</v>
      </c>
    </row>
    <row r="183" spans="1:70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  <c r="BP183">
        <v>11</v>
      </c>
      <c r="BQ183">
        <v>16</v>
      </c>
      <c r="BR183">
        <v>18</v>
      </c>
    </row>
    <row r="184" spans="1:70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  <c r="BP184">
        <v>54</v>
      </c>
      <c r="BQ184">
        <v>68</v>
      </c>
      <c r="BR184">
        <v>71</v>
      </c>
    </row>
    <row r="185" spans="1:70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  <c r="BP185">
        <v>16</v>
      </c>
      <c r="BQ185">
        <v>18</v>
      </c>
      <c r="BR185">
        <v>22</v>
      </c>
    </row>
    <row r="186" spans="1:70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  <c r="BP186">
        <v>76</v>
      </c>
      <c r="BQ186">
        <v>100</v>
      </c>
      <c r="BR186">
        <v>119</v>
      </c>
    </row>
    <row r="187" spans="1:70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1</v>
      </c>
    </row>
    <row r="188" spans="1:70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  <c r="BP188">
        <v>26</v>
      </c>
      <c r="BQ188">
        <v>37</v>
      </c>
      <c r="BR188">
        <v>43</v>
      </c>
    </row>
    <row r="189" spans="1:70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  <c r="BP189">
        <v>4</v>
      </c>
      <c r="BQ189">
        <v>4</v>
      </c>
      <c r="BR189">
        <v>8</v>
      </c>
    </row>
    <row r="190" spans="1:70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</row>
    <row r="191" spans="1:70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</row>
    <row r="192" spans="1:70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</row>
    <row r="193" spans="1:70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  <c r="BP193">
        <v>21</v>
      </c>
      <c r="BQ193">
        <v>22</v>
      </c>
      <c r="BR193">
        <v>22</v>
      </c>
    </row>
    <row r="194" spans="1:70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  <c r="BP194">
        <v>3</v>
      </c>
      <c r="BQ194">
        <v>4</v>
      </c>
      <c r="BR194">
        <v>8</v>
      </c>
    </row>
    <row r="195" spans="1:70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</row>
    <row r="196" spans="1:70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  <c r="BP196">
        <v>1</v>
      </c>
      <c r="BQ196">
        <v>10</v>
      </c>
      <c r="BR196">
        <v>13</v>
      </c>
    </row>
    <row r="197" spans="1:70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</row>
    <row r="198" spans="1:70" x14ac:dyDescent="0.2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3</v>
      </c>
    </row>
    <row r="199" spans="1:70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</row>
    <row r="200" spans="1:70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  <c r="BP200">
        <v>9</v>
      </c>
      <c r="BQ200">
        <v>9</v>
      </c>
      <c r="BR200">
        <v>11</v>
      </c>
    </row>
    <row r="201" spans="1:70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</row>
    <row r="202" spans="1:70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1</v>
      </c>
      <c r="BQ202">
        <v>1</v>
      </c>
      <c r="BR202">
        <v>2</v>
      </c>
    </row>
    <row r="203" spans="1:70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  <c r="BP203">
        <v>5138</v>
      </c>
      <c r="BQ203">
        <v>5982</v>
      </c>
      <c r="BR203">
        <v>6803</v>
      </c>
    </row>
    <row r="204" spans="1:70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1</v>
      </c>
      <c r="BR204">
        <v>1</v>
      </c>
    </row>
    <row r="205" spans="1:70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</row>
    <row r="206" spans="1:70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</row>
    <row r="207" spans="1:70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  <c r="BP207">
        <v>105</v>
      </c>
      <c r="BQ207">
        <v>105</v>
      </c>
      <c r="BR207">
        <v>110</v>
      </c>
    </row>
    <row r="208" spans="1:70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  <c r="BP208">
        <v>231</v>
      </c>
      <c r="BQ208">
        <v>264</v>
      </c>
      <c r="BR208">
        <v>300</v>
      </c>
    </row>
    <row r="209" spans="1:70" x14ac:dyDescent="0.2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</row>
    <row r="210" spans="1:70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</row>
    <row r="211" spans="1:70" x14ac:dyDescent="0.2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  <c r="BP211">
        <v>5</v>
      </c>
      <c r="BQ211">
        <v>6</v>
      </c>
      <c r="BR211">
        <v>7</v>
      </c>
    </row>
    <row r="212" spans="1:70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1</v>
      </c>
      <c r="BQ212">
        <v>1</v>
      </c>
      <c r="BR212">
        <v>1</v>
      </c>
    </row>
    <row r="213" spans="1:70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  <c r="BP213">
        <v>2</v>
      </c>
      <c r="BQ213">
        <v>3</v>
      </c>
      <c r="BR213">
        <v>3</v>
      </c>
    </row>
    <row r="214" spans="1:70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  <c r="BP214">
        <v>6</v>
      </c>
      <c r="BQ214">
        <v>8</v>
      </c>
      <c r="BR214">
        <v>8</v>
      </c>
    </row>
    <row r="215" spans="1:70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  <c r="BP215">
        <v>92</v>
      </c>
      <c r="BQ215">
        <v>108</v>
      </c>
      <c r="BR215">
        <v>131</v>
      </c>
    </row>
    <row r="216" spans="1:70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</row>
    <row r="217" spans="1:70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  <c r="BP217">
        <v>5</v>
      </c>
      <c r="BQ217">
        <v>9</v>
      </c>
      <c r="BR217">
        <v>10</v>
      </c>
    </row>
    <row r="218" spans="1:70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3</v>
      </c>
    </row>
    <row r="219" spans="1:70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</row>
    <row r="220" spans="1:70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</row>
    <row r="221" spans="1:70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  <c r="BP221">
        <v>1</v>
      </c>
      <c r="BQ221">
        <v>1</v>
      </c>
      <c r="BR221">
        <v>2</v>
      </c>
    </row>
    <row r="222" spans="1:70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</row>
    <row r="223" spans="1:70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</row>
    <row r="224" spans="1:70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</row>
    <row r="225" spans="1:70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  <c r="BO225">
        <v>578</v>
      </c>
      <c r="BP225">
        <v>759</v>
      </c>
      <c r="BQ225">
        <v>1019</v>
      </c>
      <c r="BR225">
        <v>1228</v>
      </c>
    </row>
    <row r="226" spans="1:70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1</v>
      </c>
    </row>
    <row r="227" spans="1:70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  <c r="BO227">
        <v>1209</v>
      </c>
      <c r="BP227">
        <v>1581</v>
      </c>
      <c r="BQ227">
        <v>2026</v>
      </c>
      <c r="BR227">
        <v>2467</v>
      </c>
    </row>
    <row r="228" spans="1:70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1</v>
      </c>
      <c r="BQ228">
        <v>2</v>
      </c>
      <c r="BR228">
        <v>2</v>
      </c>
    </row>
    <row r="229" spans="1:70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2</v>
      </c>
      <c r="BR229">
        <v>2</v>
      </c>
    </row>
    <row r="230" spans="1:70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</row>
    <row r="231" spans="1:70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</row>
    <row r="232" spans="1:70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</row>
    <row r="233" spans="1:70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</row>
    <row r="234" spans="1:70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</row>
    <row r="235" spans="1:70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</row>
    <row r="236" spans="1:70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</row>
    <row r="237" spans="1:70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1</v>
      </c>
    </row>
    <row r="238" spans="1:70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</row>
    <row r="239" spans="1:70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</row>
    <row r="240" spans="1:70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</row>
    <row r="241" spans="1:70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</row>
    <row r="242" spans="1:70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</row>
    <row r="243" spans="1:70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  <c r="BP243">
        <v>1</v>
      </c>
      <c r="BQ243">
        <v>1</v>
      </c>
      <c r="BR243">
        <v>1</v>
      </c>
    </row>
    <row r="244" spans="1:70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</row>
    <row r="245" spans="1:70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</v>
      </c>
    </row>
    <row r="246" spans="1:70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</row>
    <row r="247" spans="1:70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</row>
    <row r="248" spans="1:70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</row>
    <row r="249" spans="1:70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  <c r="BP249">
        <v>1</v>
      </c>
      <c r="BQ249">
        <v>1</v>
      </c>
      <c r="BR249">
        <v>1</v>
      </c>
    </row>
    <row r="250" spans="1:70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</row>
    <row r="251" spans="1:70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</row>
    <row r="252" spans="1:70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</row>
    <row r="253" spans="1:70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</row>
    <row r="254" spans="1:70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40"/>
  <sheetViews>
    <sheetView topLeftCell="AT1" workbookViewId="0">
      <selection activeCell="A115" sqref="A115:XFD115"/>
    </sheetView>
  </sheetViews>
  <sheetFormatPr baseColWidth="10" defaultRowHeight="15" x14ac:dyDescent="0.25"/>
  <cols>
    <col min="1" max="1" width="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6.5703125" bestFit="1" customWidth="1"/>
    <col min="100" max="100" width="30.85546875" bestFit="1" customWidth="1"/>
    <col min="101" max="110" width="10.28515625" bestFit="1" customWidth="1"/>
    <col min="111" max="119" width="9.140625" bestFit="1" customWidth="1"/>
    <col min="120" max="139" width="10.28515625" bestFit="1" customWidth="1"/>
    <col min="140" max="148" width="9.140625" bestFit="1" customWidth="1"/>
    <col min="149" max="161" width="10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  <c r="BP2">
        <v>2</v>
      </c>
      <c r="BQ2">
        <v>2</v>
      </c>
      <c r="BR2">
        <v>2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  <c r="BP3">
        <v>31</v>
      </c>
      <c r="BQ3">
        <v>31</v>
      </c>
      <c r="BR3">
        <v>33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  <c r="BP4">
        <v>29</v>
      </c>
      <c r="BQ4">
        <v>31</v>
      </c>
      <c r="BR4">
        <v>31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  <c r="BP8">
        <v>72</v>
      </c>
      <c r="BQ8">
        <v>72</v>
      </c>
      <c r="BR8">
        <v>72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  <c r="BP9">
        <v>28</v>
      </c>
      <c r="BQ9">
        <v>30</v>
      </c>
      <c r="BR9">
        <v>30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2</v>
      </c>
      <c r="BR10">
        <v>2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  <c r="BP11">
        <v>4</v>
      </c>
      <c r="BQ11">
        <v>4</v>
      </c>
      <c r="BR11">
        <v>4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  <c r="BP14">
        <v>6</v>
      </c>
      <c r="BQ14">
        <v>6</v>
      </c>
      <c r="BR14">
        <v>6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5</v>
      </c>
      <c r="BR15">
        <v>5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  <c r="BP16">
        <v>171</v>
      </c>
      <c r="BQ16">
        <v>191</v>
      </c>
      <c r="BR16">
        <v>191</v>
      </c>
    </row>
    <row r="17" spans="1:70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28</v>
      </c>
      <c r="BR17">
        <v>28</v>
      </c>
    </row>
    <row r="18" spans="1:70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  <c r="BP18">
        <v>225</v>
      </c>
      <c r="BQ18">
        <v>225</v>
      </c>
      <c r="BR18">
        <v>479</v>
      </c>
    </row>
    <row r="19" spans="1:70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  <c r="BP19">
        <v>15</v>
      </c>
      <c r="BQ19">
        <v>15</v>
      </c>
      <c r="BR19">
        <v>15</v>
      </c>
    </row>
    <row r="20" spans="1:70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</row>
    <row r="21" spans="1:70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  <c r="BP21">
        <v>227</v>
      </c>
      <c r="BQ21">
        <v>265</v>
      </c>
      <c r="BR21">
        <v>272</v>
      </c>
    </row>
    <row r="22" spans="1:70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  <c r="BP22">
        <v>11</v>
      </c>
      <c r="BQ22">
        <v>15</v>
      </c>
      <c r="BR22">
        <v>15</v>
      </c>
    </row>
    <row r="23" spans="1:70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  <c r="BP24">
        <v>32</v>
      </c>
      <c r="BQ24">
        <v>32</v>
      </c>
      <c r="BR24">
        <v>32</v>
      </c>
    </row>
    <row r="25" spans="1:70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  <c r="BP25">
        <v>858</v>
      </c>
      <c r="BQ25">
        <v>1063</v>
      </c>
      <c r="BR25">
        <v>1359</v>
      </c>
    </row>
    <row r="26" spans="1:70" x14ac:dyDescent="0.25">
      <c r="A26" s="1" t="s">
        <v>2</v>
      </c>
      <c r="B26" s="1" t="s">
        <v>331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2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2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</row>
    <row r="29" spans="1:70" x14ac:dyDescent="0.2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</row>
    <row r="30" spans="1:70" x14ac:dyDescent="0.2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5</v>
      </c>
      <c r="BQ30">
        <v>5</v>
      </c>
      <c r="BR30">
        <v>8</v>
      </c>
    </row>
    <row r="31" spans="1:70" x14ac:dyDescent="0.2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  <c r="BP31">
        <v>6</v>
      </c>
      <c r="BQ31">
        <v>6</v>
      </c>
      <c r="BR31">
        <v>6</v>
      </c>
    </row>
    <row r="32" spans="1:70" x14ac:dyDescent="0.2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  <c r="BP32">
        <v>11</v>
      </c>
      <c r="BQ32">
        <v>25</v>
      </c>
      <c r="BR32">
        <v>34</v>
      </c>
    </row>
    <row r="33" spans="1:70" x14ac:dyDescent="0.2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  <c r="BP33">
        <v>9</v>
      </c>
      <c r="BQ33">
        <v>11</v>
      </c>
      <c r="BR33">
        <v>14</v>
      </c>
    </row>
    <row r="34" spans="1:70" x14ac:dyDescent="0.2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  <c r="BP34">
        <v>12</v>
      </c>
      <c r="BQ34">
        <v>21</v>
      </c>
      <c r="BR34">
        <v>23</v>
      </c>
    </row>
    <row r="35" spans="1:70" x14ac:dyDescent="0.2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2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  <c r="BP36">
        <v>11</v>
      </c>
      <c r="BQ36">
        <v>13</v>
      </c>
      <c r="BR36">
        <v>21</v>
      </c>
    </row>
    <row r="37" spans="1:70" x14ac:dyDescent="0.2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  <c r="BP37">
        <v>2</v>
      </c>
      <c r="BQ37">
        <v>2</v>
      </c>
      <c r="BR37">
        <v>5</v>
      </c>
    </row>
    <row r="38" spans="1:70" x14ac:dyDescent="0.2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  <c r="BP38">
        <v>256</v>
      </c>
      <c r="BQ38">
        <v>466</v>
      </c>
      <c r="BR38">
        <v>466</v>
      </c>
    </row>
    <row r="39" spans="1:70" x14ac:dyDescent="0.2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2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</row>
    <row r="41" spans="1:70" x14ac:dyDescent="0.2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  <c r="BP41">
        <v>43</v>
      </c>
      <c r="BQ41">
        <v>61</v>
      </c>
      <c r="BR41">
        <v>75</v>
      </c>
    </row>
    <row r="42" spans="1:70" x14ac:dyDescent="0.2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  <c r="BP42">
        <v>984</v>
      </c>
      <c r="BQ42">
        <v>984</v>
      </c>
      <c r="BR42">
        <v>984</v>
      </c>
    </row>
    <row r="43" spans="1:70" x14ac:dyDescent="0.2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  <c r="BP43">
        <v>408</v>
      </c>
      <c r="BQ43">
        <v>410</v>
      </c>
      <c r="BR43">
        <v>412</v>
      </c>
    </row>
    <row r="44" spans="1:70" x14ac:dyDescent="0.2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  <c r="BP44">
        <v>570</v>
      </c>
      <c r="BQ44">
        <v>570</v>
      </c>
      <c r="BR44">
        <v>570</v>
      </c>
    </row>
    <row r="45" spans="1:70" x14ac:dyDescent="0.2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  <c r="BP45">
        <v>295</v>
      </c>
      <c r="BQ45">
        <v>295</v>
      </c>
      <c r="BR45">
        <v>295</v>
      </c>
    </row>
    <row r="46" spans="1:70" x14ac:dyDescent="0.2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  <c r="BP46">
        <v>123</v>
      </c>
      <c r="BQ46">
        <v>125</v>
      </c>
      <c r="BR46">
        <v>125</v>
      </c>
    </row>
    <row r="47" spans="1:70" x14ac:dyDescent="0.2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  <c r="BP47">
        <v>1337</v>
      </c>
      <c r="BQ47">
        <v>1341</v>
      </c>
      <c r="BR47">
        <v>1349</v>
      </c>
    </row>
    <row r="48" spans="1:70" x14ac:dyDescent="0.2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  <c r="BP48">
        <v>250</v>
      </c>
      <c r="BQ48">
        <v>250</v>
      </c>
      <c r="BR48">
        <v>250</v>
      </c>
    </row>
    <row r="49" spans="1:70" x14ac:dyDescent="0.2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  <c r="BP49">
        <v>144</v>
      </c>
      <c r="BQ49">
        <v>144</v>
      </c>
      <c r="BR49">
        <v>144</v>
      </c>
    </row>
    <row r="50" spans="1:70" x14ac:dyDescent="0.2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  <c r="BP50">
        <v>168</v>
      </c>
      <c r="BQ50">
        <v>168</v>
      </c>
      <c r="BR50">
        <v>168</v>
      </c>
    </row>
    <row r="51" spans="1:70" x14ac:dyDescent="0.2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  <c r="BP51">
        <v>310</v>
      </c>
      <c r="BQ51">
        <v>310</v>
      </c>
      <c r="BR51">
        <v>310</v>
      </c>
    </row>
    <row r="52" spans="1:70" x14ac:dyDescent="0.2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  <c r="BP52">
        <v>469</v>
      </c>
      <c r="BQ52">
        <v>469</v>
      </c>
      <c r="BR52">
        <v>469</v>
      </c>
    </row>
    <row r="53" spans="1:70" x14ac:dyDescent="0.2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  <c r="BP53">
        <v>1250</v>
      </c>
      <c r="BQ53">
        <v>1251</v>
      </c>
      <c r="BR53">
        <v>1251</v>
      </c>
    </row>
    <row r="54" spans="1:70" x14ac:dyDescent="0.2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  <c r="BP54">
        <v>110</v>
      </c>
      <c r="BQ54">
        <v>112</v>
      </c>
      <c r="BR54">
        <v>112</v>
      </c>
    </row>
    <row r="55" spans="1:70" x14ac:dyDescent="0.2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  <c r="BP55">
        <v>61732</v>
      </c>
      <c r="BQ55">
        <v>62098</v>
      </c>
      <c r="BR55">
        <v>62570</v>
      </c>
    </row>
    <row r="56" spans="1:70" x14ac:dyDescent="0.2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  <c r="BP56">
        <v>1014</v>
      </c>
      <c r="BQ56">
        <v>1014</v>
      </c>
      <c r="BR56">
        <v>1014</v>
      </c>
    </row>
    <row r="57" spans="1:70" x14ac:dyDescent="0.2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</row>
    <row r="58" spans="1:70" x14ac:dyDescent="0.2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  <c r="BP58">
        <v>631</v>
      </c>
      <c r="BQ58">
        <v>631</v>
      </c>
      <c r="BR58">
        <v>631</v>
      </c>
    </row>
    <row r="59" spans="1:70" x14ac:dyDescent="0.2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  <c r="BP59">
        <v>934</v>
      </c>
      <c r="BQ59">
        <v>934</v>
      </c>
      <c r="BR59">
        <v>934</v>
      </c>
    </row>
    <row r="60" spans="1:70" x14ac:dyDescent="0.2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  <c r="BP60">
        <v>92</v>
      </c>
      <c r="BQ60">
        <v>92</v>
      </c>
      <c r="BR60">
        <v>92</v>
      </c>
    </row>
    <row r="61" spans="1:70" x14ac:dyDescent="0.2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  <c r="BP61">
        <v>124</v>
      </c>
      <c r="BQ61">
        <v>124</v>
      </c>
      <c r="BR61">
        <v>124</v>
      </c>
    </row>
    <row r="62" spans="1:70" x14ac:dyDescent="0.2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  <c r="BP62">
        <v>10</v>
      </c>
      <c r="BQ62">
        <v>10</v>
      </c>
      <c r="BR62">
        <v>10</v>
      </c>
    </row>
    <row r="63" spans="1:70" x14ac:dyDescent="0.2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  <c r="BP63">
        <v>75</v>
      </c>
      <c r="BQ63">
        <v>75</v>
      </c>
      <c r="BR63">
        <v>75</v>
      </c>
    </row>
    <row r="64" spans="1:70" x14ac:dyDescent="0.2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  <c r="BP64">
        <v>18</v>
      </c>
      <c r="BQ64">
        <v>18</v>
      </c>
      <c r="BR64">
        <v>18</v>
      </c>
    </row>
    <row r="65" spans="1:70" x14ac:dyDescent="0.2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  <c r="BP65">
        <v>242</v>
      </c>
      <c r="BQ65">
        <v>242</v>
      </c>
      <c r="BR65">
        <v>242</v>
      </c>
    </row>
    <row r="66" spans="1:70" x14ac:dyDescent="0.2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  <c r="BP66">
        <v>752</v>
      </c>
      <c r="BQ66">
        <v>752</v>
      </c>
      <c r="BR66">
        <v>752</v>
      </c>
    </row>
    <row r="67" spans="1:70" x14ac:dyDescent="0.2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  <c r="BP67">
        <v>334</v>
      </c>
      <c r="BQ67">
        <v>334</v>
      </c>
      <c r="BR67">
        <v>334</v>
      </c>
    </row>
    <row r="68" spans="1:70" x14ac:dyDescent="0.2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  <c r="BP68">
        <v>133</v>
      </c>
      <c r="BQ68">
        <v>133</v>
      </c>
      <c r="BR68">
        <v>133</v>
      </c>
    </row>
    <row r="69" spans="1:70" x14ac:dyDescent="0.2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  <c r="BP69">
        <v>536</v>
      </c>
      <c r="BQ69">
        <v>536</v>
      </c>
      <c r="BR69">
        <v>536</v>
      </c>
    </row>
    <row r="70" spans="1:70" x14ac:dyDescent="0.2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  <c r="BP70">
        <v>133</v>
      </c>
      <c r="BQ70">
        <v>133</v>
      </c>
      <c r="BR70">
        <v>133</v>
      </c>
    </row>
    <row r="71" spans="1:70" x14ac:dyDescent="0.2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</row>
    <row r="72" spans="1:70" x14ac:dyDescent="0.2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  <c r="BP72">
        <v>73</v>
      </c>
      <c r="BQ72">
        <v>73</v>
      </c>
      <c r="BR72">
        <v>73</v>
      </c>
    </row>
    <row r="73" spans="1:70" x14ac:dyDescent="0.2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  <c r="BP73">
        <v>172</v>
      </c>
      <c r="BQ73">
        <v>172</v>
      </c>
      <c r="BR73">
        <v>172</v>
      </c>
    </row>
    <row r="74" spans="1:70" x14ac:dyDescent="0.2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  <c r="BP74">
        <v>1222</v>
      </c>
      <c r="BQ74">
        <v>1225</v>
      </c>
      <c r="BR74">
        <v>1225</v>
      </c>
    </row>
    <row r="75" spans="1:70" x14ac:dyDescent="0.2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  <c r="BP75">
        <v>10</v>
      </c>
      <c r="BQ75">
        <v>10</v>
      </c>
      <c r="BR75">
        <v>10</v>
      </c>
    </row>
    <row r="76" spans="1:70" x14ac:dyDescent="0.2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</row>
    <row r="77" spans="1:70" x14ac:dyDescent="0.2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2</v>
      </c>
      <c r="BQ77">
        <v>2</v>
      </c>
      <c r="BR77">
        <v>2</v>
      </c>
    </row>
    <row r="78" spans="1:70" x14ac:dyDescent="0.2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  <c r="BP78">
        <v>3</v>
      </c>
      <c r="BQ78">
        <v>3</v>
      </c>
      <c r="BR78">
        <v>3</v>
      </c>
    </row>
    <row r="79" spans="1:70" x14ac:dyDescent="0.2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  <c r="BP79">
        <v>3</v>
      </c>
      <c r="BQ79">
        <v>3</v>
      </c>
      <c r="BR79">
        <v>4</v>
      </c>
    </row>
    <row r="80" spans="1:70" x14ac:dyDescent="0.2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  <c r="BP80">
        <v>37</v>
      </c>
      <c r="BQ80">
        <v>45</v>
      </c>
      <c r="BR80">
        <v>52</v>
      </c>
    </row>
    <row r="81" spans="1:70" x14ac:dyDescent="0.2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  <c r="BP81">
        <v>597</v>
      </c>
      <c r="BQ81">
        <v>597</v>
      </c>
      <c r="BR81">
        <v>603</v>
      </c>
    </row>
    <row r="82" spans="1:70" x14ac:dyDescent="0.2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4</v>
      </c>
      <c r="BQ82">
        <v>4</v>
      </c>
      <c r="BR82">
        <v>4</v>
      </c>
    </row>
    <row r="83" spans="1:70" x14ac:dyDescent="0.2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  <c r="BP83">
        <v>15</v>
      </c>
      <c r="BQ83">
        <v>15</v>
      </c>
      <c r="BR83">
        <v>15</v>
      </c>
    </row>
    <row r="84" spans="1:70" x14ac:dyDescent="0.2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  <c r="BP84">
        <v>11</v>
      </c>
      <c r="BQ84">
        <v>11</v>
      </c>
      <c r="BR84">
        <v>11</v>
      </c>
    </row>
    <row r="85" spans="1:70" x14ac:dyDescent="0.2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  <c r="BP85">
        <v>54</v>
      </c>
      <c r="BQ85">
        <v>54</v>
      </c>
      <c r="BR85">
        <v>70</v>
      </c>
    </row>
    <row r="86" spans="1:70" x14ac:dyDescent="0.2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  <c r="BP86">
        <v>2</v>
      </c>
      <c r="BQ86">
        <v>2</v>
      </c>
      <c r="BR86">
        <v>2</v>
      </c>
    </row>
    <row r="87" spans="1:70" x14ac:dyDescent="0.2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</row>
    <row r="88" spans="1:70" x14ac:dyDescent="0.2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</row>
    <row r="89" spans="1:70" x14ac:dyDescent="0.2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</row>
    <row r="90" spans="1:70" x14ac:dyDescent="0.2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  <c r="BP90">
        <v>3</v>
      </c>
      <c r="BQ90">
        <v>3</v>
      </c>
      <c r="BR90">
        <v>3</v>
      </c>
    </row>
    <row r="91" spans="1:70" x14ac:dyDescent="0.2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  <c r="BP91">
        <v>3</v>
      </c>
      <c r="BQ91">
        <v>3</v>
      </c>
      <c r="BR91">
        <v>3</v>
      </c>
    </row>
    <row r="92" spans="1:70" x14ac:dyDescent="0.2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  <c r="BP92">
        <v>116</v>
      </c>
      <c r="BQ92">
        <v>121</v>
      </c>
      <c r="BR92">
        <v>132</v>
      </c>
    </row>
    <row r="93" spans="1:70" x14ac:dyDescent="0.2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</row>
    <row r="94" spans="1:70" x14ac:dyDescent="0.2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</row>
    <row r="95" spans="1:70" x14ac:dyDescent="0.2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</row>
    <row r="96" spans="1:70" x14ac:dyDescent="0.2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  <c r="BP96">
        <v>11</v>
      </c>
      <c r="BQ96">
        <v>20</v>
      </c>
      <c r="BR96">
        <v>20</v>
      </c>
    </row>
    <row r="97" spans="1:70" x14ac:dyDescent="0.2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</row>
    <row r="98" spans="1:70" x14ac:dyDescent="0.2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  <c r="BP98">
        <v>0</v>
      </c>
      <c r="BQ98">
        <v>1</v>
      </c>
      <c r="BR98">
        <v>1</v>
      </c>
    </row>
    <row r="99" spans="1:70" x14ac:dyDescent="0.2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</row>
    <row r="100" spans="1:70" x14ac:dyDescent="0.2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  <c r="BP100">
        <v>10</v>
      </c>
      <c r="BQ100">
        <v>10</v>
      </c>
      <c r="BR100">
        <v>10</v>
      </c>
    </row>
    <row r="101" spans="1:70" x14ac:dyDescent="0.2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  <c r="BP101">
        <v>6</v>
      </c>
      <c r="BQ101">
        <v>6</v>
      </c>
      <c r="BR101">
        <v>6</v>
      </c>
    </row>
    <row r="102" spans="1:70" x14ac:dyDescent="0.2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</row>
    <row r="103" spans="1:70" x14ac:dyDescent="0.2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17</v>
      </c>
      <c r="BR103">
        <v>17</v>
      </c>
    </row>
    <row r="104" spans="1:70" x14ac:dyDescent="0.2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</row>
    <row r="105" spans="1:70" x14ac:dyDescent="0.2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</row>
    <row r="106" spans="1:70" x14ac:dyDescent="0.2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</row>
    <row r="107" spans="1:70" x14ac:dyDescent="0.2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</row>
    <row r="108" spans="1:70" x14ac:dyDescent="0.2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</row>
    <row r="109" spans="1:70" x14ac:dyDescent="0.2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</row>
    <row r="110" spans="1:70" x14ac:dyDescent="0.2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  <c r="BP110">
        <v>5700</v>
      </c>
      <c r="BQ110">
        <v>5700</v>
      </c>
      <c r="BR110">
        <v>7202</v>
      </c>
    </row>
    <row r="111" spans="1:70" x14ac:dyDescent="0.2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</row>
    <row r="112" spans="1:70" x14ac:dyDescent="0.25">
      <c r="A112" s="1" t="s">
        <v>2</v>
      </c>
      <c r="B112" s="1" t="s">
        <v>330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</row>
    <row r="113" spans="1:70" x14ac:dyDescent="0.2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  <c r="BP113">
        <v>14</v>
      </c>
      <c r="BQ113">
        <v>14</v>
      </c>
      <c r="BR113">
        <v>18</v>
      </c>
    </row>
    <row r="114" spans="1:70" x14ac:dyDescent="0.2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  <c r="BP114">
        <v>6658</v>
      </c>
      <c r="BQ114">
        <v>8481</v>
      </c>
      <c r="BR114">
        <v>9211</v>
      </c>
    </row>
    <row r="115" spans="1:70" x14ac:dyDescent="0.2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  <c r="BP115">
        <v>2</v>
      </c>
      <c r="BQ115">
        <v>2</v>
      </c>
      <c r="BR115">
        <v>2</v>
      </c>
    </row>
    <row r="116" spans="1:70" x14ac:dyDescent="0.2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</row>
    <row r="117" spans="1:70" x14ac:dyDescent="0.2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  <c r="BP117">
        <v>52</v>
      </c>
      <c r="BQ117">
        <v>52</v>
      </c>
      <c r="BR117">
        <v>52</v>
      </c>
    </row>
    <row r="118" spans="1:70" x14ac:dyDescent="0.2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  <c r="BP118">
        <v>4</v>
      </c>
      <c r="BQ118">
        <v>10</v>
      </c>
      <c r="BR118">
        <v>10</v>
      </c>
    </row>
    <row r="119" spans="1:70" x14ac:dyDescent="0.2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</row>
    <row r="120" spans="1:70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</row>
    <row r="121" spans="1:70" x14ac:dyDescent="0.2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</row>
    <row r="122" spans="1:70" x14ac:dyDescent="0.2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1</v>
      </c>
    </row>
    <row r="123" spans="1:70" x14ac:dyDescent="0.2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</row>
    <row r="124" spans="1:70" x14ac:dyDescent="0.2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3</v>
      </c>
      <c r="BR124">
        <v>3</v>
      </c>
    </row>
    <row r="125" spans="1:70" x14ac:dyDescent="0.2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  <c r="BP125">
        <v>34</v>
      </c>
      <c r="BQ125">
        <v>34</v>
      </c>
      <c r="BR125">
        <v>34</v>
      </c>
    </row>
    <row r="126" spans="1:70" x14ac:dyDescent="0.2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  <c r="BP126">
        <v>97</v>
      </c>
      <c r="BQ126">
        <v>114</v>
      </c>
      <c r="BR126">
        <v>135</v>
      </c>
    </row>
    <row r="127" spans="1:70" x14ac:dyDescent="0.2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  <c r="BP127">
        <v>73</v>
      </c>
      <c r="BQ127">
        <v>84</v>
      </c>
      <c r="BR127">
        <v>95</v>
      </c>
    </row>
    <row r="128" spans="1:70" x14ac:dyDescent="0.2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  <c r="BP128">
        <v>46</v>
      </c>
      <c r="BQ128">
        <v>59</v>
      </c>
      <c r="BR128">
        <v>64</v>
      </c>
    </row>
    <row r="129" spans="1:70" x14ac:dyDescent="0.2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  <c r="BP129">
        <v>11133</v>
      </c>
      <c r="BQ129">
        <v>11679</v>
      </c>
      <c r="BR129">
        <v>12391</v>
      </c>
    </row>
    <row r="130" spans="1:70" x14ac:dyDescent="0.2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  <c r="BP130">
        <v>122</v>
      </c>
      <c r="BQ130">
        <v>131</v>
      </c>
      <c r="BR130">
        <v>143</v>
      </c>
    </row>
    <row r="131" spans="1:70" x14ac:dyDescent="0.2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</row>
    <row r="132" spans="1:70" x14ac:dyDescent="0.2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  <c r="BP132">
        <v>79</v>
      </c>
      <c r="BQ132">
        <v>89</v>
      </c>
      <c r="BR132">
        <v>132</v>
      </c>
    </row>
    <row r="133" spans="1:70" x14ac:dyDescent="0.2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  <c r="BP133">
        <v>10950</v>
      </c>
      <c r="BQ133">
        <v>12384</v>
      </c>
      <c r="BR133">
        <v>13030</v>
      </c>
    </row>
    <row r="134" spans="1:70" x14ac:dyDescent="0.2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  <c r="BP134">
        <v>2</v>
      </c>
      <c r="BQ134">
        <v>2</v>
      </c>
      <c r="BR134">
        <v>2</v>
      </c>
    </row>
    <row r="135" spans="1:70" x14ac:dyDescent="0.2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  <c r="BP135">
        <v>372</v>
      </c>
      <c r="BQ135">
        <v>404</v>
      </c>
      <c r="BR135">
        <v>424</v>
      </c>
    </row>
    <row r="136" spans="1:70" x14ac:dyDescent="0.2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18</v>
      </c>
      <c r="BQ136">
        <v>18</v>
      </c>
      <c r="BR136">
        <v>18</v>
      </c>
    </row>
    <row r="137" spans="1:70" x14ac:dyDescent="0.2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  <c r="BP137">
        <v>3</v>
      </c>
      <c r="BQ137">
        <v>16</v>
      </c>
      <c r="BR137">
        <v>20</v>
      </c>
    </row>
    <row r="138" spans="1:70" x14ac:dyDescent="0.2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  <c r="BP138">
        <v>1</v>
      </c>
      <c r="BQ138">
        <v>1</v>
      </c>
      <c r="BR138">
        <v>1</v>
      </c>
    </row>
    <row r="139" spans="1:70" x14ac:dyDescent="0.2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  <c r="BP139">
        <v>4528</v>
      </c>
      <c r="BQ139">
        <v>4811</v>
      </c>
      <c r="BR139">
        <v>5033</v>
      </c>
    </row>
    <row r="140" spans="1:70" x14ac:dyDescent="0.2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  <c r="BP140">
        <v>57</v>
      </c>
      <c r="BQ140">
        <v>64</v>
      </c>
      <c r="BR140">
        <v>67</v>
      </c>
    </row>
    <row r="141" spans="1:70" x14ac:dyDescent="0.2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</row>
    <row r="142" spans="1:70" x14ac:dyDescent="0.2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</row>
    <row r="143" spans="1:70" x14ac:dyDescent="0.2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  <c r="BP143">
        <v>27</v>
      </c>
      <c r="BQ143">
        <v>30</v>
      </c>
      <c r="BR143">
        <v>30</v>
      </c>
    </row>
    <row r="144" spans="1:70" x14ac:dyDescent="0.2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</row>
    <row r="145" spans="1:70" x14ac:dyDescent="0.25">
      <c r="A145" s="1" t="s">
        <v>2</v>
      </c>
      <c r="B145" s="1" t="s">
        <v>333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</row>
    <row r="146" spans="1:70" x14ac:dyDescent="0.2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</row>
    <row r="147" spans="1:70" x14ac:dyDescent="0.2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</row>
    <row r="148" spans="1:70" x14ac:dyDescent="0.2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  <c r="BP148">
        <v>40</v>
      </c>
      <c r="BQ148">
        <v>40</v>
      </c>
      <c r="BR148">
        <v>40</v>
      </c>
    </row>
    <row r="149" spans="1:70" x14ac:dyDescent="0.2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</row>
    <row r="150" spans="1:70" x14ac:dyDescent="0.2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  <c r="BP150">
        <v>259</v>
      </c>
      <c r="BQ150">
        <v>320</v>
      </c>
      <c r="BR150">
        <v>388</v>
      </c>
    </row>
    <row r="151" spans="1:70" x14ac:dyDescent="0.2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  <c r="BP151">
        <v>9</v>
      </c>
      <c r="BQ151">
        <v>9</v>
      </c>
      <c r="BR151">
        <v>13</v>
      </c>
    </row>
    <row r="152" spans="1:70" x14ac:dyDescent="0.25">
      <c r="A152" s="1" t="s">
        <v>2</v>
      </c>
      <c r="B152" s="1" t="s">
        <v>336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</row>
    <row r="153" spans="1:70" x14ac:dyDescent="0.2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</row>
    <row r="154" spans="1:70" x14ac:dyDescent="0.2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2</v>
      </c>
    </row>
    <row r="155" spans="1:70" x14ac:dyDescent="0.2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</row>
    <row r="156" spans="1:70" x14ac:dyDescent="0.2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</row>
    <row r="157" spans="1:70" x14ac:dyDescent="0.2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</row>
    <row r="158" spans="1:70" x14ac:dyDescent="0.2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</row>
    <row r="159" spans="1:70" x14ac:dyDescent="0.2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</row>
    <row r="160" spans="1:70" x14ac:dyDescent="0.2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</row>
    <row r="161" spans="1:70" x14ac:dyDescent="0.2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  <c r="BP161">
        <v>11</v>
      </c>
      <c r="BQ161">
        <v>11</v>
      </c>
      <c r="BR161">
        <v>13</v>
      </c>
    </row>
    <row r="162" spans="1:70" x14ac:dyDescent="0.2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</row>
    <row r="163" spans="1:70" x14ac:dyDescent="0.2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</row>
    <row r="164" spans="1:70" x14ac:dyDescent="0.2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</row>
    <row r="165" spans="1:70" x14ac:dyDescent="0.2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</row>
    <row r="166" spans="1:70" x14ac:dyDescent="0.2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  <c r="BP166">
        <v>2</v>
      </c>
      <c r="BQ166">
        <v>2</v>
      </c>
      <c r="BR166">
        <v>2</v>
      </c>
    </row>
    <row r="167" spans="1:70" x14ac:dyDescent="0.2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</row>
    <row r="168" spans="1:70" x14ac:dyDescent="0.2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  <c r="BP168">
        <v>3</v>
      </c>
      <c r="BQ168">
        <v>3</v>
      </c>
      <c r="BR168">
        <v>250</v>
      </c>
    </row>
    <row r="169" spans="1:70" x14ac:dyDescent="0.2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  <c r="BP169">
        <v>37</v>
      </c>
      <c r="BQ169">
        <v>50</v>
      </c>
      <c r="BR169">
        <v>56</v>
      </c>
    </row>
    <row r="170" spans="1:70" x14ac:dyDescent="0.2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</row>
    <row r="171" spans="1:70" x14ac:dyDescent="0.2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</row>
    <row r="172" spans="1:70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3</v>
      </c>
      <c r="BQ172">
        <v>3</v>
      </c>
      <c r="BR172">
        <v>3</v>
      </c>
    </row>
    <row r="173" spans="1:70" x14ac:dyDescent="0.2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  <c r="BP173">
        <v>3</v>
      </c>
      <c r="BQ173">
        <v>3</v>
      </c>
      <c r="BR173">
        <v>3</v>
      </c>
    </row>
    <row r="174" spans="1:70" x14ac:dyDescent="0.2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  <c r="BP174">
        <v>6</v>
      </c>
      <c r="BQ174">
        <v>7</v>
      </c>
      <c r="BR174">
        <v>7</v>
      </c>
    </row>
    <row r="175" spans="1:70" x14ac:dyDescent="0.2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  <c r="BP175">
        <v>23</v>
      </c>
      <c r="BQ175">
        <v>23</v>
      </c>
      <c r="BR175">
        <v>23</v>
      </c>
    </row>
    <row r="176" spans="1:70" x14ac:dyDescent="0.2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  <c r="BP176">
        <v>23</v>
      </c>
      <c r="BQ176">
        <v>29</v>
      </c>
      <c r="BR176">
        <v>29</v>
      </c>
    </row>
    <row r="177" spans="1:70" x14ac:dyDescent="0.2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  <c r="BP177">
        <v>2</v>
      </c>
      <c r="BQ177">
        <v>2</v>
      </c>
      <c r="BR177">
        <v>4</v>
      </c>
    </row>
    <row r="178" spans="1:70" x14ac:dyDescent="0.2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</row>
    <row r="179" spans="1:70" x14ac:dyDescent="0.2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1</v>
      </c>
      <c r="BQ179">
        <v>1</v>
      </c>
      <c r="BR179">
        <v>1</v>
      </c>
    </row>
    <row r="180" spans="1:70" x14ac:dyDescent="0.2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  <c r="BP180">
        <v>16</v>
      </c>
      <c r="BQ180">
        <v>16</v>
      </c>
      <c r="BR180">
        <v>16</v>
      </c>
    </row>
    <row r="181" spans="1:70" x14ac:dyDescent="0.2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  <c r="BP181">
        <v>31</v>
      </c>
      <c r="BQ181">
        <v>35</v>
      </c>
      <c r="BR181">
        <v>42</v>
      </c>
    </row>
    <row r="182" spans="1:70" x14ac:dyDescent="0.2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  <c r="BP182">
        <v>7</v>
      </c>
      <c r="BQ182">
        <v>7</v>
      </c>
      <c r="BR182">
        <v>7</v>
      </c>
    </row>
    <row r="183" spans="1:70" x14ac:dyDescent="0.2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  <c r="BP183">
        <v>43</v>
      </c>
      <c r="BQ183">
        <v>43</v>
      </c>
      <c r="BR183">
        <v>43</v>
      </c>
    </row>
    <row r="184" spans="1:70" x14ac:dyDescent="0.2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  <c r="BP184">
        <v>43</v>
      </c>
      <c r="BQ184">
        <v>45</v>
      </c>
      <c r="BR184">
        <v>48</v>
      </c>
    </row>
    <row r="185" spans="1:70" x14ac:dyDescent="0.2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  <c r="BP185">
        <v>115</v>
      </c>
      <c r="BQ185">
        <v>139</v>
      </c>
      <c r="BR185">
        <v>206</v>
      </c>
    </row>
    <row r="186" spans="1:70" x14ac:dyDescent="0.2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  <c r="BP186">
        <v>45</v>
      </c>
      <c r="BQ186">
        <v>49</v>
      </c>
      <c r="BR186">
        <v>64</v>
      </c>
    </row>
    <row r="187" spans="1:70" x14ac:dyDescent="0.2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</row>
    <row r="188" spans="1:70" x14ac:dyDescent="0.25">
      <c r="A188" s="1" t="s">
        <v>2</v>
      </c>
      <c r="B188" s="1" t="s">
        <v>337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</row>
    <row r="189" spans="1:70" x14ac:dyDescent="0.2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1</v>
      </c>
      <c r="BQ189">
        <v>1</v>
      </c>
      <c r="BR189">
        <v>1</v>
      </c>
    </row>
    <row r="190" spans="1:70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1</v>
      </c>
      <c r="BR190">
        <v>1</v>
      </c>
    </row>
    <row r="191" spans="1:70" x14ac:dyDescent="0.2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  <c r="BP191">
        <v>4</v>
      </c>
      <c r="BQ191">
        <v>6</v>
      </c>
      <c r="BR191">
        <v>6</v>
      </c>
    </row>
    <row r="192" spans="1:70" x14ac:dyDescent="0.2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  <c r="BP192">
        <v>35</v>
      </c>
      <c r="BQ192">
        <v>37</v>
      </c>
      <c r="BR192">
        <v>66</v>
      </c>
    </row>
    <row r="193" spans="1:70" x14ac:dyDescent="0.2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  <c r="BP193">
        <v>11</v>
      </c>
      <c r="BQ193">
        <v>18</v>
      </c>
      <c r="BR193">
        <v>27</v>
      </c>
    </row>
    <row r="194" spans="1:70" x14ac:dyDescent="0.2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  <c r="BP194">
        <v>0</v>
      </c>
      <c r="BQ194">
        <v>0</v>
      </c>
      <c r="BR194">
        <v>0</v>
      </c>
    </row>
    <row r="195" spans="1:70" x14ac:dyDescent="0.2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</row>
    <row r="196" spans="1:70" x14ac:dyDescent="0.2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  <c r="BP196">
        <v>183</v>
      </c>
      <c r="BQ196">
        <v>198</v>
      </c>
      <c r="BR196">
        <v>212</v>
      </c>
    </row>
    <row r="197" spans="1:70" x14ac:dyDescent="0.2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  <c r="BP197">
        <v>2</v>
      </c>
      <c r="BQ197">
        <v>2</v>
      </c>
      <c r="BR197">
        <v>2</v>
      </c>
    </row>
    <row r="198" spans="1:70" x14ac:dyDescent="0.2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  <c r="BP198">
        <v>10</v>
      </c>
      <c r="BQ198">
        <v>10</v>
      </c>
      <c r="BR198">
        <v>10</v>
      </c>
    </row>
    <row r="199" spans="1:70" x14ac:dyDescent="0.2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</row>
    <row r="200" spans="1:70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  <c r="BP200">
        <v>31</v>
      </c>
      <c r="BQ200">
        <v>31</v>
      </c>
      <c r="BR200">
        <v>31</v>
      </c>
    </row>
    <row r="201" spans="1:70" x14ac:dyDescent="0.2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  <c r="BP201">
        <v>9357</v>
      </c>
      <c r="BQ201">
        <v>12285</v>
      </c>
      <c r="BR201">
        <v>14709</v>
      </c>
    </row>
    <row r="202" spans="1:70" x14ac:dyDescent="0.2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  <c r="BP202">
        <v>7</v>
      </c>
      <c r="BQ202">
        <v>9</v>
      </c>
      <c r="BR202">
        <v>11</v>
      </c>
    </row>
    <row r="203" spans="1:70" x14ac:dyDescent="0.2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</row>
    <row r="204" spans="1:70" x14ac:dyDescent="0.2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</row>
    <row r="205" spans="1:70" x14ac:dyDescent="0.2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  <c r="BP205">
        <v>16</v>
      </c>
      <c r="BQ205">
        <v>16</v>
      </c>
      <c r="BR205">
        <v>16</v>
      </c>
    </row>
    <row r="206" spans="1:70" x14ac:dyDescent="0.2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  <c r="BP206">
        <v>1530</v>
      </c>
      <c r="BQ206">
        <v>1530</v>
      </c>
      <c r="BR206">
        <v>1595</v>
      </c>
    </row>
    <row r="207" spans="1:70" x14ac:dyDescent="0.2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</row>
    <row r="208" spans="1:70" x14ac:dyDescent="0.2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  <c r="BP208">
        <v>29</v>
      </c>
      <c r="BQ208">
        <v>30</v>
      </c>
      <c r="BR208">
        <v>30</v>
      </c>
    </row>
    <row r="209" spans="1:70" x14ac:dyDescent="0.2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1</v>
      </c>
      <c r="BQ209">
        <v>1</v>
      </c>
      <c r="BR209">
        <v>1</v>
      </c>
    </row>
    <row r="210" spans="1:70" x14ac:dyDescent="0.2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  <c r="BP210">
        <v>97</v>
      </c>
      <c r="BQ210">
        <v>97</v>
      </c>
      <c r="BR210">
        <v>97</v>
      </c>
    </row>
    <row r="211" spans="1:70" x14ac:dyDescent="0.2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</row>
    <row r="212" spans="1:70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</row>
    <row r="213" spans="1:70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1</v>
      </c>
    </row>
    <row r="214" spans="1:70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  <c r="BP214">
        <v>2</v>
      </c>
      <c r="BQ214">
        <v>2</v>
      </c>
      <c r="BR214">
        <v>2</v>
      </c>
    </row>
    <row r="215" spans="1:70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  <c r="BP215">
        <v>42</v>
      </c>
      <c r="BQ215">
        <v>70</v>
      </c>
      <c r="BR215">
        <v>105</v>
      </c>
    </row>
    <row r="216" spans="1:70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</row>
    <row r="217" spans="1:70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5</v>
      </c>
      <c r="BQ217">
        <v>5</v>
      </c>
      <c r="BR217">
        <v>6</v>
      </c>
    </row>
    <row r="218" spans="1:70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  <c r="BP218">
        <v>52</v>
      </c>
      <c r="BQ218">
        <v>52</v>
      </c>
      <c r="BR218">
        <v>58</v>
      </c>
    </row>
    <row r="219" spans="1:70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  <c r="BP219">
        <v>2</v>
      </c>
      <c r="BQ219">
        <v>2</v>
      </c>
      <c r="BR219">
        <v>2</v>
      </c>
    </row>
    <row r="220" spans="1:70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</row>
    <row r="221" spans="1:70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</row>
    <row r="222" spans="1:70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  <c r="BP222">
        <v>14</v>
      </c>
      <c r="BQ222">
        <v>14</v>
      </c>
      <c r="BR222">
        <v>14</v>
      </c>
    </row>
    <row r="223" spans="1:70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</row>
    <row r="224" spans="1:70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</row>
    <row r="225" spans="1:70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  <c r="BP225">
        <v>135</v>
      </c>
      <c r="BQ225">
        <v>135</v>
      </c>
      <c r="BR225">
        <v>135</v>
      </c>
    </row>
    <row r="226" spans="1:70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</row>
    <row r="227" spans="1:70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  <c r="BP227">
        <v>869</v>
      </c>
      <c r="BQ227">
        <v>1072</v>
      </c>
      <c r="BR227">
        <v>2665</v>
      </c>
    </row>
    <row r="228" spans="1:70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5</v>
      </c>
      <c r="BQ228">
        <v>5</v>
      </c>
      <c r="BR228">
        <v>7</v>
      </c>
    </row>
    <row r="229" spans="1:70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  <c r="BP229">
        <v>31</v>
      </c>
      <c r="BQ229">
        <v>39</v>
      </c>
      <c r="BR229">
        <v>39</v>
      </c>
    </row>
    <row r="230" spans="1:70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  <c r="BP230">
        <v>20</v>
      </c>
      <c r="BQ230">
        <v>21</v>
      </c>
      <c r="BR230">
        <v>25</v>
      </c>
    </row>
    <row r="231" spans="1:70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</row>
    <row r="232" spans="1:70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</row>
    <row r="233" spans="1:70" x14ac:dyDescent="0.25">
      <c r="A233" s="1" t="s">
        <v>2</v>
      </c>
      <c r="B233" s="1" t="s">
        <v>334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  <c r="BP233">
        <v>17</v>
      </c>
      <c r="BQ233">
        <v>18</v>
      </c>
      <c r="BR233">
        <v>18</v>
      </c>
    </row>
    <row r="234" spans="1:70" x14ac:dyDescent="0.25">
      <c r="A234" s="1" t="s">
        <v>2</v>
      </c>
      <c r="B234" s="1" t="s">
        <v>332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</row>
    <row r="235" spans="1:70" x14ac:dyDescent="0.2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1</v>
      </c>
      <c r="BR235">
        <v>1</v>
      </c>
    </row>
    <row r="236" spans="1:70" x14ac:dyDescent="0.25">
      <c r="A236" s="1" t="s">
        <v>2</v>
      </c>
      <c r="B236" s="1" t="s">
        <v>442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</row>
    <row r="237" spans="1:70" x14ac:dyDescent="0.25">
      <c r="A237" s="1" t="s">
        <v>443</v>
      </c>
      <c r="B237" s="1" t="s">
        <v>155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</row>
    <row r="238" spans="1:70" x14ac:dyDescent="0.25">
      <c r="A238" s="1" t="s">
        <v>444</v>
      </c>
      <c r="B238" s="1" t="s">
        <v>155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</row>
    <row r="239" spans="1:70" x14ac:dyDescent="0.25">
      <c r="A239" s="1" t="s">
        <v>445</v>
      </c>
      <c r="B239" s="1" t="s">
        <v>155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</row>
    <row r="240" spans="1:70" x14ac:dyDescent="0.25">
      <c r="A240" s="1" t="s">
        <v>2</v>
      </c>
      <c r="B240" s="1" t="s">
        <v>446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2020-03-30T13:49:00Z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