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coding_local\Projects\corona-cases\"/>
    </mc:Choice>
  </mc:AlternateContent>
  <xr:revisionPtr revIDLastSave="0" documentId="13_ncr:1_{91DFF1E0-513E-45F5-B27B-863B2A4DADE1}" xr6:coauthVersionLast="45" xr6:coauthVersionMax="45" xr10:uidLastSave="{00000000-0000-0000-0000-000000000000}"/>
  <bookViews>
    <workbookView xWindow="-120" yWindow="-120" windowWidth="51840" windowHeight="21240" xr2:uid="{9571FD44-926A-49ED-882B-74CD73DD267C}"/>
  </bookViews>
  <sheets>
    <sheet name="Overview" sheetId="1" r:id="rId1"/>
    <sheet name="RAW_Cases" sheetId="2" r:id="rId2"/>
    <sheet name="RAW_DEATHS" sheetId="3" r:id="rId3"/>
    <sheet name="RAW_RECOVERED" sheetId="5" r:id="rId4"/>
  </sheets>
  <definedNames>
    <definedName name="ExterneDaten_1" localSheetId="1" hidden="1">RAW_Cases!$A$1:$BL$239</definedName>
    <definedName name="ExterneDaten_1" localSheetId="2" hidden="1">RAW_DEATHS!$A$1:$BL$239</definedName>
    <definedName name="ExterneDaten_1" localSheetId="3" hidden="1">RAW_RECOVERED!$A$1:$BK$502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E6" i="1" l="1"/>
  <c r="CD6" i="1"/>
  <c r="CC6" i="1"/>
  <c r="CB6" i="1"/>
  <c r="CA6" i="1"/>
  <c r="BZ6" i="1"/>
  <c r="BY6" i="1"/>
  <c r="BX6" i="1"/>
  <c r="BW6" i="1"/>
  <c r="BV6" i="1"/>
  <c r="BU6" i="1"/>
  <c r="BT6" i="1"/>
  <c r="BS6" i="1"/>
  <c r="BR6" i="1"/>
  <c r="BQ6" i="1"/>
  <c r="BP6" i="1"/>
  <c r="BO6" i="1"/>
  <c r="BN6" i="1"/>
  <c r="BM6" i="1"/>
  <c r="BL6" i="1"/>
  <c r="BK6" i="1"/>
  <c r="BJ6" i="1"/>
  <c r="BI6" i="1"/>
  <c r="BH6" i="1"/>
  <c r="BG6" i="1"/>
  <c r="BF6" i="1"/>
  <c r="BE6" i="1"/>
  <c r="BD6" i="1"/>
  <c r="BC6" i="1"/>
  <c r="BB6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CE5" i="1"/>
  <c r="CD5" i="1"/>
  <c r="CC5" i="1"/>
  <c r="CB5" i="1"/>
  <c r="CA5" i="1"/>
  <c r="BZ5" i="1"/>
  <c r="BY5" i="1"/>
  <c r="BX5" i="1"/>
  <c r="BW5" i="1"/>
  <c r="BV5" i="1"/>
  <c r="BU5" i="1"/>
  <c r="BT5" i="1"/>
  <c r="BS5" i="1"/>
  <c r="BR5" i="1"/>
  <c r="BQ5" i="1"/>
  <c r="BP5" i="1"/>
  <c r="BO5" i="1"/>
  <c r="BN5" i="1"/>
  <c r="BM5" i="1"/>
  <c r="BL5" i="1"/>
  <c r="BK5" i="1"/>
  <c r="BJ5" i="1"/>
  <c r="BI5" i="1"/>
  <c r="BH5" i="1"/>
  <c r="BG5" i="1"/>
  <c r="BF5" i="1"/>
  <c r="BE5" i="1"/>
  <c r="BD5" i="1"/>
  <c r="BC5" i="1"/>
  <c r="BB5" i="1"/>
  <c r="BA5" i="1"/>
  <c r="AZ5" i="1"/>
  <c r="AY5" i="1"/>
  <c r="AX5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D5" i="1"/>
  <c r="C5" i="1"/>
  <c r="CE4" i="1"/>
  <c r="CD4" i="1"/>
  <c r="CC4" i="1"/>
  <c r="CB4" i="1"/>
  <c r="CA4" i="1"/>
  <c r="BZ4" i="1"/>
  <c r="BY4" i="1"/>
  <c r="BX4" i="1"/>
  <c r="BW4" i="1"/>
  <c r="BV4" i="1"/>
  <c r="BU4" i="1"/>
  <c r="BT4" i="1"/>
  <c r="BS4" i="1"/>
  <c r="BR4" i="1"/>
  <c r="BQ4" i="1"/>
  <c r="BP4" i="1"/>
  <c r="BO4" i="1"/>
  <c r="BN4" i="1"/>
  <c r="BM4" i="1"/>
  <c r="BL4" i="1"/>
  <c r="BK4" i="1"/>
  <c r="BJ4" i="1"/>
  <c r="BI4" i="1"/>
  <c r="BH4" i="1"/>
  <c r="BG4" i="1"/>
  <c r="BF4" i="1"/>
  <c r="BE4" i="1"/>
  <c r="BD4" i="1"/>
  <c r="BC4" i="1"/>
  <c r="BB4" i="1"/>
  <c r="BA4" i="1"/>
  <c r="AZ4" i="1"/>
  <c r="AY4" i="1"/>
  <c r="AX4" i="1"/>
  <c r="AW4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/>
  <c r="C4" i="1"/>
  <c r="BK29" i="1"/>
  <c r="BJ29" i="1"/>
  <c r="BI29" i="1"/>
  <c r="BH29" i="1"/>
  <c r="BG29" i="1"/>
  <c r="BF29" i="1"/>
  <c r="BE29" i="1"/>
  <c r="BD29" i="1"/>
  <c r="BC29" i="1"/>
  <c r="BB29" i="1"/>
  <c r="BA29" i="1"/>
  <c r="AZ29" i="1"/>
  <c r="AY29" i="1"/>
  <c r="AX29" i="1"/>
  <c r="AW29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C29" i="1"/>
  <c r="B29" i="1"/>
  <c r="BK18" i="1"/>
  <c r="BJ18" i="1"/>
  <c r="CE17" i="1"/>
  <c r="CD17" i="1"/>
  <c r="CC17" i="1"/>
  <c r="CB17" i="1"/>
  <c r="CA17" i="1"/>
  <c r="BZ17" i="1"/>
  <c r="BY17" i="1"/>
  <c r="BX17" i="1"/>
  <c r="BW17" i="1"/>
  <c r="BV17" i="1"/>
  <c r="BU17" i="1"/>
  <c r="BT17" i="1"/>
  <c r="BS17" i="1"/>
  <c r="BR17" i="1"/>
  <c r="BQ17" i="1"/>
  <c r="BP17" i="1"/>
  <c r="BO17" i="1"/>
  <c r="BN17" i="1"/>
  <c r="BM17" i="1"/>
  <c r="BL17" i="1"/>
  <c r="BK17" i="1"/>
  <c r="BJ17" i="1"/>
  <c r="BI17" i="1"/>
  <c r="BH17" i="1"/>
  <c r="BG17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C17" i="1"/>
  <c r="B17" i="1"/>
  <c r="CE16" i="1"/>
  <c r="CD16" i="1"/>
  <c r="CC16" i="1"/>
  <c r="CB16" i="1"/>
  <c r="CA16" i="1"/>
  <c r="BZ16" i="1"/>
  <c r="BY16" i="1"/>
  <c r="BX16" i="1"/>
  <c r="BW16" i="1"/>
  <c r="BV16" i="1"/>
  <c r="BU16" i="1"/>
  <c r="BT16" i="1"/>
  <c r="BS16" i="1"/>
  <c r="BR16" i="1"/>
  <c r="BQ16" i="1"/>
  <c r="BP16" i="1"/>
  <c r="BO16" i="1"/>
  <c r="BN16" i="1"/>
  <c r="BM16" i="1"/>
  <c r="BL16" i="1"/>
  <c r="BK16" i="1"/>
  <c r="BJ16" i="1"/>
  <c r="BI16" i="1"/>
  <c r="BH16" i="1"/>
  <c r="BG16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CE15" i="1"/>
  <c r="CD15" i="1"/>
  <c r="CC15" i="1"/>
  <c r="CB15" i="1"/>
  <c r="CA15" i="1"/>
  <c r="BZ15" i="1"/>
  <c r="BY15" i="1"/>
  <c r="BX15" i="1"/>
  <c r="BW15" i="1"/>
  <c r="BV15" i="1"/>
  <c r="BU15" i="1"/>
  <c r="BT15" i="1"/>
  <c r="BS15" i="1"/>
  <c r="BR15" i="1"/>
  <c r="BQ15" i="1"/>
  <c r="BP15" i="1"/>
  <c r="BO15" i="1"/>
  <c r="BN15" i="1"/>
  <c r="BM15" i="1"/>
  <c r="BL15" i="1"/>
  <c r="BK15" i="1"/>
  <c r="BJ15" i="1"/>
  <c r="BI15" i="1"/>
  <c r="BH15" i="1"/>
  <c r="BG15" i="1"/>
  <c r="BF15" i="1"/>
  <c r="BE15" i="1"/>
  <c r="BD15" i="1"/>
  <c r="BC15" i="1"/>
  <c r="BB15" i="1"/>
  <c r="BA15" i="1"/>
  <c r="AZ15" i="1"/>
  <c r="AY15" i="1"/>
  <c r="AX15" i="1"/>
  <c r="AW15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C15" i="1"/>
  <c r="B15" i="1"/>
  <c r="CE14" i="1"/>
  <c r="CD14" i="1"/>
  <c r="CC14" i="1"/>
  <c r="CB14" i="1"/>
  <c r="CA14" i="1"/>
  <c r="BZ14" i="1"/>
  <c r="BY14" i="1"/>
  <c r="BX14" i="1"/>
  <c r="BW14" i="1"/>
  <c r="BV14" i="1"/>
  <c r="BU14" i="1"/>
  <c r="BT14" i="1"/>
  <c r="BS14" i="1"/>
  <c r="BR14" i="1"/>
  <c r="BQ14" i="1"/>
  <c r="BP14" i="1"/>
  <c r="BO14" i="1"/>
  <c r="BN14" i="1"/>
  <c r="BM14" i="1"/>
  <c r="BL14" i="1"/>
  <c r="BK14" i="1"/>
  <c r="BJ14" i="1"/>
  <c r="BI14" i="1"/>
  <c r="BH14" i="1"/>
  <c r="BG14" i="1"/>
  <c r="BF14" i="1"/>
  <c r="BE14" i="1"/>
  <c r="BD14" i="1"/>
  <c r="BC14" i="1"/>
  <c r="BB14" i="1"/>
  <c r="BA14" i="1"/>
  <c r="AZ14" i="1"/>
  <c r="AY14" i="1"/>
  <c r="AX14" i="1"/>
  <c r="AW14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D14" i="1"/>
  <c r="C14" i="1"/>
  <c r="B14" i="1"/>
  <c r="CE13" i="1"/>
  <c r="CD13" i="1"/>
  <c r="CC13" i="1"/>
  <c r="CB13" i="1"/>
  <c r="CA13" i="1"/>
  <c r="BZ13" i="1"/>
  <c r="BY13" i="1"/>
  <c r="BX13" i="1"/>
  <c r="BW13" i="1"/>
  <c r="BV13" i="1"/>
  <c r="BU13" i="1"/>
  <c r="BT13" i="1"/>
  <c r="BS13" i="1"/>
  <c r="BR13" i="1"/>
  <c r="BQ13" i="1"/>
  <c r="BP13" i="1"/>
  <c r="BO13" i="1"/>
  <c r="BN13" i="1"/>
  <c r="BM13" i="1"/>
  <c r="BL13" i="1"/>
  <c r="BK13" i="1"/>
  <c r="BJ13" i="1"/>
  <c r="BI13" i="1"/>
  <c r="BH13" i="1"/>
  <c r="BG13" i="1"/>
  <c r="BF13" i="1"/>
  <c r="BE13" i="1"/>
  <c r="BD13" i="1"/>
  <c r="BC13" i="1"/>
  <c r="BB13" i="1"/>
  <c r="BA13" i="1"/>
  <c r="AZ13" i="1"/>
  <c r="AY13" i="1"/>
  <c r="AX13" i="1"/>
  <c r="AW13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F13" i="1"/>
  <c r="E13" i="1"/>
  <c r="D13" i="1"/>
  <c r="C13" i="1"/>
  <c r="B13" i="1"/>
  <c r="CE12" i="1"/>
  <c r="CD12" i="1"/>
  <c r="CC12" i="1"/>
  <c r="CB12" i="1"/>
  <c r="CA12" i="1"/>
  <c r="BZ12" i="1"/>
  <c r="BY12" i="1"/>
  <c r="BX12" i="1"/>
  <c r="BW12" i="1"/>
  <c r="BV12" i="1"/>
  <c r="BU12" i="1"/>
  <c r="BT12" i="1"/>
  <c r="BS12" i="1"/>
  <c r="BR12" i="1"/>
  <c r="BQ12" i="1"/>
  <c r="BP12" i="1"/>
  <c r="BO12" i="1"/>
  <c r="BN12" i="1"/>
  <c r="BM12" i="1"/>
  <c r="BL12" i="1"/>
  <c r="BK12" i="1"/>
  <c r="BJ12" i="1"/>
  <c r="BI12" i="1"/>
  <c r="BH12" i="1"/>
  <c r="BG12" i="1"/>
  <c r="BF12" i="1"/>
  <c r="BE12" i="1"/>
  <c r="BD12" i="1"/>
  <c r="BC12" i="1"/>
  <c r="BB12" i="1"/>
  <c r="BA12" i="1"/>
  <c r="AZ12" i="1"/>
  <c r="AY12" i="1"/>
  <c r="AX12" i="1"/>
  <c r="AW12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D12" i="1"/>
  <c r="C12" i="1"/>
  <c r="B12" i="1"/>
  <c r="CE11" i="1"/>
  <c r="CD11" i="1"/>
  <c r="CC11" i="1"/>
  <c r="CB11" i="1"/>
  <c r="CA11" i="1"/>
  <c r="BZ11" i="1"/>
  <c r="BY11" i="1"/>
  <c r="BX11" i="1"/>
  <c r="BW11" i="1"/>
  <c r="BV11" i="1"/>
  <c r="BU11" i="1"/>
  <c r="BT11" i="1"/>
  <c r="BS11" i="1"/>
  <c r="BR11" i="1"/>
  <c r="BQ11" i="1"/>
  <c r="BP11" i="1"/>
  <c r="BO11" i="1"/>
  <c r="BN11" i="1"/>
  <c r="BM11" i="1"/>
  <c r="BL11" i="1"/>
  <c r="BK11" i="1"/>
  <c r="BJ11" i="1"/>
  <c r="BI11" i="1"/>
  <c r="BH11" i="1"/>
  <c r="BG11" i="1"/>
  <c r="BF11" i="1"/>
  <c r="BE11" i="1"/>
  <c r="BD11" i="1"/>
  <c r="BC11" i="1"/>
  <c r="BB11" i="1"/>
  <c r="BA11" i="1"/>
  <c r="AZ11" i="1"/>
  <c r="AY11" i="1"/>
  <c r="AX11" i="1"/>
  <c r="AW11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BM40" i="1" l="1"/>
  <c r="BL40" i="1"/>
  <c r="BK40" i="1"/>
  <c r="BJ40" i="1"/>
  <c r="BI40" i="1"/>
  <c r="A28" i="1"/>
  <c r="A26" i="1"/>
  <c r="A25" i="1"/>
  <c r="A24" i="1"/>
  <c r="A23" i="1"/>
  <c r="A22" i="1"/>
  <c r="B22" i="1" s="1"/>
  <c r="A27" i="1"/>
  <c r="BI18" i="1"/>
  <c r="A35" i="1" l="1"/>
  <c r="CC24" i="1"/>
  <c r="BU24" i="1"/>
  <c r="BM24" i="1"/>
  <c r="BE24" i="1"/>
  <c r="AW24" i="1"/>
  <c r="AO24" i="1"/>
  <c r="AG24" i="1"/>
  <c r="Y24" i="1"/>
  <c r="Q24" i="1"/>
  <c r="I24" i="1"/>
  <c r="CB24" i="1"/>
  <c r="BT24" i="1"/>
  <c r="BL24" i="1"/>
  <c r="BD24" i="1"/>
  <c r="AV24" i="1"/>
  <c r="AN24" i="1"/>
  <c r="AF24" i="1"/>
  <c r="X24" i="1"/>
  <c r="P24" i="1"/>
  <c r="H24" i="1"/>
  <c r="CA24" i="1"/>
  <c r="BS24" i="1"/>
  <c r="BK24" i="1"/>
  <c r="BC24" i="1"/>
  <c r="AU24" i="1"/>
  <c r="AM24" i="1"/>
  <c r="AE24" i="1"/>
  <c r="W24" i="1"/>
  <c r="O24" i="1"/>
  <c r="G24" i="1"/>
  <c r="BZ24" i="1"/>
  <c r="BR24" i="1"/>
  <c r="BJ24" i="1"/>
  <c r="BB24" i="1"/>
  <c r="AT24" i="1"/>
  <c r="AL24" i="1"/>
  <c r="AD24" i="1"/>
  <c r="V24" i="1"/>
  <c r="N24" i="1"/>
  <c r="F24" i="1"/>
  <c r="BY24" i="1"/>
  <c r="BQ24" i="1"/>
  <c r="BI24" i="1"/>
  <c r="BA24" i="1"/>
  <c r="AS24" i="1"/>
  <c r="AK24" i="1"/>
  <c r="AC24" i="1"/>
  <c r="U24" i="1"/>
  <c r="M24" i="1"/>
  <c r="E24" i="1"/>
  <c r="BX24" i="1"/>
  <c r="BP24" i="1"/>
  <c r="BH24" i="1"/>
  <c r="AZ24" i="1"/>
  <c r="AR24" i="1"/>
  <c r="AJ24" i="1"/>
  <c r="AB24" i="1"/>
  <c r="T24" i="1"/>
  <c r="L24" i="1"/>
  <c r="D24" i="1"/>
  <c r="CE24" i="1"/>
  <c r="BW24" i="1"/>
  <c r="BO24" i="1"/>
  <c r="BG24" i="1"/>
  <c r="AY24" i="1"/>
  <c r="AQ24" i="1"/>
  <c r="AI24" i="1"/>
  <c r="AA24" i="1"/>
  <c r="S24" i="1"/>
  <c r="K24" i="1"/>
  <c r="C24" i="1"/>
  <c r="Z24" i="1"/>
  <c r="CD24" i="1"/>
  <c r="R24" i="1"/>
  <c r="AX24" i="1"/>
  <c r="BV24" i="1"/>
  <c r="J24" i="1"/>
  <c r="BN24" i="1"/>
  <c r="B24" i="1"/>
  <c r="BF24" i="1"/>
  <c r="AP24" i="1"/>
  <c r="AH24" i="1"/>
  <c r="A34" i="1"/>
  <c r="CE23" i="1"/>
  <c r="BW23" i="1"/>
  <c r="BO23" i="1"/>
  <c r="BG23" i="1"/>
  <c r="AY23" i="1"/>
  <c r="AQ23" i="1"/>
  <c r="AI23" i="1"/>
  <c r="AA23" i="1"/>
  <c r="S23" i="1"/>
  <c r="K23" i="1"/>
  <c r="C23" i="1"/>
  <c r="CD23" i="1"/>
  <c r="BV23" i="1"/>
  <c r="BN23" i="1"/>
  <c r="BF23" i="1"/>
  <c r="AX23" i="1"/>
  <c r="AP23" i="1"/>
  <c r="AH23" i="1"/>
  <c r="Z23" i="1"/>
  <c r="R23" i="1"/>
  <c r="J23" i="1"/>
  <c r="B23" i="1"/>
  <c r="CC23" i="1"/>
  <c r="BU23" i="1"/>
  <c r="BM23" i="1"/>
  <c r="BE23" i="1"/>
  <c r="AW23" i="1"/>
  <c r="AO23" i="1"/>
  <c r="AG23" i="1"/>
  <c r="Y23" i="1"/>
  <c r="Q23" i="1"/>
  <c r="I23" i="1"/>
  <c r="CB23" i="1"/>
  <c r="BT23" i="1"/>
  <c r="BL23" i="1"/>
  <c r="BD23" i="1"/>
  <c r="AV23" i="1"/>
  <c r="AN23" i="1"/>
  <c r="AF23" i="1"/>
  <c r="X23" i="1"/>
  <c r="P23" i="1"/>
  <c r="H23" i="1"/>
  <c r="CA23" i="1"/>
  <c r="BS23" i="1"/>
  <c r="BK23" i="1"/>
  <c r="BC23" i="1"/>
  <c r="AU23" i="1"/>
  <c r="AM23" i="1"/>
  <c r="AE23" i="1"/>
  <c r="W23" i="1"/>
  <c r="O23" i="1"/>
  <c r="G23" i="1"/>
  <c r="BZ23" i="1"/>
  <c r="BR23" i="1"/>
  <c r="BJ23" i="1"/>
  <c r="BB23" i="1"/>
  <c r="AT23" i="1"/>
  <c r="AL23" i="1"/>
  <c r="AD23" i="1"/>
  <c r="V23" i="1"/>
  <c r="N23" i="1"/>
  <c r="F23" i="1"/>
  <c r="BY23" i="1"/>
  <c r="BQ23" i="1"/>
  <c r="BI23" i="1"/>
  <c r="BA23" i="1"/>
  <c r="AS23" i="1"/>
  <c r="AK23" i="1"/>
  <c r="AC23" i="1"/>
  <c r="U23" i="1"/>
  <c r="M23" i="1"/>
  <c r="E23" i="1"/>
  <c r="AR23" i="1"/>
  <c r="AJ23" i="1"/>
  <c r="AB23" i="1"/>
  <c r="BP23" i="1"/>
  <c r="D23" i="1"/>
  <c r="T23" i="1"/>
  <c r="BX23" i="1"/>
  <c r="L23" i="1"/>
  <c r="BH23" i="1"/>
  <c r="AZ23" i="1"/>
  <c r="A36" i="1"/>
  <c r="CA25" i="1"/>
  <c r="BS25" i="1"/>
  <c r="BK25" i="1"/>
  <c r="BC25" i="1"/>
  <c r="AU25" i="1"/>
  <c r="AM25" i="1"/>
  <c r="AE25" i="1"/>
  <c r="W25" i="1"/>
  <c r="O25" i="1"/>
  <c r="G25" i="1"/>
  <c r="BZ25" i="1"/>
  <c r="BR25" i="1"/>
  <c r="BJ25" i="1"/>
  <c r="BB25" i="1"/>
  <c r="AT25" i="1"/>
  <c r="AL25" i="1"/>
  <c r="AD25" i="1"/>
  <c r="V25" i="1"/>
  <c r="N25" i="1"/>
  <c r="F25" i="1"/>
  <c r="BY25" i="1"/>
  <c r="BQ25" i="1"/>
  <c r="BI25" i="1"/>
  <c r="BA25" i="1"/>
  <c r="AS25" i="1"/>
  <c r="AK25" i="1"/>
  <c r="AC25" i="1"/>
  <c r="U25" i="1"/>
  <c r="M25" i="1"/>
  <c r="E25" i="1"/>
  <c r="BX25" i="1"/>
  <c r="BP25" i="1"/>
  <c r="BH25" i="1"/>
  <c r="AZ25" i="1"/>
  <c r="AR25" i="1"/>
  <c r="AJ25" i="1"/>
  <c r="AB25" i="1"/>
  <c r="T25" i="1"/>
  <c r="L25" i="1"/>
  <c r="D25" i="1"/>
  <c r="CE25" i="1"/>
  <c r="BW25" i="1"/>
  <c r="BO25" i="1"/>
  <c r="BG25" i="1"/>
  <c r="AY25" i="1"/>
  <c r="AQ25" i="1"/>
  <c r="AI25" i="1"/>
  <c r="AA25" i="1"/>
  <c r="S25" i="1"/>
  <c r="K25" i="1"/>
  <c r="C25" i="1"/>
  <c r="CD25" i="1"/>
  <c r="BV25" i="1"/>
  <c r="BN25" i="1"/>
  <c r="BF25" i="1"/>
  <c r="AX25" i="1"/>
  <c r="AP25" i="1"/>
  <c r="AH25" i="1"/>
  <c r="Z25" i="1"/>
  <c r="R25" i="1"/>
  <c r="J25" i="1"/>
  <c r="B25" i="1"/>
  <c r="CC25" i="1"/>
  <c r="BU25" i="1"/>
  <c r="BM25" i="1"/>
  <c r="BE25" i="1"/>
  <c r="AW25" i="1"/>
  <c r="AO25" i="1"/>
  <c r="AG25" i="1"/>
  <c r="Y25" i="1"/>
  <c r="Q25" i="1"/>
  <c r="I25" i="1"/>
  <c r="BT25" i="1"/>
  <c r="BL25" i="1"/>
  <c r="BD25" i="1"/>
  <c r="AF25" i="1"/>
  <c r="AV25" i="1"/>
  <c r="AN25" i="1"/>
  <c r="X25" i="1"/>
  <c r="CB25" i="1"/>
  <c r="P25" i="1"/>
  <c r="H25" i="1"/>
  <c r="A37" i="1"/>
  <c r="BY26" i="1"/>
  <c r="BQ26" i="1"/>
  <c r="BI26" i="1"/>
  <c r="BA26" i="1"/>
  <c r="AS26" i="1"/>
  <c r="AK26" i="1"/>
  <c r="AC26" i="1"/>
  <c r="U26" i="1"/>
  <c r="M26" i="1"/>
  <c r="E26" i="1"/>
  <c r="BX26" i="1"/>
  <c r="BP26" i="1"/>
  <c r="BH26" i="1"/>
  <c r="AZ26" i="1"/>
  <c r="AR26" i="1"/>
  <c r="AJ26" i="1"/>
  <c r="AB26" i="1"/>
  <c r="T26" i="1"/>
  <c r="L26" i="1"/>
  <c r="D26" i="1"/>
  <c r="CE26" i="1"/>
  <c r="BW26" i="1"/>
  <c r="BO26" i="1"/>
  <c r="BG26" i="1"/>
  <c r="AY26" i="1"/>
  <c r="AQ26" i="1"/>
  <c r="AI26" i="1"/>
  <c r="AA26" i="1"/>
  <c r="S26" i="1"/>
  <c r="K26" i="1"/>
  <c r="C26" i="1"/>
  <c r="CD26" i="1"/>
  <c r="BV26" i="1"/>
  <c r="BN26" i="1"/>
  <c r="BF26" i="1"/>
  <c r="AX26" i="1"/>
  <c r="AP26" i="1"/>
  <c r="AH26" i="1"/>
  <c r="Z26" i="1"/>
  <c r="R26" i="1"/>
  <c r="J26" i="1"/>
  <c r="B26" i="1"/>
  <c r="CC26" i="1"/>
  <c r="BU26" i="1"/>
  <c r="BM26" i="1"/>
  <c r="BE26" i="1"/>
  <c r="AW26" i="1"/>
  <c r="AO26" i="1"/>
  <c r="AG26" i="1"/>
  <c r="Y26" i="1"/>
  <c r="Q26" i="1"/>
  <c r="I26" i="1"/>
  <c r="CB26" i="1"/>
  <c r="BT26" i="1"/>
  <c r="BL26" i="1"/>
  <c r="BD26" i="1"/>
  <c r="AV26" i="1"/>
  <c r="AN26" i="1"/>
  <c r="AF26" i="1"/>
  <c r="X26" i="1"/>
  <c r="P26" i="1"/>
  <c r="H26" i="1"/>
  <c r="CA26" i="1"/>
  <c r="BS26" i="1"/>
  <c r="BK26" i="1"/>
  <c r="BC26" i="1"/>
  <c r="AU26" i="1"/>
  <c r="AM26" i="1"/>
  <c r="AE26" i="1"/>
  <c r="W26" i="1"/>
  <c r="O26" i="1"/>
  <c r="G26" i="1"/>
  <c r="BB26" i="1"/>
  <c r="AT26" i="1"/>
  <c r="AL26" i="1"/>
  <c r="BZ26" i="1"/>
  <c r="N26" i="1"/>
  <c r="AD26" i="1"/>
  <c r="V26" i="1"/>
  <c r="BR26" i="1"/>
  <c r="F26" i="1"/>
  <c r="BJ26" i="1"/>
  <c r="A39" i="1"/>
  <c r="CC28" i="1"/>
  <c r="BU28" i="1"/>
  <c r="BM28" i="1"/>
  <c r="BE28" i="1"/>
  <c r="AW28" i="1"/>
  <c r="AO28" i="1"/>
  <c r="AG28" i="1"/>
  <c r="Y28" i="1"/>
  <c r="Q28" i="1"/>
  <c r="I28" i="1"/>
  <c r="CB28" i="1"/>
  <c r="BT28" i="1"/>
  <c r="BL28" i="1"/>
  <c r="BD28" i="1"/>
  <c r="AV28" i="1"/>
  <c r="AN28" i="1"/>
  <c r="AF28" i="1"/>
  <c r="X28" i="1"/>
  <c r="P28" i="1"/>
  <c r="H28" i="1"/>
  <c r="CA28" i="1"/>
  <c r="BS28" i="1"/>
  <c r="BK28" i="1"/>
  <c r="BC28" i="1"/>
  <c r="AU28" i="1"/>
  <c r="AM28" i="1"/>
  <c r="AE28" i="1"/>
  <c r="W28" i="1"/>
  <c r="O28" i="1"/>
  <c r="G28" i="1"/>
  <c r="BZ28" i="1"/>
  <c r="BR28" i="1"/>
  <c r="BJ28" i="1"/>
  <c r="BB28" i="1"/>
  <c r="AT28" i="1"/>
  <c r="AL28" i="1"/>
  <c r="AD28" i="1"/>
  <c r="V28" i="1"/>
  <c r="N28" i="1"/>
  <c r="F28" i="1"/>
  <c r="BY28" i="1"/>
  <c r="BQ28" i="1"/>
  <c r="BI28" i="1"/>
  <c r="BA28" i="1"/>
  <c r="AS28" i="1"/>
  <c r="AK28" i="1"/>
  <c r="AC28" i="1"/>
  <c r="U28" i="1"/>
  <c r="M28" i="1"/>
  <c r="E28" i="1"/>
  <c r="CD28" i="1"/>
  <c r="BV28" i="1"/>
  <c r="BN28" i="1"/>
  <c r="BF28" i="1"/>
  <c r="AX28" i="1"/>
  <c r="AP28" i="1"/>
  <c r="AH28" i="1"/>
  <c r="Z28" i="1"/>
  <c r="R28" i="1"/>
  <c r="J28" i="1"/>
  <c r="B28" i="1"/>
  <c r="BX28" i="1"/>
  <c r="BP28" i="1"/>
  <c r="BH28" i="1"/>
  <c r="AZ28" i="1"/>
  <c r="AR28" i="1"/>
  <c r="AJ28" i="1"/>
  <c r="AB28" i="1"/>
  <c r="T28" i="1"/>
  <c r="L28" i="1"/>
  <c r="D28" i="1"/>
  <c r="CE28" i="1"/>
  <c r="BW28" i="1"/>
  <c r="BO28" i="1"/>
  <c r="BG28" i="1"/>
  <c r="AY28" i="1"/>
  <c r="AQ28" i="1"/>
  <c r="AI28" i="1"/>
  <c r="AA28" i="1"/>
  <c r="S28" i="1"/>
  <c r="K28" i="1"/>
  <c r="C28" i="1"/>
  <c r="A38" i="1"/>
  <c r="CE27" i="1"/>
  <c r="BW27" i="1"/>
  <c r="BO27" i="1"/>
  <c r="BG27" i="1"/>
  <c r="AY27" i="1"/>
  <c r="AQ27" i="1"/>
  <c r="AI27" i="1"/>
  <c r="AA27" i="1"/>
  <c r="S27" i="1"/>
  <c r="K27" i="1"/>
  <c r="C27" i="1"/>
  <c r="CD27" i="1"/>
  <c r="BV27" i="1"/>
  <c r="BN27" i="1"/>
  <c r="BF27" i="1"/>
  <c r="AX27" i="1"/>
  <c r="AP27" i="1"/>
  <c r="AH27" i="1"/>
  <c r="Z27" i="1"/>
  <c r="R27" i="1"/>
  <c r="J27" i="1"/>
  <c r="B27" i="1"/>
  <c r="CC27" i="1"/>
  <c r="BU27" i="1"/>
  <c r="BM27" i="1"/>
  <c r="BE27" i="1"/>
  <c r="AW27" i="1"/>
  <c r="AO27" i="1"/>
  <c r="AG27" i="1"/>
  <c r="Y27" i="1"/>
  <c r="Q27" i="1"/>
  <c r="I27" i="1"/>
  <c r="CB27" i="1"/>
  <c r="BT27" i="1"/>
  <c r="BL27" i="1"/>
  <c r="BD27" i="1"/>
  <c r="AV27" i="1"/>
  <c r="AN27" i="1"/>
  <c r="AF27" i="1"/>
  <c r="X27" i="1"/>
  <c r="P27" i="1"/>
  <c r="H27" i="1"/>
  <c r="CA27" i="1"/>
  <c r="BS27" i="1"/>
  <c r="BK27" i="1"/>
  <c r="BC27" i="1"/>
  <c r="AU27" i="1"/>
  <c r="AM27" i="1"/>
  <c r="AE27" i="1"/>
  <c r="W27" i="1"/>
  <c r="O27" i="1"/>
  <c r="G27" i="1"/>
  <c r="BX27" i="1"/>
  <c r="BP27" i="1"/>
  <c r="BH27" i="1"/>
  <c r="BZ27" i="1"/>
  <c r="BR27" i="1"/>
  <c r="BJ27" i="1"/>
  <c r="BB27" i="1"/>
  <c r="AT27" i="1"/>
  <c r="AL27" i="1"/>
  <c r="AD27" i="1"/>
  <c r="V27" i="1"/>
  <c r="N27" i="1"/>
  <c r="F27" i="1"/>
  <c r="BY27" i="1"/>
  <c r="BQ27" i="1"/>
  <c r="BI27" i="1"/>
  <c r="BA27" i="1"/>
  <c r="AS27" i="1"/>
  <c r="AK27" i="1"/>
  <c r="AC27" i="1"/>
  <c r="U27" i="1"/>
  <c r="M27" i="1"/>
  <c r="E27" i="1"/>
  <c r="AJ27" i="1"/>
  <c r="AB27" i="1"/>
  <c r="T27" i="1"/>
  <c r="L27" i="1"/>
  <c r="D27" i="1"/>
  <c r="AZ27" i="1"/>
  <c r="AR27" i="1"/>
  <c r="A33" i="1"/>
  <c r="BY22" i="1"/>
  <c r="BQ22" i="1"/>
  <c r="BI22" i="1"/>
  <c r="BA22" i="1"/>
  <c r="AS22" i="1"/>
  <c r="AK22" i="1"/>
  <c r="AC22" i="1"/>
  <c r="U22" i="1"/>
  <c r="M22" i="1"/>
  <c r="E22" i="1"/>
  <c r="BX22" i="1"/>
  <c r="BP22" i="1"/>
  <c r="BH22" i="1"/>
  <c r="AZ22" i="1"/>
  <c r="AR22" i="1"/>
  <c r="AJ22" i="1"/>
  <c r="AB22" i="1"/>
  <c r="T22" i="1"/>
  <c r="L22" i="1"/>
  <c r="D22" i="1"/>
  <c r="CE22" i="1"/>
  <c r="BW22" i="1"/>
  <c r="BO22" i="1"/>
  <c r="BG22" i="1"/>
  <c r="AY22" i="1"/>
  <c r="AQ22" i="1"/>
  <c r="AI22" i="1"/>
  <c r="AA22" i="1"/>
  <c r="S22" i="1"/>
  <c r="K22" i="1"/>
  <c r="C22" i="1"/>
  <c r="CD22" i="1"/>
  <c r="BV22" i="1"/>
  <c r="BN22" i="1"/>
  <c r="BF22" i="1"/>
  <c r="AX22" i="1"/>
  <c r="AP22" i="1"/>
  <c r="AH22" i="1"/>
  <c r="Z22" i="1"/>
  <c r="R22" i="1"/>
  <c r="J22" i="1"/>
  <c r="CC22" i="1"/>
  <c r="BU22" i="1"/>
  <c r="BM22" i="1"/>
  <c r="BE22" i="1"/>
  <c r="AW22" i="1"/>
  <c r="AO22" i="1"/>
  <c r="AG22" i="1"/>
  <c r="Y22" i="1"/>
  <c r="Q22" i="1"/>
  <c r="I22" i="1"/>
  <c r="CB22" i="1"/>
  <c r="BT22" i="1"/>
  <c r="BL22" i="1"/>
  <c r="BD22" i="1"/>
  <c r="AV22" i="1"/>
  <c r="AN22" i="1"/>
  <c r="AF22" i="1"/>
  <c r="X22" i="1"/>
  <c r="P22" i="1"/>
  <c r="H22" i="1"/>
  <c r="CA22" i="1"/>
  <c r="BS22" i="1"/>
  <c r="BK22" i="1"/>
  <c r="BC22" i="1"/>
  <c r="AU22" i="1"/>
  <c r="AM22" i="1"/>
  <c r="AE22" i="1"/>
  <c r="W22" i="1"/>
  <c r="O22" i="1"/>
  <c r="G22" i="1"/>
  <c r="BJ22" i="1"/>
  <c r="BB22" i="1"/>
  <c r="AT22" i="1"/>
  <c r="V22" i="1"/>
  <c r="AL22" i="1"/>
  <c r="AD22" i="1"/>
  <c r="BZ22" i="1"/>
  <c r="N22" i="1"/>
  <c r="BR22" i="1"/>
  <c r="F22" i="1"/>
  <c r="BR7" i="1"/>
  <c r="BZ7" i="1"/>
  <c r="BN7" i="1"/>
  <c r="BV7" i="1"/>
  <c r="CD7" i="1"/>
  <c r="BQ7" i="1"/>
  <c r="BY7" i="1"/>
  <c r="BP7" i="1"/>
  <c r="BX7" i="1"/>
  <c r="CE7" i="1"/>
  <c r="BS7" i="1"/>
  <c r="CA7" i="1"/>
  <c r="BL7" i="1"/>
  <c r="BT7" i="1"/>
  <c r="CB7" i="1"/>
  <c r="BM7" i="1"/>
  <c r="BU7" i="1"/>
  <c r="CC7" i="1"/>
  <c r="BO7" i="1"/>
  <c r="BW7" i="1"/>
  <c r="B6" i="1"/>
  <c r="B5" i="1"/>
  <c r="B4" i="1"/>
  <c r="BH40" i="1"/>
  <c r="BG40" i="1"/>
  <c r="BF40" i="1"/>
  <c r="BE40" i="1"/>
  <c r="BD40" i="1"/>
  <c r="BC40" i="1"/>
  <c r="BB40" i="1"/>
  <c r="BA40" i="1"/>
  <c r="AZ40" i="1"/>
  <c r="AY40" i="1"/>
  <c r="AX40" i="1"/>
  <c r="AW40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P40" i="1"/>
  <c r="O40" i="1"/>
  <c r="N40" i="1"/>
  <c r="M40" i="1"/>
  <c r="L40" i="1"/>
  <c r="K40" i="1"/>
  <c r="J40" i="1"/>
  <c r="I40" i="1"/>
  <c r="H40" i="1"/>
  <c r="G40" i="1"/>
  <c r="F40" i="1"/>
  <c r="E40" i="1"/>
  <c r="D40" i="1"/>
  <c r="C40" i="1"/>
  <c r="B40" i="1"/>
  <c r="BM29" i="1"/>
  <c r="BL29" i="1"/>
  <c r="BH18" i="1"/>
  <c r="BG18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B18" i="1"/>
  <c r="CC36" i="1" l="1"/>
  <c r="BU36" i="1"/>
  <c r="BM36" i="1"/>
  <c r="BE36" i="1"/>
  <c r="AW36" i="1"/>
  <c r="AO36" i="1"/>
  <c r="AG36" i="1"/>
  <c r="Y36" i="1"/>
  <c r="Q36" i="1"/>
  <c r="I36" i="1"/>
  <c r="CE36" i="1"/>
  <c r="AI36" i="1"/>
  <c r="CB36" i="1"/>
  <c r="BT36" i="1"/>
  <c r="BL36" i="1"/>
  <c r="BD36" i="1"/>
  <c r="AV36" i="1"/>
  <c r="AN36" i="1"/>
  <c r="AF36" i="1"/>
  <c r="X36" i="1"/>
  <c r="P36" i="1"/>
  <c r="H36" i="1"/>
  <c r="BO36" i="1"/>
  <c r="AA36" i="1"/>
  <c r="CA36" i="1"/>
  <c r="BS36" i="1"/>
  <c r="BK36" i="1"/>
  <c r="BC36" i="1"/>
  <c r="AU36" i="1"/>
  <c r="AM36" i="1"/>
  <c r="AE36" i="1"/>
  <c r="W36" i="1"/>
  <c r="O36" i="1"/>
  <c r="G36" i="1"/>
  <c r="AY36" i="1"/>
  <c r="BZ36" i="1"/>
  <c r="BR36" i="1"/>
  <c r="BJ36" i="1"/>
  <c r="BB36" i="1"/>
  <c r="AT36" i="1"/>
  <c r="AL36" i="1"/>
  <c r="AD36" i="1"/>
  <c r="V36" i="1"/>
  <c r="N36" i="1"/>
  <c r="F36" i="1"/>
  <c r="AQ36" i="1"/>
  <c r="BY36" i="1"/>
  <c r="BQ36" i="1"/>
  <c r="BI36" i="1"/>
  <c r="BA36" i="1"/>
  <c r="AS36" i="1"/>
  <c r="AK36" i="1"/>
  <c r="AC36" i="1"/>
  <c r="U36" i="1"/>
  <c r="M36" i="1"/>
  <c r="E36" i="1"/>
  <c r="BG36" i="1"/>
  <c r="BX36" i="1"/>
  <c r="BP36" i="1"/>
  <c r="BH36" i="1"/>
  <c r="AZ36" i="1"/>
  <c r="AR36" i="1"/>
  <c r="AJ36" i="1"/>
  <c r="AB36" i="1"/>
  <c r="T36" i="1"/>
  <c r="L36" i="1"/>
  <c r="D36" i="1"/>
  <c r="BW36" i="1"/>
  <c r="S36" i="1"/>
  <c r="BN36" i="1"/>
  <c r="J36" i="1"/>
  <c r="BF36" i="1"/>
  <c r="C36" i="1"/>
  <c r="AX36" i="1"/>
  <c r="B36" i="1"/>
  <c r="Z36" i="1"/>
  <c r="AP36" i="1"/>
  <c r="AH36" i="1"/>
  <c r="CD36" i="1"/>
  <c r="R36" i="1"/>
  <c r="BV36" i="1"/>
  <c r="K36" i="1"/>
  <c r="CE39" i="1"/>
  <c r="BW39" i="1"/>
  <c r="BO39" i="1"/>
  <c r="BG39" i="1"/>
  <c r="AY39" i="1"/>
  <c r="AQ39" i="1"/>
  <c r="AI39" i="1"/>
  <c r="AA39" i="1"/>
  <c r="S39" i="1"/>
  <c r="K39" i="1"/>
  <c r="C39" i="1"/>
  <c r="AK39" i="1"/>
  <c r="CD39" i="1"/>
  <c r="BV39" i="1"/>
  <c r="BN39" i="1"/>
  <c r="BF39" i="1"/>
  <c r="AX39" i="1"/>
  <c r="AP39" i="1"/>
  <c r="AH39" i="1"/>
  <c r="Z39" i="1"/>
  <c r="R39" i="1"/>
  <c r="J39" i="1"/>
  <c r="B39" i="1"/>
  <c r="U39" i="1"/>
  <c r="CC39" i="1"/>
  <c r="BU39" i="1"/>
  <c r="BM39" i="1"/>
  <c r="BE39" i="1"/>
  <c r="AW39" i="1"/>
  <c r="AO39" i="1"/>
  <c r="AG39" i="1"/>
  <c r="Y39" i="1"/>
  <c r="Q39" i="1"/>
  <c r="I39" i="1"/>
  <c r="BA39" i="1"/>
  <c r="CB39" i="1"/>
  <c r="BT39" i="1"/>
  <c r="BL39" i="1"/>
  <c r="BD39" i="1"/>
  <c r="AV39" i="1"/>
  <c r="AN39" i="1"/>
  <c r="AF39" i="1"/>
  <c r="X39" i="1"/>
  <c r="P39" i="1"/>
  <c r="H39" i="1"/>
  <c r="BY39" i="1"/>
  <c r="BQ39" i="1"/>
  <c r="BI39" i="1"/>
  <c r="M39" i="1"/>
  <c r="E39" i="1"/>
  <c r="CA39" i="1"/>
  <c r="BS39" i="1"/>
  <c r="BK39" i="1"/>
  <c r="BC39" i="1"/>
  <c r="AU39" i="1"/>
  <c r="AM39" i="1"/>
  <c r="AE39" i="1"/>
  <c r="W39" i="1"/>
  <c r="O39" i="1"/>
  <c r="G39" i="1"/>
  <c r="AC39" i="1"/>
  <c r="BZ39" i="1"/>
  <c r="BR39" i="1"/>
  <c r="BJ39" i="1"/>
  <c r="BB39" i="1"/>
  <c r="AT39" i="1"/>
  <c r="AL39" i="1"/>
  <c r="AD39" i="1"/>
  <c r="V39" i="1"/>
  <c r="N39" i="1"/>
  <c r="F39" i="1"/>
  <c r="AS39" i="1"/>
  <c r="BX39" i="1"/>
  <c r="L39" i="1"/>
  <c r="BP39" i="1"/>
  <c r="D39" i="1"/>
  <c r="BH39" i="1"/>
  <c r="AZ39" i="1"/>
  <c r="AR39" i="1"/>
  <c r="AJ39" i="1"/>
  <c r="AB39" i="1"/>
  <c r="T39" i="1"/>
  <c r="BY34" i="1"/>
  <c r="BQ34" i="1"/>
  <c r="BI34" i="1"/>
  <c r="BA34" i="1"/>
  <c r="AS34" i="1"/>
  <c r="AK34" i="1"/>
  <c r="AC34" i="1"/>
  <c r="U34" i="1"/>
  <c r="M34" i="1"/>
  <c r="E34" i="1"/>
  <c r="BX34" i="1"/>
  <c r="BP34" i="1"/>
  <c r="BH34" i="1"/>
  <c r="AZ34" i="1"/>
  <c r="AR34" i="1"/>
  <c r="AJ34" i="1"/>
  <c r="AB34" i="1"/>
  <c r="T34" i="1"/>
  <c r="L34" i="1"/>
  <c r="D34" i="1"/>
  <c r="CE34" i="1"/>
  <c r="BW34" i="1"/>
  <c r="BO34" i="1"/>
  <c r="BG34" i="1"/>
  <c r="AY34" i="1"/>
  <c r="AQ34" i="1"/>
  <c r="AI34" i="1"/>
  <c r="AA34" i="1"/>
  <c r="S34" i="1"/>
  <c r="K34" i="1"/>
  <c r="C34" i="1"/>
  <c r="AH34" i="1"/>
  <c r="J34" i="1"/>
  <c r="CD34" i="1"/>
  <c r="BV34" i="1"/>
  <c r="BN34" i="1"/>
  <c r="BF34" i="1"/>
  <c r="AX34" i="1"/>
  <c r="AP34" i="1"/>
  <c r="Z34" i="1"/>
  <c r="R34" i="1"/>
  <c r="B34" i="1"/>
  <c r="CC34" i="1"/>
  <c r="BU34" i="1"/>
  <c r="BM34" i="1"/>
  <c r="BE34" i="1"/>
  <c r="AW34" i="1"/>
  <c r="AO34" i="1"/>
  <c r="AG34" i="1"/>
  <c r="Y34" i="1"/>
  <c r="Q34" i="1"/>
  <c r="I34" i="1"/>
  <c r="CB34" i="1"/>
  <c r="BT34" i="1"/>
  <c r="BL34" i="1"/>
  <c r="BD34" i="1"/>
  <c r="AV34" i="1"/>
  <c r="AN34" i="1"/>
  <c r="AF34" i="1"/>
  <c r="X34" i="1"/>
  <c r="P34" i="1"/>
  <c r="H34" i="1"/>
  <c r="BZ34" i="1"/>
  <c r="AT34" i="1"/>
  <c r="N34" i="1"/>
  <c r="AE34" i="1"/>
  <c r="BS34" i="1"/>
  <c r="AM34" i="1"/>
  <c r="G34" i="1"/>
  <c r="BR34" i="1"/>
  <c r="AL34" i="1"/>
  <c r="F34" i="1"/>
  <c r="BC34" i="1"/>
  <c r="O34" i="1"/>
  <c r="BK34" i="1"/>
  <c r="W34" i="1"/>
  <c r="BJ34" i="1"/>
  <c r="AD34" i="1"/>
  <c r="AU34" i="1"/>
  <c r="BB34" i="1"/>
  <c r="V34" i="1"/>
  <c r="CA34" i="1"/>
  <c r="CA33" i="1"/>
  <c r="BS33" i="1"/>
  <c r="BK33" i="1"/>
  <c r="BC33" i="1"/>
  <c r="AU33" i="1"/>
  <c r="AM33" i="1"/>
  <c r="AE33" i="1"/>
  <c r="W33" i="1"/>
  <c r="O33" i="1"/>
  <c r="G33" i="1"/>
  <c r="BZ33" i="1"/>
  <c r="BR33" i="1"/>
  <c r="BJ33" i="1"/>
  <c r="BB33" i="1"/>
  <c r="AT33" i="1"/>
  <c r="AL33" i="1"/>
  <c r="AD33" i="1"/>
  <c r="V33" i="1"/>
  <c r="N33" i="1"/>
  <c r="F33" i="1"/>
  <c r="BY33" i="1"/>
  <c r="BQ33" i="1"/>
  <c r="BI33" i="1"/>
  <c r="BA33" i="1"/>
  <c r="AS33" i="1"/>
  <c r="AK33" i="1"/>
  <c r="AC33" i="1"/>
  <c r="U33" i="1"/>
  <c r="M33" i="1"/>
  <c r="E33" i="1"/>
  <c r="BX33" i="1"/>
  <c r="BP33" i="1"/>
  <c r="AZ33" i="1"/>
  <c r="AJ33" i="1"/>
  <c r="AB33" i="1"/>
  <c r="L33" i="1"/>
  <c r="BH33" i="1"/>
  <c r="AR33" i="1"/>
  <c r="T33" i="1"/>
  <c r="D33" i="1"/>
  <c r="CE33" i="1"/>
  <c r="BW33" i="1"/>
  <c r="BO33" i="1"/>
  <c r="BG33" i="1"/>
  <c r="AY33" i="1"/>
  <c r="AQ33" i="1"/>
  <c r="AI33" i="1"/>
  <c r="AA33" i="1"/>
  <c r="S33" i="1"/>
  <c r="K33" i="1"/>
  <c r="C33" i="1"/>
  <c r="CD33" i="1"/>
  <c r="BV33" i="1"/>
  <c r="BN33" i="1"/>
  <c r="BF33" i="1"/>
  <c r="AX33" i="1"/>
  <c r="AP33" i="1"/>
  <c r="AH33" i="1"/>
  <c r="Z33" i="1"/>
  <c r="R33" i="1"/>
  <c r="J33" i="1"/>
  <c r="B33" i="1"/>
  <c r="BL33" i="1"/>
  <c r="AF33" i="1"/>
  <c r="AO33" i="1"/>
  <c r="BM33" i="1"/>
  <c r="BE33" i="1"/>
  <c r="Y33" i="1"/>
  <c r="AW33" i="1"/>
  <c r="I33" i="1"/>
  <c r="BD33" i="1"/>
  <c r="X33" i="1"/>
  <c r="CC33" i="1"/>
  <c r="Q33" i="1"/>
  <c r="CB33" i="1"/>
  <c r="AV33" i="1"/>
  <c r="P33" i="1"/>
  <c r="BU33" i="1"/>
  <c r="BT33" i="1"/>
  <c r="AN33" i="1"/>
  <c r="H33" i="1"/>
  <c r="AG33" i="1"/>
  <c r="CA37" i="1"/>
  <c r="BS37" i="1"/>
  <c r="BK37" i="1"/>
  <c r="BC37" i="1"/>
  <c r="AU37" i="1"/>
  <c r="AM37" i="1"/>
  <c r="AE37" i="1"/>
  <c r="W37" i="1"/>
  <c r="O37" i="1"/>
  <c r="G37" i="1"/>
  <c r="AW37" i="1"/>
  <c r="BZ37" i="1"/>
  <c r="BR37" i="1"/>
  <c r="BJ37" i="1"/>
  <c r="BB37" i="1"/>
  <c r="AT37" i="1"/>
  <c r="AL37" i="1"/>
  <c r="AD37" i="1"/>
  <c r="V37" i="1"/>
  <c r="N37" i="1"/>
  <c r="F37" i="1"/>
  <c r="CC37" i="1"/>
  <c r="AO37" i="1"/>
  <c r="BY37" i="1"/>
  <c r="BQ37" i="1"/>
  <c r="BI37" i="1"/>
  <c r="BA37" i="1"/>
  <c r="AS37" i="1"/>
  <c r="AK37" i="1"/>
  <c r="AC37" i="1"/>
  <c r="U37" i="1"/>
  <c r="M37" i="1"/>
  <c r="E37" i="1"/>
  <c r="BE37" i="1"/>
  <c r="I37" i="1"/>
  <c r="BX37" i="1"/>
  <c r="BP37" i="1"/>
  <c r="BH37" i="1"/>
  <c r="AZ37" i="1"/>
  <c r="AR37" i="1"/>
  <c r="AJ37" i="1"/>
  <c r="AB37" i="1"/>
  <c r="T37" i="1"/>
  <c r="L37" i="1"/>
  <c r="D37" i="1"/>
  <c r="BM37" i="1"/>
  <c r="Q37" i="1"/>
  <c r="CE37" i="1"/>
  <c r="BW37" i="1"/>
  <c r="BO37" i="1"/>
  <c r="BG37" i="1"/>
  <c r="AY37" i="1"/>
  <c r="AQ37" i="1"/>
  <c r="AI37" i="1"/>
  <c r="AA37" i="1"/>
  <c r="S37" i="1"/>
  <c r="K37" i="1"/>
  <c r="C37" i="1"/>
  <c r="Y37" i="1"/>
  <c r="CD37" i="1"/>
  <c r="BV37" i="1"/>
  <c r="BN37" i="1"/>
  <c r="BF37" i="1"/>
  <c r="AX37" i="1"/>
  <c r="AP37" i="1"/>
  <c r="AH37" i="1"/>
  <c r="Z37" i="1"/>
  <c r="R37" i="1"/>
  <c r="J37" i="1"/>
  <c r="B37" i="1"/>
  <c r="BU37" i="1"/>
  <c r="AG37" i="1"/>
  <c r="AV37" i="1"/>
  <c r="AN37" i="1"/>
  <c r="H37" i="1"/>
  <c r="AF37" i="1"/>
  <c r="X37" i="1"/>
  <c r="CB37" i="1"/>
  <c r="P37" i="1"/>
  <c r="BT37" i="1"/>
  <c r="BL37" i="1"/>
  <c r="BD37" i="1"/>
  <c r="BY38" i="1"/>
  <c r="BQ38" i="1"/>
  <c r="BI38" i="1"/>
  <c r="BA38" i="1"/>
  <c r="AS38" i="1"/>
  <c r="AK38" i="1"/>
  <c r="AC38" i="1"/>
  <c r="U38" i="1"/>
  <c r="M38" i="1"/>
  <c r="E38" i="1"/>
  <c r="W38" i="1"/>
  <c r="BX38" i="1"/>
  <c r="BP38" i="1"/>
  <c r="BH38" i="1"/>
  <c r="AZ38" i="1"/>
  <c r="AR38" i="1"/>
  <c r="AJ38" i="1"/>
  <c r="AB38" i="1"/>
  <c r="T38" i="1"/>
  <c r="L38" i="1"/>
  <c r="D38" i="1"/>
  <c r="AU38" i="1"/>
  <c r="CE38" i="1"/>
  <c r="BW38" i="1"/>
  <c r="BO38" i="1"/>
  <c r="BG38" i="1"/>
  <c r="AY38" i="1"/>
  <c r="AQ38" i="1"/>
  <c r="AI38" i="1"/>
  <c r="AA38" i="1"/>
  <c r="S38" i="1"/>
  <c r="K38" i="1"/>
  <c r="C38" i="1"/>
  <c r="O38" i="1"/>
  <c r="CD38" i="1"/>
  <c r="BV38" i="1"/>
  <c r="BN38" i="1"/>
  <c r="BF38" i="1"/>
  <c r="AX38" i="1"/>
  <c r="AP38" i="1"/>
  <c r="AH38" i="1"/>
  <c r="Z38" i="1"/>
  <c r="R38" i="1"/>
  <c r="J38" i="1"/>
  <c r="B38" i="1"/>
  <c r="CA38" i="1"/>
  <c r="BS38" i="1"/>
  <c r="BK38" i="1"/>
  <c r="BC38" i="1"/>
  <c r="AE38" i="1"/>
  <c r="CC38" i="1"/>
  <c r="BU38" i="1"/>
  <c r="BM38" i="1"/>
  <c r="BE38" i="1"/>
  <c r="AW38" i="1"/>
  <c r="AO38" i="1"/>
  <c r="AG38" i="1"/>
  <c r="Y38" i="1"/>
  <c r="Q38" i="1"/>
  <c r="I38" i="1"/>
  <c r="G38" i="1"/>
  <c r="CB38" i="1"/>
  <c r="BT38" i="1"/>
  <c r="BL38" i="1"/>
  <c r="BD38" i="1"/>
  <c r="AV38" i="1"/>
  <c r="AN38" i="1"/>
  <c r="AF38" i="1"/>
  <c r="X38" i="1"/>
  <c r="P38" i="1"/>
  <c r="H38" i="1"/>
  <c r="AM38" i="1"/>
  <c r="AD38" i="1"/>
  <c r="V38" i="1"/>
  <c r="BZ38" i="1"/>
  <c r="N38" i="1"/>
  <c r="BR38" i="1"/>
  <c r="F38" i="1"/>
  <c r="BJ38" i="1"/>
  <c r="BB38" i="1"/>
  <c r="AT38" i="1"/>
  <c r="AL38" i="1"/>
  <c r="CE35" i="1"/>
  <c r="BW35" i="1"/>
  <c r="BO35" i="1"/>
  <c r="BG35" i="1"/>
  <c r="AY35" i="1"/>
  <c r="AQ35" i="1"/>
  <c r="AI35" i="1"/>
  <c r="AA35" i="1"/>
  <c r="S35" i="1"/>
  <c r="K35" i="1"/>
  <c r="C35" i="1"/>
  <c r="CD35" i="1"/>
  <c r="BV35" i="1"/>
  <c r="BN35" i="1"/>
  <c r="BF35" i="1"/>
  <c r="AX35" i="1"/>
  <c r="AP35" i="1"/>
  <c r="AH35" i="1"/>
  <c r="Z35" i="1"/>
  <c r="R35" i="1"/>
  <c r="J35" i="1"/>
  <c r="B35" i="1"/>
  <c r="CC35" i="1"/>
  <c r="BU35" i="1"/>
  <c r="BM35" i="1"/>
  <c r="BE35" i="1"/>
  <c r="AW35" i="1"/>
  <c r="AO35" i="1"/>
  <c r="AG35" i="1"/>
  <c r="Y35" i="1"/>
  <c r="Q35" i="1"/>
  <c r="I35" i="1"/>
  <c r="CB35" i="1"/>
  <c r="BT35" i="1"/>
  <c r="BL35" i="1"/>
  <c r="BD35" i="1"/>
  <c r="AV35" i="1"/>
  <c r="AN35" i="1"/>
  <c r="AF35" i="1"/>
  <c r="X35" i="1"/>
  <c r="P35" i="1"/>
  <c r="H35" i="1"/>
  <c r="CA35" i="1"/>
  <c r="BS35" i="1"/>
  <c r="BK35" i="1"/>
  <c r="BC35" i="1"/>
  <c r="AU35" i="1"/>
  <c r="AM35" i="1"/>
  <c r="AE35" i="1"/>
  <c r="W35" i="1"/>
  <c r="O35" i="1"/>
  <c r="G35" i="1"/>
  <c r="BZ35" i="1"/>
  <c r="BR35" i="1"/>
  <c r="BJ35" i="1"/>
  <c r="BB35" i="1"/>
  <c r="AT35" i="1"/>
  <c r="AL35" i="1"/>
  <c r="AD35" i="1"/>
  <c r="V35" i="1"/>
  <c r="N35" i="1"/>
  <c r="F35" i="1"/>
  <c r="BH35" i="1"/>
  <c r="AB35" i="1"/>
  <c r="BQ35" i="1"/>
  <c r="BA35" i="1"/>
  <c r="U35" i="1"/>
  <c r="M35" i="1"/>
  <c r="E35" i="1"/>
  <c r="AZ35" i="1"/>
  <c r="T35" i="1"/>
  <c r="AS35" i="1"/>
  <c r="BY35" i="1"/>
  <c r="BX35" i="1"/>
  <c r="AR35" i="1"/>
  <c r="L35" i="1"/>
  <c r="AK35" i="1"/>
  <c r="BP35" i="1"/>
  <c r="AJ35" i="1"/>
  <c r="D35" i="1"/>
  <c r="BI35" i="1"/>
  <c r="AC35" i="1"/>
  <c r="E7" i="1"/>
  <c r="S7" i="1"/>
  <c r="AA7" i="1"/>
  <c r="AI7" i="1"/>
  <c r="AQ7" i="1"/>
  <c r="AY7" i="1"/>
  <c r="BG7" i="1"/>
  <c r="C7" i="1"/>
  <c r="K7" i="1"/>
  <c r="R7" i="1"/>
  <c r="Z7" i="1"/>
  <c r="AH7" i="1"/>
  <c r="BF7" i="1"/>
  <c r="M7" i="1"/>
  <c r="U7" i="1"/>
  <c r="AC7" i="1"/>
  <c r="AK7" i="1"/>
  <c r="AS7" i="1"/>
  <c r="BA7" i="1"/>
  <c r="BI7" i="1"/>
  <c r="G7" i="1"/>
  <c r="O7" i="1"/>
  <c r="W7" i="1"/>
  <c r="AE7" i="1"/>
  <c r="AM7" i="1"/>
  <c r="AU7" i="1"/>
  <c r="BC7" i="1"/>
  <c r="BK7" i="1"/>
  <c r="H7" i="1"/>
  <c r="P7" i="1"/>
  <c r="X7" i="1"/>
  <c r="AF7" i="1"/>
  <c r="AN7" i="1"/>
  <c r="AV7" i="1"/>
  <c r="BD7" i="1"/>
  <c r="I7" i="1"/>
  <c r="Q7" i="1"/>
  <c r="Y7" i="1"/>
  <c r="AG7" i="1"/>
  <c r="AO7" i="1"/>
  <c r="AW7" i="1"/>
  <c r="BE7" i="1"/>
  <c r="J7" i="1"/>
  <c r="AP7" i="1"/>
  <c r="AX7" i="1"/>
  <c r="D7" i="1"/>
  <c r="L7" i="1"/>
  <c r="T7" i="1"/>
  <c r="AB7" i="1"/>
  <c r="AJ7" i="1"/>
  <c r="AR7" i="1"/>
  <c r="AZ7" i="1"/>
  <c r="BH7" i="1"/>
  <c r="F7" i="1"/>
  <c r="N7" i="1"/>
  <c r="V7" i="1"/>
  <c r="AD7" i="1"/>
  <c r="AL7" i="1"/>
  <c r="AT7" i="1"/>
  <c r="BB7" i="1"/>
  <c r="BJ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7878B9-AB65-477F-9625-4B3BFF684E8E}" keepAlive="1" name="Abfrage - time_series_19-covid-Confirmed" description="Verbindung mit der Abfrage 'time_series_19-covid-Confirmed' in der Arbeitsmappe." type="5" refreshedVersion="6" background="1" refreshOnLoad="1" saveData="1">
    <dbPr connection="Provider=Microsoft.Mashup.OleDb.1;Data Source=$Workbook$;Location=time_series_19-covid-Confirmed;Extended Properties=&quot;&quot;" command="SELECT * FROM [time_series_19-covid-Confirmed]"/>
  </connection>
  <connection id="2" xr16:uid="{EFC7FF4A-E5B6-45B3-A338-E66A945A4E10}" keepAlive="1" name="Abfrage - time_series_19-covid-Deaths" description="Verbindung mit der Abfrage 'time_series_19-covid-Deaths' in der Arbeitsmappe." type="5" refreshedVersion="6" background="1" saveData="1">
    <dbPr connection="Provider=Microsoft.Mashup.OleDb.1;Data Source=$Workbook$;Location=time_series_19-covid-Deaths;Extended Properties=&quot;&quot;" command="SELECT * FROM [time_series_19-covid-Deaths]"/>
  </connection>
  <connection id="3" xr16:uid="{D161D5E2-132E-4031-9213-B1A397F1D0A0}" keepAlive="1" name="Abfrage - time_series_19-covid-Recovered" description="Verbindung mit der Abfrage 'time_series_19-covid-Recovered' in der Arbeitsmappe." type="5" refreshedVersion="6" background="1" saveData="1">
    <dbPr connection="Provider=Microsoft.Mashup.OleDb.1;Data Source=$Workbook$;Location=time_series_19-covid-Recovered;Extended Properties=&quot;&quot;" command="SELECT * FROM [time_series_19-covid-Recovered]"/>
  </connection>
</connections>
</file>

<file path=xl/sharedStrings.xml><?xml version="1.0" encoding="utf-8"?>
<sst xmlns="http://schemas.openxmlformats.org/spreadsheetml/2006/main" count="2412" uniqueCount="652">
  <si>
    <t>Province/State</t>
  </si>
  <si>
    <t>Country/Region</t>
  </si>
  <si>
    <t>1/22/20</t>
  </si>
  <si>
    <t>1/23/20</t>
  </si>
  <si>
    <t>1/24/20</t>
  </si>
  <si>
    <t>1/25/20</t>
  </si>
  <si>
    <t>1/26/20</t>
  </si>
  <si>
    <t>1/27/20</t>
  </si>
  <si>
    <t>1/28/20</t>
  </si>
  <si>
    <t>1/29/20</t>
  </si>
  <si>
    <t>1/30/20</t>
  </si>
  <si>
    <t>1/31/20</t>
  </si>
  <si>
    <t>2/1/20</t>
  </si>
  <si>
    <t>2/2/20</t>
  </si>
  <si>
    <t>2/3/20</t>
  </si>
  <si>
    <t>2/4/20</t>
  </si>
  <si>
    <t>2/5/20</t>
  </si>
  <si>
    <t>2/6/20</t>
  </si>
  <si>
    <t>2/7/20</t>
  </si>
  <si>
    <t>2/8/20</t>
  </si>
  <si>
    <t>2/9/20</t>
  </si>
  <si>
    <t>2/10/20</t>
  </si>
  <si>
    <t>2/11/20</t>
  </si>
  <si>
    <t>2/12/20</t>
  </si>
  <si>
    <t>2/13/20</t>
  </si>
  <si>
    <t>2/14/20</t>
  </si>
  <si>
    <t>2/15/20</t>
  </si>
  <si>
    <t>2/16/20</t>
  </si>
  <si>
    <t>2/17/20</t>
  </si>
  <si>
    <t>2/18/20</t>
  </si>
  <si>
    <t>2/19/20</t>
  </si>
  <si>
    <t>2/20/20</t>
  </si>
  <si>
    <t>2/21/20</t>
  </si>
  <si>
    <t>2/22/20</t>
  </si>
  <si>
    <t>2/23/20</t>
  </si>
  <si>
    <t>2/24/20</t>
  </si>
  <si>
    <t>2/25/20</t>
  </si>
  <si>
    <t>2/26/20</t>
  </si>
  <si>
    <t>2/27/20</t>
  </si>
  <si>
    <t>2/28/20</t>
  </si>
  <si>
    <t>2/29/20</t>
  </si>
  <si>
    <t>3/1/20</t>
  </si>
  <si>
    <t>3/2/20</t>
  </si>
  <si>
    <t>3/3/20</t>
  </si>
  <si>
    <t>3/4/20</t>
  </si>
  <si>
    <t>3/5/20</t>
  </si>
  <si>
    <t>3/6/20</t>
  </si>
  <si>
    <t>3/7/20</t>
  </si>
  <si>
    <t>3/8/20</t>
  </si>
  <si>
    <t>3/9/20</t>
  </si>
  <si>
    <t>3/10/20</t>
  </si>
  <si>
    <t>3/11/20</t>
  </si>
  <si>
    <t>3/12/20</t>
  </si>
  <si>
    <t>3/13/20</t>
  </si>
  <si>
    <t>3/14/20</t>
  </si>
  <si>
    <t>3/15/20</t>
  </si>
  <si>
    <t>3/16/20</t>
  </si>
  <si>
    <t>3/17/20</t>
  </si>
  <si>
    <t>3/18/20</t>
  </si>
  <si>
    <t>3/19/20</t>
  </si>
  <si>
    <t>3/20/20</t>
  </si>
  <si>
    <t>3/21/20</t>
  </si>
  <si>
    <t>3/22/20</t>
  </si>
  <si>
    <t>Thailand</t>
  </si>
  <si>
    <t/>
  </si>
  <si>
    <t>Japan</t>
  </si>
  <si>
    <t>Singapore</t>
  </si>
  <si>
    <t>Nepal</t>
  </si>
  <si>
    <t>Malaysia</t>
  </si>
  <si>
    <t>British Columbia</t>
  </si>
  <si>
    <t>Canada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</si>
  <si>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</si>
  <si>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</si>
  <si>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</si>
  <si>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</si>
  <si>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</si>
  <si>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</si>
  <si>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</si>
  <si>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</si>
  <si>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</si>
  <si>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</si>
  <si>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</si>
  <si>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</si>
  <si>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</si>
  <si>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</si>
  <si>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</si>
  <si>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Belgium</t>
  </si>
  <si>
    <t>Egypt</t>
  </si>
  <si>
    <t>From Diamond Princess</t>
  </si>
  <si>
    <t>Lebanon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</si>
  <si>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</si>
  <si>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</si>
  <si>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</si>
  <si>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</si>
  <si>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</si>
  <si>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</si>
  <si>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</si>
  <si>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</si>
  <si>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</si>
  <si>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</si>
  <si>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</si>
  <si>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</si>
  <si>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</si>
  <si>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</si>
  <si>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</si>
  <si>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</si>
  <si>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</si>
  <si>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Estonia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</si>
  <si>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</si>
  <si>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</si>
  <si>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</si>
  <si>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</si>
  <si>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</si>
  <si>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</si>
  <si>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</si>
  <si>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</si>
  <si>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</si>
  <si>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</si>
  <si>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</si>
  <si>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</si>
  <si>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</si>
  <si>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</si>
  <si>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</si>
  <si>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</si>
  <si>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</si>
  <si>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</si>
  <si>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</si>
  <si>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</si>
  <si>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</si>
  <si>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</si>
  <si>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</si>
  <si>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</si>
  <si>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Argentina</t>
  </si>
  <si>
    <t>Chile</t>
  </si>
  <si>
    <t>Jordan</t>
  </si>
  <si>
    <t>Ukraine</t>
  </si>
  <si>
    <t>Hungary</t>
  </si>
  <si>
    <t>Northern Territory</t>
  </si>
  <si>
    <t>Liechtenstein</t>
  </si>
  <si>
    <t>Poland</t>
  </si>
  <si>
    <t>Tunisia</t>
  </si>
  <si>
    <t>Bosnia and Herzegovina</t>
  </si>
  <si>
    <t>Slovenia</t>
  </si>
  <si>
    <t>South Africa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</si>
  <si>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</si>
  <si>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</si>
  <si>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</si>
  <si>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</si>
  <si>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</si>
  <si>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</si>
  <si>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</si>
  <si>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</si>
  <si>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Malta</t>
  </si>
  <si>
    <t>Martinique</t>
  </si>
  <si>
    <t>Bulgaria</t>
  </si>
  <si>
    <t>Maldives</t>
  </si>
  <si>
    <t>Bangladesh</t>
  </si>
  <si>
    <t>Paraguay</t>
  </si>
  <si>
    <t>Ontario</t>
  </si>
  <si>
    <t>Alberta</t>
  </si>
  <si>
    <t>Quebec</t>
  </si>
  <si>
    <t>Albania</t>
  </si>
  <si>
    <t>Cyprus</t>
  </si>
  <si>
    <t>Brunei</t>
  </si>
  <si>
    <t>Washington</t>
  </si>
  <si>
    <t>US</t>
  </si>
  <si>
    <t>New York</t>
  </si>
  <si>
    <t>California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</si>
  <si>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</si>
  <si>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</si>
  <si>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</si>
  <si>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</si>
  <si>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</si>
  <si>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</si>
  <si>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</si>
  <si>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</si>
  <si>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</si>
  <si>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</si>
  <si>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</si>
  <si>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</si>
  <si>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</si>
  <si>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</si>
  <si>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</si>
  <si>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</si>
  <si>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</si>
  <si>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</si>
  <si>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</si>
  <si>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</si>
  <si>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</si>
  <si>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</si>
  <si>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</si>
  <si>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</si>
  <si>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</si>
  <si>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</si>
  <si>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</si>
  <si>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</si>
  <si>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</si>
  <si>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</si>
  <si>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</si>
  <si>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</si>
  <si>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</si>
  <si>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</si>
  <si>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</si>
  <si>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</si>
  <si>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</si>
  <si>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</si>
  <si>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</si>
  <si>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</si>
  <si>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</si>
  <si>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</si>
  <si>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</si>
  <si>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</si>
  <si>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</si>
  <si>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</si>
  <si>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</si>
  <si>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</si>
  <si>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</si>
  <si>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</si>
  <si>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</si>
  <si>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</si>
  <si>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Hubei</t>
  </si>
  <si>
    <t>China</t>
  </si>
  <si>
    <t>Iran</t>
  </si>
  <si>
    <t>Korea, South</t>
  </si>
  <si>
    <t>France</t>
  </si>
  <si>
    <t>Guangdong</t>
  </si>
  <si>
    <t>Henan</t>
  </si>
  <si>
    <t>Zhejiang</t>
  </si>
  <si>
    <t>Hunan</t>
  </si>
  <si>
    <t>Anhui</t>
  </si>
  <si>
    <t>Jiangxi</t>
  </si>
  <si>
    <t>Shandong</t>
  </si>
  <si>
    <t>Cruise Ship</t>
  </si>
  <si>
    <t>Jiangsu</t>
  </si>
  <si>
    <t>Chongqing</t>
  </si>
  <si>
    <t>Sichuan</t>
  </si>
  <si>
    <t>Heilongjiang</t>
  </si>
  <si>
    <t>Denmark</t>
  </si>
  <si>
    <t>Beijing</t>
  </si>
  <si>
    <t>Shanghai</t>
  </si>
  <si>
    <t>Hebei</t>
  </si>
  <si>
    <t>Fujian</t>
  </si>
  <si>
    <t>Guangxi</t>
  </si>
  <si>
    <t>Shaanxi</t>
  </si>
  <si>
    <t>Yunnan</t>
  </si>
  <si>
    <t>Hainan</t>
  </si>
  <si>
    <t>Guizhou</t>
  </si>
  <si>
    <t>Tianjin</t>
  </si>
  <si>
    <t>Shanxi</t>
  </si>
  <si>
    <t>Gansu</t>
  </si>
  <si>
    <t>Hong Kong</t>
  </si>
  <si>
    <t>Liaoning</t>
  </si>
  <si>
    <t>Jilin</t>
  </si>
  <si>
    <t>Czechia</t>
  </si>
  <si>
    <t>Xinjiang</t>
  </si>
  <si>
    <t>Inner Mongolia</t>
  </si>
  <si>
    <t>Ningxia</t>
  </si>
  <si>
    <t>Taiwan*</t>
  </si>
  <si>
    <t>Vietnam</t>
  </si>
  <si>
    <t>Russia</t>
  </si>
  <si>
    <t>Qinghai</t>
  </si>
  <si>
    <t>Macau</t>
  </si>
  <si>
    <t>Moldova</t>
  </si>
  <si>
    <t>Bolivia</t>
  </si>
  <si>
    <t>Faroe Islands</t>
  </si>
  <si>
    <t>St Martin</t>
  </si>
  <si>
    <t>Honduras</t>
  </si>
  <si>
    <t>Channel Islands</t>
  </si>
  <si>
    <t>United Kingdom</t>
  </si>
  <si>
    <t>New Brunswick</t>
  </si>
  <si>
    <t>Tibet</t>
  </si>
  <si>
    <t>Congo (Kinshasa)</t>
  </si>
  <si>
    <t>Cote d'Ivoire</t>
  </si>
  <si>
    <t>Saint Barthelemy</t>
  </si>
  <si>
    <t>Jamaica</t>
  </si>
  <si>
    <t>Turkey</t>
  </si>
  <si>
    <t>Gibraltar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</si>
  <si>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</si>
  <si>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</si>
  <si>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</si>
  <si>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</si>
  <si>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</si>
  <si>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</si>
  <si>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</si>
  <si>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</si>
  <si>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</si>
  <si>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</si>
  <si>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</si>
  <si>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</si>
  <si>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</si>
  <si>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</si>
  <si>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</si>
  <si>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</si>
  <si>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</si>
  <si>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</si>
  <si>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</si>
  <si>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</si>
  <si>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</si>
  <si>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</si>
  <si>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</si>
  <si>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</si>
  <si>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</si>
  <si>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</si>
  <si>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</si>
  <si>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Prince George's, MD</t>
  </si>
  <si>
    <t>Pottawattamie, IA</t>
  </si>
  <si>
    <t>Camden, NC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</si>
  <si>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</si>
  <si>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</si>
  <si>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</si>
  <si>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</si>
  <si>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</si>
  <si>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</si>
  <si>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</si>
  <si>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</si>
  <si>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</si>
  <si>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</si>
  <si>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</si>
  <si>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</si>
  <si>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</si>
  <si>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</si>
  <si>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</si>
  <si>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</si>
  <si>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</si>
  <si>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Harrison County, KY</t>
  </si>
  <si>
    <t>Johnson County, IA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</si>
  <si>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</si>
  <si>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</si>
  <si>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</si>
  <si>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</si>
  <si>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</si>
  <si>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</si>
  <si>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</si>
  <si>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</si>
  <si>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</si>
  <si>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</si>
  <si>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</si>
  <si>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</si>
  <si>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</si>
  <si>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</si>
  <si>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</si>
  <si>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</si>
  <si>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</si>
  <si>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</si>
  <si>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</si>
  <si>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Fairfax County, VA</t>
  </si>
  <si>
    <t>Rockingham County, NH</t>
  </si>
  <si>
    <t>Washington, D.C.</t>
  </si>
  <si>
    <t>Montgomery County, PA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</si>
  <si>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</si>
  <si>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</si>
  <si>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</si>
  <si>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</si>
  <si>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</si>
  <si>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</si>
  <si>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</si>
  <si>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</si>
  <si>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</si>
  <si>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</si>
  <si>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</si>
  <si>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</si>
  <si>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 xml:space="preserve">Jackson County, OR 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</si>
  <si>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</si>
  <si>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</si>
  <si>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</si>
  <si>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</si>
  <si>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</si>
  <si>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</si>
  <si>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Douglas County, CO</t>
  </si>
  <si>
    <t>Providence County, RI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</si>
  <si>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</si>
  <si>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</si>
  <si>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</si>
  <si>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</si>
  <si>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</si>
  <si>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</si>
  <si>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</si>
  <si>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</si>
  <si>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</si>
  <si>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</si>
  <si>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</si>
  <si>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</si>
  <si>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</si>
  <si>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</si>
  <si>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</si>
  <si>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</si>
  <si>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</si>
  <si>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</si>
  <si>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</si>
  <si>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</si>
  <si>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</si>
  <si>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</si>
  <si>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Bergen County, NJ</t>
  </si>
  <si>
    <t>Harris County, TX</t>
  </si>
  <si>
    <t>San Francisco County, CA</t>
  </si>
  <si>
    <t>Contra Costa County, CA</t>
  </si>
  <si>
    <t>Orange County, CA</t>
  </si>
  <si>
    <t>Norfolk County, MA</t>
  </si>
  <si>
    <t>Maricopa County, AZ</t>
  </si>
  <si>
    <t>Wake County, NC</t>
  </si>
  <si>
    <t>Westchester County, NY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</si>
  <si>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</si>
  <si>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</si>
  <si>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</si>
  <si>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</si>
  <si>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</si>
  <si>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</si>
  <si>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</si>
  <si>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</si>
  <si>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Snohomish County, WA</t>
  </si>
  <si>
    <t>Humboldt County, CA</t>
  </si>
  <si>
    <t>Sacramento County, CA</t>
  </si>
  <si>
    <t>San Diego County, CA</t>
  </si>
  <si>
    <t>San Benito, CA</t>
  </si>
  <si>
    <t>Los Angeles, CA</t>
  </si>
  <si>
    <t>King County, WA</t>
  </si>
  <si>
    <t>Cook County, IL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</si>
  <si>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</si>
  <si>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</si>
  <si>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</si>
  <si>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</si>
  <si>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</si>
  <si>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</si>
  <si>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</si>
  <si>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</si>
  <si>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</si>
  <si>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</si>
  <si>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</si>
  <si>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</si>
  <si>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</si>
  <si>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</si>
  <si>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</si>
  <si>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</si>
  <si>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</si>
  <si>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</si>
  <si>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</si>
  <si>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</si>
  <si>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</si>
  <si>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</si>
  <si>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</si>
  <si>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</si>
  <si>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</si>
  <si>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</si>
  <si>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</si>
  <si>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</si>
  <si>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</si>
  <si>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</si>
  <si>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</si>
  <si>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</si>
  <si>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</si>
  <si>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</si>
  <si>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</si>
  <si>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</si>
  <si>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</si>
  <si>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</si>
  <si>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</si>
  <si>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</si>
  <si>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</si>
  <si>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</si>
  <si>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</si>
  <si>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</si>
  <si>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</si>
  <si>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</si>
  <si>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</si>
  <si>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</si>
  <si>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</si>
  <si>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</si>
  <si>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</si>
  <si>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</si>
  <si>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</si>
  <si>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</si>
  <si>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</si>
  <si>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</si>
  <si>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Manitoba</t>
  </si>
  <si>
    <t>Saskatchewan</t>
  </si>
  <si>
    <t>Ethiopia</t>
  </si>
  <si>
    <t>Sudan</t>
  </si>
  <si>
    <t>Guinea</t>
  </si>
  <si>
    <t>Kenya</t>
  </si>
  <si>
    <t>Antigua and Barbuda</t>
  </si>
  <si>
    <t>Alabama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</si>
  <si>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</si>
  <si>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</si>
  <si>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</si>
  <si>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</si>
  <si>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</si>
  <si>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</si>
  <si>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</si>
  <si>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</si>
  <si>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</si>
  <si>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</si>
  <si>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</si>
  <si>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</si>
  <si>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</si>
  <si>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</si>
  <si>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</si>
  <si>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French Guiana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</si>
  <si>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</si>
  <si>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</si>
  <si>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</si>
  <si>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</si>
  <si>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</si>
  <si>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</si>
  <si>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</si>
  <si>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</si>
  <si>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</si>
  <si>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Netherlands</t>
  </si>
  <si>
    <t>Nova Scotia</t>
  </si>
  <si>
    <t>Guadeloupe</t>
  </si>
  <si>
    <t>Benin</t>
  </si>
  <si>
    <t>Liberia</t>
  </si>
  <si>
    <t>Curacao</t>
  </si>
  <si>
    <t>Somalia</t>
  </si>
  <si>
    <t>Tanzania</t>
  </si>
  <si>
    <t>Virgin Islands</t>
  </si>
  <si>
    <t>Cayman Islands</t>
  </si>
  <si>
    <t>Reunion</t>
  </si>
  <si>
    <t>Barbados</t>
  </si>
  <si>
    <t>Montenegro</t>
  </si>
  <si>
    <t>Kyrgyzstan</t>
  </si>
  <si>
    <t>Mauritius</t>
  </si>
  <si>
    <t>Aruba</t>
  </si>
  <si>
    <t>Zambia</t>
  </si>
  <si>
    <t>Djibouti</t>
  </si>
  <si>
    <t>Gambia, The</t>
  </si>
  <si>
    <t>Montserrat</t>
  </si>
  <si>
    <t>Bahamas, The</t>
  </si>
  <si>
    <t>Greenland</t>
  </si>
  <si>
    <t>New Caledonia</t>
  </si>
  <si>
    <t>Bermuda</t>
  </si>
  <si>
    <t>Chad</t>
  </si>
  <si>
    <t>El Salvador</t>
  </si>
  <si>
    <t>Fiji</t>
  </si>
  <si>
    <t>Nicaragua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</si>
  <si>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</si>
  <si>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</si>
  <si>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</si>
  <si>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</si>
  <si>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</si>
  <si>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</si>
  <si>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</si>
  <si>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</si>
  <si>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</si>
  <si>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Northwest Territories</t>
  </si>
  <si>
    <t>Cape Verde</t>
  </si>
  <si>
    <t>East Timor</t>
  </si>
  <si>
    <t>Eritrea</t>
  </si>
  <si>
    <t>Uganda</t>
  </si>
  <si>
    <t>Dominica</t>
  </si>
  <si>
    <t>Grenada</t>
  </si>
  <si>
    <t>Mozambique</t>
  </si>
  <si>
    <t>Syria</t>
  </si>
  <si>
    <t>Timor-Leste</t>
  </si>
  <si>
    <t>Worldwide</t>
  </si>
  <si>
    <t>Confirmed Cases</t>
  </si>
  <si>
    <t>Deaths</t>
  </si>
  <si>
    <t>Recoveries</t>
  </si>
  <si>
    <t>Currently Selected</t>
  </si>
  <si>
    <t>Recovered</t>
  </si>
  <si>
    <t>22.1</t>
  </si>
  <si>
    <t>23.1</t>
  </si>
  <si>
    <t>24.1</t>
  </si>
  <si>
    <t>25.1</t>
  </si>
  <si>
    <t>26.1</t>
  </si>
  <si>
    <t>27.1</t>
  </si>
  <si>
    <t>28.1</t>
  </si>
  <si>
    <t>29.1</t>
  </si>
  <si>
    <t>30.1</t>
  </si>
  <si>
    <t>31.1</t>
  </si>
  <si>
    <t>1.2</t>
  </si>
  <si>
    <t>2.2</t>
  </si>
  <si>
    <t>3.2</t>
  </si>
  <si>
    <t>4.2</t>
  </si>
  <si>
    <t>5.2</t>
  </si>
  <si>
    <t>6.2</t>
  </si>
  <si>
    <t>7.2</t>
  </si>
  <si>
    <t>8.2</t>
  </si>
  <si>
    <t>9.2</t>
  </si>
  <si>
    <t>10.2</t>
  </si>
  <si>
    <t>11.2</t>
  </si>
  <si>
    <t>12.2</t>
  </si>
  <si>
    <t>13.2</t>
  </si>
  <si>
    <t>14.2</t>
  </si>
  <si>
    <t>15.2</t>
  </si>
  <si>
    <t>16.2</t>
  </si>
  <si>
    <t>17.2</t>
  </si>
  <si>
    <t>18.2</t>
  </si>
  <si>
    <t>19.2</t>
  </si>
  <si>
    <t>20.2</t>
  </si>
  <si>
    <t>21.2</t>
  </si>
  <si>
    <t>22.2</t>
  </si>
  <si>
    <t>23.2</t>
  </si>
  <si>
    <t>24.2</t>
  </si>
  <si>
    <t>25.2</t>
  </si>
  <si>
    <t>26.2</t>
  </si>
  <si>
    <t>27.2</t>
  </si>
  <si>
    <t>28.2</t>
  </si>
  <si>
    <t>29.2</t>
  </si>
  <si>
    <t>1.3</t>
  </si>
  <si>
    <t>2.3</t>
  </si>
  <si>
    <t>3.3</t>
  </si>
  <si>
    <t>4.3</t>
  </si>
  <si>
    <t>5.3</t>
  </si>
  <si>
    <t>6.3</t>
  </si>
  <si>
    <t>7.3</t>
  </si>
  <si>
    <t>8.3</t>
  </si>
  <si>
    <t>9.3</t>
  </si>
  <si>
    <t>10.3</t>
  </si>
  <si>
    <t>11.3</t>
  </si>
  <si>
    <t>12.3</t>
  </si>
  <si>
    <t>13.3</t>
  </si>
  <si>
    <t>14.3</t>
  </si>
  <si>
    <t>15.3</t>
  </si>
  <si>
    <t>16.3</t>
  </si>
  <si>
    <t>17.3</t>
  </si>
  <si>
    <t>18.3</t>
  </si>
  <si>
    <t>19.3</t>
  </si>
  <si>
    <t>20.3</t>
  </si>
  <si>
    <t>21.3</t>
  </si>
  <si>
    <t>22.3</t>
  </si>
  <si>
    <t>Current Doubling Rate</t>
  </si>
  <si>
    <t>23.3</t>
  </si>
  <si>
    <t>24.3</t>
  </si>
  <si>
    <t>25.3</t>
  </si>
  <si>
    <t>26.3</t>
  </si>
  <si>
    <t>27.3</t>
  </si>
  <si>
    <t>28.3</t>
  </si>
  <si>
    <t>29.3</t>
  </si>
  <si>
    <t>30.3</t>
  </si>
  <si>
    <t>31.3</t>
  </si>
  <si>
    <t>1.4</t>
  </si>
  <si>
    <t>2.4</t>
  </si>
  <si>
    <t>3.4</t>
  </si>
  <si>
    <t>4.4</t>
  </si>
  <si>
    <t>5.4</t>
  </si>
  <si>
    <t>6.4</t>
  </si>
  <si>
    <t>7.4</t>
  </si>
  <si>
    <t>8.4</t>
  </si>
  <si>
    <t>9.4</t>
  </si>
  <si>
    <t>10.4</t>
  </si>
  <si>
    <t>11.4</t>
  </si>
  <si>
    <t>12.4</t>
  </si>
  <si>
    <t>United States Virgin Islands</t>
  </si>
  <si>
    <t>Guernsey</t>
  </si>
  <si>
    <t>Jersey</t>
  </si>
  <si>
    <t>Republic of the Congo</t>
  </si>
  <si>
    <t>The Bahamas</t>
  </si>
  <si>
    <t>The Gambia</t>
  </si>
  <si>
    <t>3/23/20</t>
  </si>
  <si>
    <t>Bahamas</t>
  </si>
  <si>
    <t>Gambia</t>
  </si>
  <si>
    <t>Belize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</si>
</sst>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;@"/>
    <numFmt numFmtId="165" formatCode="0;;;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Roboto"/>
    </font>
    <font>
      <sz val="11"/>
      <color theme="1"/>
      <name val="Roboto"/>
    </font>
    <font>
      <sz val="11"/>
      <color theme="0"/>
      <name val="Roboto"/>
    </font>
    <font>
      <b/>
      <sz val="14"/>
      <color theme="0"/>
      <name val="Roboto"/>
    </font>
    <font>
      <b/>
      <sz val="14"/>
      <color theme="9" tint="-0.249977111117893"/>
      <name val="Roboto"/>
    </font>
    <font>
      <b/>
      <sz val="10"/>
      <color theme="0"/>
      <name val="Roboto"/>
    </font>
    <font>
      <sz val="10"/>
      <color theme="0"/>
      <name val="Roboto"/>
    </font>
    <font>
      <sz val="10"/>
      <color theme="1"/>
      <name val="Roboto"/>
    </font>
    <font>
      <b/>
      <sz val="9"/>
      <color theme="0"/>
      <name val="Roboto"/>
    </font>
  </fonts>
  <fills count="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NumberFormat="1"/>
    <xf numFmtId="0" fontId="2" fillId="4" borderId="0" xfId="0" applyFont="1" applyFill="1"/>
    <xf numFmtId="0" fontId="3" fillId="2" borderId="0" xfId="0" applyFont="1" applyFill="1"/>
    <xf numFmtId="0" fontId="5" fillId="4" borderId="0" xfId="0" applyFont="1" applyFill="1" applyAlignment="1">
      <alignment vertical="center"/>
    </xf>
    <xf numFmtId="0" fontId="3" fillId="2" borderId="0" xfId="0" applyFont="1" applyFill="1" applyAlignment="1">
      <alignment vertical="top" wrapText="1"/>
    </xf>
    <xf numFmtId="0" fontId="2" fillId="4" borderId="0" xfId="0" applyFont="1" applyFill="1" applyAlignment="1">
      <alignment vertical="top" wrapText="1"/>
    </xf>
    <xf numFmtId="0" fontId="10" fillId="4" borderId="0" xfId="0" applyFont="1" applyFill="1"/>
    <xf numFmtId="0" fontId="10" fillId="4" borderId="1" xfId="0" applyNumberFormat="1" applyFont="1" applyFill="1" applyBorder="1" applyAlignment="1">
      <alignment vertical="top" wrapText="1"/>
    </xf>
    <xf numFmtId="0" fontId="10" fillId="4" borderId="1" xfId="0" applyNumberFormat="1" applyFont="1" applyFill="1" applyBorder="1"/>
    <xf numFmtId="0" fontId="8" fillId="3" borderId="3" xfId="0" applyNumberFormat="1" applyFont="1" applyFill="1" applyBorder="1" applyAlignment="1">
      <alignment vertical="top" wrapText="1"/>
    </xf>
    <xf numFmtId="165" fontId="8" fillId="4" borderId="1" xfId="0" applyNumberFormat="1" applyFont="1" applyFill="1" applyBorder="1" applyAlignment="1">
      <alignment vertical="top" wrapText="1"/>
    </xf>
    <xf numFmtId="0" fontId="10" fillId="4" borderId="2" xfId="0" applyNumberFormat="1" applyFont="1" applyFill="1" applyBorder="1" applyAlignment="1">
      <alignment vertical="top" wrapText="1"/>
    </xf>
    <xf numFmtId="0" fontId="10" fillId="4" borderId="2" xfId="0" applyNumberFormat="1" applyFont="1" applyFill="1" applyBorder="1"/>
    <xf numFmtId="165" fontId="8" fillId="4" borderId="2" xfId="0" applyNumberFormat="1" applyFont="1" applyFill="1" applyBorder="1" applyAlignment="1">
      <alignment vertical="top" wrapText="1"/>
    </xf>
    <xf numFmtId="0" fontId="9" fillId="3" borderId="1" xfId="0" applyFont="1" applyFill="1" applyBorder="1"/>
    <xf numFmtId="0" fontId="3" fillId="2" borderId="1" xfId="0" applyFont="1" applyFill="1" applyBorder="1"/>
    <xf numFmtId="0" fontId="3" fillId="2" borderId="1" xfId="0" applyFont="1" applyFill="1" applyBorder="1" applyAlignment="1">
      <alignment vertical="top" wrapText="1"/>
    </xf>
    <xf numFmtId="0" fontId="5" fillId="4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top" wrapText="1"/>
    </xf>
    <xf numFmtId="0" fontId="2" fillId="4" borderId="1" xfId="0" applyFont="1" applyFill="1" applyBorder="1"/>
    <xf numFmtId="0" fontId="10" fillId="4" borderId="1" xfId="0" applyFont="1" applyFill="1" applyBorder="1"/>
    <xf numFmtId="0" fontId="4" fillId="2" borderId="1" xfId="0" applyFont="1" applyFill="1" applyBorder="1"/>
    <xf numFmtId="0" fontId="4" fillId="2" borderId="1" xfId="0" applyFont="1" applyFill="1" applyBorder="1" applyAlignment="1">
      <alignment vertical="top" wrapText="1"/>
    </xf>
    <xf numFmtId="164" fontId="7" fillId="2" borderId="1" xfId="0" applyNumberFormat="1" applyFont="1" applyFill="1" applyBorder="1" applyAlignment="1">
      <alignment vertical="top" wrapText="1"/>
    </xf>
    <xf numFmtId="164" fontId="7" fillId="2" borderId="1" xfId="0" applyNumberFormat="1" applyFont="1" applyFill="1" applyBorder="1" applyAlignment="1">
      <alignment vertical="top"/>
    </xf>
    <xf numFmtId="0" fontId="2" fillId="2" borderId="1" xfId="0" applyNumberFormat="1" applyFont="1" applyFill="1" applyBorder="1" applyAlignment="1">
      <alignment vertical="top"/>
    </xf>
    <xf numFmtId="0" fontId="6" fillId="2" borderId="1" xfId="0" applyNumberFormat="1" applyFont="1" applyFill="1" applyBorder="1"/>
    <xf numFmtId="164" fontId="7" fillId="2" borderId="1" xfId="0" applyNumberFormat="1" applyFont="1" applyFill="1" applyBorder="1" applyAlignment="1">
      <alignment vertical="center" wrapText="1"/>
    </xf>
    <xf numFmtId="164" fontId="7" fillId="2" borderId="1" xfId="0" applyNumberFormat="1" applyFont="1" applyFill="1" applyBorder="1" applyAlignment="1">
      <alignment vertical="center"/>
    </xf>
    <xf numFmtId="0" fontId="8" fillId="2" borderId="1" xfId="0" applyFont="1" applyFill="1" applyBorder="1"/>
    <xf numFmtId="0" fontId="8" fillId="2" borderId="1" xfId="0" applyNumberFormat="1" applyFont="1" applyFill="1" applyBorder="1"/>
    <xf numFmtId="1" fontId="8" fillId="3" borderId="1" xfId="0" applyNumberFormat="1" applyFont="1" applyFill="1" applyBorder="1" applyAlignment="1">
      <alignment vertical="top" wrapText="1"/>
    </xf>
    <xf numFmtId="0" fontId="7" fillId="2" borderId="1" xfId="0" applyNumberFormat="1" applyFont="1" applyFill="1" applyBorder="1" applyAlignment="1">
      <alignment vertical="top"/>
    </xf>
    <xf numFmtId="0" fontId="9" fillId="2" borderId="1" xfId="0" applyFont="1" applyFill="1" applyBorder="1" applyAlignment="1">
      <alignment vertical="top"/>
    </xf>
    <xf numFmtId="2" fontId="8" fillId="3" borderId="1" xfId="0" applyNumberFormat="1" applyFont="1" applyFill="1" applyBorder="1" applyAlignment="1">
      <alignment vertical="top" wrapText="1"/>
    </xf>
  </cellXfs>
  <cellStyles count="1">
    <cellStyle name="Standard" xfId="0" builtinId="0"/>
  </cellStyles>
  <dxfs count="33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r>
              <a:rPr lang="de-DE"/>
              <a:t>Combined Selected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Overview!$A$4</c:f>
              <c:strCache>
                <c:ptCount val="1"/>
                <c:pt idx="0">
                  <c:v>Confirmed Cases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Overview!$B$3:$BK$3</c:f>
              <c:numCache>
                <c:formatCode>d/m;@</c:formatCode>
                <c:ptCount val="6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</c:numCache>
            </c:numRef>
          </c:cat>
          <c:val>
            <c:numRef>
              <c:f>Overview!$B$4:$BK$4</c:f>
              <c:numCache>
                <c:formatCode>0</c:formatCode>
                <c:ptCount val="62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7</c:v>
                </c:pt>
                <c:pt idx="10">
                  <c:v>8</c:v>
                </c:pt>
                <c:pt idx="11">
                  <c:v>8</c:v>
                </c:pt>
                <c:pt idx="12">
                  <c:v>11</c:v>
                </c:pt>
                <c:pt idx="13">
                  <c:v>11</c:v>
                </c:pt>
                <c:pt idx="14">
                  <c:v>11</c:v>
                </c:pt>
                <c:pt idx="15">
                  <c:v>11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12</c:v>
                </c:pt>
                <c:pt idx="21">
                  <c:v>12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51</c:v>
                </c:pt>
                <c:pt idx="34">
                  <c:v>51</c:v>
                </c:pt>
                <c:pt idx="35">
                  <c:v>57</c:v>
                </c:pt>
                <c:pt idx="36">
                  <c:v>58</c:v>
                </c:pt>
                <c:pt idx="37">
                  <c:v>60</c:v>
                </c:pt>
                <c:pt idx="38">
                  <c:v>68</c:v>
                </c:pt>
                <c:pt idx="39">
                  <c:v>74</c:v>
                </c:pt>
                <c:pt idx="40">
                  <c:v>98</c:v>
                </c:pt>
                <c:pt idx="41">
                  <c:v>118</c:v>
                </c:pt>
                <c:pt idx="42">
                  <c:v>149</c:v>
                </c:pt>
                <c:pt idx="43">
                  <c:v>217</c:v>
                </c:pt>
                <c:pt idx="44">
                  <c:v>262</c:v>
                </c:pt>
                <c:pt idx="45">
                  <c:v>402</c:v>
                </c:pt>
                <c:pt idx="46">
                  <c:v>518</c:v>
                </c:pt>
                <c:pt idx="47">
                  <c:v>583</c:v>
                </c:pt>
                <c:pt idx="48">
                  <c:v>959</c:v>
                </c:pt>
                <c:pt idx="49">
                  <c:v>1281</c:v>
                </c:pt>
                <c:pt idx="50">
                  <c:v>1663</c:v>
                </c:pt>
                <c:pt idx="51">
                  <c:v>2179</c:v>
                </c:pt>
                <c:pt idx="52">
                  <c:v>2727</c:v>
                </c:pt>
                <c:pt idx="53">
                  <c:v>3499</c:v>
                </c:pt>
                <c:pt idx="54">
                  <c:v>4632</c:v>
                </c:pt>
                <c:pt idx="55">
                  <c:v>6421</c:v>
                </c:pt>
                <c:pt idx="56">
                  <c:v>7783</c:v>
                </c:pt>
                <c:pt idx="57">
                  <c:v>13677</c:v>
                </c:pt>
                <c:pt idx="58">
                  <c:v>19100</c:v>
                </c:pt>
                <c:pt idx="59">
                  <c:v>25489</c:v>
                </c:pt>
                <c:pt idx="60">
                  <c:v>33276</c:v>
                </c:pt>
                <c:pt idx="61">
                  <c:v>43847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36-4BF8-A7AE-16AC5A3369ED}"/>
            </c:ext>
          </c:extLst>
        </c:ser>
        <c:ser>
          <c:idx val="1"/>
          <c:order val="1"/>
          <c:tx>
            <c:strRef>
              <c:f>Overview!$A$5</c:f>
              <c:strCache>
                <c:ptCount val="1"/>
                <c:pt idx="0">
                  <c:v>Deaths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Overview!$B$3:$BK$3</c:f>
              <c:numCache>
                <c:formatCode>d/m;@</c:formatCode>
                <c:ptCount val="6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</c:numCache>
            </c:numRef>
          </c:cat>
          <c:val>
            <c:numRef>
              <c:f>Overview!$B$5:$BK$5</c:f>
              <c:numCache>
                <c:formatCode>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6</c:v>
                </c:pt>
                <c:pt idx="41">
                  <c:v>7</c:v>
                </c:pt>
                <c:pt idx="42">
                  <c:v>11</c:v>
                </c:pt>
                <c:pt idx="43">
                  <c:v>12</c:v>
                </c:pt>
                <c:pt idx="44">
                  <c:v>14</c:v>
                </c:pt>
                <c:pt idx="45">
                  <c:v>17</c:v>
                </c:pt>
                <c:pt idx="46">
                  <c:v>21</c:v>
                </c:pt>
                <c:pt idx="47">
                  <c:v>22</c:v>
                </c:pt>
                <c:pt idx="48">
                  <c:v>28</c:v>
                </c:pt>
                <c:pt idx="49">
                  <c:v>36</c:v>
                </c:pt>
                <c:pt idx="50">
                  <c:v>40</c:v>
                </c:pt>
                <c:pt idx="51">
                  <c:v>47</c:v>
                </c:pt>
                <c:pt idx="52">
                  <c:v>54</c:v>
                </c:pt>
                <c:pt idx="53">
                  <c:v>63</c:v>
                </c:pt>
                <c:pt idx="54">
                  <c:v>85</c:v>
                </c:pt>
                <c:pt idx="55">
                  <c:v>108</c:v>
                </c:pt>
                <c:pt idx="56">
                  <c:v>118</c:v>
                </c:pt>
                <c:pt idx="57">
                  <c:v>200</c:v>
                </c:pt>
                <c:pt idx="58">
                  <c:v>244</c:v>
                </c:pt>
                <c:pt idx="59">
                  <c:v>307</c:v>
                </c:pt>
                <c:pt idx="60">
                  <c:v>417</c:v>
                </c:pt>
                <c:pt idx="61">
                  <c:v>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36-4BF8-A7AE-16AC5A3369ED}"/>
            </c:ext>
          </c:extLst>
        </c:ser>
        <c:ser>
          <c:idx val="2"/>
          <c:order val="2"/>
          <c:tx>
            <c:strRef>
              <c:f>Overview!$A$6</c:f>
              <c:strCache>
                <c:ptCount val="1"/>
                <c:pt idx="0">
                  <c:v>Recovered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Overview!$B$3:$BK$3</c:f>
              <c:numCache>
                <c:formatCode>d/m;@</c:formatCode>
                <c:ptCount val="6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</c:numCache>
            </c:numRef>
          </c:cat>
          <c:val>
            <c:numRef>
              <c:f>Overview!$B$6:$BK$6</c:f>
              <c:numCache>
                <c:formatCode>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8</c:v>
                </c:pt>
                <c:pt idx="49">
                  <c:v>8</c:v>
                </c:pt>
                <c:pt idx="50">
                  <c:v>12</c:v>
                </c:pt>
                <c:pt idx="51">
                  <c:v>12</c:v>
                </c:pt>
                <c:pt idx="52">
                  <c:v>12</c:v>
                </c:pt>
                <c:pt idx="53">
                  <c:v>12</c:v>
                </c:pt>
                <c:pt idx="54">
                  <c:v>17</c:v>
                </c:pt>
                <c:pt idx="55">
                  <c:v>17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36-4BF8-A7AE-16AC5A3369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1959072"/>
        <c:axId val="1181959400"/>
      </c:lineChart>
      <c:lineChart>
        <c:grouping val="standard"/>
        <c:varyColors val="0"/>
        <c:ser>
          <c:idx val="3"/>
          <c:order val="3"/>
          <c:tx>
            <c:strRef>
              <c:f>Overview!$A$7</c:f>
              <c:strCache>
                <c:ptCount val="1"/>
                <c:pt idx="0">
                  <c:v>Current Doubling Rate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3"/>
            <c:dispRSqr val="0"/>
            <c:dispEq val="0"/>
          </c:trendline>
          <c:cat>
            <c:numRef>
              <c:f>Overview!$B$3:$BK$3</c:f>
              <c:numCache>
                <c:formatCode>d/m;@</c:formatCode>
                <c:ptCount val="6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</c:numCache>
            </c:numRef>
          </c:cat>
          <c:val>
            <c:numRef>
              <c:f>Overview!$B$7:$BK$7</c:f>
              <c:numCache>
                <c:formatCode>0.00</c:formatCode>
                <c:ptCount val="62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0.66666666666666674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</c:v>
                </c:pt>
                <c:pt idx="10">
                  <c:v>7</c:v>
                </c:pt>
                <c:pt idx="11">
                  <c:v>0</c:v>
                </c:pt>
                <c:pt idx="12">
                  <c:v>2.666666666666667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11</c:v>
                </c:pt>
                <c:pt idx="21">
                  <c:v>0</c:v>
                </c:pt>
                <c:pt idx="22">
                  <c:v>12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6.5</c:v>
                </c:pt>
                <c:pt idx="31">
                  <c:v>0</c:v>
                </c:pt>
                <c:pt idx="32">
                  <c:v>0</c:v>
                </c:pt>
                <c:pt idx="33">
                  <c:v>0.41666666666666663</c:v>
                </c:pt>
                <c:pt idx="34">
                  <c:v>0</c:v>
                </c:pt>
                <c:pt idx="35">
                  <c:v>8.5</c:v>
                </c:pt>
                <c:pt idx="36">
                  <c:v>57</c:v>
                </c:pt>
                <c:pt idx="37">
                  <c:v>29</c:v>
                </c:pt>
                <c:pt idx="38">
                  <c:v>7.5</c:v>
                </c:pt>
                <c:pt idx="39">
                  <c:v>11.333333333333334</c:v>
                </c:pt>
                <c:pt idx="40">
                  <c:v>3.0833333333333335</c:v>
                </c:pt>
                <c:pt idx="41">
                  <c:v>4.9000000000000004</c:v>
                </c:pt>
                <c:pt idx="42">
                  <c:v>3.806451612903226</c:v>
                </c:pt>
                <c:pt idx="43">
                  <c:v>2.1911764705882355</c:v>
                </c:pt>
                <c:pt idx="44">
                  <c:v>4.8222222222222229</c:v>
                </c:pt>
                <c:pt idx="45">
                  <c:v>1.8714285714285714</c:v>
                </c:pt>
                <c:pt idx="46">
                  <c:v>3.4655172413793105</c:v>
                </c:pt>
                <c:pt idx="47">
                  <c:v>7.9692307692307693</c:v>
                </c:pt>
                <c:pt idx="48">
                  <c:v>1.550531914893617</c:v>
                </c:pt>
                <c:pt idx="49">
                  <c:v>2.9782608695652173</c:v>
                </c:pt>
                <c:pt idx="50">
                  <c:v>3.3534031413612566</c:v>
                </c:pt>
                <c:pt idx="51">
                  <c:v>3.2228682170542635</c:v>
                </c:pt>
                <c:pt idx="52">
                  <c:v>3.9762773722627736</c:v>
                </c:pt>
                <c:pt idx="53">
                  <c:v>3.5323834196891193</c:v>
                </c:pt>
                <c:pt idx="54">
                  <c:v>3.0882612533097968</c:v>
                </c:pt>
                <c:pt idx="55">
                  <c:v>2.5891559530463946</c:v>
                </c:pt>
                <c:pt idx="56">
                  <c:v>4.7143906020558006</c:v>
                </c:pt>
                <c:pt idx="57">
                  <c:v>1.3204954190702409</c:v>
                </c:pt>
                <c:pt idx="58">
                  <c:v>2.5220357735570715</c:v>
                </c:pt>
                <c:pt idx="59">
                  <c:v>2.9895132258569417</c:v>
                </c:pt>
                <c:pt idx="60">
                  <c:v>3.2732759727751382</c:v>
                </c:pt>
                <c:pt idx="61">
                  <c:v>3.1478573455680636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536-4BF8-A7AE-16AC5A3369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9913416"/>
        <c:axId val="610169776"/>
      </c:lineChart>
      <c:dateAx>
        <c:axId val="1181959072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Offset val="100"/>
        <c:baseTimeUnit val="days"/>
      </c:date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valAx>
        <c:axId val="6101697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de-DE"/>
          </a:p>
        </c:txPr>
        <c:crossAx val="1209913416"/>
        <c:crosses val="max"/>
        <c:crossBetween val="between"/>
      </c:valAx>
      <c:dateAx>
        <c:axId val="1209913416"/>
        <c:scaling>
          <c:orientation val="minMax"/>
        </c:scaling>
        <c:delete val="1"/>
        <c:axPos val="b"/>
        <c:numFmt formatCode="d/m;@" sourceLinked="1"/>
        <c:majorTickMark val="out"/>
        <c:minorTickMark val="none"/>
        <c:tickLblPos val="nextTo"/>
        <c:crossAx val="61016977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75000"/>
        <a:lumOff val="2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  <a:latin typeface="Roboto" panose="02000000000000000000" pitchFamily="2" charset="0"/>
          <a:ea typeface="Roboto" panose="02000000000000000000" pitchFamily="2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r>
              <a:rPr lang="de-DE"/>
              <a:t>Confirmed</a:t>
            </a:r>
            <a:r>
              <a:rPr lang="de-DE" baseline="0"/>
              <a:t> Cases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Overview!$A$11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Overview!$B$10:$BK$10</c:f>
              <c:strCache>
                <c:ptCount val="62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</c:strCache>
            </c:strRef>
          </c:cat>
          <c:val>
            <c:numRef>
              <c:f>Overview!$B$11:$BK$11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8</c:v>
                </c:pt>
                <c:pt idx="11">
                  <c:v>10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13</c:v>
                </c:pt>
                <c:pt idx="17">
                  <c:v>13</c:v>
                </c:pt>
                <c:pt idx="18">
                  <c:v>14</c:v>
                </c:pt>
                <c:pt idx="19">
                  <c:v>14</c:v>
                </c:pt>
                <c:pt idx="20">
                  <c:v>16</c:v>
                </c:pt>
                <c:pt idx="21">
                  <c:v>16</c:v>
                </c:pt>
                <c:pt idx="22">
                  <c:v>16</c:v>
                </c:pt>
                <c:pt idx="23">
                  <c:v>16</c:v>
                </c:pt>
                <c:pt idx="24">
                  <c:v>16</c:v>
                </c:pt>
                <c:pt idx="25">
                  <c:v>16</c:v>
                </c:pt>
                <c:pt idx="26">
                  <c:v>16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17</c:v>
                </c:pt>
                <c:pt idx="35">
                  <c:v>27</c:v>
                </c:pt>
                <c:pt idx="36">
                  <c:v>46</c:v>
                </c:pt>
                <c:pt idx="37">
                  <c:v>48</c:v>
                </c:pt>
                <c:pt idx="38">
                  <c:v>79</c:v>
                </c:pt>
                <c:pt idx="39">
                  <c:v>130</c:v>
                </c:pt>
                <c:pt idx="40">
                  <c:v>159</c:v>
                </c:pt>
                <c:pt idx="41">
                  <c:v>196</c:v>
                </c:pt>
                <c:pt idx="42">
                  <c:v>262</c:v>
                </c:pt>
                <c:pt idx="43">
                  <c:v>482</c:v>
                </c:pt>
                <c:pt idx="44">
                  <c:v>670</c:v>
                </c:pt>
                <c:pt idx="45">
                  <c:v>799</c:v>
                </c:pt>
                <c:pt idx="46">
                  <c:v>1040</c:v>
                </c:pt>
                <c:pt idx="47">
                  <c:v>1176</c:v>
                </c:pt>
                <c:pt idx="48">
                  <c:v>1457</c:v>
                </c:pt>
                <c:pt idx="49">
                  <c:v>1908</c:v>
                </c:pt>
                <c:pt idx="50">
                  <c:v>2078</c:v>
                </c:pt>
                <c:pt idx="51">
                  <c:v>3675</c:v>
                </c:pt>
                <c:pt idx="52">
                  <c:v>4585</c:v>
                </c:pt>
                <c:pt idx="53">
                  <c:v>5795</c:v>
                </c:pt>
                <c:pt idx="54">
                  <c:v>7272</c:v>
                </c:pt>
                <c:pt idx="55">
                  <c:v>9257</c:v>
                </c:pt>
                <c:pt idx="56">
                  <c:v>12327</c:v>
                </c:pt>
                <c:pt idx="57">
                  <c:v>15320</c:v>
                </c:pt>
                <c:pt idx="58">
                  <c:v>19848</c:v>
                </c:pt>
                <c:pt idx="59">
                  <c:v>22213</c:v>
                </c:pt>
                <c:pt idx="60">
                  <c:v>24873</c:v>
                </c:pt>
                <c:pt idx="61">
                  <c:v>29056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AF-45D8-B60D-1D930F9AE81F}"/>
            </c:ext>
          </c:extLst>
        </c:ser>
        <c:ser>
          <c:idx val="1"/>
          <c:order val="1"/>
          <c:tx>
            <c:strRef>
              <c:f>Overview!$A$12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Overview!$B$10:$BK$10</c:f>
              <c:strCache>
                <c:ptCount val="62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</c:strCache>
            </c:strRef>
          </c:cat>
          <c:val>
            <c:numRef>
              <c:f>Overview!$B$12:$BK$12</c:f>
              <c:numCache>
                <c:formatCode>General</c:formatCode>
                <c:ptCount val="62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7</c:v>
                </c:pt>
                <c:pt idx="10">
                  <c:v>8</c:v>
                </c:pt>
                <c:pt idx="11">
                  <c:v>8</c:v>
                </c:pt>
                <c:pt idx="12">
                  <c:v>11</c:v>
                </c:pt>
                <c:pt idx="13">
                  <c:v>11</c:v>
                </c:pt>
                <c:pt idx="14">
                  <c:v>11</c:v>
                </c:pt>
                <c:pt idx="15">
                  <c:v>11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12</c:v>
                </c:pt>
                <c:pt idx="21">
                  <c:v>12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51</c:v>
                </c:pt>
                <c:pt idx="34">
                  <c:v>51</c:v>
                </c:pt>
                <c:pt idx="35">
                  <c:v>57</c:v>
                </c:pt>
                <c:pt idx="36">
                  <c:v>58</c:v>
                </c:pt>
                <c:pt idx="37">
                  <c:v>60</c:v>
                </c:pt>
                <c:pt idx="38">
                  <c:v>68</c:v>
                </c:pt>
                <c:pt idx="39">
                  <c:v>74</c:v>
                </c:pt>
                <c:pt idx="40">
                  <c:v>98</c:v>
                </c:pt>
                <c:pt idx="41">
                  <c:v>118</c:v>
                </c:pt>
                <c:pt idx="42">
                  <c:v>149</c:v>
                </c:pt>
                <c:pt idx="43">
                  <c:v>217</c:v>
                </c:pt>
                <c:pt idx="44">
                  <c:v>262</c:v>
                </c:pt>
                <c:pt idx="45">
                  <c:v>402</c:v>
                </c:pt>
                <c:pt idx="46">
                  <c:v>518</c:v>
                </c:pt>
                <c:pt idx="47">
                  <c:v>583</c:v>
                </c:pt>
                <c:pt idx="48">
                  <c:v>959</c:v>
                </c:pt>
                <c:pt idx="49">
                  <c:v>1281</c:v>
                </c:pt>
                <c:pt idx="50">
                  <c:v>1663</c:v>
                </c:pt>
                <c:pt idx="51">
                  <c:v>2179</c:v>
                </c:pt>
                <c:pt idx="52">
                  <c:v>2727</c:v>
                </c:pt>
                <c:pt idx="53">
                  <c:v>3499</c:v>
                </c:pt>
                <c:pt idx="54">
                  <c:v>4632</c:v>
                </c:pt>
                <c:pt idx="55">
                  <c:v>6421</c:v>
                </c:pt>
                <c:pt idx="56">
                  <c:v>7783</c:v>
                </c:pt>
                <c:pt idx="57">
                  <c:v>13677</c:v>
                </c:pt>
                <c:pt idx="58">
                  <c:v>19100</c:v>
                </c:pt>
                <c:pt idx="59">
                  <c:v>25489</c:v>
                </c:pt>
                <c:pt idx="60">
                  <c:v>33276</c:v>
                </c:pt>
                <c:pt idx="61">
                  <c:v>43847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AF-45D8-B60D-1D930F9AE81F}"/>
            </c:ext>
          </c:extLst>
        </c:ser>
        <c:ser>
          <c:idx val="2"/>
          <c:order val="2"/>
          <c:tx>
            <c:strRef>
              <c:f>Overview!$A$13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Overview!$B$10:$BK$10</c:f>
              <c:strCache>
                <c:ptCount val="62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</c:strCache>
            </c:strRef>
          </c:cat>
          <c:val>
            <c:numRef>
              <c:f>Overview!$B$13:$BK$13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20</c:v>
                </c:pt>
                <c:pt idx="31">
                  <c:v>62</c:v>
                </c:pt>
                <c:pt idx="32">
                  <c:v>155</c:v>
                </c:pt>
                <c:pt idx="33">
                  <c:v>229</c:v>
                </c:pt>
                <c:pt idx="34">
                  <c:v>322</c:v>
                </c:pt>
                <c:pt idx="35">
                  <c:v>453</c:v>
                </c:pt>
                <c:pt idx="36">
                  <c:v>655</c:v>
                </c:pt>
                <c:pt idx="37">
                  <c:v>888</c:v>
                </c:pt>
                <c:pt idx="38">
                  <c:v>1128</c:v>
                </c:pt>
                <c:pt idx="39">
                  <c:v>1694</c:v>
                </c:pt>
                <c:pt idx="40">
                  <c:v>2036</c:v>
                </c:pt>
                <c:pt idx="41">
                  <c:v>2502</c:v>
                </c:pt>
                <c:pt idx="42">
                  <c:v>3089</c:v>
                </c:pt>
                <c:pt idx="43">
                  <c:v>3858</c:v>
                </c:pt>
                <c:pt idx="44">
                  <c:v>4636</c:v>
                </c:pt>
                <c:pt idx="45">
                  <c:v>5883</c:v>
                </c:pt>
                <c:pt idx="46">
                  <c:v>7375</c:v>
                </c:pt>
                <c:pt idx="47">
                  <c:v>9172</c:v>
                </c:pt>
                <c:pt idx="48">
                  <c:v>10149</c:v>
                </c:pt>
                <c:pt idx="49">
                  <c:v>12462</c:v>
                </c:pt>
                <c:pt idx="50">
                  <c:v>12462</c:v>
                </c:pt>
                <c:pt idx="51">
                  <c:v>17660</c:v>
                </c:pt>
                <c:pt idx="52">
                  <c:v>21157</c:v>
                </c:pt>
                <c:pt idx="53">
                  <c:v>24747</c:v>
                </c:pt>
                <c:pt idx="54">
                  <c:v>27980</c:v>
                </c:pt>
                <c:pt idx="55">
                  <c:v>31506</c:v>
                </c:pt>
                <c:pt idx="56">
                  <c:v>35713</c:v>
                </c:pt>
                <c:pt idx="57">
                  <c:v>41035</c:v>
                </c:pt>
                <c:pt idx="58">
                  <c:v>47021</c:v>
                </c:pt>
                <c:pt idx="59">
                  <c:v>53578</c:v>
                </c:pt>
                <c:pt idx="60">
                  <c:v>59138</c:v>
                </c:pt>
                <c:pt idx="61">
                  <c:v>63927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AF-45D8-B60D-1D930F9AE81F}"/>
            </c:ext>
          </c:extLst>
        </c:ser>
        <c:ser>
          <c:idx val="3"/>
          <c:order val="3"/>
          <c:tx>
            <c:strRef>
              <c:f>Overview!$A$14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Overview!$B$10:$BK$10</c:f>
              <c:strCache>
                <c:ptCount val="62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</c:strCache>
            </c:strRef>
          </c:cat>
          <c:val>
            <c:numRef>
              <c:f>Overview!$B$14:$BK$14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6</c:v>
                </c:pt>
                <c:pt idx="8">
                  <c:v>9</c:v>
                </c:pt>
                <c:pt idx="9">
                  <c:v>9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15</c:v>
                </c:pt>
                <c:pt idx="34">
                  <c:v>15</c:v>
                </c:pt>
                <c:pt idx="35">
                  <c:v>15</c:v>
                </c:pt>
                <c:pt idx="36">
                  <c:v>15</c:v>
                </c:pt>
                <c:pt idx="37">
                  <c:v>15</c:v>
                </c:pt>
                <c:pt idx="38">
                  <c:v>25</c:v>
                </c:pt>
                <c:pt idx="39">
                  <c:v>27</c:v>
                </c:pt>
                <c:pt idx="40">
                  <c:v>30</c:v>
                </c:pt>
                <c:pt idx="41">
                  <c:v>39</c:v>
                </c:pt>
                <c:pt idx="42">
                  <c:v>52</c:v>
                </c:pt>
                <c:pt idx="43">
                  <c:v>55</c:v>
                </c:pt>
                <c:pt idx="44">
                  <c:v>60</c:v>
                </c:pt>
                <c:pt idx="45">
                  <c:v>63</c:v>
                </c:pt>
                <c:pt idx="46">
                  <c:v>76</c:v>
                </c:pt>
                <c:pt idx="47">
                  <c:v>91</c:v>
                </c:pt>
                <c:pt idx="48">
                  <c:v>107</c:v>
                </c:pt>
                <c:pt idx="49">
                  <c:v>128</c:v>
                </c:pt>
                <c:pt idx="50">
                  <c:v>128</c:v>
                </c:pt>
                <c:pt idx="51">
                  <c:v>200</c:v>
                </c:pt>
                <c:pt idx="52">
                  <c:v>250</c:v>
                </c:pt>
                <c:pt idx="53">
                  <c:v>297</c:v>
                </c:pt>
                <c:pt idx="54">
                  <c:v>377</c:v>
                </c:pt>
                <c:pt idx="55">
                  <c:v>452</c:v>
                </c:pt>
                <c:pt idx="56">
                  <c:v>568</c:v>
                </c:pt>
                <c:pt idx="57">
                  <c:v>681</c:v>
                </c:pt>
                <c:pt idx="58">
                  <c:v>791</c:v>
                </c:pt>
                <c:pt idx="59">
                  <c:v>1071</c:v>
                </c:pt>
                <c:pt idx="60">
                  <c:v>1549</c:v>
                </c:pt>
                <c:pt idx="61">
                  <c:v>1682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AF-45D8-B60D-1D930F9AE81F}"/>
            </c:ext>
          </c:extLst>
        </c:ser>
        <c:ser>
          <c:idx val="4"/>
          <c:order val="4"/>
          <c:tx>
            <c:strRef>
              <c:f>Overview!$A$15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Overview!$B$10:$BK$10</c:f>
              <c:strCache>
                <c:ptCount val="62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</c:strCache>
            </c:strRef>
          </c:cat>
          <c:val>
            <c:numRef>
              <c:f>Overview!$B$15:$BK$15</c:f>
              <c:numCache>
                <c:formatCode>General</c:formatCode>
                <c:ptCount val="62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11</c:v>
                </c:pt>
                <c:pt idx="10">
                  <c:v>12</c:v>
                </c:pt>
                <c:pt idx="11">
                  <c:v>15</c:v>
                </c:pt>
                <c:pt idx="12">
                  <c:v>15</c:v>
                </c:pt>
                <c:pt idx="13">
                  <c:v>16</c:v>
                </c:pt>
                <c:pt idx="14">
                  <c:v>19</c:v>
                </c:pt>
                <c:pt idx="15">
                  <c:v>23</c:v>
                </c:pt>
                <c:pt idx="16">
                  <c:v>24</c:v>
                </c:pt>
                <c:pt idx="17">
                  <c:v>24</c:v>
                </c:pt>
                <c:pt idx="18">
                  <c:v>25</c:v>
                </c:pt>
                <c:pt idx="19">
                  <c:v>27</c:v>
                </c:pt>
                <c:pt idx="20">
                  <c:v>28</c:v>
                </c:pt>
                <c:pt idx="21">
                  <c:v>28</c:v>
                </c:pt>
                <c:pt idx="22">
                  <c:v>28</c:v>
                </c:pt>
                <c:pt idx="23">
                  <c:v>28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31</c:v>
                </c:pt>
                <c:pt idx="29">
                  <c:v>104</c:v>
                </c:pt>
                <c:pt idx="30">
                  <c:v>204</c:v>
                </c:pt>
                <c:pt idx="31">
                  <c:v>433</c:v>
                </c:pt>
                <c:pt idx="32">
                  <c:v>602</c:v>
                </c:pt>
                <c:pt idx="33">
                  <c:v>833</c:v>
                </c:pt>
                <c:pt idx="34">
                  <c:v>977</c:v>
                </c:pt>
                <c:pt idx="35">
                  <c:v>1261</c:v>
                </c:pt>
                <c:pt idx="36">
                  <c:v>1766</c:v>
                </c:pt>
                <c:pt idx="37">
                  <c:v>2337</c:v>
                </c:pt>
                <c:pt idx="38">
                  <c:v>3150</c:v>
                </c:pt>
                <c:pt idx="39">
                  <c:v>3736</c:v>
                </c:pt>
                <c:pt idx="40">
                  <c:v>4335</c:v>
                </c:pt>
                <c:pt idx="41">
                  <c:v>5186</c:v>
                </c:pt>
                <c:pt idx="42">
                  <c:v>5621</c:v>
                </c:pt>
                <c:pt idx="43">
                  <c:v>6088</c:v>
                </c:pt>
                <c:pt idx="44">
                  <c:v>6593</c:v>
                </c:pt>
                <c:pt idx="45">
                  <c:v>7041</c:v>
                </c:pt>
                <c:pt idx="46">
                  <c:v>7314</c:v>
                </c:pt>
                <c:pt idx="47">
                  <c:v>7478</c:v>
                </c:pt>
                <c:pt idx="48">
                  <c:v>7513</c:v>
                </c:pt>
                <c:pt idx="49">
                  <c:v>7755</c:v>
                </c:pt>
                <c:pt idx="50">
                  <c:v>7869</c:v>
                </c:pt>
                <c:pt idx="51">
                  <c:v>7979</c:v>
                </c:pt>
                <c:pt idx="52">
                  <c:v>8086</c:v>
                </c:pt>
                <c:pt idx="53">
                  <c:v>8162</c:v>
                </c:pt>
                <c:pt idx="54">
                  <c:v>8236</c:v>
                </c:pt>
                <c:pt idx="55">
                  <c:v>8320</c:v>
                </c:pt>
                <c:pt idx="56">
                  <c:v>8413</c:v>
                </c:pt>
                <c:pt idx="57">
                  <c:v>8565</c:v>
                </c:pt>
                <c:pt idx="58">
                  <c:v>8652</c:v>
                </c:pt>
                <c:pt idx="59">
                  <c:v>8799</c:v>
                </c:pt>
                <c:pt idx="60">
                  <c:v>8961</c:v>
                </c:pt>
                <c:pt idx="61">
                  <c:v>8961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CAF-45D8-B60D-1D930F9AE81F}"/>
            </c:ext>
          </c:extLst>
        </c:ser>
        <c:ser>
          <c:idx val="5"/>
          <c:order val="5"/>
          <c:tx>
            <c:strRef>
              <c:f>Overview!$A$16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Overview!$B$10:$BK$10</c:f>
              <c:strCache>
                <c:ptCount val="62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</c:strCache>
            </c:strRef>
          </c:cat>
          <c:val>
            <c:numRef>
              <c:f>Overview!$B$16:$BK$16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8</c:v>
                </c:pt>
                <c:pt idx="37">
                  <c:v>8</c:v>
                </c:pt>
                <c:pt idx="38">
                  <c:v>18</c:v>
                </c:pt>
                <c:pt idx="39">
                  <c:v>27</c:v>
                </c:pt>
                <c:pt idx="40">
                  <c:v>42</c:v>
                </c:pt>
                <c:pt idx="41">
                  <c:v>56</c:v>
                </c:pt>
                <c:pt idx="42">
                  <c:v>90</c:v>
                </c:pt>
                <c:pt idx="43">
                  <c:v>114</c:v>
                </c:pt>
                <c:pt idx="44">
                  <c:v>214</c:v>
                </c:pt>
                <c:pt idx="45">
                  <c:v>268</c:v>
                </c:pt>
                <c:pt idx="46">
                  <c:v>337</c:v>
                </c:pt>
                <c:pt idx="47">
                  <c:v>374</c:v>
                </c:pt>
                <c:pt idx="48">
                  <c:v>491</c:v>
                </c:pt>
                <c:pt idx="49">
                  <c:v>652</c:v>
                </c:pt>
                <c:pt idx="50">
                  <c:v>652</c:v>
                </c:pt>
                <c:pt idx="51">
                  <c:v>1139</c:v>
                </c:pt>
                <c:pt idx="52">
                  <c:v>1359</c:v>
                </c:pt>
                <c:pt idx="53">
                  <c:v>2200</c:v>
                </c:pt>
                <c:pt idx="54">
                  <c:v>2200</c:v>
                </c:pt>
                <c:pt idx="55">
                  <c:v>2700</c:v>
                </c:pt>
                <c:pt idx="56">
                  <c:v>3028</c:v>
                </c:pt>
                <c:pt idx="57">
                  <c:v>4075</c:v>
                </c:pt>
                <c:pt idx="58">
                  <c:v>5294</c:v>
                </c:pt>
                <c:pt idx="59">
                  <c:v>6575</c:v>
                </c:pt>
                <c:pt idx="60">
                  <c:v>7474</c:v>
                </c:pt>
                <c:pt idx="61">
                  <c:v>8795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CAF-45D8-B60D-1D930F9AE81F}"/>
            </c:ext>
          </c:extLst>
        </c:ser>
        <c:ser>
          <c:idx val="6"/>
          <c:order val="6"/>
          <c:tx>
            <c:strRef>
              <c:f>Overview!$A$17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Overview!$B$10:$BK$10</c:f>
              <c:strCache>
                <c:ptCount val="62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</c:strCache>
            </c:strRef>
          </c:cat>
          <c:val>
            <c:numRef>
              <c:f>Overview!$B$17:$BK$17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CAF-45D8-B60D-1D930F9AE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75000"/>
        <a:lumOff val="2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  <a:latin typeface="Roboto" panose="02000000000000000000" pitchFamily="2" charset="0"/>
          <a:ea typeface="Roboto" panose="02000000000000000000" pitchFamily="2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r>
              <a:rPr lang="de-DE"/>
              <a:t>Recovered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Overview!$A$33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Overview!$B$10:$BI$10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Overview!$B$33:$BI$33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  <c:pt idx="35">
                  <c:v>15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16</c:v>
                </c:pt>
                <c:pt idx="40">
                  <c:v>16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17</c:v>
                </c:pt>
                <c:pt idx="45">
                  <c:v>18</c:v>
                </c:pt>
                <c:pt idx="46">
                  <c:v>18</c:v>
                </c:pt>
                <c:pt idx="47">
                  <c:v>18</c:v>
                </c:pt>
                <c:pt idx="48">
                  <c:v>18</c:v>
                </c:pt>
                <c:pt idx="49">
                  <c:v>25</c:v>
                </c:pt>
                <c:pt idx="50">
                  <c:v>25</c:v>
                </c:pt>
                <c:pt idx="51">
                  <c:v>46</c:v>
                </c:pt>
                <c:pt idx="52">
                  <c:v>46</c:v>
                </c:pt>
                <c:pt idx="53">
                  <c:v>46</c:v>
                </c:pt>
                <c:pt idx="54">
                  <c:v>67</c:v>
                </c:pt>
                <c:pt idx="55">
                  <c:v>67</c:v>
                </c:pt>
                <c:pt idx="56">
                  <c:v>105</c:v>
                </c:pt>
                <c:pt idx="57">
                  <c:v>113</c:v>
                </c:pt>
                <c:pt idx="58">
                  <c:v>180</c:v>
                </c:pt>
                <c:pt idx="59">
                  <c:v>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8D-42E1-8F19-64128D54CDB1}"/>
            </c:ext>
          </c:extLst>
        </c:ser>
        <c:ser>
          <c:idx val="1"/>
          <c:order val="1"/>
          <c:tx>
            <c:strRef>
              <c:f>Overview!$A$34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Overview!$B$10:$BI$10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Overview!$B$34:$BI$34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8</c:v>
                </c:pt>
                <c:pt idx="49">
                  <c:v>8</c:v>
                </c:pt>
                <c:pt idx="50">
                  <c:v>12</c:v>
                </c:pt>
                <c:pt idx="51">
                  <c:v>12</c:v>
                </c:pt>
                <c:pt idx="52">
                  <c:v>12</c:v>
                </c:pt>
                <c:pt idx="53">
                  <c:v>12</c:v>
                </c:pt>
                <c:pt idx="54">
                  <c:v>17</c:v>
                </c:pt>
                <c:pt idx="55">
                  <c:v>17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8D-42E1-8F19-64128D54CDB1}"/>
            </c:ext>
          </c:extLst>
        </c:ser>
        <c:ser>
          <c:idx val="2"/>
          <c:order val="2"/>
          <c:tx>
            <c:strRef>
              <c:f>Overview!$A$35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Overview!$B$10:$BI$10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Overview!$B$35:$BI$35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2</c:v>
                </c:pt>
                <c:pt idx="33">
                  <c:v>1</c:v>
                </c:pt>
                <c:pt idx="34">
                  <c:v>1</c:v>
                </c:pt>
                <c:pt idx="35">
                  <c:v>3</c:v>
                </c:pt>
                <c:pt idx="36">
                  <c:v>45</c:v>
                </c:pt>
                <c:pt idx="37">
                  <c:v>46</c:v>
                </c:pt>
                <c:pt idx="38">
                  <c:v>46</c:v>
                </c:pt>
                <c:pt idx="39">
                  <c:v>83</c:v>
                </c:pt>
                <c:pt idx="40">
                  <c:v>149</c:v>
                </c:pt>
                <c:pt idx="41">
                  <c:v>160</c:v>
                </c:pt>
                <c:pt idx="42">
                  <c:v>276</c:v>
                </c:pt>
                <c:pt idx="43">
                  <c:v>414</c:v>
                </c:pt>
                <c:pt idx="44">
                  <c:v>523</c:v>
                </c:pt>
                <c:pt idx="45">
                  <c:v>589</c:v>
                </c:pt>
                <c:pt idx="46">
                  <c:v>622</c:v>
                </c:pt>
                <c:pt idx="47">
                  <c:v>724</c:v>
                </c:pt>
                <c:pt idx="48">
                  <c:v>724</c:v>
                </c:pt>
                <c:pt idx="49">
                  <c:v>1045</c:v>
                </c:pt>
                <c:pt idx="50">
                  <c:v>1045</c:v>
                </c:pt>
                <c:pt idx="51">
                  <c:v>1439</c:v>
                </c:pt>
                <c:pt idx="52">
                  <c:v>1966</c:v>
                </c:pt>
                <c:pt idx="53">
                  <c:v>2335</c:v>
                </c:pt>
                <c:pt idx="54">
                  <c:v>2749</c:v>
                </c:pt>
                <c:pt idx="55">
                  <c:v>2941</c:v>
                </c:pt>
                <c:pt idx="56">
                  <c:v>4025</c:v>
                </c:pt>
                <c:pt idx="57">
                  <c:v>4440</c:v>
                </c:pt>
                <c:pt idx="58">
                  <c:v>4440</c:v>
                </c:pt>
                <c:pt idx="59">
                  <c:v>6072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8D-42E1-8F19-64128D54CDB1}"/>
            </c:ext>
          </c:extLst>
        </c:ser>
        <c:ser>
          <c:idx val="3"/>
          <c:order val="3"/>
          <c:tx>
            <c:strRef>
              <c:f>Overview!$A$36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Overview!$B$10:$BI$10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Overview!$B$36:$BI$36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11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11</c:v>
                </c:pt>
                <c:pt idx="35">
                  <c:v>11</c:v>
                </c:pt>
                <c:pt idx="36">
                  <c:v>11</c:v>
                </c:pt>
                <c:pt idx="37">
                  <c:v>11</c:v>
                </c:pt>
                <c:pt idx="38">
                  <c:v>11</c:v>
                </c:pt>
                <c:pt idx="39">
                  <c:v>11</c:v>
                </c:pt>
                <c:pt idx="40">
                  <c:v>11</c:v>
                </c:pt>
                <c:pt idx="41">
                  <c:v>11</c:v>
                </c:pt>
                <c:pt idx="42">
                  <c:v>11</c:v>
                </c:pt>
                <c:pt idx="43">
                  <c:v>21</c:v>
                </c:pt>
                <c:pt idx="44">
                  <c:v>21</c:v>
                </c:pt>
                <c:pt idx="45">
                  <c:v>21</c:v>
                </c:pt>
                <c:pt idx="46">
                  <c:v>21</c:v>
                </c:pt>
                <c:pt idx="47">
                  <c:v>21</c:v>
                </c:pt>
                <c:pt idx="48">
                  <c:v>21</c:v>
                </c:pt>
                <c:pt idx="49">
                  <c:v>21</c:v>
                </c:pt>
                <c:pt idx="50">
                  <c:v>21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23</c:v>
                </c:pt>
                <c:pt idx="57">
                  <c:v>26</c:v>
                </c:pt>
                <c:pt idx="58">
                  <c:v>26</c:v>
                </c:pt>
                <c:pt idx="59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C8D-42E1-8F19-64128D54CDB1}"/>
            </c:ext>
          </c:extLst>
        </c:ser>
        <c:ser>
          <c:idx val="4"/>
          <c:order val="4"/>
          <c:tx>
            <c:strRef>
              <c:f>Overview!$A$37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Overview!$B$10:$BI$10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Overview!$B$37:$BI$37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9</c:v>
                </c:pt>
                <c:pt idx="25">
                  <c:v>9</c:v>
                </c:pt>
                <c:pt idx="26">
                  <c:v>10</c:v>
                </c:pt>
                <c:pt idx="27">
                  <c:v>12</c:v>
                </c:pt>
                <c:pt idx="28">
                  <c:v>12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18</c:v>
                </c:pt>
                <c:pt idx="33">
                  <c:v>18</c:v>
                </c:pt>
                <c:pt idx="34">
                  <c:v>22</c:v>
                </c:pt>
                <c:pt idx="35">
                  <c:v>22</c:v>
                </c:pt>
                <c:pt idx="36">
                  <c:v>22</c:v>
                </c:pt>
                <c:pt idx="37">
                  <c:v>22</c:v>
                </c:pt>
                <c:pt idx="38">
                  <c:v>27</c:v>
                </c:pt>
                <c:pt idx="39">
                  <c:v>30</c:v>
                </c:pt>
                <c:pt idx="40">
                  <c:v>30</c:v>
                </c:pt>
                <c:pt idx="41">
                  <c:v>30</c:v>
                </c:pt>
                <c:pt idx="42">
                  <c:v>41</c:v>
                </c:pt>
                <c:pt idx="43">
                  <c:v>41</c:v>
                </c:pt>
                <c:pt idx="44">
                  <c:v>135</c:v>
                </c:pt>
                <c:pt idx="45">
                  <c:v>135</c:v>
                </c:pt>
                <c:pt idx="46">
                  <c:v>118</c:v>
                </c:pt>
                <c:pt idx="47">
                  <c:v>118</c:v>
                </c:pt>
                <c:pt idx="48">
                  <c:v>247</c:v>
                </c:pt>
                <c:pt idx="49">
                  <c:v>288</c:v>
                </c:pt>
                <c:pt idx="50">
                  <c:v>333</c:v>
                </c:pt>
                <c:pt idx="51">
                  <c:v>510</c:v>
                </c:pt>
                <c:pt idx="52">
                  <c:v>510</c:v>
                </c:pt>
                <c:pt idx="53">
                  <c:v>510</c:v>
                </c:pt>
                <c:pt idx="54">
                  <c:v>1137</c:v>
                </c:pt>
                <c:pt idx="55">
                  <c:v>1407</c:v>
                </c:pt>
                <c:pt idx="56">
                  <c:v>1540</c:v>
                </c:pt>
                <c:pt idx="57">
                  <c:v>1540</c:v>
                </c:pt>
                <c:pt idx="58">
                  <c:v>1540</c:v>
                </c:pt>
                <c:pt idx="59">
                  <c:v>1540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C8D-42E1-8F19-64128D54CDB1}"/>
            </c:ext>
          </c:extLst>
        </c:ser>
        <c:ser>
          <c:idx val="5"/>
          <c:order val="5"/>
          <c:tx>
            <c:strRef>
              <c:f>Overview!$A$38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Overview!$B$10:$BI$10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Overview!$B$38:$BI$38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15</c:v>
                </c:pt>
                <c:pt idx="57">
                  <c:v>15</c:v>
                </c:pt>
                <c:pt idx="58">
                  <c:v>15</c:v>
                </c:pt>
                <c:pt idx="59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C8D-42E1-8F19-64128D54CDB1}"/>
            </c:ext>
          </c:extLst>
        </c:ser>
        <c:ser>
          <c:idx val="6"/>
          <c:order val="6"/>
          <c:tx>
            <c:strRef>
              <c:f>Overview!$A$39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Overview!$B$10:$BI$10</c:f>
              <c:strCache>
                <c:ptCount val="60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</c:strCache>
            </c:strRef>
          </c:cat>
          <c:val>
            <c:numRef>
              <c:f>Overview!$B$39:$BI$39</c:f>
              <c:numCache>
                <c:formatCode>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C8D-42E1-8F19-64128D54C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75000"/>
        <a:lumOff val="2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  <a:latin typeface="Roboto" panose="02000000000000000000" pitchFamily="2" charset="0"/>
          <a:ea typeface="Roboto" panose="02000000000000000000" pitchFamily="2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r>
              <a:rPr lang="de-DE"/>
              <a:t>Deaths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Overview!$A$22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Overview!$B$10:$BK$10</c:f>
              <c:strCache>
                <c:ptCount val="62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</c:strCache>
            </c:strRef>
          </c:cat>
          <c:val>
            <c:numRef>
              <c:f>Overview!$B$22:$BK$22</c:f>
              <c:numCache>
                <c:formatCode>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7</c:v>
                </c:pt>
                <c:pt idx="52">
                  <c:v>9</c:v>
                </c:pt>
                <c:pt idx="53">
                  <c:v>11</c:v>
                </c:pt>
                <c:pt idx="54">
                  <c:v>17</c:v>
                </c:pt>
                <c:pt idx="55">
                  <c:v>24</c:v>
                </c:pt>
                <c:pt idx="56">
                  <c:v>28</c:v>
                </c:pt>
                <c:pt idx="57">
                  <c:v>44</c:v>
                </c:pt>
                <c:pt idx="58">
                  <c:v>67</c:v>
                </c:pt>
                <c:pt idx="59">
                  <c:v>84</c:v>
                </c:pt>
                <c:pt idx="60">
                  <c:v>94</c:v>
                </c:pt>
                <c:pt idx="61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E9-4063-8972-578FFD587D67}"/>
            </c:ext>
          </c:extLst>
        </c:ser>
        <c:ser>
          <c:idx val="1"/>
          <c:order val="1"/>
          <c:tx>
            <c:strRef>
              <c:f>Overview!$A$23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Overview!$B$10:$BK$10</c:f>
              <c:strCache>
                <c:ptCount val="62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</c:strCache>
            </c:strRef>
          </c:cat>
          <c:val>
            <c:numRef>
              <c:f>Overview!$B$23:$BK$23</c:f>
              <c:numCache>
                <c:formatCode>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6</c:v>
                </c:pt>
                <c:pt idx="41">
                  <c:v>7</c:v>
                </c:pt>
                <c:pt idx="42">
                  <c:v>11</c:v>
                </c:pt>
                <c:pt idx="43">
                  <c:v>12</c:v>
                </c:pt>
                <c:pt idx="44">
                  <c:v>14</c:v>
                </c:pt>
                <c:pt idx="45">
                  <c:v>17</c:v>
                </c:pt>
                <c:pt idx="46">
                  <c:v>21</c:v>
                </c:pt>
                <c:pt idx="47">
                  <c:v>22</c:v>
                </c:pt>
                <c:pt idx="48">
                  <c:v>28</c:v>
                </c:pt>
                <c:pt idx="49">
                  <c:v>36</c:v>
                </c:pt>
                <c:pt idx="50">
                  <c:v>40</c:v>
                </c:pt>
                <c:pt idx="51">
                  <c:v>47</c:v>
                </c:pt>
                <c:pt idx="52">
                  <c:v>54</c:v>
                </c:pt>
                <c:pt idx="53">
                  <c:v>63</c:v>
                </c:pt>
                <c:pt idx="54">
                  <c:v>85</c:v>
                </c:pt>
                <c:pt idx="55">
                  <c:v>108</c:v>
                </c:pt>
                <c:pt idx="56">
                  <c:v>118</c:v>
                </c:pt>
                <c:pt idx="57">
                  <c:v>200</c:v>
                </c:pt>
                <c:pt idx="58">
                  <c:v>244</c:v>
                </c:pt>
                <c:pt idx="59">
                  <c:v>307</c:v>
                </c:pt>
                <c:pt idx="60">
                  <c:v>417</c:v>
                </c:pt>
                <c:pt idx="61">
                  <c:v>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E9-4063-8972-578FFD587D67}"/>
            </c:ext>
          </c:extLst>
        </c:ser>
        <c:ser>
          <c:idx val="2"/>
          <c:order val="2"/>
          <c:tx>
            <c:strRef>
              <c:f>Overview!$A$24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Overview!$B$10:$BK$10</c:f>
              <c:strCache>
                <c:ptCount val="62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</c:strCache>
            </c:strRef>
          </c:cat>
          <c:val>
            <c:numRef>
              <c:f>Overview!$B$24:$BK$24</c:f>
              <c:numCache>
                <c:formatCode>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2</c:v>
                </c:pt>
                <c:pt idx="32">
                  <c:v>3</c:v>
                </c:pt>
                <c:pt idx="33">
                  <c:v>7</c:v>
                </c:pt>
                <c:pt idx="34">
                  <c:v>10</c:v>
                </c:pt>
                <c:pt idx="35">
                  <c:v>12</c:v>
                </c:pt>
                <c:pt idx="36">
                  <c:v>17</c:v>
                </c:pt>
                <c:pt idx="37">
                  <c:v>21</c:v>
                </c:pt>
                <c:pt idx="38">
                  <c:v>29</c:v>
                </c:pt>
                <c:pt idx="39">
                  <c:v>34</c:v>
                </c:pt>
                <c:pt idx="40">
                  <c:v>52</c:v>
                </c:pt>
                <c:pt idx="41">
                  <c:v>79</c:v>
                </c:pt>
                <c:pt idx="42">
                  <c:v>107</c:v>
                </c:pt>
                <c:pt idx="43">
                  <c:v>148</c:v>
                </c:pt>
                <c:pt idx="44">
                  <c:v>197</c:v>
                </c:pt>
                <c:pt idx="45">
                  <c:v>233</c:v>
                </c:pt>
                <c:pt idx="46">
                  <c:v>366</c:v>
                </c:pt>
                <c:pt idx="47">
                  <c:v>463</c:v>
                </c:pt>
                <c:pt idx="48">
                  <c:v>631</c:v>
                </c:pt>
                <c:pt idx="49">
                  <c:v>827</c:v>
                </c:pt>
                <c:pt idx="50">
                  <c:v>827</c:v>
                </c:pt>
                <c:pt idx="51">
                  <c:v>1266</c:v>
                </c:pt>
                <c:pt idx="52">
                  <c:v>1441</c:v>
                </c:pt>
                <c:pt idx="53">
                  <c:v>1809</c:v>
                </c:pt>
                <c:pt idx="54">
                  <c:v>2158</c:v>
                </c:pt>
                <c:pt idx="55">
                  <c:v>2503</c:v>
                </c:pt>
                <c:pt idx="56">
                  <c:v>2978</c:v>
                </c:pt>
                <c:pt idx="57">
                  <c:v>3405</c:v>
                </c:pt>
                <c:pt idx="58">
                  <c:v>4032</c:v>
                </c:pt>
                <c:pt idx="59">
                  <c:v>4825</c:v>
                </c:pt>
                <c:pt idx="60">
                  <c:v>5476</c:v>
                </c:pt>
                <c:pt idx="61">
                  <c:v>6077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E9-4063-8972-578FFD587D67}"/>
            </c:ext>
          </c:extLst>
        </c:ser>
        <c:ser>
          <c:idx val="3"/>
          <c:order val="3"/>
          <c:tx>
            <c:strRef>
              <c:f>Overview!$A$25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Overview!$B$10:$BK$10</c:f>
              <c:strCache>
                <c:ptCount val="62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</c:strCache>
            </c:strRef>
          </c:cat>
          <c:val>
            <c:numRef>
              <c:f>Overview!$B$25:$BK$25</c:f>
              <c:numCache>
                <c:formatCode>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5</c:v>
                </c:pt>
                <c:pt idx="56">
                  <c:v>6</c:v>
                </c:pt>
                <c:pt idx="57">
                  <c:v>6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0E9-4063-8972-578FFD587D67}"/>
            </c:ext>
          </c:extLst>
        </c:ser>
        <c:ser>
          <c:idx val="4"/>
          <c:order val="4"/>
          <c:tx>
            <c:strRef>
              <c:f>Overview!$A$26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Overview!$B$10:$BK$10</c:f>
              <c:strCache>
                <c:ptCount val="62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</c:strCache>
            </c:strRef>
          </c:cat>
          <c:val>
            <c:numRef>
              <c:f>Overview!$B$26:$BK$26</c:f>
              <c:numCache>
                <c:formatCode>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6</c:v>
                </c:pt>
                <c:pt idx="33">
                  <c:v>8</c:v>
                </c:pt>
                <c:pt idx="34">
                  <c:v>10</c:v>
                </c:pt>
                <c:pt idx="35">
                  <c:v>12</c:v>
                </c:pt>
                <c:pt idx="36">
                  <c:v>13</c:v>
                </c:pt>
                <c:pt idx="37">
                  <c:v>13</c:v>
                </c:pt>
                <c:pt idx="38">
                  <c:v>16</c:v>
                </c:pt>
                <c:pt idx="39">
                  <c:v>17</c:v>
                </c:pt>
                <c:pt idx="40">
                  <c:v>28</c:v>
                </c:pt>
                <c:pt idx="41">
                  <c:v>28</c:v>
                </c:pt>
                <c:pt idx="42">
                  <c:v>35</c:v>
                </c:pt>
                <c:pt idx="43">
                  <c:v>35</c:v>
                </c:pt>
                <c:pt idx="44">
                  <c:v>42</c:v>
                </c:pt>
                <c:pt idx="45">
                  <c:v>44</c:v>
                </c:pt>
                <c:pt idx="46">
                  <c:v>50</c:v>
                </c:pt>
                <c:pt idx="47">
                  <c:v>53</c:v>
                </c:pt>
                <c:pt idx="48">
                  <c:v>54</c:v>
                </c:pt>
                <c:pt idx="49">
                  <c:v>60</c:v>
                </c:pt>
                <c:pt idx="50">
                  <c:v>66</c:v>
                </c:pt>
                <c:pt idx="51">
                  <c:v>66</c:v>
                </c:pt>
                <c:pt idx="52">
                  <c:v>72</c:v>
                </c:pt>
                <c:pt idx="53">
                  <c:v>75</c:v>
                </c:pt>
                <c:pt idx="54">
                  <c:v>75</c:v>
                </c:pt>
                <c:pt idx="55">
                  <c:v>81</c:v>
                </c:pt>
                <c:pt idx="56">
                  <c:v>84</c:v>
                </c:pt>
                <c:pt idx="57">
                  <c:v>91</c:v>
                </c:pt>
                <c:pt idx="58">
                  <c:v>94</c:v>
                </c:pt>
                <c:pt idx="59">
                  <c:v>102</c:v>
                </c:pt>
                <c:pt idx="60">
                  <c:v>111</c:v>
                </c:pt>
                <c:pt idx="6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0E9-4063-8972-578FFD587D67}"/>
            </c:ext>
          </c:extLst>
        </c:ser>
        <c:ser>
          <c:idx val="5"/>
          <c:order val="5"/>
          <c:tx>
            <c:strRef>
              <c:f>Overview!$A$27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Overview!$B$10:$BK$10</c:f>
              <c:strCache>
                <c:ptCount val="62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</c:strCache>
            </c:strRef>
          </c:cat>
          <c:val>
            <c:numRef>
              <c:f>Overview!$B$27:$BK$27</c:f>
              <c:numCache>
                <c:formatCode>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4</c:v>
                </c:pt>
                <c:pt idx="51">
                  <c:v>11</c:v>
                </c:pt>
                <c:pt idx="52">
                  <c:v>13</c:v>
                </c:pt>
                <c:pt idx="53">
                  <c:v>14</c:v>
                </c:pt>
                <c:pt idx="54">
                  <c:v>14</c:v>
                </c:pt>
                <c:pt idx="55">
                  <c:v>27</c:v>
                </c:pt>
                <c:pt idx="56">
                  <c:v>28</c:v>
                </c:pt>
                <c:pt idx="57">
                  <c:v>41</c:v>
                </c:pt>
                <c:pt idx="58">
                  <c:v>54</c:v>
                </c:pt>
                <c:pt idx="59">
                  <c:v>75</c:v>
                </c:pt>
                <c:pt idx="60">
                  <c:v>98</c:v>
                </c:pt>
                <c:pt idx="61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0E9-4063-8972-578FFD587D67}"/>
            </c:ext>
          </c:extLst>
        </c:ser>
        <c:ser>
          <c:idx val="6"/>
          <c:order val="6"/>
          <c:tx>
            <c:strRef>
              <c:f>Overview!$A$28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Overview!$B$10:$BK$10</c:f>
              <c:strCache>
                <c:ptCount val="62"/>
                <c:pt idx="0">
                  <c:v>22.1</c:v>
                </c:pt>
                <c:pt idx="1">
                  <c:v>23.1</c:v>
                </c:pt>
                <c:pt idx="2">
                  <c:v>24.1</c:v>
                </c:pt>
                <c:pt idx="3">
                  <c:v>25.1</c:v>
                </c:pt>
                <c:pt idx="4">
                  <c:v>26.1</c:v>
                </c:pt>
                <c:pt idx="5">
                  <c:v>27.1</c:v>
                </c:pt>
                <c:pt idx="6">
                  <c:v>28.1</c:v>
                </c:pt>
                <c:pt idx="7">
                  <c:v>29.1</c:v>
                </c:pt>
                <c:pt idx="8">
                  <c:v>30.1</c:v>
                </c:pt>
                <c:pt idx="9">
                  <c:v>31.1</c:v>
                </c:pt>
                <c:pt idx="10">
                  <c:v>1.2</c:v>
                </c:pt>
                <c:pt idx="11">
                  <c:v>2.2</c:v>
                </c:pt>
                <c:pt idx="12">
                  <c:v>3.2</c:v>
                </c:pt>
                <c:pt idx="13">
                  <c:v>4.2</c:v>
                </c:pt>
                <c:pt idx="14">
                  <c:v>5.2</c:v>
                </c:pt>
                <c:pt idx="15">
                  <c:v>6.2</c:v>
                </c:pt>
                <c:pt idx="16">
                  <c:v>7.2</c:v>
                </c:pt>
                <c:pt idx="17">
                  <c:v>8.2</c:v>
                </c:pt>
                <c:pt idx="18">
                  <c:v>9.2</c:v>
                </c:pt>
                <c:pt idx="19">
                  <c:v>10.2</c:v>
                </c:pt>
                <c:pt idx="20">
                  <c:v>11.2</c:v>
                </c:pt>
                <c:pt idx="21">
                  <c:v>12.2</c:v>
                </c:pt>
                <c:pt idx="22">
                  <c:v>13.2</c:v>
                </c:pt>
                <c:pt idx="23">
                  <c:v>14.2</c:v>
                </c:pt>
                <c:pt idx="24">
                  <c:v>15.2</c:v>
                </c:pt>
                <c:pt idx="25">
                  <c:v>16.2</c:v>
                </c:pt>
                <c:pt idx="26">
                  <c:v>17.2</c:v>
                </c:pt>
                <c:pt idx="27">
                  <c:v>18.2</c:v>
                </c:pt>
                <c:pt idx="28">
                  <c:v>19.2</c:v>
                </c:pt>
                <c:pt idx="29">
                  <c:v>20.2</c:v>
                </c:pt>
                <c:pt idx="30">
                  <c:v>21.2</c:v>
                </c:pt>
                <c:pt idx="31">
                  <c:v>22.2</c:v>
                </c:pt>
                <c:pt idx="32">
                  <c:v>23.2</c:v>
                </c:pt>
                <c:pt idx="33">
                  <c:v>24.2</c:v>
                </c:pt>
                <c:pt idx="34">
                  <c:v>25.2</c:v>
                </c:pt>
                <c:pt idx="35">
                  <c:v>26.2</c:v>
                </c:pt>
                <c:pt idx="36">
                  <c:v>27.2</c:v>
                </c:pt>
                <c:pt idx="37">
                  <c:v>28.2</c:v>
                </c:pt>
                <c:pt idx="38">
                  <c:v>29.2</c:v>
                </c:pt>
                <c:pt idx="39">
                  <c:v>1.3</c:v>
                </c:pt>
                <c:pt idx="40">
                  <c:v>2.3</c:v>
                </c:pt>
                <c:pt idx="41">
                  <c:v>3.3</c:v>
                </c:pt>
                <c:pt idx="42">
                  <c:v>4.3</c:v>
                </c:pt>
                <c:pt idx="43">
                  <c:v>5.3</c:v>
                </c:pt>
                <c:pt idx="44">
                  <c:v>6.3</c:v>
                </c:pt>
                <c:pt idx="45">
                  <c:v>7.3</c:v>
                </c:pt>
                <c:pt idx="46">
                  <c:v>8.3</c:v>
                </c:pt>
                <c:pt idx="47">
                  <c:v>9.3</c:v>
                </c:pt>
                <c:pt idx="48">
                  <c:v>10.3</c:v>
                </c:pt>
                <c:pt idx="49">
                  <c:v>11.3</c:v>
                </c:pt>
                <c:pt idx="50">
                  <c:v>12.3</c:v>
                </c:pt>
                <c:pt idx="51">
                  <c:v>13.3</c:v>
                </c:pt>
                <c:pt idx="52">
                  <c:v>14.3</c:v>
                </c:pt>
                <c:pt idx="53">
                  <c:v>15.3</c:v>
                </c:pt>
                <c:pt idx="54">
                  <c:v>16.3</c:v>
                </c:pt>
                <c:pt idx="55">
                  <c:v>17.3</c:v>
                </c:pt>
                <c:pt idx="56">
                  <c:v>18.3</c:v>
                </c:pt>
                <c:pt idx="57">
                  <c:v>19.3</c:v>
                </c:pt>
                <c:pt idx="58">
                  <c:v>20.3</c:v>
                </c:pt>
                <c:pt idx="59">
                  <c:v>21.3</c:v>
                </c:pt>
                <c:pt idx="60">
                  <c:v>22.3</c:v>
                </c:pt>
                <c:pt idx="61">
                  <c:v>23.3</c:v>
                </c:pt>
              </c:strCache>
            </c:strRef>
          </c:cat>
          <c:val>
            <c:numRef>
              <c:f>Overview!$B$28:$BK$28</c:f>
              <c:numCache>
                <c:formatCode>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0E9-4063-8972-578FFD587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75000"/>
        <a:lumOff val="2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  <a:latin typeface="Roboto" panose="02000000000000000000" pitchFamily="2" charset="0"/>
          <a:ea typeface="Roboto" panose="02000000000000000000" pitchFamily="2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23</xdr:col>
      <xdr:colOff>8292</xdr:colOff>
      <xdr:row>0</xdr:row>
      <xdr:rowOff>0</xdr:rowOff>
    </xdr:from>
    <xdr:to>
      <xdr:col>30</xdr:col>
      <xdr:colOff>179696</xdr:colOff>
      <xdr:row>0</xdr:row>
      <xdr:rowOff>3240000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5AE2B4B9-76B2-4FC8-8A1B-B6E660270A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121318</xdr:colOff>
      <xdr:row>0</xdr:row>
      <xdr:rowOff>2913530</xdr:rowOff>
    </xdr:from>
    <xdr:to>
      <xdr:col>0</xdr:col>
      <xdr:colOff>1524002</xdr:colOff>
      <xdr:row>0</xdr:row>
      <xdr:rowOff>3220570</xdr:rowOff>
    </xdr:to>
    <xdr:sp macro="[0]!UpdateData" textlink="">
      <xdr:nvSpPr>
        <xdr:cNvPr id="3" name="Rechteck 2">
          <a:extLst>
            <a:ext uri="{FF2B5EF4-FFF2-40B4-BE49-F238E27FC236}">
              <a16:creationId xmlns:a16="http://schemas.microsoft.com/office/drawing/2014/main" id="{C69E59BE-118D-4C65-9CAC-DB8291E2645A}"/>
            </a:ext>
          </a:extLst>
        </xdr:cNvPr>
        <xdr:cNvSpPr/>
      </xdr:nvSpPr>
      <xdr:spPr>
        <a:xfrm>
          <a:off x="121318" y="2913530"/>
          <a:ext cx="1402684" cy="307040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>
              <a:latin typeface="Roboto" panose="02000000000000000000" pitchFamily="2" charset="0"/>
              <a:ea typeface="Roboto" panose="02000000000000000000" pitchFamily="2" charset="0"/>
            </a:rPr>
            <a:t>REFRESH DATA</a:t>
          </a:r>
        </a:p>
      </xdr:txBody>
    </xdr:sp>
    <xdr:clientData/>
  </xdr:twoCellAnchor>
  <xdr:twoCellAnchor editAs="absolute">
    <xdr:from>
      <xdr:col>1</xdr:col>
      <xdr:colOff>8284</xdr:colOff>
      <xdr:row>0</xdr:row>
      <xdr:rowOff>0</xdr:rowOff>
    </xdr:from>
    <xdr:to>
      <xdr:col>8</xdr:col>
      <xdr:colOff>181592</xdr:colOff>
      <xdr:row>0</xdr:row>
      <xdr:rowOff>3238095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208B3EB4-835D-45B0-9E39-B30F609E98E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15</xdr:col>
      <xdr:colOff>381000</xdr:colOff>
      <xdr:row>0</xdr:row>
      <xdr:rowOff>0</xdr:rowOff>
    </xdr:from>
    <xdr:to>
      <xdr:col>23</xdr:col>
      <xdr:colOff>16426</xdr:colOff>
      <xdr:row>0</xdr:row>
      <xdr:rowOff>3238095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D8E18906-40BC-4B88-9ED1-65A993CF3FF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8</xdr:col>
      <xdr:colOff>190500</xdr:colOff>
      <xdr:row>0</xdr:row>
      <xdr:rowOff>0</xdr:rowOff>
    </xdr:from>
    <xdr:to>
      <xdr:col>15</xdr:col>
      <xdr:colOff>363809</xdr:colOff>
      <xdr:row>0</xdr:row>
      <xdr:rowOff>3238095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A03F30D5-E214-4A90-BFD4-957D98BF0FF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refreshOnLoad="1" connectionId="1" xr16:uid="{87788E78-8A1C-4F50-801A-E64966075210}" autoFormatId="16" applyNumberFormats="0" applyBorderFormats="0" applyFontFormats="0" applyPatternFormats="0" applyAlignmentFormats="0" applyWidthHeightFormats="0">
  <queryTableRefresh nextId="202">
    <queryTableFields count="64">
      <queryTableField id="1" name="Province/State" tableColumnId="64"/>
      <queryTableField id="2" name="Country/Region" tableColumnId="2"/>
      <queryTableField id="3" name="1/22/20" tableColumnId="3"/>
      <queryTableField id="4" name="1/23/20" tableColumnId="4"/>
      <queryTableField id="5" name="1/24/20" tableColumnId="5"/>
      <queryTableField id="6" name="1/25/20" tableColumnId="6"/>
      <queryTableField id="7" name="1/26/20" tableColumnId="7"/>
      <queryTableField id="8" name="1/27/20" tableColumnId="8"/>
      <queryTableField id="9" name="1/28/20" tableColumnId="9"/>
      <queryTableField id="10" name="1/29/20" tableColumnId="10"/>
      <queryTableField id="11" name="1/30/20" tableColumnId="11"/>
      <queryTableField id="12" name="1/31/20" tableColumnId="12"/>
      <queryTableField id="13" name="2/1/20" tableColumnId="13"/>
      <queryTableField id="14" name="2/2/20" tableColumnId="14"/>
      <queryTableField id="15" name="2/3/20" tableColumnId="15"/>
      <queryTableField id="16" name="2/4/20" tableColumnId="16"/>
      <queryTableField id="17" name="2/5/20" tableColumnId="17"/>
      <queryTableField id="18" name="2/6/20" tableColumnId="18"/>
      <queryTableField id="19" name="2/7/20" tableColumnId="19"/>
      <queryTableField id="20" name="2/8/20" tableColumnId="20"/>
      <queryTableField id="21" name="2/9/20" tableColumnId="21"/>
      <queryTableField id="22" name="2/10/20" tableColumnId="22"/>
      <queryTableField id="23" name="2/11/20" tableColumnId="23"/>
      <queryTableField id="24" name="2/12/20" tableColumnId="24"/>
      <queryTableField id="25" name="2/13/20" tableColumnId="25"/>
      <queryTableField id="26" name="2/14/20" tableColumnId="26"/>
      <queryTableField id="27" name="2/15/20" tableColumnId="27"/>
      <queryTableField id="28" name="2/16/20" tableColumnId="28"/>
      <queryTableField id="29" name="2/17/20" tableColumnId="29"/>
      <queryTableField id="30" name="2/18/20" tableColumnId="30"/>
      <queryTableField id="31" name="2/19/20" tableColumnId="31"/>
      <queryTableField id="32" name="2/20/20" tableColumnId="32"/>
      <queryTableField id="33" name="2/21/20" tableColumnId="33"/>
      <queryTableField id="34" name="2/22/20" tableColumnId="34"/>
      <queryTableField id="35" name="2/23/20" tableColumnId="35"/>
      <queryTableField id="36" name="2/24/20" tableColumnId="36"/>
      <queryTableField id="37" name="2/25/20" tableColumnId="37"/>
      <queryTableField id="38" name="2/26/20" tableColumnId="38"/>
      <queryTableField id="39" name="2/27/20" tableColumnId="39"/>
      <queryTableField id="40" name="2/28/20" tableColumnId="40"/>
      <queryTableField id="41" name="2/29/20" tableColumnId="41"/>
      <queryTableField id="42" name="3/1/20" tableColumnId="42"/>
      <queryTableField id="43" name="3/2/20" tableColumnId="43"/>
      <queryTableField id="44" name="3/3/20" tableColumnId="44"/>
      <queryTableField id="45" name="3/4/20" tableColumnId="45"/>
      <queryTableField id="46" name="3/5/20" tableColumnId="46"/>
      <queryTableField id="47" name="3/6/20" tableColumnId="47"/>
      <queryTableField id="48" name="3/7/20" tableColumnId="48"/>
      <queryTableField id="49" name="3/8/20" tableColumnId="49"/>
      <queryTableField id="50" name="3/9/20" tableColumnId="50"/>
      <queryTableField id="51" name="3/10/20" tableColumnId="51"/>
      <queryTableField id="52" name="3/11/20" tableColumnId="52"/>
      <queryTableField id="53" name="3/12/20" tableColumnId="53"/>
      <queryTableField id="54" name="3/13/20" tableColumnId="54"/>
      <queryTableField id="55" name="3/14/20" tableColumnId="55"/>
      <queryTableField id="56" name="3/15/20" tableColumnId="56"/>
      <queryTableField id="57" name="3/16/20" tableColumnId="57"/>
      <queryTableField id="58" name="3/17/20" tableColumnId="58"/>
      <queryTableField id="59" name="3/18/20" tableColumnId="59"/>
      <queryTableField id="60" name="3/19/20" tableColumnId="60"/>
      <queryTableField id="61" name="3/20/20" tableColumnId="61"/>
      <queryTableField id="65" name="3/21/20" tableColumnId="1"/>
      <queryTableField id="66" name="3/22/20" tableColumnId="62"/>
      <queryTableField id="67" name="3/23/20" tableColumnId="63"/>
    </queryTableFields>
    <queryTableDeletedFields count="3">
      <deletedField name="3/22/20"/>
      <deletedField name="3/21/20"/>
      <deletedField name="3/22/20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" xr16:uid="{2256F3F2-DE99-4628-9057-94BC0179B6A0}" autoFormatId="16" applyNumberFormats="0" applyBorderFormats="0" applyFontFormats="0" applyPatternFormats="0" applyAlignmentFormats="0" applyWidthHeightFormats="0">
  <queryTableRefresh nextId="65">
    <queryTableFields count="64">
      <queryTableField id="1" name="Province/State" tableColumnId="64"/>
      <queryTableField id="2" name="Country/Region" tableColumnId="2"/>
      <queryTableField id="3" name="1/22/20" tableColumnId="3"/>
      <queryTableField id="4" name="1/23/20" tableColumnId="4"/>
      <queryTableField id="5" name="1/24/20" tableColumnId="5"/>
      <queryTableField id="6" name="1/25/20" tableColumnId="6"/>
      <queryTableField id="7" name="1/26/20" tableColumnId="7"/>
      <queryTableField id="8" name="1/27/20" tableColumnId="8"/>
      <queryTableField id="9" name="1/28/20" tableColumnId="9"/>
      <queryTableField id="10" name="1/29/20" tableColumnId="10"/>
      <queryTableField id="11" name="1/30/20" tableColumnId="11"/>
      <queryTableField id="12" name="1/31/20" tableColumnId="12"/>
      <queryTableField id="13" name="2/1/20" tableColumnId="13"/>
      <queryTableField id="14" name="2/2/20" tableColumnId="14"/>
      <queryTableField id="15" name="2/3/20" tableColumnId="15"/>
      <queryTableField id="16" name="2/4/20" tableColumnId="16"/>
      <queryTableField id="17" name="2/5/20" tableColumnId="17"/>
      <queryTableField id="18" name="2/6/20" tableColumnId="18"/>
      <queryTableField id="19" name="2/7/20" tableColumnId="19"/>
      <queryTableField id="20" name="2/8/20" tableColumnId="20"/>
      <queryTableField id="21" name="2/9/20" tableColumnId="21"/>
      <queryTableField id="22" name="2/10/20" tableColumnId="22"/>
      <queryTableField id="23" name="2/11/20" tableColumnId="23"/>
      <queryTableField id="24" name="2/12/20" tableColumnId="24"/>
      <queryTableField id="25" name="2/13/20" tableColumnId="25"/>
      <queryTableField id="26" name="2/14/20" tableColumnId="26"/>
      <queryTableField id="27" name="2/15/20" tableColumnId="27"/>
      <queryTableField id="28" name="2/16/20" tableColumnId="28"/>
      <queryTableField id="29" name="2/17/20" tableColumnId="29"/>
      <queryTableField id="30" name="2/18/20" tableColumnId="30"/>
      <queryTableField id="31" name="2/19/20" tableColumnId="31"/>
      <queryTableField id="32" name="2/20/20" tableColumnId="32"/>
      <queryTableField id="33" name="2/21/20" tableColumnId="33"/>
      <queryTableField id="34" name="2/22/20" tableColumnId="34"/>
      <queryTableField id="35" name="2/23/20" tableColumnId="35"/>
      <queryTableField id="36" name="2/24/20" tableColumnId="36"/>
      <queryTableField id="37" name="2/25/20" tableColumnId="37"/>
      <queryTableField id="38" name="2/26/20" tableColumnId="38"/>
      <queryTableField id="39" name="2/27/20" tableColumnId="39"/>
      <queryTableField id="40" name="2/28/20" tableColumnId="40"/>
      <queryTableField id="41" name="2/29/20" tableColumnId="41"/>
      <queryTableField id="42" name="3/1/20" tableColumnId="42"/>
      <queryTableField id="43" name="3/2/20" tableColumnId="43"/>
      <queryTableField id="44" name="3/3/20" tableColumnId="44"/>
      <queryTableField id="45" name="3/4/20" tableColumnId="45"/>
      <queryTableField id="46" name="3/5/20" tableColumnId="46"/>
      <queryTableField id="47" name="3/6/20" tableColumnId="47"/>
      <queryTableField id="48" name="3/7/20" tableColumnId="48"/>
      <queryTableField id="49" name="3/8/20" tableColumnId="49"/>
      <queryTableField id="50" name="3/9/20" tableColumnId="50"/>
      <queryTableField id="51" name="3/10/20" tableColumnId="51"/>
      <queryTableField id="52" name="3/11/20" tableColumnId="52"/>
      <queryTableField id="53" name="3/12/20" tableColumnId="53"/>
      <queryTableField id="54" name="3/13/20" tableColumnId="54"/>
      <queryTableField id="55" name="3/14/20" tableColumnId="55"/>
      <queryTableField id="56" name="3/15/20" tableColumnId="56"/>
      <queryTableField id="57" name="3/16/20" tableColumnId="57"/>
      <queryTableField id="58" name="3/17/20" tableColumnId="58"/>
      <queryTableField id="59" name="3/18/20" tableColumnId="59"/>
      <queryTableField id="60" name="3/19/20" tableColumnId="60"/>
      <queryTableField id="61" name="3/20/20" tableColumnId="61"/>
      <queryTableField id="62" name="3/21/20" tableColumnId="62"/>
      <queryTableField id="63" name="3/22/20" tableColumnId="63"/>
      <queryTableField id="64" name="3/23/20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3" xr16:uid="{54C2C58C-61DB-4AD1-ADE0-D06467B9198A}" autoFormatId="16" applyNumberFormats="0" applyBorderFormats="0" applyFontFormats="0" applyPatternFormats="0" applyAlignmentFormats="0" applyWidthHeightFormats="0">
  <queryTableRefresh nextId="64">
    <queryTableFields count="63">
      <queryTableField id="1" name="Province/State" tableColumnId="64"/>
      <queryTableField id="2" name="Country/Region" tableColumnId="2"/>
      <queryTableField id="3" name="1/22/20" tableColumnId="3"/>
      <queryTableField id="4" name="1/23/20" tableColumnId="4"/>
      <queryTableField id="5" name="1/24/20" tableColumnId="5"/>
      <queryTableField id="6" name="1/25/20" tableColumnId="6"/>
      <queryTableField id="7" name="1/26/20" tableColumnId="7"/>
      <queryTableField id="8" name="1/27/20" tableColumnId="8"/>
      <queryTableField id="9" name="1/28/20" tableColumnId="9"/>
      <queryTableField id="10" name="1/29/20" tableColumnId="10"/>
      <queryTableField id="11" name="1/30/20" tableColumnId="11"/>
      <queryTableField id="12" name="1/31/20" tableColumnId="12"/>
      <queryTableField id="13" name="2/1/20" tableColumnId="13"/>
      <queryTableField id="14" name="2/2/20" tableColumnId="14"/>
      <queryTableField id="15" name="2/3/20" tableColumnId="15"/>
      <queryTableField id="16" name="2/4/20" tableColumnId="16"/>
      <queryTableField id="17" name="2/5/20" tableColumnId="17"/>
      <queryTableField id="18" name="2/6/20" tableColumnId="18"/>
      <queryTableField id="19" name="2/7/20" tableColumnId="19"/>
      <queryTableField id="20" name="2/8/20" tableColumnId="20"/>
      <queryTableField id="21" name="2/9/20" tableColumnId="21"/>
      <queryTableField id="22" name="2/10/20" tableColumnId="22"/>
      <queryTableField id="23" name="2/11/20" tableColumnId="23"/>
      <queryTableField id="24" name="2/12/20" tableColumnId="24"/>
      <queryTableField id="25" name="2/13/20" tableColumnId="25"/>
      <queryTableField id="26" name="2/14/20" tableColumnId="26"/>
      <queryTableField id="27" name="2/15/20" tableColumnId="27"/>
      <queryTableField id="28" name="2/16/20" tableColumnId="28"/>
      <queryTableField id="29" name="2/17/20" tableColumnId="29"/>
      <queryTableField id="30" name="2/18/20" tableColumnId="30"/>
      <queryTableField id="31" name="2/19/20" tableColumnId="31"/>
      <queryTableField id="32" name="2/20/20" tableColumnId="32"/>
      <queryTableField id="33" name="2/21/20" tableColumnId="33"/>
      <queryTableField id="34" name="2/22/20" tableColumnId="34"/>
      <queryTableField id="35" name="2/23/20" tableColumnId="35"/>
      <queryTableField id="36" name="2/24/20" tableColumnId="36"/>
      <queryTableField id="37" name="2/25/20" tableColumnId="37"/>
      <queryTableField id="38" name="2/26/20" tableColumnId="38"/>
      <queryTableField id="39" name="2/27/20" tableColumnId="39"/>
      <queryTableField id="40" name="2/28/20" tableColumnId="40"/>
      <queryTableField id="41" name="2/29/20" tableColumnId="41"/>
      <queryTableField id="42" name="3/1/20" tableColumnId="42"/>
      <queryTableField id="43" name="3/2/20" tableColumnId="43"/>
      <queryTableField id="44" name="3/3/20" tableColumnId="44"/>
      <queryTableField id="45" name="3/4/20" tableColumnId="45"/>
      <queryTableField id="46" name="3/5/20" tableColumnId="46"/>
      <queryTableField id="47" name="3/6/20" tableColumnId="47"/>
      <queryTableField id="48" name="3/7/20" tableColumnId="48"/>
      <queryTableField id="49" name="3/8/20" tableColumnId="49"/>
      <queryTableField id="50" name="3/9/20" tableColumnId="50"/>
      <queryTableField id="51" name="3/10/20" tableColumnId="51"/>
      <queryTableField id="52" name="3/11/20" tableColumnId="52"/>
      <queryTableField id="53" name="3/12/20" tableColumnId="53"/>
      <queryTableField id="54" name="3/13/20" tableColumnId="54"/>
      <queryTableField id="55" name="3/14/20" tableColumnId="55"/>
      <queryTableField id="56" name="3/15/20" tableColumnId="56"/>
      <queryTableField id="57" name="3/16/20" tableColumnId="57"/>
      <queryTableField id="58" name="3/17/20" tableColumnId="58"/>
      <queryTableField id="59" name="3/18/20" tableColumnId="59"/>
      <queryTableField id="60" name="3/19/20" tableColumnId="60"/>
      <queryTableField id="61" name="3/20/20" tableColumnId="61"/>
      <queryTableField id="62" name="3/21/20" tableColumnId="62"/>
      <queryTableField id="63" name="3/22/20" tableColumnId="63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0C519B-E342-427A-8522-F8F9B1CEB269}" name="Tabelle2" displayName="Tabelle2" ref="A10:CE17" totalsRowShown="0" headerRowDxfId="331" dataDxfId="329" headerRowBorderDxfId="330" tableBorderDxfId="328" totalsRowBorderDxfId="327">
  <autoFilter ref="A10:CE17" xr:uid="{479694DE-0E9C-41A7-946D-48560B0B3579}"/>
  <tableColumns count="83">
    <tableColumn id="2" xr3:uid="{C453FAE5-63DB-4A22-8C0E-1DC6C9518C2A}" name="Country/Region" dataDxfId="326"/>
    <tableColumn id="3" xr3:uid="{A7A21713-F1DE-4AA5-92C7-957354E4D421}" name="22.1" dataDxfId="231">
      <calculatedColumnFormula>SUMIF(RAW_Cases!$B:$B,Tabelle2[[#This Row],[Country/Region]],RAW_Cases!C:C)</calculatedColumnFormula>
    </tableColumn>
    <tableColumn id="4" xr3:uid="{857167DE-1947-408C-B65D-7ACB1505E8E1}" name="23.1" dataDxfId="230">
      <calculatedColumnFormula>SUMIF(RAW_Cases!$B:$B,Tabelle2[[#This Row],[Country/Region]],RAW_Cases!D:D)</calculatedColumnFormula>
    </tableColumn>
    <tableColumn id="5" xr3:uid="{F8E78670-3EF7-456A-89A0-03D9ACF0EC4C}" name="24.1" dataDxfId="229">
      <calculatedColumnFormula>SUMIF(RAW_Cases!$B:$B,Tabelle2[[#This Row],[Country/Region]],RAW_Cases!E:E)</calculatedColumnFormula>
    </tableColumn>
    <tableColumn id="6" xr3:uid="{30522FF7-3A42-424B-A134-D3C14528DDBF}" name="25.1" dataDxfId="228">
      <calculatedColumnFormula>SUMIF(RAW_Cases!$B:$B,Tabelle2[[#This Row],[Country/Region]],RAW_Cases!F:F)</calculatedColumnFormula>
    </tableColumn>
    <tableColumn id="7" xr3:uid="{3CCBCA53-F3D1-46D3-92D0-B627B8ED5FD2}" name="26.1" dataDxfId="227">
      <calculatedColumnFormula>SUMIF(RAW_Cases!$B:$B,Tabelle2[[#This Row],[Country/Region]],RAW_Cases!G:G)</calculatedColumnFormula>
    </tableColumn>
    <tableColumn id="8" xr3:uid="{4BC5C632-1874-4C99-8205-270324B3DFB0}" name="27.1" dataDxfId="226">
      <calculatedColumnFormula>SUMIF(RAW_Cases!$B:$B,Tabelle2[[#This Row],[Country/Region]],RAW_Cases!H:H)</calculatedColumnFormula>
    </tableColumn>
    <tableColumn id="9" xr3:uid="{62F11B24-A322-4576-816F-EAB1D8B93829}" name="28.1" dataDxfId="225">
      <calculatedColumnFormula>SUMIF(RAW_Cases!$B:$B,Tabelle2[[#This Row],[Country/Region]],RAW_Cases!I:I)</calculatedColumnFormula>
    </tableColumn>
    <tableColumn id="10" xr3:uid="{6B869DF8-90AB-45DC-8C8C-B336B68D8EFA}" name="29.1" dataDxfId="224">
      <calculatedColumnFormula>SUMIF(RAW_Cases!$B:$B,Tabelle2[[#This Row],[Country/Region]],RAW_Cases!J:J)</calculatedColumnFormula>
    </tableColumn>
    <tableColumn id="11" xr3:uid="{468B4A4E-6FAC-4EC0-8969-1BA4CDD7F04E}" name="30.1" dataDxfId="223">
      <calculatedColumnFormula>SUMIF(RAW_Cases!$B:$B,Tabelle2[[#This Row],[Country/Region]],RAW_Cases!K:K)</calculatedColumnFormula>
    </tableColumn>
    <tableColumn id="12" xr3:uid="{E06B9B5C-E00A-4012-96D0-0D27233C08E9}" name="31.1" dataDxfId="222">
      <calculatedColumnFormula>SUMIF(RAW_Cases!$B:$B,Tabelle2[[#This Row],[Country/Region]],RAW_Cases!L:L)</calculatedColumnFormula>
    </tableColumn>
    <tableColumn id="13" xr3:uid="{EEC40170-2309-45AF-B0AD-F00A34E177E0}" name="1.2" dataDxfId="221">
      <calculatedColumnFormula>SUMIF(RAW_Cases!$B:$B,Tabelle2[[#This Row],[Country/Region]],RAW_Cases!M:M)</calculatedColumnFormula>
    </tableColumn>
    <tableColumn id="14" xr3:uid="{4304D166-9286-48CA-A410-A61DEA20BF97}" name="2.2" dataDxfId="220">
      <calculatedColumnFormula>SUMIF(RAW_Cases!$B:$B,Tabelle2[[#This Row],[Country/Region]],RAW_Cases!N:N)</calculatedColumnFormula>
    </tableColumn>
    <tableColumn id="15" xr3:uid="{35D37D9C-8B23-4BBC-AE75-BB30F782CA6C}" name="3.2" dataDxfId="219">
      <calculatedColumnFormula>SUMIF(RAW_Cases!$B:$B,Tabelle2[[#This Row],[Country/Region]],RAW_Cases!O:O)</calculatedColumnFormula>
    </tableColumn>
    <tableColumn id="16" xr3:uid="{EE8CEEA8-E965-4ED8-81C0-177817AB2F34}" name="4.2" dataDxfId="218">
      <calculatedColumnFormula>SUMIF(RAW_Cases!$B:$B,Tabelle2[[#This Row],[Country/Region]],RAW_Cases!P:P)</calculatedColumnFormula>
    </tableColumn>
    <tableColumn id="17" xr3:uid="{F316B922-983F-46FA-AC84-5C6BBC346B82}" name="5.2" dataDxfId="217">
      <calculatedColumnFormula>SUMIF(RAW_Cases!$B:$B,Tabelle2[[#This Row],[Country/Region]],RAW_Cases!Q:Q)</calculatedColumnFormula>
    </tableColumn>
    <tableColumn id="18" xr3:uid="{1ADBF8D9-0DE0-4AE3-AC61-6F4D87559F36}" name="6.2" dataDxfId="216">
      <calculatedColumnFormula>SUMIF(RAW_Cases!$B:$B,Tabelle2[[#This Row],[Country/Region]],RAW_Cases!R:R)</calculatedColumnFormula>
    </tableColumn>
    <tableColumn id="19" xr3:uid="{F0EE1986-6262-41EC-9B01-ED94DE053880}" name="7.2" dataDxfId="215">
      <calculatedColumnFormula>SUMIF(RAW_Cases!$B:$B,Tabelle2[[#This Row],[Country/Region]],RAW_Cases!S:S)</calculatedColumnFormula>
    </tableColumn>
    <tableColumn id="20" xr3:uid="{BEECEFAD-95FA-4B00-B78A-520A3DAA28FA}" name="8.2" dataDxfId="214">
      <calculatedColumnFormula>SUMIF(RAW_Cases!$B:$B,Tabelle2[[#This Row],[Country/Region]],RAW_Cases!T:T)</calculatedColumnFormula>
    </tableColumn>
    <tableColumn id="21" xr3:uid="{E861DB2B-D53C-4E5D-8872-AE159D48BEA5}" name="9.2" dataDxfId="213">
      <calculatedColumnFormula>SUMIF(RAW_Cases!$B:$B,Tabelle2[[#This Row],[Country/Region]],RAW_Cases!U:U)</calculatedColumnFormula>
    </tableColumn>
    <tableColumn id="22" xr3:uid="{A0CD3BDA-F932-44BF-8937-6116FB10349D}" name="10.2" dataDxfId="212">
      <calculatedColumnFormula>SUMIF(RAW_Cases!$B:$B,Tabelle2[[#This Row],[Country/Region]],RAW_Cases!V:V)</calculatedColumnFormula>
    </tableColumn>
    <tableColumn id="23" xr3:uid="{4E78FC45-437D-4610-B0B9-ABF3697956C9}" name="11.2" dataDxfId="211">
      <calculatedColumnFormula>SUMIF(RAW_Cases!$B:$B,Tabelle2[[#This Row],[Country/Region]],RAW_Cases!W:W)</calculatedColumnFormula>
    </tableColumn>
    <tableColumn id="24" xr3:uid="{BBF9B2CB-D34C-44CD-B109-131EF7F46A2E}" name="12.2" dataDxfId="210">
      <calculatedColumnFormula>SUMIF(RAW_Cases!$B:$B,Tabelle2[[#This Row],[Country/Region]],RAW_Cases!X:X)</calculatedColumnFormula>
    </tableColumn>
    <tableColumn id="25" xr3:uid="{9AC1C4CA-612A-47AC-978F-F763432503C0}" name="13.2" dataDxfId="209">
      <calculatedColumnFormula>SUMIF(RAW_Cases!$B:$B,Tabelle2[[#This Row],[Country/Region]],RAW_Cases!Y:Y)</calculatedColumnFormula>
    </tableColumn>
    <tableColumn id="26" xr3:uid="{29217B99-878E-4CB4-84CA-83B0F53B1D7B}" name="14.2" dataDxfId="208">
      <calculatedColumnFormula>SUMIF(RAW_Cases!$B:$B,Tabelle2[[#This Row],[Country/Region]],RAW_Cases!Z:Z)</calculatedColumnFormula>
    </tableColumn>
    <tableColumn id="27" xr3:uid="{86DE7BC2-5874-46D2-B09A-70082EE444AE}" name="15.2" dataDxfId="207">
      <calculatedColumnFormula>SUMIF(RAW_Cases!$B:$B,Tabelle2[[#This Row],[Country/Region]],RAW_Cases!AA:AA)</calculatedColumnFormula>
    </tableColumn>
    <tableColumn id="28" xr3:uid="{54FD4E5F-0D98-4662-8EFC-3DC6F691EE8E}" name="16.2" dataDxfId="206">
      <calculatedColumnFormula>SUMIF(RAW_Cases!$B:$B,Tabelle2[[#This Row],[Country/Region]],RAW_Cases!AB:AB)</calculatedColumnFormula>
    </tableColumn>
    <tableColumn id="29" xr3:uid="{B3D8BAA6-6220-4304-8219-20AF5563261D}" name="17.2" dataDxfId="205">
      <calculatedColumnFormula>SUMIF(RAW_Cases!$B:$B,Tabelle2[[#This Row],[Country/Region]],RAW_Cases!AC:AC)</calculatedColumnFormula>
    </tableColumn>
    <tableColumn id="30" xr3:uid="{0B418855-15A7-46C3-AD8E-00D70EF80311}" name="18.2" dataDxfId="204">
      <calculatedColumnFormula>SUMIF(RAW_Cases!$B:$B,Tabelle2[[#This Row],[Country/Region]],RAW_Cases!AD:AD)</calculatedColumnFormula>
    </tableColumn>
    <tableColumn id="31" xr3:uid="{8FA01BB9-7CDD-46A8-8FA3-49EF6CC84D0C}" name="19.2" dataDxfId="203">
      <calculatedColumnFormula>SUMIF(RAW_Cases!$B:$B,Tabelle2[[#This Row],[Country/Region]],RAW_Cases!AE:AE)</calculatedColumnFormula>
    </tableColumn>
    <tableColumn id="32" xr3:uid="{EF4EC6F7-0B68-4801-98D9-D5E1C39672FE}" name="20.2" dataDxfId="202">
      <calculatedColumnFormula>SUMIF(RAW_Cases!$B:$B,Tabelle2[[#This Row],[Country/Region]],RAW_Cases!AF:AF)</calculatedColumnFormula>
    </tableColumn>
    <tableColumn id="33" xr3:uid="{3BF86F5F-C9A4-4082-950B-04860B40E267}" name="21.2" dataDxfId="201">
      <calculatedColumnFormula>SUMIF(RAW_Cases!$B:$B,Tabelle2[[#This Row],[Country/Region]],RAW_Cases!AG:AG)</calculatedColumnFormula>
    </tableColumn>
    <tableColumn id="34" xr3:uid="{763ACDFD-2220-41E9-93C9-18E250F0B944}" name="22.2" dataDxfId="200">
      <calculatedColumnFormula>SUMIF(RAW_Cases!$B:$B,Tabelle2[[#This Row],[Country/Region]],RAW_Cases!AH:AH)</calculatedColumnFormula>
    </tableColumn>
    <tableColumn id="35" xr3:uid="{AE3DD834-997E-4BA7-8512-27E96EC15D9B}" name="23.2" dataDxfId="199">
      <calculatedColumnFormula>SUMIF(RAW_Cases!$B:$B,Tabelle2[[#This Row],[Country/Region]],RAW_Cases!AI:AI)</calculatedColumnFormula>
    </tableColumn>
    <tableColumn id="36" xr3:uid="{14B4DC24-1B3B-4F00-BAC0-47C022FB80E6}" name="24.2" dataDxfId="198">
      <calculatedColumnFormula>SUMIF(RAW_Cases!$B:$B,Tabelle2[[#This Row],[Country/Region]],RAW_Cases!AJ:AJ)</calculatedColumnFormula>
    </tableColumn>
    <tableColumn id="37" xr3:uid="{A42C1730-53DC-4038-8480-8C88B335E8C0}" name="25.2" dataDxfId="197">
      <calculatedColumnFormula>SUMIF(RAW_Cases!$B:$B,Tabelle2[[#This Row],[Country/Region]],RAW_Cases!AK:AK)</calculatedColumnFormula>
    </tableColumn>
    <tableColumn id="38" xr3:uid="{21835C47-59F8-4C33-802E-FBA766060E33}" name="26.2" dataDxfId="196">
      <calculatedColumnFormula>SUMIF(RAW_Cases!$B:$B,Tabelle2[[#This Row],[Country/Region]],RAW_Cases!AL:AL)</calculatedColumnFormula>
    </tableColumn>
    <tableColumn id="39" xr3:uid="{48BBE566-99A9-4EBA-B658-8EB79DCEF6F2}" name="27.2" dataDxfId="195">
      <calculatedColumnFormula>SUMIF(RAW_Cases!$B:$B,Tabelle2[[#This Row],[Country/Region]],RAW_Cases!AM:AM)</calculatedColumnFormula>
    </tableColumn>
    <tableColumn id="40" xr3:uid="{A391A52C-0565-4D34-8010-C20DB6BC9A10}" name="28.2" dataDxfId="194">
      <calculatedColumnFormula>SUMIF(RAW_Cases!$B:$B,Tabelle2[[#This Row],[Country/Region]],RAW_Cases!AN:AN)</calculatedColumnFormula>
    </tableColumn>
    <tableColumn id="41" xr3:uid="{57470AC0-DF33-43AC-AD21-19A367C9F2F7}" name="29.2" dataDxfId="193">
      <calculatedColumnFormula>SUMIF(RAW_Cases!$B:$B,Tabelle2[[#This Row],[Country/Region]],RAW_Cases!AO:AO)</calculatedColumnFormula>
    </tableColumn>
    <tableColumn id="42" xr3:uid="{87EAFAE8-73AE-422F-832B-A45D4B83666C}" name="1.3" dataDxfId="192">
      <calculatedColumnFormula>SUMIF(RAW_Cases!$B:$B,Tabelle2[[#This Row],[Country/Region]],RAW_Cases!AP:AP)</calculatedColumnFormula>
    </tableColumn>
    <tableColumn id="43" xr3:uid="{D33D560D-F2B4-476D-8131-145B72080C42}" name="2.3" dataDxfId="191">
      <calculatedColumnFormula>SUMIF(RAW_Cases!$B:$B,Tabelle2[[#This Row],[Country/Region]],RAW_Cases!AQ:AQ)</calculatedColumnFormula>
    </tableColumn>
    <tableColumn id="44" xr3:uid="{F07CBCF8-4AF6-4E59-B2C8-58241A9AD7A1}" name="3.3" dataDxfId="190">
      <calculatedColumnFormula>SUMIF(RAW_Cases!$B:$B,Tabelle2[[#This Row],[Country/Region]],RAW_Cases!AR:AR)</calculatedColumnFormula>
    </tableColumn>
    <tableColumn id="45" xr3:uid="{0424FA57-083E-4E64-A357-78FFE4B7B991}" name="4.3" dataDxfId="189">
      <calculatedColumnFormula>SUMIF(RAW_Cases!$B:$B,Tabelle2[[#This Row],[Country/Region]],RAW_Cases!AS:AS)</calculatedColumnFormula>
    </tableColumn>
    <tableColumn id="46" xr3:uid="{D6B74AD6-4F2D-4523-ADAD-90F91BF09FF9}" name="5.3" dataDxfId="188">
      <calculatedColumnFormula>SUMIF(RAW_Cases!$B:$B,Tabelle2[[#This Row],[Country/Region]],RAW_Cases!AT:AT)</calculatedColumnFormula>
    </tableColumn>
    <tableColumn id="47" xr3:uid="{5D1A4FC6-B397-4745-990A-4FCA60F9ADF1}" name="6.3" dataDxfId="187">
      <calculatedColumnFormula>SUMIF(RAW_Cases!$B:$B,Tabelle2[[#This Row],[Country/Region]],RAW_Cases!AU:AU)</calculatedColumnFormula>
    </tableColumn>
    <tableColumn id="48" xr3:uid="{FAB4A4C9-71A6-4530-AB3B-6545215C2DBC}" name="7.3" dataDxfId="186">
      <calculatedColumnFormula>SUMIF(RAW_Cases!$B:$B,Tabelle2[[#This Row],[Country/Region]],RAW_Cases!AV:AV)</calculatedColumnFormula>
    </tableColumn>
    <tableColumn id="49" xr3:uid="{60F98284-C2DB-4E68-AFAA-EA8D22BE38E1}" name="8.3" dataDxfId="185">
      <calculatedColumnFormula>SUMIF(RAW_Cases!$B:$B,Tabelle2[[#This Row],[Country/Region]],RAW_Cases!AW:AW)</calculatedColumnFormula>
    </tableColumn>
    <tableColumn id="50" xr3:uid="{6F813D42-3E92-43FD-AD8F-FE34D5AA3055}" name="9.3" dataDxfId="184">
      <calculatedColumnFormula>SUMIF(RAW_Cases!$B:$B,Tabelle2[[#This Row],[Country/Region]],RAW_Cases!AX:AX)</calculatedColumnFormula>
    </tableColumn>
    <tableColumn id="51" xr3:uid="{E677F887-9B0A-4658-9AB5-382D9300753E}" name="10.3" dataDxfId="183">
      <calculatedColumnFormula>SUMIF(RAW_Cases!$B:$B,Tabelle2[[#This Row],[Country/Region]],RAW_Cases!AY:AY)</calculatedColumnFormula>
    </tableColumn>
    <tableColumn id="52" xr3:uid="{8069B84E-7D4E-46F3-999C-BCC35E817D70}" name="11.3" dataDxfId="182">
      <calculatedColumnFormula>SUMIF(RAW_Cases!$B:$B,Tabelle2[[#This Row],[Country/Region]],RAW_Cases!AZ:AZ)</calculatedColumnFormula>
    </tableColumn>
    <tableColumn id="53" xr3:uid="{8C1A0CFC-6DE2-4897-9D54-DE3A3CFAC7E6}" name="12.3" dataDxfId="181">
      <calculatedColumnFormula>SUMIF(RAW_Cases!$B:$B,Tabelle2[[#This Row],[Country/Region]],RAW_Cases!BA:BA)</calculatedColumnFormula>
    </tableColumn>
    <tableColumn id="54" xr3:uid="{95DE7405-0ACD-470D-81F6-9F64AF2465A2}" name="13.3" dataDxfId="180">
      <calculatedColumnFormula>SUMIF(RAW_Cases!$B:$B,Tabelle2[[#This Row],[Country/Region]],RAW_Cases!BB:BB)</calculatedColumnFormula>
    </tableColumn>
    <tableColumn id="55" xr3:uid="{A40C9690-BAAD-48CF-8DB1-5933F317D0EE}" name="14.3" dataDxfId="179">
      <calculatedColumnFormula>SUMIF(RAW_Cases!$B:$B,Tabelle2[[#This Row],[Country/Region]],RAW_Cases!BC:BC)</calculatedColumnFormula>
    </tableColumn>
    <tableColumn id="56" xr3:uid="{4F0E91DE-E37C-48ED-A79D-4D60BE0A3D24}" name="15.3" dataDxfId="178">
      <calculatedColumnFormula>SUMIF(RAW_Cases!$B:$B,Tabelle2[[#This Row],[Country/Region]],RAW_Cases!BD:BD)</calculatedColumnFormula>
    </tableColumn>
    <tableColumn id="57" xr3:uid="{5ED81050-F8E4-445C-B8AB-FD9626AF5986}" name="16.3" dataDxfId="177">
      <calculatedColumnFormula>SUMIF(RAW_Cases!$B:$B,Tabelle2[[#This Row],[Country/Region]],RAW_Cases!BE:BE)</calculatedColumnFormula>
    </tableColumn>
    <tableColumn id="58" xr3:uid="{5910FC6A-ADE5-4E25-B71D-84A3D1CB106B}" name="17.3" dataDxfId="176">
      <calculatedColumnFormula>SUMIF(RAW_Cases!$B:$B,Tabelle2[[#This Row],[Country/Region]],RAW_Cases!BF:BF)</calculatedColumnFormula>
    </tableColumn>
    <tableColumn id="59" xr3:uid="{DA058AD8-6700-4554-855B-5A52532D8EF3}" name="18.3" dataDxfId="175">
      <calculatedColumnFormula>SUMIF(RAW_Cases!$B:$B,Tabelle2[[#This Row],[Country/Region]],RAW_Cases!BG:BG)</calculatedColumnFormula>
    </tableColumn>
    <tableColumn id="60" xr3:uid="{06D6999B-C32E-407D-972B-EBD6E100AD38}" name="19.3" dataDxfId="174">
      <calculatedColumnFormula>SUMIF(RAW_Cases!$B:$B,Tabelle2[[#This Row],[Country/Region]],RAW_Cases!BH:BH)</calculatedColumnFormula>
    </tableColumn>
    <tableColumn id="61" xr3:uid="{946BAECD-DD0E-4AD2-B118-D2CB7298228A}" name="20.3" dataDxfId="173">
      <calculatedColumnFormula>SUMIF(RAW_Cases!$B:$B,Tabelle2[[#This Row],[Country/Region]],RAW_Cases!BI:BI)</calculatedColumnFormula>
    </tableColumn>
    <tableColumn id="62" xr3:uid="{70184CB8-5161-449A-87F6-D694A525A3A3}" name="21.3" dataDxfId="172">
      <calculatedColumnFormula>SUMIF(RAW_Cases!$B:$B,Tabelle2[[#This Row],[Country/Region]],RAW_Cases!BJ:BJ)</calculatedColumnFormula>
    </tableColumn>
    <tableColumn id="351" xr3:uid="{16B5C153-95F4-4F4C-9B90-527502C5CF9F}" name="22.3" dataDxfId="171">
      <calculatedColumnFormula>SUMIF(RAW_Cases!$B:$B,Tabelle2[[#This Row],[Country/Region]],RAW_Cases!BK:BK)</calculatedColumnFormula>
    </tableColumn>
    <tableColumn id="352" xr3:uid="{AB1FD542-E831-4DF8-8992-43B10E0F107E}" name="23.3" dataDxfId="170">
      <calculatedColumnFormula>SUMIF(RAW_Cases!$B:$B,Tabelle2[[#This Row],[Country/Region]],RAW_Cases!BL:BL)</calculatedColumnFormula>
    </tableColumn>
    <tableColumn id="353" xr3:uid="{409E99E6-8167-43B3-9545-AFAC769916D2}" name="24.3" dataDxfId="169">
      <calculatedColumnFormula>SUMIF(RAW_Cases!$B:$B,Tabelle2[[#This Row],[Country/Region]],RAW_Cases!GQ:GQ)</calculatedColumnFormula>
    </tableColumn>
    <tableColumn id="354" xr3:uid="{35285EC4-AF01-45C6-8164-56173A1C2E0F}" name="25.3" dataDxfId="168">
      <calculatedColumnFormula>SUMIF(RAW_Cases!$B:$B,Tabelle2[[#This Row],[Country/Region]],RAW_Cases!GR:GR)</calculatedColumnFormula>
    </tableColumn>
    <tableColumn id="355" xr3:uid="{288192FA-096F-4B63-94DA-C8552B603185}" name="26.3" dataDxfId="167">
      <calculatedColumnFormula>SUMIF(RAW_Cases!$B:$B,Tabelle2[[#This Row],[Country/Region]],RAW_Cases!GS:GS)</calculatedColumnFormula>
    </tableColumn>
    <tableColumn id="356" xr3:uid="{D8243BF1-51E0-4022-8D25-2D772650ACD9}" name="27.3" dataDxfId="166">
      <calculatedColumnFormula>SUMIF(RAW_Cases!$B:$B,Tabelle2[[#This Row],[Country/Region]],RAW_Cases!GT:GT)</calculatedColumnFormula>
    </tableColumn>
    <tableColumn id="357" xr3:uid="{7D584CBF-FAC9-46DD-9F4D-D5AC6145098A}" name="28.3" dataDxfId="165">
      <calculatedColumnFormula>SUMIF(RAW_Cases!$B:$B,Tabelle2[[#This Row],[Country/Region]],RAW_Cases!GU:GU)</calculatedColumnFormula>
    </tableColumn>
    <tableColumn id="358" xr3:uid="{5F641188-9BD6-4963-BF24-281BC2A23043}" name="29.3" dataDxfId="164">
      <calculatedColumnFormula>SUMIF(RAW_Cases!$B:$B,Tabelle2[[#This Row],[Country/Region]],RAW_Cases!GV:GV)</calculatedColumnFormula>
    </tableColumn>
    <tableColumn id="359" xr3:uid="{F72EF6B9-5644-47F0-B570-412A491CF2D1}" name="30.3" dataDxfId="163">
      <calculatedColumnFormula>SUMIF(RAW_Cases!$B:$B,Tabelle2[[#This Row],[Country/Region]],RAW_Cases!GW:GW)</calculatedColumnFormula>
    </tableColumn>
    <tableColumn id="360" xr3:uid="{179C4372-D028-403D-8E6E-0DF448E255BC}" name="31.3" dataDxfId="162">
      <calculatedColumnFormula>SUMIF(RAW_Cases!$B:$B,Tabelle2[[#This Row],[Country/Region]],RAW_Cases!GX:GX)</calculatedColumnFormula>
    </tableColumn>
    <tableColumn id="361" xr3:uid="{8979ECCE-3E01-44A4-A29A-0BFCD8C6986B}" name="1.4" dataDxfId="161">
      <calculatedColumnFormula>SUMIF(RAW_Cases!$B:$B,Tabelle2[[#This Row],[Country/Region]],RAW_Cases!GY:GY)</calculatedColumnFormula>
    </tableColumn>
    <tableColumn id="362" xr3:uid="{AEF9AAD7-BD74-4F9E-91F6-5C39B12FF4B6}" name="2.4" dataDxfId="160">
      <calculatedColumnFormula>SUMIF(RAW_Cases!$B:$B,Tabelle2[[#This Row],[Country/Region]],RAW_Cases!GZ:GZ)</calculatedColumnFormula>
    </tableColumn>
    <tableColumn id="363" xr3:uid="{FB7F3F05-F205-48B2-825D-E0B6FC0BD5F0}" name="3.4" dataDxfId="159">
      <calculatedColumnFormula>SUMIF(RAW_Cases!$B:$B,Tabelle2[[#This Row],[Country/Region]],RAW_Cases!HA:HA)</calculatedColumnFormula>
    </tableColumn>
    <tableColumn id="364" xr3:uid="{BCA4B39D-E264-48B3-934E-CB186DF88E4C}" name="4.4" dataDxfId="158">
      <calculatedColumnFormula>SUMIF(RAW_Cases!$B:$B,Tabelle2[[#This Row],[Country/Region]],RAW_Cases!HB:HB)</calculatedColumnFormula>
    </tableColumn>
    <tableColumn id="365" xr3:uid="{B38D5038-BD9C-41E7-B0DF-A385C4AA6EB6}" name="5.4" dataDxfId="157">
      <calculatedColumnFormula>SUMIF(RAW_Cases!$B:$B,Tabelle2[[#This Row],[Country/Region]],RAW_Cases!HC:HC)</calculatedColumnFormula>
    </tableColumn>
    <tableColumn id="366" xr3:uid="{8017BA23-2AA0-4682-BC54-3E8CABC8FC85}" name="6.4" dataDxfId="156">
      <calculatedColumnFormula>SUMIF(RAW_Cases!$B:$B,Tabelle2[[#This Row],[Country/Region]],RAW_Cases!HD:HD)</calculatedColumnFormula>
    </tableColumn>
    <tableColumn id="367" xr3:uid="{7528B312-DD75-4CE6-997D-F699709C11DB}" name="7.4" dataDxfId="155">
      <calculatedColumnFormula>SUMIF(RAW_Cases!$B:$B,Tabelle2[[#This Row],[Country/Region]],RAW_Cases!HE:HE)</calculatedColumnFormula>
    </tableColumn>
    <tableColumn id="368" xr3:uid="{63C9228C-8FFB-43CD-B16E-8ECDF23307E8}" name="8.4" dataDxfId="154">
      <calculatedColumnFormula>SUMIF(RAW_Cases!$B:$B,Tabelle2[[#This Row],[Country/Region]],RAW_Cases!HF:HF)</calculatedColumnFormula>
    </tableColumn>
    <tableColumn id="369" xr3:uid="{733E940A-E721-438D-91D4-65557FB0B0E4}" name="9.4" dataDxfId="153">
      <calculatedColumnFormula>SUMIF(RAW_Cases!$B:$B,Tabelle2[[#This Row],[Country/Region]],RAW_Cases!HG:HG)</calculatedColumnFormula>
    </tableColumn>
    <tableColumn id="370" xr3:uid="{E52EFFEF-A96E-4A20-A457-A43749241658}" name="10.4" dataDxfId="152">
      <calculatedColumnFormula>SUMIF(RAW_Cases!$B:$B,Tabelle2[[#This Row],[Country/Region]],RAW_Cases!HH:HH)</calculatedColumnFormula>
    </tableColumn>
    <tableColumn id="371" xr3:uid="{4B815666-EE77-40EC-9857-4BF52B30078C}" name="11.4" dataDxfId="151">
      <calculatedColumnFormula>SUMIF(RAW_Cases!$B:$B,Tabelle2[[#This Row],[Country/Region]],RAW_Cases!HI:HI)</calculatedColumnFormula>
    </tableColumn>
    <tableColumn id="372" xr3:uid="{0CC670F7-1475-488A-BDC7-80E22A5E5294}" name="12.4" dataDxfId="150">
      <calculatedColumnFormula>SUMIF(RAW_Cases!$B:$B,Tabelle2[[#This Row],[Country/Region]],RAW_Cases!HJ:HJ)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AA220DA-26D0-4187-ABB8-66DD59F92706}" name="Tabelle28" displayName="Tabelle28" ref="A21:CE28" totalsRowShown="0" headerRowDxfId="325" dataDxfId="323" headerRowBorderDxfId="324" tableBorderDxfId="322" totalsRowBorderDxfId="321">
  <autoFilter ref="A21:CE28" xr:uid="{CE810C95-31BD-4D00-A6C4-74794F901D5E}"/>
  <tableColumns count="83">
    <tableColumn id="2" xr3:uid="{CF1A0C10-347C-489E-8BCB-4EDF0DB15BC7}" name="Country/Region" dataDxfId="320">
      <calculatedColumnFormula>IF(ISBLANK(A11),"",A11)</calculatedColumnFormula>
    </tableColumn>
    <tableColumn id="3" xr3:uid="{700C12F8-1A42-449F-98FA-DE64D91427EA}" name="22.1" dataDxfId="149">
      <calculatedColumnFormula>SUMIF(RAW_DEATHS!$B:$B,Tabelle28[[#This Row],[Country/Region]],RAW_DEATHS!C:C)</calculatedColumnFormula>
    </tableColumn>
    <tableColumn id="4" xr3:uid="{49D926BD-C8DF-4305-905B-2DE988E1D221}" name="23.1" dataDxfId="148">
      <calculatedColumnFormula>SUMIF(RAW_DEATHS!$B:$B,Tabelle28[[#This Row],[Country/Region]],RAW_DEATHS!D:D)</calculatedColumnFormula>
    </tableColumn>
    <tableColumn id="5" xr3:uid="{4233FA7A-DFB4-40E1-ACB9-EF4DCA5D2856}" name="24.1" dataDxfId="147">
      <calculatedColumnFormula>SUMIF(RAW_DEATHS!$B:$B,Tabelle28[[#This Row],[Country/Region]],RAW_DEATHS!E:E)</calculatedColumnFormula>
    </tableColumn>
    <tableColumn id="6" xr3:uid="{7BDF3EBD-6EBD-46A5-950A-67254E850B3B}" name="25.1" dataDxfId="146">
      <calculatedColumnFormula>SUMIF(RAW_DEATHS!$B:$B,Tabelle28[[#This Row],[Country/Region]],RAW_DEATHS!F:F)</calculatedColumnFormula>
    </tableColumn>
    <tableColumn id="7" xr3:uid="{B5FAAF7B-0E7F-47F7-BC4A-FB3F907EFA13}" name="26.1" dataDxfId="145">
      <calculatedColumnFormula>SUMIF(RAW_DEATHS!$B:$B,Tabelle28[[#This Row],[Country/Region]],RAW_DEATHS!G:G)</calculatedColumnFormula>
    </tableColumn>
    <tableColumn id="8" xr3:uid="{4FB381EB-DE9D-442F-813E-BDB9218B5B00}" name="27.1" dataDxfId="144">
      <calculatedColumnFormula>SUMIF(RAW_DEATHS!$B:$B,Tabelle28[[#This Row],[Country/Region]],RAW_DEATHS!H:H)</calculatedColumnFormula>
    </tableColumn>
    <tableColumn id="9" xr3:uid="{34A578D2-2D14-4749-A5E7-24B966051202}" name="28.1" dataDxfId="143">
      <calculatedColumnFormula>SUMIF(RAW_DEATHS!$B:$B,Tabelle28[[#This Row],[Country/Region]],RAW_DEATHS!I:I)</calculatedColumnFormula>
    </tableColumn>
    <tableColumn id="10" xr3:uid="{4A4F114D-7B45-4B4F-8F46-0E79CFFE5085}" name="29.1" dataDxfId="142">
      <calculatedColumnFormula>SUMIF(RAW_DEATHS!$B:$B,Tabelle28[[#This Row],[Country/Region]],RAW_DEATHS!J:J)</calculatedColumnFormula>
    </tableColumn>
    <tableColumn id="11" xr3:uid="{C91A39BC-D070-43AF-A214-0CC4EBD7F98A}" name="30.1" dataDxfId="141">
      <calculatedColumnFormula>SUMIF(RAW_DEATHS!$B:$B,Tabelle28[[#This Row],[Country/Region]],RAW_DEATHS!K:K)</calculatedColumnFormula>
    </tableColumn>
    <tableColumn id="12" xr3:uid="{3CE53426-066D-48EF-8473-0E890A53F7F5}" name="31.1" dataDxfId="140">
      <calculatedColumnFormula>SUMIF(RAW_DEATHS!$B:$B,Tabelle28[[#This Row],[Country/Region]],RAW_DEATHS!L:L)</calculatedColumnFormula>
    </tableColumn>
    <tableColumn id="13" xr3:uid="{4F0ED8A2-E507-4F51-BC97-C77A9EB7C88A}" name="1.2" dataDxfId="139">
      <calculatedColumnFormula>SUMIF(RAW_DEATHS!$B:$B,Tabelle28[[#This Row],[Country/Region]],RAW_DEATHS!M:M)</calculatedColumnFormula>
    </tableColumn>
    <tableColumn id="14" xr3:uid="{53E85650-535C-4E04-A8D9-865CA52DD32A}" name="2.2" dataDxfId="138">
      <calculatedColumnFormula>SUMIF(RAW_DEATHS!$B:$B,Tabelle28[[#This Row],[Country/Region]],RAW_DEATHS!N:N)</calculatedColumnFormula>
    </tableColumn>
    <tableColumn id="15" xr3:uid="{FCC26E11-6F00-4D9C-802B-9E94B33D3554}" name="3.2" dataDxfId="137">
      <calculatedColumnFormula>SUMIF(RAW_DEATHS!$B:$B,Tabelle28[[#This Row],[Country/Region]],RAW_DEATHS!O:O)</calculatedColumnFormula>
    </tableColumn>
    <tableColumn id="16" xr3:uid="{05FF9661-5588-4EF3-A4C6-19DDFAC26E9A}" name="4.2" dataDxfId="136">
      <calculatedColumnFormula>SUMIF(RAW_DEATHS!$B:$B,Tabelle28[[#This Row],[Country/Region]],RAW_DEATHS!P:P)</calculatedColumnFormula>
    </tableColumn>
    <tableColumn id="17" xr3:uid="{1599F1BD-7691-4E35-8922-F5E051635A23}" name="5.2" dataDxfId="135">
      <calculatedColumnFormula>SUMIF(RAW_DEATHS!$B:$B,Tabelle28[[#This Row],[Country/Region]],RAW_DEATHS!Q:Q)</calculatedColumnFormula>
    </tableColumn>
    <tableColumn id="18" xr3:uid="{6658B577-F452-48C8-828A-F09B6E34D98A}" name="6.2" dataDxfId="134">
      <calculatedColumnFormula>SUMIF(RAW_DEATHS!$B:$B,Tabelle28[[#This Row],[Country/Region]],RAW_DEATHS!R:R)</calculatedColumnFormula>
    </tableColumn>
    <tableColumn id="19" xr3:uid="{D1DD9DA3-3D71-4869-A0C9-AD569E66B677}" name="7.2" dataDxfId="133">
      <calculatedColumnFormula>SUMIF(RAW_DEATHS!$B:$B,Tabelle28[[#This Row],[Country/Region]],RAW_DEATHS!S:S)</calculatedColumnFormula>
    </tableColumn>
    <tableColumn id="20" xr3:uid="{10744F4B-70C3-484C-8731-E85914876D89}" name="8.2" dataDxfId="132">
      <calculatedColumnFormula>SUMIF(RAW_DEATHS!$B:$B,Tabelle28[[#This Row],[Country/Region]],RAW_DEATHS!T:T)</calculatedColumnFormula>
    </tableColumn>
    <tableColumn id="21" xr3:uid="{870B5D68-7341-4AA6-BF63-64D8B5C4C620}" name="9.2" dataDxfId="131">
      <calculatedColumnFormula>SUMIF(RAW_DEATHS!$B:$B,Tabelle28[[#This Row],[Country/Region]],RAW_DEATHS!U:U)</calculatedColumnFormula>
    </tableColumn>
    <tableColumn id="22" xr3:uid="{95EE1065-BF7E-49C4-85C6-BD933CD96E66}" name="10.2" dataDxfId="130">
      <calculatedColumnFormula>SUMIF(RAW_DEATHS!$B:$B,Tabelle28[[#This Row],[Country/Region]],RAW_DEATHS!V:V)</calculatedColumnFormula>
    </tableColumn>
    <tableColumn id="23" xr3:uid="{CFC5CEE7-CBCD-4653-A80C-9C42FBEA6CF4}" name="11.2" dataDxfId="129">
      <calculatedColumnFormula>SUMIF(RAW_DEATHS!$B:$B,Tabelle28[[#This Row],[Country/Region]],RAW_DEATHS!W:W)</calculatedColumnFormula>
    </tableColumn>
    <tableColumn id="24" xr3:uid="{7328B9F8-B25B-470D-BE10-A409343A9D9B}" name="12.2" dataDxfId="128">
      <calculatedColumnFormula>SUMIF(RAW_DEATHS!$B:$B,Tabelle28[[#This Row],[Country/Region]],RAW_DEATHS!X:X)</calculatedColumnFormula>
    </tableColumn>
    <tableColumn id="25" xr3:uid="{06818E91-74A5-4DCC-BD49-D25F0C8DFE6A}" name="13.2" dataDxfId="127">
      <calculatedColumnFormula>SUMIF(RAW_DEATHS!$B:$B,Tabelle28[[#This Row],[Country/Region]],RAW_DEATHS!Y:Y)</calculatedColumnFormula>
    </tableColumn>
    <tableColumn id="26" xr3:uid="{79ABE462-5A43-4D95-BD16-3BD90B27CB3D}" name="14.2" dataDxfId="126">
      <calculatedColumnFormula>SUMIF(RAW_DEATHS!$B:$B,Tabelle28[[#This Row],[Country/Region]],RAW_DEATHS!Z:Z)</calculatedColumnFormula>
    </tableColumn>
    <tableColumn id="27" xr3:uid="{BB22EF78-522A-4F24-AED3-AD6D7035AEA1}" name="15.2" dataDxfId="125">
      <calculatedColumnFormula>SUMIF(RAW_DEATHS!$B:$B,Tabelle28[[#This Row],[Country/Region]],RAW_DEATHS!AA:AA)</calculatedColumnFormula>
    </tableColumn>
    <tableColumn id="28" xr3:uid="{9BA02568-AC3D-4223-9EE5-3FBD03015576}" name="16.2" dataDxfId="124">
      <calculatedColumnFormula>SUMIF(RAW_DEATHS!$B:$B,Tabelle28[[#This Row],[Country/Region]],RAW_DEATHS!AB:AB)</calculatedColumnFormula>
    </tableColumn>
    <tableColumn id="29" xr3:uid="{04874829-3081-4420-AA9F-4AC07AD39AEF}" name="17.2" dataDxfId="123">
      <calculatedColumnFormula>SUMIF(RAW_DEATHS!$B:$B,Tabelle28[[#This Row],[Country/Region]],RAW_DEATHS!AC:AC)</calculatedColumnFormula>
    </tableColumn>
    <tableColumn id="30" xr3:uid="{292DE63E-4B9B-4ACE-BB02-C1BD5B048891}" name="18.2" dataDxfId="122">
      <calculatedColumnFormula>SUMIF(RAW_DEATHS!$B:$B,Tabelle28[[#This Row],[Country/Region]],RAW_DEATHS!AD:AD)</calculatedColumnFormula>
    </tableColumn>
    <tableColumn id="31" xr3:uid="{D3F29433-99D6-45F4-B18F-765D568A27E0}" name="19.2" dataDxfId="121">
      <calculatedColumnFormula>SUMIF(RAW_DEATHS!$B:$B,Tabelle28[[#This Row],[Country/Region]],RAW_DEATHS!AE:AE)</calculatedColumnFormula>
    </tableColumn>
    <tableColumn id="32" xr3:uid="{DDFC7F72-403C-465F-8990-A2EED1706E67}" name="20.2" dataDxfId="120">
      <calculatedColumnFormula>SUMIF(RAW_DEATHS!$B:$B,Tabelle28[[#This Row],[Country/Region]],RAW_DEATHS!AF:AF)</calculatedColumnFormula>
    </tableColumn>
    <tableColumn id="33" xr3:uid="{6AD045B5-6522-4C91-8AE1-E07662FA8136}" name="21.2" dataDxfId="119">
      <calculatedColumnFormula>SUMIF(RAW_DEATHS!$B:$B,Tabelle28[[#This Row],[Country/Region]],RAW_DEATHS!AG:AG)</calculatedColumnFormula>
    </tableColumn>
    <tableColumn id="34" xr3:uid="{3B37FA0F-55E0-46E7-99F7-E4573816A9F0}" name="22.2" dataDxfId="118">
      <calculatedColumnFormula>SUMIF(RAW_DEATHS!$B:$B,Tabelle28[[#This Row],[Country/Region]],RAW_DEATHS!AH:AH)</calculatedColumnFormula>
    </tableColumn>
    <tableColumn id="35" xr3:uid="{66479DD0-1A4F-4010-ACB2-50D8999E721A}" name="23.2" dataDxfId="117">
      <calculatedColumnFormula>SUMIF(RAW_DEATHS!$B:$B,Tabelle28[[#This Row],[Country/Region]],RAW_DEATHS!AI:AI)</calculatedColumnFormula>
    </tableColumn>
    <tableColumn id="36" xr3:uid="{5DFD23DC-1589-40A1-B311-DBEB22C822A4}" name="24.2" dataDxfId="116">
      <calculatedColumnFormula>SUMIF(RAW_DEATHS!$B:$B,Tabelle28[[#This Row],[Country/Region]],RAW_DEATHS!AJ:AJ)</calculatedColumnFormula>
    </tableColumn>
    <tableColumn id="37" xr3:uid="{AA711967-C5D7-46AD-9E49-A3A34E3F0B75}" name="25.2" dataDxfId="115">
      <calculatedColumnFormula>SUMIF(RAW_DEATHS!$B:$B,Tabelle28[[#This Row],[Country/Region]],RAW_DEATHS!AK:AK)</calculatedColumnFormula>
    </tableColumn>
    <tableColumn id="38" xr3:uid="{23B4138B-BF63-4AFD-8911-0BD308BC8B16}" name="26.2" dataDxfId="114">
      <calculatedColumnFormula>SUMIF(RAW_DEATHS!$B:$B,Tabelle28[[#This Row],[Country/Region]],RAW_DEATHS!AL:AL)</calculatedColumnFormula>
    </tableColumn>
    <tableColumn id="39" xr3:uid="{6CF5A6A3-B3CE-4F8D-B8BF-05708EF87616}" name="27.2" dataDxfId="113">
      <calculatedColumnFormula>SUMIF(RAW_DEATHS!$B:$B,Tabelle28[[#This Row],[Country/Region]],RAW_DEATHS!AM:AM)</calculatedColumnFormula>
    </tableColumn>
    <tableColumn id="40" xr3:uid="{385F232D-7419-4849-A04F-6F77464801FD}" name="28.2" dataDxfId="112">
      <calculatedColumnFormula>SUMIF(RAW_DEATHS!$B:$B,Tabelle28[[#This Row],[Country/Region]],RAW_DEATHS!AN:AN)</calculatedColumnFormula>
    </tableColumn>
    <tableColumn id="41" xr3:uid="{E2CA688E-6EEC-41B7-AFA4-A4F3B41E81A9}" name="29.2" dataDxfId="111">
      <calculatedColumnFormula>SUMIF(RAW_DEATHS!$B:$B,Tabelle28[[#This Row],[Country/Region]],RAW_DEATHS!AO:AO)</calculatedColumnFormula>
    </tableColumn>
    <tableColumn id="42" xr3:uid="{B3C453CA-D2A2-4321-9140-F47EAF255AFE}" name="1.3" dataDxfId="110">
      <calculatedColumnFormula>SUMIF(RAW_DEATHS!$B:$B,Tabelle28[[#This Row],[Country/Region]],RAW_DEATHS!AP:AP)</calculatedColumnFormula>
    </tableColumn>
    <tableColumn id="43" xr3:uid="{B4CFBC8F-F58D-4E7E-90D6-FE3B3F2A3877}" name="2.3" dataDxfId="109">
      <calculatedColumnFormula>SUMIF(RAW_DEATHS!$B:$B,Tabelle28[[#This Row],[Country/Region]],RAW_DEATHS!AQ:AQ)</calculatedColumnFormula>
    </tableColumn>
    <tableColumn id="44" xr3:uid="{22F8823A-FA66-45B8-89A7-90630D8C5962}" name="3.3" dataDxfId="108">
      <calculatedColumnFormula>SUMIF(RAW_DEATHS!$B:$B,Tabelle28[[#This Row],[Country/Region]],RAW_DEATHS!AR:AR)</calculatedColumnFormula>
    </tableColumn>
    <tableColumn id="45" xr3:uid="{3EFB5DA2-6519-444C-AA94-5046DB201B6B}" name="4.3" dataDxfId="107">
      <calculatedColumnFormula>SUMIF(RAW_DEATHS!$B:$B,Tabelle28[[#This Row],[Country/Region]],RAW_DEATHS!AS:AS)</calculatedColumnFormula>
    </tableColumn>
    <tableColumn id="46" xr3:uid="{E4B05F32-0131-4724-8067-E8D23F7A790D}" name="5.3" dataDxfId="106">
      <calculatedColumnFormula>SUMIF(RAW_DEATHS!$B:$B,Tabelle28[[#This Row],[Country/Region]],RAW_DEATHS!AT:AT)</calculatedColumnFormula>
    </tableColumn>
    <tableColumn id="47" xr3:uid="{E2B682C3-396C-45EB-A736-FE38D578E96E}" name="6.3" dataDxfId="105">
      <calculatedColumnFormula>SUMIF(RAW_DEATHS!$B:$B,Tabelle28[[#This Row],[Country/Region]],RAW_DEATHS!AU:AU)</calculatedColumnFormula>
    </tableColumn>
    <tableColumn id="48" xr3:uid="{09E2A84B-70F4-4265-B420-8DC324297153}" name="7.3" dataDxfId="104">
      <calculatedColumnFormula>SUMIF(RAW_DEATHS!$B:$B,Tabelle28[[#This Row],[Country/Region]],RAW_DEATHS!AV:AV)</calculatedColumnFormula>
    </tableColumn>
    <tableColumn id="49" xr3:uid="{A16EEBA0-1A8A-40D3-9B3C-8CF0F969470F}" name="8.3" dataDxfId="103">
      <calculatedColumnFormula>SUMIF(RAW_DEATHS!$B:$B,Tabelle28[[#This Row],[Country/Region]],RAW_DEATHS!AW:AW)</calculatedColumnFormula>
    </tableColumn>
    <tableColumn id="50" xr3:uid="{C106F981-3933-4185-AA35-35325BDFB7DC}" name="9.3" dataDxfId="102">
      <calculatedColumnFormula>SUMIF(RAW_DEATHS!$B:$B,Tabelle28[[#This Row],[Country/Region]],RAW_DEATHS!AX:AX)</calculatedColumnFormula>
    </tableColumn>
    <tableColumn id="51" xr3:uid="{F75B1F40-C9FF-4C87-94FD-D0CF017F5AAB}" name="10.3" dataDxfId="101">
      <calculatedColumnFormula>SUMIF(RAW_DEATHS!$B:$B,Tabelle28[[#This Row],[Country/Region]],RAW_DEATHS!AY:AY)</calculatedColumnFormula>
    </tableColumn>
    <tableColumn id="52" xr3:uid="{7A87999B-DE99-494F-8FAF-B59FF73626B5}" name="11.3" dataDxfId="100">
      <calculatedColumnFormula>SUMIF(RAW_DEATHS!$B:$B,Tabelle28[[#This Row],[Country/Region]],RAW_DEATHS!AZ:AZ)</calculatedColumnFormula>
    </tableColumn>
    <tableColumn id="53" xr3:uid="{E195AC08-8FA0-496D-94C8-1280945F1141}" name="12.3" dataDxfId="99">
      <calculatedColumnFormula>SUMIF(RAW_DEATHS!$B:$B,Tabelle28[[#This Row],[Country/Region]],RAW_DEATHS!BA:BA)</calculatedColumnFormula>
    </tableColumn>
    <tableColumn id="54" xr3:uid="{A4F4A51F-1198-4132-94B9-FE4638C2640C}" name="13.3" dataDxfId="98">
      <calculatedColumnFormula>SUMIF(RAW_DEATHS!$B:$B,Tabelle28[[#This Row],[Country/Region]],RAW_DEATHS!BB:BB)</calculatedColumnFormula>
    </tableColumn>
    <tableColumn id="55" xr3:uid="{1B080934-48EE-4461-972D-B58541942226}" name="14.3" dataDxfId="97">
      <calculatedColumnFormula>SUMIF(RAW_DEATHS!$B:$B,Tabelle28[[#This Row],[Country/Region]],RAW_DEATHS!BC:BC)</calculatedColumnFormula>
    </tableColumn>
    <tableColumn id="56" xr3:uid="{0CFF2BC8-0186-4D4D-B976-16A16C7CAC66}" name="15.3" dataDxfId="96">
      <calculatedColumnFormula>SUMIF(RAW_DEATHS!$B:$B,Tabelle28[[#This Row],[Country/Region]],RAW_DEATHS!BD:BD)</calculatedColumnFormula>
    </tableColumn>
    <tableColumn id="57" xr3:uid="{47880024-0798-469C-B7D2-6152554BB45C}" name="16.3" dataDxfId="95">
      <calculatedColumnFormula>SUMIF(RAW_DEATHS!$B:$B,Tabelle28[[#This Row],[Country/Region]],RAW_DEATHS!BE:BE)</calculatedColumnFormula>
    </tableColumn>
    <tableColumn id="58" xr3:uid="{324528CC-6656-416A-83B6-218C7A520BE2}" name="17.3" dataDxfId="94">
      <calculatedColumnFormula>SUMIF(RAW_DEATHS!$B:$B,Tabelle28[[#This Row],[Country/Region]],RAW_DEATHS!BF:BF)</calculatedColumnFormula>
    </tableColumn>
    <tableColumn id="59" xr3:uid="{3ED636D6-B700-4E33-86BF-33481DC3F6D5}" name="18.3" dataDxfId="93">
      <calculatedColumnFormula>SUMIF(RAW_DEATHS!$B:$B,Tabelle28[[#This Row],[Country/Region]],RAW_DEATHS!BG:BG)</calculatedColumnFormula>
    </tableColumn>
    <tableColumn id="60" xr3:uid="{F2F7D9E9-21B3-4C08-A250-2DBD74B22F08}" name="19.3" dataDxfId="92">
      <calculatedColumnFormula>SUMIF(RAW_DEATHS!$B:$B,Tabelle28[[#This Row],[Country/Region]],RAW_DEATHS!BH:BH)</calculatedColumnFormula>
    </tableColumn>
    <tableColumn id="61" xr3:uid="{51090AB2-91F3-4C50-87AC-1348AE698E42}" name="20.3" dataDxfId="91">
      <calculatedColumnFormula>SUMIF(RAW_DEATHS!$B:$B,Tabelle28[[#This Row],[Country/Region]],RAW_DEATHS!BI:BI)</calculatedColumnFormula>
    </tableColumn>
    <tableColumn id="62" xr3:uid="{8D4408A7-7B21-4803-87C9-BCB588F4600F}" name="21.3" dataDxfId="90">
      <calculatedColumnFormula>SUMIF(RAW_DEATHS!$B:$B,Tabelle28[[#This Row],[Country/Region]],RAW_DEATHS!BJ:BJ)</calculatedColumnFormula>
    </tableColumn>
    <tableColumn id="72" xr3:uid="{86610AE6-D058-4210-9409-0F7A6885FD36}" name="22.3" dataDxfId="89">
      <calculatedColumnFormula>SUMIF(RAW_DEATHS!$B:$B,Tabelle28[[#This Row],[Country/Region]],RAW_DEATHS!BK:BK)</calculatedColumnFormula>
    </tableColumn>
    <tableColumn id="1" xr3:uid="{1E97E7EE-BDED-414F-B73F-7CEBE751DA97}" name="23.3" dataDxfId="88">
      <calculatedColumnFormula>SUMIF(RAW_DEATHS!$B:$B,Tabelle28[[#This Row],[Country/Region]],RAW_DEATHS!BL:BL)</calculatedColumnFormula>
    </tableColumn>
    <tableColumn id="63" xr3:uid="{92108045-D29A-40BE-8C3D-0A572A234ED7}" name="24.3" dataDxfId="87">
      <calculatedColumnFormula>SUMIF(RAW_DEATHS!$B:$B,Tabelle28[[#This Row],[Country/Region]],RAW_DEATHS!BM:BM)</calculatedColumnFormula>
    </tableColumn>
    <tableColumn id="64" xr3:uid="{68D4ADBC-3572-467D-9AED-2A86012D49D3}" name="25.3" dataDxfId="86">
      <calculatedColumnFormula>SUMIF(RAW_DEATHS!$B:$B,Tabelle28[[#This Row],[Country/Region]],RAW_DEATHS!BN:BN)</calculatedColumnFormula>
    </tableColumn>
    <tableColumn id="65" xr3:uid="{DFD890AB-14A5-484C-818D-D4CA08EDFFB3}" name="26.3" dataDxfId="85">
      <calculatedColumnFormula>SUMIF(RAW_DEATHS!$B:$B,Tabelle28[[#This Row],[Country/Region]],RAW_DEATHS!BO:BO)</calculatedColumnFormula>
    </tableColumn>
    <tableColumn id="66" xr3:uid="{9809ED54-F824-4C4C-983B-180FD7E56D63}" name="27.3" dataDxfId="84">
      <calculatedColumnFormula>SUMIF(RAW_DEATHS!$B:$B,Tabelle28[[#This Row],[Country/Region]],RAW_DEATHS!BP:BP)</calculatedColumnFormula>
    </tableColumn>
    <tableColumn id="67" xr3:uid="{E7D80551-97E2-4127-9E5A-5A3CC4D6DA19}" name="28.3" dataDxfId="83">
      <calculatedColumnFormula>SUMIF(RAW_DEATHS!$B:$B,Tabelle28[[#This Row],[Country/Region]],RAW_DEATHS!BQ:BQ)</calculatedColumnFormula>
    </tableColumn>
    <tableColumn id="68" xr3:uid="{7F6240CE-C9C9-41DA-803A-7E0B8C4E12FF}" name="29.3" dataDxfId="82">
      <calculatedColumnFormula>SUMIF(RAW_DEATHS!$B:$B,Tabelle28[[#This Row],[Country/Region]],RAW_DEATHS!BR:BR)</calculatedColumnFormula>
    </tableColumn>
    <tableColumn id="69" xr3:uid="{5EE52292-6278-4E82-A94C-62509AB5E6FB}" name="30.3" dataDxfId="81">
      <calculatedColumnFormula>SUMIF(RAW_DEATHS!$B:$B,Tabelle28[[#This Row],[Country/Region]],RAW_DEATHS!BS:BS)</calculatedColumnFormula>
    </tableColumn>
    <tableColumn id="70" xr3:uid="{04FF6527-B216-4D92-8C51-E5E63F4ED83D}" name="31.3" dataDxfId="80">
      <calculatedColumnFormula>SUMIF(RAW_DEATHS!$B:$B,Tabelle28[[#This Row],[Country/Region]],RAW_DEATHS!BT:BT)</calculatedColumnFormula>
    </tableColumn>
    <tableColumn id="71" xr3:uid="{1A6F9AE8-1E90-454F-8FE7-950C1C8F1DEB}" name="1.4" dataDxfId="79">
      <calculatedColumnFormula>SUMIF(RAW_DEATHS!$B:$B,Tabelle28[[#This Row],[Country/Region]],RAW_DEATHS!BU:BU)</calculatedColumnFormula>
    </tableColumn>
    <tableColumn id="73" xr3:uid="{BD91B85E-6C49-4690-BFA6-287D98F451EF}" name="2.4" dataDxfId="78">
      <calculatedColumnFormula>SUMIF(RAW_DEATHS!$B:$B,Tabelle28[[#This Row],[Country/Region]],RAW_DEATHS!BV:BV)</calculatedColumnFormula>
    </tableColumn>
    <tableColumn id="74" xr3:uid="{39D80297-E0DE-4CCE-893D-D223299516F7}" name="3.4" dataDxfId="77">
      <calculatedColumnFormula>SUMIF(RAW_DEATHS!$B:$B,Tabelle28[[#This Row],[Country/Region]],RAW_DEATHS!BW:BW)</calculatedColumnFormula>
    </tableColumn>
    <tableColumn id="75" xr3:uid="{C0F79EE3-2E30-456A-A30D-A4076FEC9E28}" name="4.4" dataDxfId="76">
      <calculatedColumnFormula>SUMIF(RAW_DEATHS!$B:$B,Tabelle28[[#This Row],[Country/Region]],RAW_DEATHS!BX:BX)</calculatedColumnFormula>
    </tableColumn>
    <tableColumn id="76" xr3:uid="{D3806252-1CB0-467F-99EC-C7533B69D031}" name="5.4" dataDxfId="75">
      <calculatedColumnFormula>SUMIF(RAW_DEATHS!$B:$B,Tabelle28[[#This Row],[Country/Region]],RAW_DEATHS!BY:BY)</calculatedColumnFormula>
    </tableColumn>
    <tableColumn id="77" xr3:uid="{3ADCBED4-A8A1-4FD6-B3AE-8D25AED2A20D}" name="6.4" dataDxfId="74">
      <calculatedColumnFormula>SUMIF(RAW_DEATHS!$B:$B,Tabelle28[[#This Row],[Country/Region]],RAW_DEATHS!BZ:BZ)</calculatedColumnFormula>
    </tableColumn>
    <tableColumn id="78" xr3:uid="{40288D33-ACF7-4C97-939F-7D94A984318C}" name="7.4" dataDxfId="73">
      <calculatedColumnFormula>SUMIF(RAW_DEATHS!$B:$B,Tabelle28[[#This Row],[Country/Region]],RAW_DEATHS!CA:CA)</calculatedColumnFormula>
    </tableColumn>
    <tableColumn id="79" xr3:uid="{EAD2E14D-90B4-414F-8BAB-EFF712FDC653}" name="8.4" dataDxfId="72">
      <calculatedColumnFormula>SUMIF(RAW_DEATHS!$B:$B,Tabelle28[[#This Row],[Country/Region]],RAW_DEATHS!CB:CB)</calculatedColumnFormula>
    </tableColumn>
    <tableColumn id="80" xr3:uid="{672CB2A3-4F47-491D-B48C-D6502628CAEE}" name="9.4" dataDxfId="71">
      <calculatedColumnFormula>SUMIF(RAW_DEATHS!$B:$B,Tabelle28[[#This Row],[Country/Region]],RAW_DEATHS!CC:CC)</calculatedColumnFormula>
    </tableColumn>
    <tableColumn id="81" xr3:uid="{1A90596E-F1E0-4D52-AE50-52BA68E7F841}" name="10.4" dataDxfId="70">
      <calculatedColumnFormula>SUMIF(RAW_DEATHS!$B:$B,Tabelle28[[#This Row],[Country/Region]],RAW_DEATHS!CD:CD)</calculatedColumnFormula>
    </tableColumn>
    <tableColumn id="82" xr3:uid="{433A021B-42CB-4BFF-946F-88BC8CADD4D6}" name="11.4" dataDxfId="69">
      <calculatedColumnFormula>SUMIF(RAW_DEATHS!$B:$B,Tabelle28[[#This Row],[Country/Region]],RAW_DEATHS!CE:CE)</calculatedColumnFormula>
    </tableColumn>
    <tableColumn id="83" xr3:uid="{86D43399-2F22-4D7F-9635-A0551CD5999C}" name="12.4" dataDxfId="68">
      <calculatedColumnFormula>SUMIF(RAW_DEATHS!$B:$B,Tabelle28[[#This Row],[Country/Region]],RAW_DEATHS!CF:CF)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B8A9A3A-2EFB-45FF-86B9-96ADE143E964}" name="Tabelle289" displayName="Tabelle289" ref="A32:CE39" totalsRowShown="0" headerRowDxfId="319" dataDxfId="317" headerRowBorderDxfId="318" tableBorderDxfId="316" totalsRowBorderDxfId="315">
  <autoFilter ref="A32:CE39" xr:uid="{6C98DDCA-7971-4F79-ABF6-0C1E4F39B536}"/>
  <tableColumns count="83">
    <tableColumn id="2" xr3:uid="{88AB28EB-6A99-4362-9C5F-F38AE633C068}" name="Country/Region" dataDxfId="314">
      <calculatedColumnFormula>IF(ISBLANK(A22),"",A22)</calculatedColumnFormula>
    </tableColumn>
    <tableColumn id="3" xr3:uid="{90BE727C-9533-4BD1-9376-553167238EC0}" name="22.1" dataDxfId="313">
      <calculatedColumnFormula>SUMIF(RAW_RECOVERED!$B:$B,Tabelle289[[#This Row],[Country/Region]],RAW_RECOVERED!C:C)</calculatedColumnFormula>
    </tableColumn>
    <tableColumn id="4" xr3:uid="{7D49603C-9971-4DE8-8124-3E77E751200D}" name="23.1" dataDxfId="312">
      <calculatedColumnFormula>SUMIF(RAW_RECOVERED!$B:$B,Tabelle289[[#This Row],[Country/Region]],RAW_RECOVERED!D:D)</calculatedColumnFormula>
    </tableColumn>
    <tableColumn id="5" xr3:uid="{36FD2100-2C0A-4791-9B61-B55F76465082}" name="24.1" dataDxfId="311">
      <calculatedColumnFormula>SUMIF(RAW_RECOVERED!$B:$B,Tabelle289[[#This Row],[Country/Region]],RAW_RECOVERED!E:E)</calculatedColumnFormula>
    </tableColumn>
    <tableColumn id="6" xr3:uid="{BC6CE168-F95B-4962-AB8C-09CE19C9A0BA}" name="25.1" dataDxfId="310">
      <calculatedColumnFormula>SUMIF(RAW_RECOVERED!$B:$B,Tabelle289[[#This Row],[Country/Region]],RAW_RECOVERED!F:F)</calculatedColumnFormula>
    </tableColumn>
    <tableColumn id="7" xr3:uid="{98D9D321-9FED-4D83-AF96-392F3DC05EE9}" name="26.1" dataDxfId="309">
      <calculatedColumnFormula>SUMIF(RAW_RECOVERED!$B:$B,Tabelle289[[#This Row],[Country/Region]],RAW_RECOVERED!G:G)</calculatedColumnFormula>
    </tableColumn>
    <tableColumn id="8" xr3:uid="{4B6A915D-8604-41F1-9BB5-75FE15C7D019}" name="27.1" dataDxfId="308">
      <calculatedColumnFormula>SUMIF(RAW_RECOVERED!$B:$B,Tabelle289[[#This Row],[Country/Region]],RAW_RECOVERED!H:H)</calculatedColumnFormula>
    </tableColumn>
    <tableColumn id="9" xr3:uid="{ACE8102E-118F-43CD-91A1-21426F9CBA4B}" name="28.1" dataDxfId="307">
      <calculatedColumnFormula>SUMIF(RAW_RECOVERED!$B:$B,Tabelle289[[#This Row],[Country/Region]],RAW_RECOVERED!I:I)</calculatedColumnFormula>
    </tableColumn>
    <tableColumn id="10" xr3:uid="{A110F14D-B7D8-419F-BDA0-330C6407BE37}" name="29.1" dataDxfId="306">
      <calculatedColumnFormula>SUMIF(RAW_RECOVERED!$B:$B,Tabelle289[[#This Row],[Country/Region]],RAW_RECOVERED!J:J)</calculatedColumnFormula>
    </tableColumn>
    <tableColumn id="11" xr3:uid="{23E2FFFF-456C-4560-B7A3-C2E52EF4ACEA}" name="30.1" dataDxfId="305">
      <calculatedColumnFormula>SUMIF(RAW_RECOVERED!$B:$B,Tabelle289[[#This Row],[Country/Region]],RAW_RECOVERED!K:K)</calculatedColumnFormula>
    </tableColumn>
    <tableColumn id="12" xr3:uid="{DBF61881-C471-4CF7-B191-4DD5D8D9F68C}" name="31.1" dataDxfId="304">
      <calculatedColumnFormula>SUMIF(RAW_RECOVERED!$B:$B,Tabelle289[[#This Row],[Country/Region]],RAW_RECOVERED!L:L)</calculatedColumnFormula>
    </tableColumn>
    <tableColumn id="13" xr3:uid="{60ADAE47-0C7E-4DC2-9DD3-F7456DCDB252}" name="1.2" dataDxfId="303">
      <calculatedColumnFormula>SUMIF(RAW_RECOVERED!$B:$B,Tabelle289[[#This Row],[Country/Region]],RAW_RECOVERED!M:M)</calculatedColumnFormula>
    </tableColumn>
    <tableColumn id="14" xr3:uid="{66CFE482-9541-4744-B9C4-A53A84124D6C}" name="2.2" dataDxfId="302">
      <calculatedColumnFormula>SUMIF(RAW_RECOVERED!$B:$B,Tabelle289[[#This Row],[Country/Region]],RAW_RECOVERED!N:N)</calculatedColumnFormula>
    </tableColumn>
    <tableColumn id="15" xr3:uid="{6CC4ACEB-BD6D-4164-AF6C-64291CCBE8A1}" name="3.2" dataDxfId="301">
      <calculatedColumnFormula>SUMIF(RAW_RECOVERED!$B:$B,Tabelle289[[#This Row],[Country/Region]],RAW_RECOVERED!O:O)</calculatedColumnFormula>
    </tableColumn>
    <tableColumn id="16" xr3:uid="{55245ED9-4E7B-47C0-9584-98E8E72FDE78}" name="4.2" dataDxfId="300">
      <calculatedColumnFormula>SUMIF(RAW_RECOVERED!$B:$B,Tabelle289[[#This Row],[Country/Region]],RAW_RECOVERED!P:P)</calculatedColumnFormula>
    </tableColumn>
    <tableColumn id="17" xr3:uid="{21F6CC89-3FA9-4BA8-B2DA-618E0EDE7FD7}" name="5.2" dataDxfId="299">
      <calculatedColumnFormula>SUMIF(RAW_RECOVERED!$B:$B,Tabelle289[[#This Row],[Country/Region]],RAW_RECOVERED!Q:Q)</calculatedColumnFormula>
    </tableColumn>
    <tableColumn id="18" xr3:uid="{1E8AEBF4-49D0-4B9A-AFBA-7EFE7FB2528F}" name="6.2" dataDxfId="298">
      <calculatedColumnFormula>SUMIF(RAW_RECOVERED!$B:$B,Tabelle289[[#This Row],[Country/Region]],RAW_RECOVERED!R:R)</calculatedColumnFormula>
    </tableColumn>
    <tableColumn id="19" xr3:uid="{337D9115-F326-4797-9B29-65F55A93170B}" name="7.2" dataDxfId="297">
      <calculatedColumnFormula>SUMIF(RAW_RECOVERED!$B:$B,Tabelle289[[#This Row],[Country/Region]],RAW_RECOVERED!S:S)</calculatedColumnFormula>
    </tableColumn>
    <tableColumn id="20" xr3:uid="{53C31F3B-E0F5-439A-9AFB-C2F4C52EE4E4}" name="8.2" dataDxfId="296">
      <calculatedColumnFormula>SUMIF(RAW_RECOVERED!$B:$B,Tabelle289[[#This Row],[Country/Region]],RAW_RECOVERED!T:T)</calculatedColumnFormula>
    </tableColumn>
    <tableColumn id="21" xr3:uid="{69BD5044-B4F4-4D57-9549-77FD4EBFEEF6}" name="9.2" dataDxfId="295">
      <calculatedColumnFormula>SUMIF(RAW_RECOVERED!$B:$B,Tabelle289[[#This Row],[Country/Region]],RAW_RECOVERED!U:U)</calculatedColumnFormula>
    </tableColumn>
    <tableColumn id="22" xr3:uid="{ACBDF14D-900E-476E-A24E-D2E2EC39CD07}" name="10.2" dataDxfId="294">
      <calculatedColumnFormula>SUMIF(RAW_RECOVERED!$B:$B,Tabelle289[[#This Row],[Country/Region]],RAW_RECOVERED!V:V)</calculatedColumnFormula>
    </tableColumn>
    <tableColumn id="23" xr3:uid="{589416F3-BEFC-466E-A468-942FA1E8DF6B}" name="11.2" dataDxfId="293">
      <calculatedColumnFormula>SUMIF(RAW_RECOVERED!$B:$B,Tabelle289[[#This Row],[Country/Region]],RAW_RECOVERED!W:W)</calculatedColumnFormula>
    </tableColumn>
    <tableColumn id="24" xr3:uid="{984C7DA7-59F9-46EB-8415-71AFD6ED9927}" name="12.2" dataDxfId="292">
      <calculatedColumnFormula>SUMIF(RAW_RECOVERED!$B:$B,Tabelle289[[#This Row],[Country/Region]],RAW_RECOVERED!X:X)</calculatedColumnFormula>
    </tableColumn>
    <tableColumn id="25" xr3:uid="{48C8CF82-A314-4FFD-92D8-935827EB8176}" name="13.2" dataDxfId="291">
      <calculatedColumnFormula>SUMIF(RAW_RECOVERED!$B:$B,Tabelle289[[#This Row],[Country/Region]],RAW_RECOVERED!Y:Y)</calculatedColumnFormula>
    </tableColumn>
    <tableColumn id="26" xr3:uid="{475F3C92-02AC-4B0F-9BCE-8D0092D398BB}" name="14.2" dataDxfId="290">
      <calculatedColumnFormula>SUMIF(RAW_RECOVERED!$B:$B,Tabelle289[[#This Row],[Country/Region]],RAW_RECOVERED!Z:Z)</calculatedColumnFormula>
    </tableColumn>
    <tableColumn id="27" xr3:uid="{A77036CC-AD7A-4300-ACC8-36EF5F0B9E22}" name="15.2" dataDxfId="289">
      <calculatedColumnFormula>SUMIF(RAW_RECOVERED!$B:$B,Tabelle289[[#This Row],[Country/Region]],RAW_RECOVERED!AA:AA)</calculatedColumnFormula>
    </tableColumn>
    <tableColumn id="28" xr3:uid="{8410960C-58D3-4702-8D61-DCA825CDF623}" name="16.2" dataDxfId="288">
      <calculatedColumnFormula>SUMIF(RAW_RECOVERED!$B:$B,Tabelle289[[#This Row],[Country/Region]],RAW_RECOVERED!AB:AB)</calculatedColumnFormula>
    </tableColumn>
    <tableColumn id="29" xr3:uid="{F3FB2D63-F8FC-46FC-9D87-124EBA6D9F0D}" name="17.2" dataDxfId="287">
      <calculatedColumnFormula>SUMIF(RAW_RECOVERED!$B:$B,Tabelle289[[#This Row],[Country/Region]],RAW_RECOVERED!AC:AC)</calculatedColumnFormula>
    </tableColumn>
    <tableColumn id="30" xr3:uid="{6F20A026-13C4-4DA7-B595-C69F2F1991E3}" name="18.2" dataDxfId="286">
      <calculatedColumnFormula>SUMIF(RAW_RECOVERED!$B:$B,Tabelle289[[#This Row],[Country/Region]],RAW_RECOVERED!AD:AD)</calculatedColumnFormula>
    </tableColumn>
    <tableColumn id="31" xr3:uid="{7BFF5209-487C-4126-B489-9761B6E49671}" name="19.2" dataDxfId="285">
      <calculatedColumnFormula>SUMIF(RAW_RECOVERED!$B:$B,Tabelle289[[#This Row],[Country/Region]],RAW_RECOVERED!AE:AE)</calculatedColumnFormula>
    </tableColumn>
    <tableColumn id="32" xr3:uid="{9D0E888C-4EED-4230-8603-EE26450A4B42}" name="20.2" dataDxfId="284">
      <calculatedColumnFormula>SUMIF(RAW_RECOVERED!$B:$B,Tabelle289[[#This Row],[Country/Region]],RAW_RECOVERED!AF:AF)</calculatedColumnFormula>
    </tableColumn>
    <tableColumn id="33" xr3:uid="{2E5EFFDA-0379-40FE-926B-6D2ADA88C6F6}" name="21.2" dataDxfId="283">
      <calculatedColumnFormula>SUMIF(RAW_RECOVERED!$B:$B,Tabelle289[[#This Row],[Country/Region]],RAW_RECOVERED!AG:AG)</calculatedColumnFormula>
    </tableColumn>
    <tableColumn id="34" xr3:uid="{36647928-02BA-4200-8727-4DA28DB248AA}" name="22.2" dataDxfId="282">
      <calculatedColumnFormula>SUMIF(RAW_RECOVERED!$B:$B,Tabelle289[[#This Row],[Country/Region]],RAW_RECOVERED!AH:AH)</calculatedColumnFormula>
    </tableColumn>
    <tableColumn id="35" xr3:uid="{1592F4A9-8CD3-46BA-8852-469CC4168526}" name="23.2" dataDxfId="281">
      <calculatedColumnFormula>SUMIF(RAW_RECOVERED!$B:$B,Tabelle289[[#This Row],[Country/Region]],RAW_RECOVERED!AI:AI)</calculatedColumnFormula>
    </tableColumn>
    <tableColumn id="36" xr3:uid="{F84EC5D0-60EC-48A0-9C30-FE60E0169F7A}" name="24.2" dataDxfId="280">
      <calculatedColumnFormula>SUMIF(RAW_RECOVERED!$B:$B,Tabelle289[[#This Row],[Country/Region]],RAW_RECOVERED!AJ:AJ)</calculatedColumnFormula>
    </tableColumn>
    <tableColumn id="37" xr3:uid="{C205CD95-1048-4FFF-B9AD-6DAEB1E8E1CA}" name="25.2" dataDxfId="279">
      <calculatedColumnFormula>SUMIF(RAW_RECOVERED!$B:$B,Tabelle289[[#This Row],[Country/Region]],RAW_RECOVERED!AK:AK)</calculatedColumnFormula>
    </tableColumn>
    <tableColumn id="38" xr3:uid="{064763C5-9418-457D-9AF4-0C2CDB89464B}" name="26.2" dataDxfId="278">
      <calculatedColumnFormula>SUMIF(RAW_RECOVERED!$B:$B,Tabelle289[[#This Row],[Country/Region]],RAW_RECOVERED!AL:AL)</calculatedColumnFormula>
    </tableColumn>
    <tableColumn id="39" xr3:uid="{9D93DBB9-5A83-478C-AC7E-17F9B703F6EA}" name="27.2" dataDxfId="277">
      <calculatedColumnFormula>SUMIF(RAW_RECOVERED!$B:$B,Tabelle289[[#This Row],[Country/Region]],RAW_RECOVERED!AM:AM)</calculatedColumnFormula>
    </tableColumn>
    <tableColumn id="40" xr3:uid="{24E3E392-B8DB-4A8B-9719-CC93070DB7EB}" name="28.2" dataDxfId="276">
      <calculatedColumnFormula>SUMIF(RAW_RECOVERED!$B:$B,Tabelle289[[#This Row],[Country/Region]],RAW_RECOVERED!AN:AN)</calculatedColumnFormula>
    </tableColumn>
    <tableColumn id="41" xr3:uid="{0A7ABA6B-627E-468A-8552-B2A543F5EDC5}" name="29.2" dataDxfId="275">
      <calculatedColumnFormula>SUMIF(RAW_RECOVERED!$B:$B,Tabelle289[[#This Row],[Country/Region]],RAW_RECOVERED!AO:AO)</calculatedColumnFormula>
    </tableColumn>
    <tableColumn id="42" xr3:uid="{CC62D3C1-4132-4A59-985C-0D0B960D021F}" name="1.3" dataDxfId="274">
      <calculatedColumnFormula>SUMIF(RAW_RECOVERED!$B:$B,Tabelle289[[#This Row],[Country/Region]],RAW_RECOVERED!AP:AP)</calculatedColumnFormula>
    </tableColumn>
    <tableColumn id="43" xr3:uid="{F393C3E1-16A6-468F-B52D-3363C2D7ACDB}" name="2.3" dataDxfId="273">
      <calculatedColumnFormula>SUMIF(RAW_RECOVERED!$B:$B,Tabelle289[[#This Row],[Country/Region]],RAW_RECOVERED!AQ:AQ)</calculatedColumnFormula>
    </tableColumn>
    <tableColumn id="44" xr3:uid="{1297B883-4AC9-4DBF-93B5-6CEF1F67E12F}" name="3.3" dataDxfId="272">
      <calculatedColumnFormula>SUMIF(RAW_RECOVERED!$B:$B,Tabelle289[[#This Row],[Country/Region]],RAW_RECOVERED!AR:AR)</calculatedColumnFormula>
    </tableColumn>
    <tableColumn id="45" xr3:uid="{CDED8757-B3A3-4381-BBAC-8760ED5EF08D}" name="4.3" dataDxfId="271">
      <calculatedColumnFormula>SUMIF(RAW_RECOVERED!$B:$B,Tabelle289[[#This Row],[Country/Region]],RAW_RECOVERED!AS:AS)</calculatedColumnFormula>
    </tableColumn>
    <tableColumn id="46" xr3:uid="{EF9AC2B1-479D-4298-96F9-597C63EDECF1}" name="5.3" dataDxfId="270">
      <calculatedColumnFormula>SUMIF(RAW_RECOVERED!$B:$B,Tabelle289[[#This Row],[Country/Region]],RAW_RECOVERED!AT:AT)</calculatedColumnFormula>
    </tableColumn>
    <tableColumn id="47" xr3:uid="{21B3659B-57CD-456A-B23E-06E6A6B82EEF}" name="6.3" dataDxfId="269">
      <calculatedColumnFormula>SUMIF(RAW_RECOVERED!$B:$B,Tabelle289[[#This Row],[Country/Region]],RAW_RECOVERED!AU:AU)</calculatedColumnFormula>
    </tableColumn>
    <tableColumn id="48" xr3:uid="{AAB0B237-ED9A-411F-A64B-E2F50C410719}" name="7.3" dataDxfId="268">
      <calculatedColumnFormula>SUMIF(RAW_RECOVERED!$B:$B,Tabelle289[[#This Row],[Country/Region]],RAW_RECOVERED!AV:AV)</calculatedColumnFormula>
    </tableColumn>
    <tableColumn id="49" xr3:uid="{690FEDC8-7C98-4C44-AFDC-C927CAF962F5}" name="8.3" dataDxfId="267">
      <calculatedColumnFormula>SUMIF(RAW_RECOVERED!$B:$B,Tabelle289[[#This Row],[Country/Region]],RAW_RECOVERED!AW:AW)</calculatedColumnFormula>
    </tableColumn>
    <tableColumn id="50" xr3:uid="{30AF0795-352E-40EC-B50A-89D9B11359E9}" name="9.3" dataDxfId="266">
      <calculatedColumnFormula>SUMIF(RAW_RECOVERED!$B:$B,Tabelle289[[#This Row],[Country/Region]],RAW_RECOVERED!AX:AX)</calculatedColumnFormula>
    </tableColumn>
    <tableColumn id="51" xr3:uid="{AF58394F-9675-4ED3-BE00-905F20BDF515}" name="10.3" dataDxfId="265">
      <calculatedColumnFormula>SUMIF(RAW_RECOVERED!$B:$B,Tabelle289[[#This Row],[Country/Region]],RAW_RECOVERED!AY:AY)</calculatedColumnFormula>
    </tableColumn>
    <tableColumn id="52" xr3:uid="{2F7C7F04-118B-4461-A75B-D526C7BFD539}" name="11.3" dataDxfId="264">
      <calculatedColumnFormula>SUMIF(RAW_RECOVERED!$B:$B,Tabelle289[[#This Row],[Country/Region]],RAW_RECOVERED!AZ:AZ)</calculatedColumnFormula>
    </tableColumn>
    <tableColumn id="53" xr3:uid="{E7FEA2AE-1C87-4F90-8835-27BB3E70C676}" name="12.3" dataDxfId="263">
      <calculatedColumnFormula>SUMIF(RAW_RECOVERED!$B:$B,Tabelle289[[#This Row],[Country/Region]],RAW_RECOVERED!BA:BA)</calculatedColumnFormula>
    </tableColumn>
    <tableColumn id="54" xr3:uid="{93F32828-144E-453D-864D-9F1A8B1E5DBA}" name="13.3" dataDxfId="262">
      <calculatedColumnFormula>SUMIF(RAW_RECOVERED!$B:$B,Tabelle289[[#This Row],[Country/Region]],RAW_RECOVERED!BB:BB)</calculatedColumnFormula>
    </tableColumn>
    <tableColumn id="55" xr3:uid="{CBB41D50-311E-47A8-947C-5B540F17FC78}" name="14.3" dataDxfId="261">
      <calculatedColumnFormula>SUMIF(RAW_RECOVERED!$B:$B,Tabelle289[[#This Row],[Country/Region]],RAW_RECOVERED!BC:BC)</calculatedColumnFormula>
    </tableColumn>
    <tableColumn id="56" xr3:uid="{46E27493-8B78-40CF-A65D-8321DC46B7D9}" name="15.3" dataDxfId="260">
      <calculatedColumnFormula>SUMIF(RAW_RECOVERED!$B:$B,Tabelle289[[#This Row],[Country/Region]],RAW_RECOVERED!BD:BD)</calculatedColumnFormula>
    </tableColumn>
    <tableColumn id="57" xr3:uid="{DE8A77B5-1111-42C2-B68C-361F57A6DD01}" name="16.3" dataDxfId="259">
      <calculatedColumnFormula>SUMIF(RAW_RECOVERED!$B:$B,Tabelle289[[#This Row],[Country/Region]],RAW_RECOVERED!BE:BE)</calculatedColumnFormula>
    </tableColumn>
    <tableColumn id="58" xr3:uid="{C9D587CF-DF56-47A1-8292-F7437BF79AED}" name="17.3" dataDxfId="258">
      <calculatedColumnFormula>SUMIF(RAW_RECOVERED!$B:$B,Tabelle289[[#This Row],[Country/Region]],RAW_RECOVERED!BF:BF)</calculatedColumnFormula>
    </tableColumn>
    <tableColumn id="59" xr3:uid="{5E869B92-9A9C-48F5-8377-59217E2596E9}" name="18.3" dataDxfId="257">
      <calculatedColumnFormula>SUMIF(RAW_RECOVERED!$B:$B,Tabelle289[[#This Row],[Country/Region]],RAW_RECOVERED!BG:BG)</calculatedColumnFormula>
    </tableColumn>
    <tableColumn id="60" xr3:uid="{0CFA360E-3CF4-4F66-96D6-2C82A3A99018}" name="19.3" dataDxfId="256">
      <calculatedColumnFormula>SUMIF(RAW_RECOVERED!$B:$B,Tabelle289[[#This Row],[Country/Region]],RAW_RECOVERED!BH:BH)</calculatedColumnFormula>
    </tableColumn>
    <tableColumn id="61" xr3:uid="{314C4BC1-EC2F-4C38-A40F-7AD990416C9D}" name="20.3" dataDxfId="255">
      <calculatedColumnFormula>SUMIF(RAW_RECOVERED!$B:$B,Tabelle289[[#This Row],[Country/Region]],RAW_RECOVERED!BI:BI)</calculatedColumnFormula>
    </tableColumn>
    <tableColumn id="62" xr3:uid="{8CAD326C-BAF1-414A-9500-01EB8E570C47}" name="21.3" dataDxfId="254">
      <calculatedColumnFormula>SUMIF(RAW_RECOVERED!$B:$B,Tabelle289[[#This Row],[Country/Region]],RAW_RECOVERED!BJ:BJ)</calculatedColumnFormula>
    </tableColumn>
    <tableColumn id="72" xr3:uid="{4036B6F4-CF6A-4F5B-9933-087F938167EE}" name="22.3" dataDxfId="253">
      <calculatedColumnFormula>SUMIF(RAW_RECOVERED!$B:$B,Tabelle289[[#This Row],[Country/Region]],RAW_RECOVERED!BK:BK)</calculatedColumnFormula>
    </tableColumn>
    <tableColumn id="1" xr3:uid="{B4B22A01-F8C2-4F1D-A169-6160E2D00E3E}" name="23.3" dataDxfId="252">
      <calculatedColumnFormula>SUMIF(RAW_RECOVERED!$B:$B,Tabelle289[[#This Row],[Country/Region]],RAW_RECOVERED!BL:BL)</calculatedColumnFormula>
    </tableColumn>
    <tableColumn id="63" xr3:uid="{0BCBF29A-7C75-47C7-BFA0-F08BA197BA16}" name="24.3" dataDxfId="251">
      <calculatedColumnFormula>SUMIF(RAW_RECOVERED!$B:$B,Tabelle289[[#This Row],[Country/Region]],RAW_RECOVERED!BM:BM)</calculatedColumnFormula>
    </tableColumn>
    <tableColumn id="64" xr3:uid="{D1604A77-DE7E-4F6B-A3BA-FE14DD532196}" name="25.3" dataDxfId="250">
      <calculatedColumnFormula>SUMIF(RAW_RECOVERED!$B:$B,Tabelle289[[#This Row],[Country/Region]],RAW_RECOVERED!BN:BN)</calculatedColumnFormula>
    </tableColumn>
    <tableColumn id="65" xr3:uid="{919D0F08-8424-4C0B-A29C-A106AAD64491}" name="26.3" dataDxfId="249">
      <calculatedColumnFormula>SUMIF(RAW_RECOVERED!$B:$B,Tabelle289[[#This Row],[Country/Region]],RAW_RECOVERED!BO:BO)</calculatedColumnFormula>
    </tableColumn>
    <tableColumn id="66" xr3:uid="{114BA22E-FA76-44C2-86E4-49E9F4404D6B}" name="27.3" dataDxfId="248">
      <calculatedColumnFormula>SUMIF(RAW_RECOVERED!$B:$B,Tabelle289[[#This Row],[Country/Region]],RAW_RECOVERED!BP:BP)</calculatedColumnFormula>
    </tableColumn>
    <tableColumn id="67" xr3:uid="{1D03E61E-BC3E-4002-8B71-7BBA535D09A8}" name="28.3" dataDxfId="247">
      <calculatedColumnFormula>SUMIF(RAW_RECOVERED!$B:$B,Tabelle289[[#This Row],[Country/Region]],RAW_RECOVERED!BQ:BQ)</calculatedColumnFormula>
    </tableColumn>
    <tableColumn id="68" xr3:uid="{8B9F50A5-9A53-4BC1-A059-EB84025091B4}" name="29.3" dataDxfId="246">
      <calculatedColumnFormula>SUMIF(RAW_RECOVERED!$B:$B,Tabelle289[[#This Row],[Country/Region]],RAW_RECOVERED!BR:BR)</calculatedColumnFormula>
    </tableColumn>
    <tableColumn id="69" xr3:uid="{C28C2217-E833-43B2-B2CD-265894D55B49}" name="30.3" dataDxfId="245">
      <calculatedColumnFormula>SUMIF(RAW_RECOVERED!$B:$B,Tabelle289[[#This Row],[Country/Region]],RAW_RECOVERED!BS:BS)</calculatedColumnFormula>
    </tableColumn>
    <tableColumn id="70" xr3:uid="{1E41A68B-9717-443E-96F4-6C6429878873}" name="31.3" dataDxfId="244">
      <calculatedColumnFormula>SUMIF(RAW_RECOVERED!$B:$B,Tabelle289[[#This Row],[Country/Region]],RAW_RECOVERED!BT:BT)</calculatedColumnFormula>
    </tableColumn>
    <tableColumn id="71" xr3:uid="{761EDBCE-1193-4A77-B245-CA897527DA46}" name="1.4" dataDxfId="243">
      <calculatedColumnFormula>SUMIF(RAW_RECOVERED!$B:$B,Tabelle289[[#This Row],[Country/Region]],RAW_RECOVERED!BU:BU)</calculatedColumnFormula>
    </tableColumn>
    <tableColumn id="73" xr3:uid="{99B2CA00-C327-4425-B759-7E5CAFD681E3}" name="2.4" dataDxfId="242">
      <calculatedColumnFormula>SUMIF(RAW_RECOVERED!$B:$B,Tabelle289[[#This Row],[Country/Region]],RAW_RECOVERED!BV:BV)</calculatedColumnFormula>
    </tableColumn>
    <tableColumn id="74" xr3:uid="{44B3D655-805A-442E-B64F-BD6C68ED2A2A}" name="3.4" dataDxfId="241">
      <calculatedColumnFormula>SUMIF(RAW_RECOVERED!$B:$B,Tabelle289[[#This Row],[Country/Region]],RAW_RECOVERED!BW:BW)</calculatedColumnFormula>
    </tableColumn>
    <tableColumn id="75" xr3:uid="{34F743B1-0C25-4F59-A51B-1AA081C844AE}" name="4.4" dataDxfId="240">
      <calculatedColumnFormula>SUMIF(RAW_RECOVERED!$B:$B,Tabelle289[[#This Row],[Country/Region]],RAW_RECOVERED!BX:BX)</calculatedColumnFormula>
    </tableColumn>
    <tableColumn id="76" xr3:uid="{63FC194D-57A6-441F-BC66-A02994716FF6}" name="5.4" dataDxfId="239">
      <calculatedColumnFormula>SUMIF(RAW_RECOVERED!$B:$B,Tabelle289[[#This Row],[Country/Region]],RAW_RECOVERED!BY:BY)</calculatedColumnFormula>
    </tableColumn>
    <tableColumn id="77" xr3:uid="{1F720840-066E-4345-AC39-40345D454FE3}" name="6.4" dataDxfId="238">
      <calculatedColumnFormula>SUMIF(RAW_RECOVERED!$B:$B,Tabelle289[[#This Row],[Country/Region]],RAW_RECOVERED!BZ:BZ)</calculatedColumnFormula>
    </tableColumn>
    <tableColumn id="78" xr3:uid="{A90B4D76-388C-4378-AEE0-DA281714C6D7}" name="7.4" dataDxfId="237">
      <calculatedColumnFormula>SUMIF(RAW_RECOVERED!$B:$B,Tabelle289[[#This Row],[Country/Region]],RAW_RECOVERED!CA:CA)</calculatedColumnFormula>
    </tableColumn>
    <tableColumn id="79" xr3:uid="{B9AC97AD-5789-419B-A057-6AEC53087D49}" name="8.4" dataDxfId="236">
      <calculatedColumnFormula>SUMIF(RAW_RECOVERED!$B:$B,Tabelle289[[#This Row],[Country/Region]],RAW_RECOVERED!CB:CB)</calculatedColumnFormula>
    </tableColumn>
    <tableColumn id="80" xr3:uid="{78867786-8960-4EB1-AD70-52F3F628D64E}" name="9.4" dataDxfId="235">
      <calculatedColumnFormula>SUMIF(RAW_RECOVERED!$B:$B,Tabelle289[[#This Row],[Country/Region]],RAW_RECOVERED!CC:CC)</calculatedColumnFormula>
    </tableColumn>
    <tableColumn id="81" xr3:uid="{C7BA93F1-3DCB-4D11-8702-9649D755BCC7}" name="10.4" dataDxfId="234">
      <calculatedColumnFormula>SUMIF(RAW_RECOVERED!$B:$B,Tabelle289[[#This Row],[Country/Region]],RAW_RECOVERED!CD:CD)</calculatedColumnFormula>
    </tableColumn>
    <tableColumn id="82" xr3:uid="{F6557F06-CDE3-4A15-B486-02531A9B8203}" name="11.4" dataDxfId="233">
      <calculatedColumnFormula>SUMIF(RAW_RECOVERED!$B:$B,Tabelle289[[#This Row],[Country/Region]],RAW_RECOVERED!CE:CE)</calculatedColumnFormula>
    </tableColumn>
    <tableColumn id="83" xr3:uid="{1F5181E8-51C3-4234-8279-074FD92B999B}" name="12.4" dataDxfId="232">
      <calculatedColumnFormula>SUMIF(RAW_RECOVERED!$B:$B,Tabelle289[[#This Row],[Country/Region]],RAW_RECOVERED!CF:CF)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311DCD-4ADA-4BFE-8F77-1B7D99F3E4EC}" name="time_series_19_covid_Confirmed" displayName="time_series_19_covid_Confirmed" ref="A1:BL239" tableType="queryTable" totalsRowShown="0">
  <autoFilter ref="A1:BL239" xr:uid="{2392CF0B-C000-4089-9A21-F7907BA7F5A7}"/>
  <tableColumns count="64">
    <tableColumn id="64" xr3:uid="{CC7ED002-E8B8-4628-9716-B57A526D322E}" uniqueName="64" name="Province/State" queryTableFieldId="1" dataDxfId="63"/>
    <tableColumn id="2" xr3:uid="{F57CB40F-2DAE-4B9B-A175-11FD2F4F63FE}" uniqueName="2" name="Country/Region" queryTableFieldId="2" dataDxfId="62"/>
    <tableColumn id="3" xr3:uid="{5F5A8C8C-B057-48DA-A9C4-0125555A7BCB}" uniqueName="3" name="1/22/20" queryTableFieldId="3" dataDxfId="61"/>
    <tableColumn id="4" xr3:uid="{A7F002D5-62BF-487B-8EE8-09939158D80A}" uniqueName="4" name="1/23/20" queryTableFieldId="4" dataDxfId="60"/>
    <tableColumn id="5" xr3:uid="{82331CE5-1F36-42C7-B70D-29734DEA8114}" uniqueName="5" name="1/24/20" queryTableFieldId="5" dataDxfId="59"/>
    <tableColumn id="6" xr3:uid="{213329B1-B7CC-4D8E-8C9E-A926B01EB84D}" uniqueName="6" name="1/25/20" queryTableFieldId="6" dataDxfId="58"/>
    <tableColumn id="7" xr3:uid="{98E349B9-C38A-4C0C-8EE4-AE1A7C060DB0}" uniqueName="7" name="1/26/20" queryTableFieldId="7" dataDxfId="57"/>
    <tableColumn id="8" xr3:uid="{E5100F9A-1782-442C-887E-0ACCC17D89B1}" uniqueName="8" name="1/27/20" queryTableFieldId="8" dataDxfId="56"/>
    <tableColumn id="9" xr3:uid="{E13352EE-C4CF-4BA0-9ABF-25AAD2FBC52F}" uniqueName="9" name="1/28/20" queryTableFieldId="9" dataDxfId="55"/>
    <tableColumn id="10" xr3:uid="{474F0C8D-DD5A-4906-97FD-AC1EB065AC02}" uniqueName="10" name="1/29/20" queryTableFieldId="10" dataDxfId="54"/>
    <tableColumn id="11" xr3:uid="{0DD0D69A-C2BE-4374-B012-CFA8325E22EF}" uniqueName="11" name="1/30/20" queryTableFieldId="11" dataDxfId="53"/>
    <tableColumn id="12" xr3:uid="{A59D058C-16ED-4E00-BC69-3B0BF8F2D165}" uniqueName="12" name="1/31/20" queryTableFieldId="12" dataDxfId="52"/>
    <tableColumn id="13" xr3:uid="{BD928A11-5E32-4558-A30E-529FEC2E85AF}" uniqueName="13" name="2/1/20" queryTableFieldId="13" dataDxfId="51"/>
    <tableColumn id="14" xr3:uid="{1230F4E9-E575-436A-97C6-3BDE9B23DD18}" uniqueName="14" name="2/2/20" queryTableFieldId="14" dataDxfId="50"/>
    <tableColumn id="15" xr3:uid="{A4D29B98-0B59-46F6-B4A2-E81EBED5F0EB}" uniqueName="15" name="2/3/20" queryTableFieldId="15" dataDxfId="49"/>
    <tableColumn id="16" xr3:uid="{267B624F-7135-41FD-8698-C86E1D2691FC}" uniqueName="16" name="2/4/20" queryTableFieldId="16" dataDxfId="48"/>
    <tableColumn id="17" xr3:uid="{EC4E3452-6D3B-4E2A-AA88-D0B02DB2FBA1}" uniqueName="17" name="2/5/20" queryTableFieldId="17" dataDxfId="47"/>
    <tableColumn id="18" xr3:uid="{95F074E2-77C1-4605-987C-B0F1ADE107F7}" uniqueName="18" name="2/6/20" queryTableFieldId="18" dataDxfId="46"/>
    <tableColumn id="19" xr3:uid="{DF2A37FC-EEC6-47A1-A963-79B727B2FD3D}" uniqueName="19" name="2/7/20" queryTableFieldId="19" dataDxfId="45"/>
    <tableColumn id="20" xr3:uid="{EFF219C1-BE52-4D6E-AEE2-560C67A77B50}" uniqueName="20" name="2/8/20" queryTableFieldId="20" dataDxfId="44"/>
    <tableColumn id="21" xr3:uid="{E4E1239D-9063-401A-B809-2D151B2F662D}" uniqueName="21" name="2/9/20" queryTableFieldId="21" dataDxfId="43"/>
    <tableColumn id="22" xr3:uid="{B772CAB9-13E9-45EB-AD62-77C56536FAF8}" uniqueName="22" name="2/10/20" queryTableFieldId="22" dataDxfId="42"/>
    <tableColumn id="23" xr3:uid="{DA4771E3-04F4-4875-98CC-4A451469A717}" uniqueName="23" name="2/11/20" queryTableFieldId="23" dataDxfId="41"/>
    <tableColumn id="24" xr3:uid="{972CC341-AE6B-41DB-85CC-E797A73002A3}" uniqueName="24" name="2/12/20" queryTableFieldId="24" dataDxfId="40"/>
    <tableColumn id="25" xr3:uid="{962502C8-5673-4880-BBF6-A643D67BCF51}" uniqueName="25" name="2/13/20" queryTableFieldId="25" dataDxfId="39"/>
    <tableColumn id="26" xr3:uid="{FCE547B0-C386-459A-81DD-350DA96DB869}" uniqueName="26" name="2/14/20" queryTableFieldId="26" dataDxfId="38"/>
    <tableColumn id="27" xr3:uid="{B3ECAAA6-701F-4937-B364-F05BB3544FDC}" uniqueName="27" name="2/15/20" queryTableFieldId="27" dataDxfId="37"/>
    <tableColumn id="28" xr3:uid="{F2193EA7-723D-4EE0-9092-84E3F137F267}" uniqueName="28" name="2/16/20" queryTableFieldId="28" dataDxfId="36"/>
    <tableColumn id="29" xr3:uid="{33F6BBE6-5F52-429F-B77C-5B84116B5102}" uniqueName="29" name="2/17/20" queryTableFieldId="29" dataDxfId="35"/>
    <tableColumn id="30" xr3:uid="{E9AD6E92-683B-4795-B2B3-607119B621CD}" uniqueName="30" name="2/18/20" queryTableFieldId="30" dataDxfId="34"/>
    <tableColumn id="31" xr3:uid="{BF669868-813B-4CEC-AC40-2AFAF5AE8EB1}" uniqueName="31" name="2/19/20" queryTableFieldId="31" dataDxfId="33"/>
    <tableColumn id="32" xr3:uid="{7CE1E5F3-4197-46B1-ACF5-9FBA095EBA6B}" uniqueName="32" name="2/20/20" queryTableFieldId="32" dataDxfId="32"/>
    <tableColumn id="33" xr3:uid="{6364A5F3-5ADD-4F1D-9FBD-C519F0A693A6}" uniqueName="33" name="2/21/20" queryTableFieldId="33" dataDxfId="31"/>
    <tableColumn id="34" xr3:uid="{FDC0CD3E-4DDB-4134-ABF8-3B67FC347487}" uniqueName="34" name="2/22/20" queryTableFieldId="34" dataDxfId="30"/>
    <tableColumn id="35" xr3:uid="{9A7092C4-785A-4555-9655-D06FA1898D0D}" uniqueName="35" name="2/23/20" queryTableFieldId="35" dataDxfId="29"/>
    <tableColumn id="36" xr3:uid="{7B52C5BD-6070-4DFA-8A74-B93691AAEB3E}" uniqueName="36" name="2/24/20" queryTableFieldId="36" dataDxfId="28"/>
    <tableColumn id="37" xr3:uid="{5758DB1E-AA04-4CFD-AAD5-435715A3B938}" uniqueName="37" name="2/25/20" queryTableFieldId="37" dataDxfId="27"/>
    <tableColumn id="38" xr3:uid="{38D48E81-DCA6-4FAE-BCEF-19E54936DCEA}" uniqueName="38" name="2/26/20" queryTableFieldId="38" dataDxfId="26"/>
    <tableColumn id="39" xr3:uid="{C8C6C0A0-C949-4C7D-9F7D-ECD609E3734C}" uniqueName="39" name="2/27/20" queryTableFieldId="39" dataDxfId="25"/>
    <tableColumn id="40" xr3:uid="{6570188B-60BA-42B9-AA49-211AF0DD7A57}" uniqueName="40" name="2/28/20" queryTableFieldId="40" dataDxfId="24"/>
    <tableColumn id="41" xr3:uid="{DD5A69F7-EE4C-446E-BD6C-71D8B73DAD67}" uniqueName="41" name="2/29/20" queryTableFieldId="41" dataDxfId="23"/>
    <tableColumn id="42" xr3:uid="{2EB3C0B1-CB88-443F-B50F-E64CCC1CB235}" uniqueName="42" name="3/1/20" queryTableFieldId="42" dataDxfId="22"/>
    <tableColumn id="43" xr3:uid="{BFCEE2E2-5EB1-48B8-B157-BD1BA7941D0A}" uniqueName="43" name="3/2/20" queryTableFieldId="43" dataDxfId="21"/>
    <tableColumn id="44" xr3:uid="{2175AC58-C4DE-4340-AF46-B1EC4F7EC0C9}" uniqueName="44" name="3/3/20" queryTableFieldId="44" dataDxfId="20"/>
    <tableColumn id="45" xr3:uid="{4214201D-9A76-4FF5-BEE7-0EF500040574}" uniqueName="45" name="3/4/20" queryTableFieldId="45" dataDxfId="19"/>
    <tableColumn id="46" xr3:uid="{2DCF1545-B4CA-4A11-9216-909376815657}" uniqueName="46" name="3/5/20" queryTableFieldId="46" dataDxfId="18"/>
    <tableColumn id="47" xr3:uid="{C70E1D04-0555-4CE3-8435-4B10DAC2B327}" uniqueName="47" name="3/6/20" queryTableFieldId="47" dataDxfId="17"/>
    <tableColumn id="48" xr3:uid="{F0B7B7A6-8850-4689-9BD5-65AC93CFC08A}" uniqueName="48" name="3/7/20" queryTableFieldId="48" dataDxfId="16"/>
    <tableColumn id="49" xr3:uid="{56FC684F-F786-4280-9419-DCCFB18A7BC7}" uniqueName="49" name="3/8/20" queryTableFieldId="49" dataDxfId="15"/>
    <tableColumn id="50" xr3:uid="{1A7866CA-CC75-4807-B188-8CE285174F2A}" uniqueName="50" name="3/9/20" queryTableFieldId="50" dataDxfId="14"/>
    <tableColumn id="51" xr3:uid="{143E45B2-3D00-473E-B851-C13DD3E7A2D1}" uniqueName="51" name="3/10/20" queryTableFieldId="51" dataDxfId="13"/>
    <tableColumn id="52" xr3:uid="{AADD5B62-94A5-4EE0-AEFB-C52466917E54}" uniqueName="52" name="3/11/20" queryTableFieldId="52" dataDxfId="12"/>
    <tableColumn id="53" xr3:uid="{8F49ACD5-31EC-4CB8-959E-3E159B347DD7}" uniqueName="53" name="3/12/20" queryTableFieldId="53" dataDxfId="11"/>
    <tableColumn id="54" xr3:uid="{7DFF36DA-808B-49FC-87BC-F3EB0EBB54D6}" uniqueName="54" name="3/13/20" queryTableFieldId="54" dataDxfId="10"/>
    <tableColumn id="55" xr3:uid="{2396E607-562E-469A-8EAF-2154058DB25B}" uniqueName="55" name="3/14/20" queryTableFieldId="55" dataDxfId="9"/>
    <tableColumn id="56" xr3:uid="{3C607457-A919-422D-B1B2-C3DDBFA4705E}" uniqueName="56" name="3/15/20" queryTableFieldId="56" dataDxfId="8"/>
    <tableColumn id="57" xr3:uid="{B3E14413-36C8-4A4D-BB41-2DDEEE8D9161}" uniqueName="57" name="3/16/20" queryTableFieldId="57" dataDxfId="7"/>
    <tableColumn id="58" xr3:uid="{8BE7FB0E-A502-4AAE-A2FB-26B99F1CE82C}" uniqueName="58" name="3/17/20" queryTableFieldId="58" dataDxfId="6"/>
    <tableColumn id="59" xr3:uid="{6B47096F-7E36-4360-8FDE-85F1199236C0}" uniqueName="59" name="3/18/20" queryTableFieldId="59" dataDxfId="5"/>
    <tableColumn id="60" xr3:uid="{2C0F6A3C-2487-4DA1-8E62-59A51FBEFAEA}" uniqueName="60" name="3/19/20" queryTableFieldId="60" dataDxfId="4"/>
    <tableColumn id="61" xr3:uid="{DAB412BE-ACA3-471A-B697-DE729D8B32FB}" uniqueName="61" name="3/20/20" queryTableFieldId="61" dataDxfId="3"/>
    <tableColumn id="1" xr3:uid="{959F2C46-9AC0-4D97-A66A-0ED582BA72AF}" uniqueName="1" name="3/21/20" queryTableFieldId="65" dataDxfId="2"/>
    <tableColumn id="62" xr3:uid="{C14E3148-4CDD-4870-9E8A-2CBD09AA2FF7}" uniqueName="62" name="3/22/20" queryTableFieldId="66" dataDxfId="1"/>
    <tableColumn id="63" xr3:uid="{3A8A29B0-943B-427C-A7CC-DE9712BD8885}" uniqueName="63" name="3/23/20" queryTableFieldId="67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1D4F78-D3E2-41B0-AC81-441FFD9DE59F}" name="time_series_19_covid_Deaths" displayName="time_series_19_covid_Deaths" ref="A1:BL239" tableType="queryTable" totalsRowShown="0">
  <autoFilter ref="A1:BL239" xr:uid="{BBAF64FF-FFFD-4F30-9EE9-8FC504F03BFC}"/>
  <tableColumns count="64">
    <tableColumn id="64" xr3:uid="{F951E02B-3577-4977-91CC-00EC9ECB7966}" uniqueName="64" name="Province/State" queryTableFieldId="1" dataDxfId="67"/>
    <tableColumn id="2" xr3:uid="{8DF86DB6-63AE-4A4E-9F5C-191966E47AB6}" uniqueName="2" name="Country/Region" queryTableFieldId="2" dataDxfId="66"/>
    <tableColumn id="3" xr3:uid="{ABC0AF96-0287-4449-944A-7F93D3FC7548}" uniqueName="3" name="1/22/20" queryTableFieldId="3"/>
    <tableColumn id="4" xr3:uid="{3756166F-6EAA-498B-8251-0E17D6F0244D}" uniqueName="4" name="1/23/20" queryTableFieldId="4"/>
    <tableColumn id="5" xr3:uid="{F538173B-7CE7-42C9-A78A-BA3FABDD432D}" uniqueName="5" name="1/24/20" queryTableFieldId="5"/>
    <tableColumn id="6" xr3:uid="{6ED9DE18-1464-417C-A3F2-FA1C4D8939D3}" uniqueName="6" name="1/25/20" queryTableFieldId="6"/>
    <tableColumn id="7" xr3:uid="{04CADB49-72B4-41A3-A431-A42D6A97BA3A}" uniqueName="7" name="1/26/20" queryTableFieldId="7"/>
    <tableColumn id="8" xr3:uid="{82E54492-3FA6-42D4-81A2-21F74A841939}" uniqueName="8" name="1/27/20" queryTableFieldId="8"/>
    <tableColumn id="9" xr3:uid="{29E3C20D-E704-4336-9582-2BFCB031A793}" uniqueName="9" name="1/28/20" queryTableFieldId="9"/>
    <tableColumn id="10" xr3:uid="{6FF439D9-12F7-4979-BCE3-AE9D815AFFC6}" uniqueName="10" name="1/29/20" queryTableFieldId="10"/>
    <tableColumn id="11" xr3:uid="{271551C8-D92F-4203-B9DA-6B1AF7E4C735}" uniqueName="11" name="1/30/20" queryTableFieldId="11"/>
    <tableColumn id="12" xr3:uid="{F63F20C6-528C-49DD-B4C0-B90808EFCF87}" uniqueName="12" name="1/31/20" queryTableFieldId="12"/>
    <tableColumn id="13" xr3:uid="{C6F91962-94C5-4670-BE3B-930D95285CC2}" uniqueName="13" name="2/1/20" queryTableFieldId="13"/>
    <tableColumn id="14" xr3:uid="{1221730A-77F3-49D6-AD5F-B78A5097E4D1}" uniqueName="14" name="2/2/20" queryTableFieldId="14"/>
    <tableColumn id="15" xr3:uid="{EFEA151D-845D-445E-AFAB-E4A4004376EA}" uniqueName="15" name="2/3/20" queryTableFieldId="15"/>
    <tableColumn id="16" xr3:uid="{6DB8CA16-DE7E-4249-9AC4-E78A07E9437C}" uniqueName="16" name="2/4/20" queryTableFieldId="16"/>
    <tableColumn id="17" xr3:uid="{C9758BC8-383A-41ED-8CB4-E9DCDD452897}" uniqueName="17" name="2/5/20" queryTableFieldId="17"/>
    <tableColumn id="18" xr3:uid="{8A6CE4B0-3FB4-4CEF-AD58-D1D3CA3D137F}" uniqueName="18" name="2/6/20" queryTableFieldId="18"/>
    <tableColumn id="19" xr3:uid="{82841056-D801-434B-8319-A0760EC045D3}" uniqueName="19" name="2/7/20" queryTableFieldId="19"/>
    <tableColumn id="20" xr3:uid="{53531DF6-C66D-471E-9DD3-F71DFBF81F72}" uniqueName="20" name="2/8/20" queryTableFieldId="20"/>
    <tableColumn id="21" xr3:uid="{96311CB0-C909-4381-BBEB-CB93CF999BC9}" uniqueName="21" name="2/9/20" queryTableFieldId="21"/>
    <tableColumn id="22" xr3:uid="{B326335C-30A0-4256-A091-BB074F0D7A8A}" uniqueName="22" name="2/10/20" queryTableFieldId="22"/>
    <tableColumn id="23" xr3:uid="{2746BA75-03F7-4AFF-8994-FA72FE861422}" uniqueName="23" name="2/11/20" queryTableFieldId="23"/>
    <tableColumn id="24" xr3:uid="{7DDE4F0A-E6BB-4723-8CBD-13DE73C46FD5}" uniqueName="24" name="2/12/20" queryTableFieldId="24"/>
    <tableColumn id="25" xr3:uid="{0BE657B9-998B-4681-B302-ED6FB1388620}" uniqueName="25" name="2/13/20" queryTableFieldId="25"/>
    <tableColumn id="26" xr3:uid="{FD4720BE-70FD-4171-B33C-840EB6681D61}" uniqueName="26" name="2/14/20" queryTableFieldId="26"/>
    <tableColumn id="27" xr3:uid="{29EB4672-E89D-4AA6-B096-E9BB0A811EC4}" uniqueName="27" name="2/15/20" queryTableFieldId="27"/>
    <tableColumn id="28" xr3:uid="{72163CE7-373A-4569-BB2F-8216B9A93E53}" uniqueName="28" name="2/16/20" queryTableFieldId="28"/>
    <tableColumn id="29" xr3:uid="{54D15BC5-6B5B-40B1-BADF-82551FA3CD1F}" uniqueName="29" name="2/17/20" queryTableFieldId="29"/>
    <tableColumn id="30" xr3:uid="{72463747-110D-4C58-92F1-1382B70E85F3}" uniqueName="30" name="2/18/20" queryTableFieldId="30"/>
    <tableColumn id="31" xr3:uid="{8CDAF185-C0DF-4E6F-B08E-10C3F6FB23E0}" uniqueName="31" name="2/19/20" queryTableFieldId="31"/>
    <tableColumn id="32" xr3:uid="{813ADAA8-A0EC-4BAC-94DA-9E453E5581FD}" uniqueName="32" name="2/20/20" queryTableFieldId="32"/>
    <tableColumn id="33" xr3:uid="{3AD5FFBC-91F6-439A-8D62-BEA598630863}" uniqueName="33" name="2/21/20" queryTableFieldId="33"/>
    <tableColumn id="34" xr3:uid="{DD0DFB44-0ECB-4A96-B523-68AFC9196DD9}" uniqueName="34" name="2/22/20" queryTableFieldId="34"/>
    <tableColumn id="35" xr3:uid="{24CC3C31-2DFA-40AB-8C7F-8EF6A5B3528D}" uniqueName="35" name="2/23/20" queryTableFieldId="35"/>
    <tableColumn id="36" xr3:uid="{4D78B321-EF14-4D33-BC35-44EC05AA5387}" uniqueName="36" name="2/24/20" queryTableFieldId="36"/>
    <tableColumn id="37" xr3:uid="{F6AE5E8E-4B68-4B0E-9613-46CFF08957CD}" uniqueName="37" name="2/25/20" queryTableFieldId="37"/>
    <tableColumn id="38" xr3:uid="{CD8A66D6-33D2-4834-B4C7-07CDBD71B774}" uniqueName="38" name="2/26/20" queryTableFieldId="38"/>
    <tableColumn id="39" xr3:uid="{BF51E4CA-385D-4D78-8025-2B488459759F}" uniqueName="39" name="2/27/20" queryTableFieldId="39"/>
    <tableColumn id="40" xr3:uid="{2EFF60C1-4DE4-496D-92CA-64685AAD1CB8}" uniqueName="40" name="2/28/20" queryTableFieldId="40"/>
    <tableColumn id="41" xr3:uid="{6F2D9745-5974-434A-8357-E0BF49BE7DF3}" uniqueName="41" name="2/29/20" queryTableFieldId="41"/>
    <tableColumn id="42" xr3:uid="{6D6E0ADC-0153-4762-B2F3-FF1F37DFFEF7}" uniqueName="42" name="3/1/20" queryTableFieldId="42"/>
    <tableColumn id="43" xr3:uid="{95E379BD-221A-4FBC-801F-DD3CEEE9C401}" uniqueName="43" name="3/2/20" queryTableFieldId="43"/>
    <tableColumn id="44" xr3:uid="{16DDEFBC-E6B3-4E94-9A39-06009E0170A7}" uniqueName="44" name="3/3/20" queryTableFieldId="44"/>
    <tableColumn id="45" xr3:uid="{CE453738-3D79-4CC0-ABA2-E764FE3FE487}" uniqueName="45" name="3/4/20" queryTableFieldId="45"/>
    <tableColumn id="46" xr3:uid="{AA26C800-BDE3-4FFD-82AA-DB3C9E94F2F5}" uniqueName="46" name="3/5/20" queryTableFieldId="46"/>
    <tableColumn id="47" xr3:uid="{9EBF05FF-B526-451B-AE9B-8226881769A7}" uniqueName="47" name="3/6/20" queryTableFieldId="47"/>
    <tableColumn id="48" xr3:uid="{43ACFD73-38A3-4AB6-9974-867835607D54}" uniqueName="48" name="3/7/20" queryTableFieldId="48"/>
    <tableColumn id="49" xr3:uid="{9555E3FA-0896-464A-AE3B-84922E923BCA}" uniqueName="49" name="3/8/20" queryTableFieldId="49"/>
    <tableColumn id="50" xr3:uid="{1B12706C-34FF-4DE1-ADE4-F477ED257660}" uniqueName="50" name="3/9/20" queryTableFieldId="50"/>
    <tableColumn id="51" xr3:uid="{F504B1DD-0A3C-4D51-8ABC-452958C3B5BC}" uniqueName="51" name="3/10/20" queryTableFieldId="51"/>
    <tableColumn id="52" xr3:uid="{AF469201-6963-4389-9166-23968B405BFF}" uniqueName="52" name="3/11/20" queryTableFieldId="52"/>
    <tableColumn id="53" xr3:uid="{E1A8BC23-AE25-44FA-87BF-864F43D51A4C}" uniqueName="53" name="3/12/20" queryTableFieldId="53"/>
    <tableColumn id="54" xr3:uid="{A1EF27A3-AEDF-49C6-8821-BB779056C645}" uniqueName="54" name="3/13/20" queryTableFieldId="54"/>
    <tableColumn id="55" xr3:uid="{DF40F5D9-E757-4280-99C6-EEED53856F83}" uniqueName="55" name="3/14/20" queryTableFieldId="55"/>
    <tableColumn id="56" xr3:uid="{AF623E58-D80A-44F5-956E-344F29471F78}" uniqueName="56" name="3/15/20" queryTableFieldId="56"/>
    <tableColumn id="57" xr3:uid="{30C2125F-F652-46A9-86C3-0723B84BEF7C}" uniqueName="57" name="3/16/20" queryTableFieldId="57"/>
    <tableColumn id="58" xr3:uid="{6726E53D-2218-491C-9942-BC26F534FF46}" uniqueName="58" name="3/17/20" queryTableFieldId="58"/>
    <tableColumn id="59" xr3:uid="{124E2B86-9D28-4FA4-85CE-9B8A77EC91CE}" uniqueName="59" name="3/18/20" queryTableFieldId="59"/>
    <tableColumn id="60" xr3:uid="{F981CF17-5B1F-4612-9AC3-BB5018350B10}" uniqueName="60" name="3/19/20" queryTableFieldId="60"/>
    <tableColumn id="61" xr3:uid="{B5DFAD8E-D270-4723-A554-25EB2213FCD4}" uniqueName="61" name="3/20/20" queryTableFieldId="61"/>
    <tableColumn id="62" xr3:uid="{A130039B-E957-419C-94A9-DB0C0CA5A804}" uniqueName="62" name="3/21/20" queryTableFieldId="62"/>
    <tableColumn id="63" xr3:uid="{A1A1FD17-0D58-4D83-AC33-87B02B68AB0B}" uniqueName="63" name="3/22/20" queryTableFieldId="63"/>
    <tableColumn id="1" xr3:uid="{93E44961-B83B-4CE8-B1AA-D5F4E792FAC5}" uniqueName="1" name="3/23/20" queryTableFieldId="6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34F17BF-374D-40D3-AB01-E6FE8F8F95BA}" name="time_series_19_covid_Recovered" displayName="time_series_19_covid_Recovered" ref="A1:BK502" tableType="queryTable" totalsRowShown="0">
  <autoFilter ref="A1:BK502" xr:uid="{ECB139BB-92DC-4144-AF55-123CD87C5A05}"/>
  <tableColumns count="63">
    <tableColumn id="64" xr3:uid="{EB2BB3DE-08DC-4517-8948-E8D03DA93758}" uniqueName="64" name="Province/State" queryTableFieldId="1" dataDxfId="65"/>
    <tableColumn id="2" xr3:uid="{34CC6E3F-215D-4411-BEB5-116978C995DB}" uniqueName="2" name="Country/Region" queryTableFieldId="2" dataDxfId="64"/>
    <tableColumn id="3" xr3:uid="{99A322B8-02DC-4B0A-80C4-EDF18F2EDDC4}" uniqueName="3" name="1/22/20" queryTableFieldId="3"/>
    <tableColumn id="4" xr3:uid="{A48712B7-CCC1-4C54-9D66-FB50BBE5E711}" uniqueName="4" name="1/23/20" queryTableFieldId="4"/>
    <tableColumn id="5" xr3:uid="{B1084302-E7D8-46FE-BE74-AFDA51A0704A}" uniqueName="5" name="1/24/20" queryTableFieldId="5"/>
    <tableColumn id="6" xr3:uid="{A27ADD27-91F9-47CB-A47B-F04BACF18CFD}" uniqueName="6" name="1/25/20" queryTableFieldId="6"/>
    <tableColumn id="7" xr3:uid="{7C6096FA-E6FA-427E-A704-5F290A841711}" uniqueName="7" name="1/26/20" queryTableFieldId="7"/>
    <tableColumn id="8" xr3:uid="{E7D3F6AC-DB48-4347-A6E7-693B98F73067}" uniqueName="8" name="1/27/20" queryTableFieldId="8"/>
    <tableColumn id="9" xr3:uid="{3C4B7E0E-F803-473C-93BC-DAD5A96F4ADD}" uniqueName="9" name="1/28/20" queryTableFieldId="9"/>
    <tableColumn id="10" xr3:uid="{D2A24B17-C16E-4592-B67E-4750DF020D93}" uniqueName="10" name="1/29/20" queryTableFieldId="10"/>
    <tableColumn id="11" xr3:uid="{719F7E39-7C2D-40E5-AAE0-3F17DC0F6989}" uniqueName="11" name="1/30/20" queryTableFieldId="11"/>
    <tableColumn id="12" xr3:uid="{5F15F977-A98F-4D64-B51D-D13BCCAE627D}" uniqueName="12" name="1/31/20" queryTableFieldId="12"/>
    <tableColumn id="13" xr3:uid="{B3A7B652-6D44-499C-8D17-2E70378C1DEB}" uniqueName="13" name="2/1/20" queryTableFieldId="13"/>
    <tableColumn id="14" xr3:uid="{8FC1A7B9-5E59-46B5-A87A-9AFA0CE988EA}" uniqueName="14" name="2/2/20" queryTableFieldId="14"/>
    <tableColumn id="15" xr3:uid="{44F06AE1-AEA1-4173-9331-A2EBBD482E94}" uniqueName="15" name="2/3/20" queryTableFieldId="15"/>
    <tableColumn id="16" xr3:uid="{C2B0CBD3-5BAE-4529-B2E3-511BDE6D93A1}" uniqueName="16" name="2/4/20" queryTableFieldId="16"/>
    <tableColumn id="17" xr3:uid="{184DD47B-8652-4701-9BC7-46F68A5C9977}" uniqueName="17" name="2/5/20" queryTableFieldId="17"/>
    <tableColumn id="18" xr3:uid="{879B83A6-6F3B-4CBC-85C7-8276077FDD21}" uniqueName="18" name="2/6/20" queryTableFieldId="18"/>
    <tableColumn id="19" xr3:uid="{CFB29F26-800E-439D-A586-1A3D12C59F86}" uniqueName="19" name="2/7/20" queryTableFieldId="19"/>
    <tableColumn id="20" xr3:uid="{32F2C0EA-275C-466B-8B00-2D67B964E303}" uniqueName="20" name="2/8/20" queryTableFieldId="20"/>
    <tableColumn id="21" xr3:uid="{A7B0FA87-F7B8-4F6D-BED3-B530E9F1583E}" uniqueName="21" name="2/9/20" queryTableFieldId="21"/>
    <tableColumn id="22" xr3:uid="{970AE611-E924-447A-B174-3C685197D5E1}" uniqueName="22" name="2/10/20" queryTableFieldId="22"/>
    <tableColumn id="23" xr3:uid="{451F5B0C-E81E-4F83-9B77-81A895676A65}" uniqueName="23" name="2/11/20" queryTableFieldId="23"/>
    <tableColumn id="24" xr3:uid="{CDEC56D9-4497-491D-BC83-B93E0FF8DA59}" uniqueName="24" name="2/12/20" queryTableFieldId="24"/>
    <tableColumn id="25" xr3:uid="{10608A12-1463-4AA2-8D32-F7E89797A1CD}" uniqueName="25" name="2/13/20" queryTableFieldId="25"/>
    <tableColumn id="26" xr3:uid="{F2604FC0-FBFD-4997-96A3-90B8C767EDB8}" uniqueName="26" name="2/14/20" queryTableFieldId="26"/>
    <tableColumn id="27" xr3:uid="{93819711-D043-4D58-99A2-34772FBF6996}" uniqueName="27" name="2/15/20" queryTableFieldId="27"/>
    <tableColumn id="28" xr3:uid="{902BF23E-8613-4EA6-9365-D9ED58A9ED9C}" uniqueName="28" name="2/16/20" queryTableFieldId="28"/>
    <tableColumn id="29" xr3:uid="{B80FDD8C-FD62-4ED5-A1B0-7F01DCDB0094}" uniqueName="29" name="2/17/20" queryTableFieldId="29"/>
    <tableColumn id="30" xr3:uid="{1E311332-2966-4CC9-AC02-F8B289FF5E6C}" uniqueName="30" name="2/18/20" queryTableFieldId="30"/>
    <tableColumn id="31" xr3:uid="{E666C919-1505-4F40-9BE9-62B70D3CE264}" uniqueName="31" name="2/19/20" queryTableFieldId="31"/>
    <tableColumn id="32" xr3:uid="{86D6524F-AEF1-4AA0-A5BE-79F994078725}" uniqueName="32" name="2/20/20" queryTableFieldId="32"/>
    <tableColumn id="33" xr3:uid="{25A2E389-6274-4924-9F45-D5808F806A77}" uniqueName="33" name="2/21/20" queryTableFieldId="33"/>
    <tableColumn id="34" xr3:uid="{F6189300-5915-4E6F-8650-C3A84B5DFDC3}" uniqueName="34" name="2/22/20" queryTableFieldId="34"/>
    <tableColumn id="35" xr3:uid="{7F6C57C4-2A85-46E9-AFB4-FBEB16079805}" uniqueName="35" name="2/23/20" queryTableFieldId="35"/>
    <tableColumn id="36" xr3:uid="{4496ADB2-1B8C-43F0-8351-FBB97E579378}" uniqueName="36" name="2/24/20" queryTableFieldId="36"/>
    <tableColumn id="37" xr3:uid="{97E1A7F4-E217-403D-8F36-D5AE66BE96F4}" uniqueName="37" name="2/25/20" queryTableFieldId="37"/>
    <tableColumn id="38" xr3:uid="{91A3D575-2D3D-4752-B9B2-74F3F3E41E5D}" uniqueName="38" name="2/26/20" queryTableFieldId="38"/>
    <tableColumn id="39" xr3:uid="{9DA3E144-89D9-4CDC-84C1-7D2B6A4F3D8B}" uniqueName="39" name="2/27/20" queryTableFieldId="39"/>
    <tableColumn id="40" xr3:uid="{CA34A413-2740-448C-B061-E4B7C73D98BA}" uniqueName="40" name="2/28/20" queryTableFieldId="40"/>
    <tableColumn id="41" xr3:uid="{A7800DC1-174D-48A7-852E-72AC87763E0F}" uniqueName="41" name="2/29/20" queryTableFieldId="41"/>
    <tableColumn id="42" xr3:uid="{467A20B8-45F9-4051-9621-F3E00CE1F0E3}" uniqueName="42" name="3/1/20" queryTableFieldId="42"/>
    <tableColumn id="43" xr3:uid="{3C32C881-FF65-4050-B425-795E8AE963E0}" uniqueName="43" name="3/2/20" queryTableFieldId="43"/>
    <tableColumn id="44" xr3:uid="{F0AD47A3-DF1D-4548-83A7-75EB4BAED7BE}" uniqueName="44" name="3/3/20" queryTableFieldId="44"/>
    <tableColumn id="45" xr3:uid="{1C3AFEBF-C6B5-4C7A-A7E1-B71B33DB8446}" uniqueName="45" name="3/4/20" queryTableFieldId="45"/>
    <tableColumn id="46" xr3:uid="{40B158F6-5476-400D-ABCB-3B7FC2A08B07}" uniqueName="46" name="3/5/20" queryTableFieldId="46"/>
    <tableColumn id="47" xr3:uid="{CC334D16-18D9-4FD7-B7B7-5B325ACC0E41}" uniqueName="47" name="3/6/20" queryTableFieldId="47"/>
    <tableColumn id="48" xr3:uid="{EA17CB77-E007-4DD7-9DFC-5DC025CFABA7}" uniqueName="48" name="3/7/20" queryTableFieldId="48"/>
    <tableColumn id="49" xr3:uid="{C9D66C76-F84B-4DFB-984C-5FFA306AA538}" uniqueName="49" name="3/8/20" queryTableFieldId="49"/>
    <tableColumn id="50" xr3:uid="{9A5B7D7B-3429-4457-90AD-903129A9C8A3}" uniqueName="50" name="3/9/20" queryTableFieldId="50"/>
    <tableColumn id="51" xr3:uid="{1A77FD1A-24D6-481F-A354-96B8422C3F7C}" uniqueName="51" name="3/10/20" queryTableFieldId="51"/>
    <tableColumn id="52" xr3:uid="{DF7879E3-EE15-4051-8C42-24AFBFB23538}" uniqueName="52" name="3/11/20" queryTableFieldId="52"/>
    <tableColumn id="53" xr3:uid="{72A3F46C-44C2-4D87-BED7-F901A2B0AFFA}" uniqueName="53" name="3/12/20" queryTableFieldId="53"/>
    <tableColumn id="54" xr3:uid="{AAE3F3CB-E463-4D8A-A841-8934C2DA74E4}" uniqueName="54" name="3/13/20" queryTableFieldId="54"/>
    <tableColumn id="55" xr3:uid="{55234F28-8C6B-4705-94AF-006CC0BD54F2}" uniqueName="55" name="3/14/20" queryTableFieldId="55"/>
    <tableColumn id="56" xr3:uid="{74A0CBE7-8C6D-4395-BAEB-4BEE65FC1DB8}" uniqueName="56" name="3/15/20" queryTableFieldId="56"/>
    <tableColumn id="57" xr3:uid="{988126F2-360F-4307-866B-7A73AD139B0A}" uniqueName="57" name="3/16/20" queryTableFieldId="57"/>
    <tableColumn id="58" xr3:uid="{A3966883-239B-476D-85C2-4AFE356873BA}" uniqueName="58" name="3/17/20" queryTableFieldId="58"/>
    <tableColumn id="59" xr3:uid="{3D429963-5803-4A33-9D42-AE94B21EF845}" uniqueName="59" name="3/18/20" queryTableFieldId="59"/>
    <tableColumn id="60" xr3:uid="{28075817-DF0E-4DC5-9AA4-0FAE97BBF74C}" uniqueName="60" name="3/19/20" queryTableFieldId="60"/>
    <tableColumn id="61" xr3:uid="{8B86C3E5-203A-4A0F-A6D8-BA73CBD16AB2}" uniqueName="61" name="3/20/20" queryTableFieldId="61"/>
    <tableColumn id="62" xr3:uid="{A84FE5F8-4115-478A-B76A-D47F5737D2B9}" uniqueName="62" name="3/21/20" queryTableFieldId="62"/>
    <tableColumn id="63" xr3:uid="{1120F983-9937-443E-BCE7-9FA9C7D52CC5}" uniqueName="63" name="3/22/20" queryTableFieldId="6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C14B9-A958-4FB9-B1DB-065D318DD492}">
  <sheetPr codeName="Tabelle1"/>
  <dimension ref="A1:CE40"/>
  <sheetViews>
    <sheetView tabSelected="1" zoomScale="85" zoomScaleNormal="85" workbookViewId="0">
      <pane xSplit="1" topLeftCell="Q1" activePane="topRight" state="frozen"/>
      <selection pane="topRight" activeCell="BA25" sqref="BA25"/>
    </sheetView>
  </sheetViews>
  <sheetFormatPr baseColWidth="10" defaultRowHeight="15" x14ac:dyDescent="0.25"/>
  <cols>
    <col min="1" max="1" width="24.140625" style="3" bestFit="1" customWidth="1"/>
    <col min="2" max="2" width="8" style="5" customWidth="1"/>
    <col min="3" max="130" width="8" style="3" customWidth="1"/>
    <col min="131" max="16384" width="11.42578125" style="3"/>
  </cols>
  <sheetData>
    <row r="1" spans="1:83" ht="258" customHeight="1" x14ac:dyDescent="0.25"/>
    <row r="2" spans="1:83" s="2" customFormat="1" ht="29.25" customHeight="1" x14ac:dyDescent="0.25">
      <c r="A2" s="4" t="s">
        <v>557</v>
      </c>
      <c r="B2" s="6"/>
    </row>
    <row r="3" spans="1:83" s="16" customFormat="1" ht="18.75" x14ac:dyDescent="0.3">
      <c r="A3" s="27" t="s">
        <v>165</v>
      </c>
      <c r="B3" s="28">
        <v>43852</v>
      </c>
      <c r="C3" s="29">
        <v>43853</v>
      </c>
      <c r="D3" s="29">
        <v>43854</v>
      </c>
      <c r="E3" s="29">
        <v>43855</v>
      </c>
      <c r="F3" s="29">
        <v>43856</v>
      </c>
      <c r="G3" s="29">
        <v>43857</v>
      </c>
      <c r="H3" s="29">
        <v>43858</v>
      </c>
      <c r="I3" s="29">
        <v>43859</v>
      </c>
      <c r="J3" s="29">
        <v>43860</v>
      </c>
      <c r="K3" s="29">
        <v>43861</v>
      </c>
      <c r="L3" s="29">
        <v>43862</v>
      </c>
      <c r="M3" s="29">
        <v>43863</v>
      </c>
      <c r="N3" s="29">
        <v>43864</v>
      </c>
      <c r="O3" s="29">
        <v>43865</v>
      </c>
      <c r="P3" s="29">
        <v>43866</v>
      </c>
      <c r="Q3" s="29">
        <v>43867</v>
      </c>
      <c r="R3" s="29">
        <v>43868</v>
      </c>
      <c r="S3" s="29">
        <v>43869</v>
      </c>
      <c r="T3" s="29">
        <v>43870</v>
      </c>
      <c r="U3" s="29">
        <v>43871</v>
      </c>
      <c r="V3" s="29">
        <v>43872</v>
      </c>
      <c r="W3" s="29">
        <v>43873</v>
      </c>
      <c r="X3" s="29">
        <v>43874</v>
      </c>
      <c r="Y3" s="29">
        <v>43875</v>
      </c>
      <c r="Z3" s="29">
        <v>43876</v>
      </c>
      <c r="AA3" s="29">
        <v>43877</v>
      </c>
      <c r="AB3" s="29">
        <v>43878</v>
      </c>
      <c r="AC3" s="29">
        <v>43879</v>
      </c>
      <c r="AD3" s="29">
        <v>43880</v>
      </c>
      <c r="AE3" s="29">
        <v>43881</v>
      </c>
      <c r="AF3" s="29">
        <v>43882</v>
      </c>
      <c r="AG3" s="29">
        <v>43883</v>
      </c>
      <c r="AH3" s="29">
        <v>43884</v>
      </c>
      <c r="AI3" s="29">
        <v>43885</v>
      </c>
      <c r="AJ3" s="29">
        <v>43886</v>
      </c>
      <c r="AK3" s="29">
        <v>43887</v>
      </c>
      <c r="AL3" s="29">
        <v>43888</v>
      </c>
      <c r="AM3" s="29">
        <v>43889</v>
      </c>
      <c r="AN3" s="29">
        <v>43890</v>
      </c>
      <c r="AO3" s="29">
        <v>43891</v>
      </c>
      <c r="AP3" s="29">
        <v>43892</v>
      </c>
      <c r="AQ3" s="29">
        <v>43893</v>
      </c>
      <c r="AR3" s="29">
        <v>43894</v>
      </c>
      <c r="AS3" s="29">
        <v>43895</v>
      </c>
      <c r="AT3" s="29">
        <v>43896</v>
      </c>
      <c r="AU3" s="29">
        <v>43897</v>
      </c>
      <c r="AV3" s="29">
        <v>43898</v>
      </c>
      <c r="AW3" s="29">
        <v>43899</v>
      </c>
      <c r="AX3" s="29">
        <v>43900</v>
      </c>
      <c r="AY3" s="29">
        <v>43901</v>
      </c>
      <c r="AZ3" s="29">
        <v>43902</v>
      </c>
      <c r="BA3" s="29">
        <v>43903</v>
      </c>
      <c r="BB3" s="29">
        <v>43904</v>
      </c>
      <c r="BC3" s="29">
        <v>43905</v>
      </c>
      <c r="BD3" s="29">
        <v>43906</v>
      </c>
      <c r="BE3" s="29">
        <v>43907</v>
      </c>
      <c r="BF3" s="29">
        <v>43908</v>
      </c>
      <c r="BG3" s="29">
        <v>43909</v>
      </c>
      <c r="BH3" s="29">
        <v>43910</v>
      </c>
      <c r="BI3" s="29">
        <v>43911</v>
      </c>
      <c r="BJ3" s="29">
        <v>43912</v>
      </c>
      <c r="BK3" s="29">
        <v>43913</v>
      </c>
      <c r="BL3" s="29">
        <v>43914</v>
      </c>
      <c r="BM3" s="29">
        <v>43915</v>
      </c>
      <c r="BN3" s="29">
        <v>43916</v>
      </c>
      <c r="BO3" s="29">
        <v>43917</v>
      </c>
      <c r="BP3" s="29">
        <v>43918</v>
      </c>
      <c r="BQ3" s="29">
        <v>43919</v>
      </c>
      <c r="BR3" s="29">
        <v>43920</v>
      </c>
      <c r="BS3" s="29">
        <v>43921</v>
      </c>
      <c r="BT3" s="29">
        <v>43922</v>
      </c>
      <c r="BU3" s="29">
        <v>43923</v>
      </c>
      <c r="BV3" s="29">
        <v>43924</v>
      </c>
      <c r="BW3" s="29">
        <v>43925</v>
      </c>
      <c r="BX3" s="29">
        <v>43926</v>
      </c>
      <c r="BY3" s="29">
        <v>43927</v>
      </c>
      <c r="BZ3" s="29">
        <v>43928</v>
      </c>
      <c r="CA3" s="29">
        <v>43929</v>
      </c>
      <c r="CB3" s="29">
        <v>43930</v>
      </c>
      <c r="CC3" s="29">
        <v>43931</v>
      </c>
      <c r="CD3" s="29">
        <v>43932</v>
      </c>
      <c r="CE3" s="29">
        <v>43933</v>
      </c>
    </row>
    <row r="4" spans="1:83" s="15" customFormat="1" ht="12.75" x14ac:dyDescent="0.2">
      <c r="A4" s="30" t="s">
        <v>554</v>
      </c>
      <c r="B4" s="32">
        <f>SUMIF(RAW_Cases!$B:$B,$A$3,RAW_Cases!C:C)</f>
        <v>1</v>
      </c>
      <c r="C4" s="32">
        <f>SUMIF(RAW_Cases!$B:$B,$A$3,RAW_Cases!D:D)</f>
        <v>1</v>
      </c>
      <c r="D4" s="32">
        <f>SUMIF(RAW_Cases!$B:$B,$A$3,RAW_Cases!E:E)</f>
        <v>2</v>
      </c>
      <c r="E4" s="32">
        <f>SUMIF(RAW_Cases!$B:$B,$A$3,RAW_Cases!F:F)</f>
        <v>2</v>
      </c>
      <c r="F4" s="32">
        <f>SUMIF(RAW_Cases!$B:$B,$A$3,RAW_Cases!G:G)</f>
        <v>5</v>
      </c>
      <c r="G4" s="32">
        <f>SUMIF(RAW_Cases!$B:$B,$A$3,RAW_Cases!H:H)</f>
        <v>5</v>
      </c>
      <c r="H4" s="32">
        <f>SUMIF(RAW_Cases!$B:$B,$A$3,RAW_Cases!I:I)</f>
        <v>5</v>
      </c>
      <c r="I4" s="32">
        <f>SUMIF(RAW_Cases!$B:$B,$A$3,RAW_Cases!J:J)</f>
        <v>5</v>
      </c>
      <c r="J4" s="32">
        <f>SUMIF(RAW_Cases!$B:$B,$A$3,RAW_Cases!K:K)</f>
        <v>5</v>
      </c>
      <c r="K4" s="32">
        <f>SUMIF(RAW_Cases!$B:$B,$A$3,RAW_Cases!L:L)</f>
        <v>7</v>
      </c>
      <c r="L4" s="32">
        <f>SUMIF(RAW_Cases!$B:$B,$A$3,RAW_Cases!M:M)</f>
        <v>8</v>
      </c>
      <c r="M4" s="32">
        <f>SUMIF(RAW_Cases!$B:$B,$A$3,RAW_Cases!N:N)</f>
        <v>8</v>
      </c>
      <c r="N4" s="32">
        <f>SUMIF(RAW_Cases!$B:$B,$A$3,RAW_Cases!O:O)</f>
        <v>11</v>
      </c>
      <c r="O4" s="32">
        <f>SUMIF(RAW_Cases!$B:$B,$A$3,RAW_Cases!P:P)</f>
        <v>11</v>
      </c>
      <c r="P4" s="32">
        <f>SUMIF(RAW_Cases!$B:$B,$A$3,RAW_Cases!Q:Q)</f>
        <v>11</v>
      </c>
      <c r="Q4" s="32">
        <f>SUMIF(RAW_Cases!$B:$B,$A$3,RAW_Cases!R:R)</f>
        <v>11</v>
      </c>
      <c r="R4" s="32">
        <f>SUMIF(RAW_Cases!$B:$B,$A$3,RAW_Cases!S:S)</f>
        <v>11</v>
      </c>
      <c r="S4" s="32">
        <f>SUMIF(RAW_Cases!$B:$B,$A$3,RAW_Cases!T:T)</f>
        <v>11</v>
      </c>
      <c r="T4" s="32">
        <f>SUMIF(RAW_Cases!$B:$B,$A$3,RAW_Cases!U:U)</f>
        <v>11</v>
      </c>
      <c r="U4" s="32">
        <f>SUMIF(RAW_Cases!$B:$B,$A$3,RAW_Cases!V:V)</f>
        <v>11</v>
      </c>
      <c r="V4" s="32">
        <f>SUMIF(RAW_Cases!$B:$B,$A$3,RAW_Cases!W:W)</f>
        <v>12</v>
      </c>
      <c r="W4" s="32">
        <f>SUMIF(RAW_Cases!$B:$B,$A$3,RAW_Cases!X:X)</f>
        <v>12</v>
      </c>
      <c r="X4" s="32">
        <f>SUMIF(RAW_Cases!$B:$B,$A$3,RAW_Cases!Y:Y)</f>
        <v>13</v>
      </c>
      <c r="Y4" s="32">
        <f>SUMIF(RAW_Cases!$B:$B,$A$3,RAW_Cases!Z:Z)</f>
        <v>13</v>
      </c>
      <c r="Z4" s="32">
        <f>SUMIF(RAW_Cases!$B:$B,$A$3,RAW_Cases!AA:AA)</f>
        <v>13</v>
      </c>
      <c r="AA4" s="32">
        <f>SUMIF(RAW_Cases!$B:$B,$A$3,RAW_Cases!AB:AB)</f>
        <v>13</v>
      </c>
      <c r="AB4" s="32">
        <f>SUMIF(RAW_Cases!$B:$B,$A$3,RAW_Cases!AC:AC)</f>
        <v>13</v>
      </c>
      <c r="AC4" s="32">
        <f>SUMIF(RAW_Cases!$B:$B,$A$3,RAW_Cases!AD:AD)</f>
        <v>13</v>
      </c>
      <c r="AD4" s="32">
        <f>SUMIF(RAW_Cases!$B:$B,$A$3,RAW_Cases!AE:AE)</f>
        <v>13</v>
      </c>
      <c r="AE4" s="32">
        <f>SUMIF(RAW_Cases!$B:$B,$A$3,RAW_Cases!AF:AF)</f>
        <v>13</v>
      </c>
      <c r="AF4" s="32">
        <f>SUMIF(RAW_Cases!$B:$B,$A$3,RAW_Cases!AG:AG)</f>
        <v>15</v>
      </c>
      <c r="AG4" s="32">
        <f>SUMIF(RAW_Cases!$B:$B,$A$3,RAW_Cases!AH:AH)</f>
        <v>15</v>
      </c>
      <c r="AH4" s="32">
        <f>SUMIF(RAW_Cases!$B:$B,$A$3,RAW_Cases!AI:AI)</f>
        <v>15</v>
      </c>
      <c r="AI4" s="32">
        <f>SUMIF(RAW_Cases!$B:$B,$A$3,RAW_Cases!AJ:AJ)</f>
        <v>51</v>
      </c>
      <c r="AJ4" s="32">
        <f>SUMIF(RAW_Cases!$B:$B,$A$3,RAW_Cases!AK:AK)</f>
        <v>51</v>
      </c>
      <c r="AK4" s="32">
        <f>SUMIF(RAW_Cases!$B:$B,$A$3,RAW_Cases!AL:AL)</f>
        <v>57</v>
      </c>
      <c r="AL4" s="32">
        <f>SUMIF(RAW_Cases!$B:$B,$A$3,RAW_Cases!AM:AM)</f>
        <v>58</v>
      </c>
      <c r="AM4" s="32">
        <f>SUMIF(RAW_Cases!$B:$B,$A$3,RAW_Cases!AN:AN)</f>
        <v>60</v>
      </c>
      <c r="AN4" s="32">
        <f>SUMIF(RAW_Cases!$B:$B,$A$3,RAW_Cases!AO:AO)</f>
        <v>68</v>
      </c>
      <c r="AO4" s="32">
        <f>SUMIF(RAW_Cases!$B:$B,$A$3,RAW_Cases!AP:AP)</f>
        <v>74</v>
      </c>
      <c r="AP4" s="32">
        <f>SUMIF(RAW_Cases!$B:$B,$A$3,RAW_Cases!AQ:AQ)</f>
        <v>98</v>
      </c>
      <c r="AQ4" s="32">
        <f>SUMIF(RAW_Cases!$B:$B,$A$3,RAW_Cases!AR:AR)</f>
        <v>118</v>
      </c>
      <c r="AR4" s="32">
        <f>SUMIF(RAW_Cases!$B:$B,$A$3,RAW_Cases!AS:AS)</f>
        <v>149</v>
      </c>
      <c r="AS4" s="32">
        <f>SUMIF(RAW_Cases!$B:$B,$A$3,RAW_Cases!AT:AT)</f>
        <v>217</v>
      </c>
      <c r="AT4" s="32">
        <f>SUMIF(RAW_Cases!$B:$B,$A$3,RAW_Cases!AU:AU)</f>
        <v>262</v>
      </c>
      <c r="AU4" s="32">
        <f>SUMIF(RAW_Cases!$B:$B,$A$3,RAW_Cases!AV:AV)</f>
        <v>402</v>
      </c>
      <c r="AV4" s="32">
        <f>SUMIF(RAW_Cases!$B:$B,$A$3,RAW_Cases!AW:AW)</f>
        <v>518</v>
      </c>
      <c r="AW4" s="32">
        <f>SUMIF(RAW_Cases!$B:$B,$A$3,RAW_Cases!AX:AX)</f>
        <v>583</v>
      </c>
      <c r="AX4" s="32">
        <f>SUMIF(RAW_Cases!$B:$B,$A$3,RAW_Cases!AY:AY)</f>
        <v>959</v>
      </c>
      <c r="AY4" s="32">
        <f>SUMIF(RAW_Cases!$B:$B,$A$3,RAW_Cases!AZ:AZ)</f>
        <v>1281</v>
      </c>
      <c r="AZ4" s="32">
        <f>SUMIF(RAW_Cases!$B:$B,$A$3,RAW_Cases!BA:BA)</f>
        <v>1663</v>
      </c>
      <c r="BA4" s="32">
        <f>SUMIF(RAW_Cases!$B:$B,$A$3,RAW_Cases!BB:BB)</f>
        <v>2179</v>
      </c>
      <c r="BB4" s="32">
        <f>SUMIF(RAW_Cases!$B:$B,$A$3,RAW_Cases!BC:BC)</f>
        <v>2727</v>
      </c>
      <c r="BC4" s="32">
        <f>SUMIF(RAW_Cases!$B:$B,$A$3,RAW_Cases!BD:BD)</f>
        <v>3499</v>
      </c>
      <c r="BD4" s="32">
        <f>SUMIF(RAW_Cases!$B:$B,$A$3,RAW_Cases!BE:BE)</f>
        <v>4632</v>
      </c>
      <c r="BE4" s="32">
        <f>SUMIF(RAW_Cases!$B:$B,$A$3,RAW_Cases!BF:BF)</f>
        <v>6421</v>
      </c>
      <c r="BF4" s="32">
        <f>SUMIF(RAW_Cases!$B:$B,$A$3,RAW_Cases!BG:BG)</f>
        <v>7783</v>
      </c>
      <c r="BG4" s="32">
        <f>SUMIF(RAW_Cases!$B:$B,$A$3,RAW_Cases!BH:BH)</f>
        <v>13677</v>
      </c>
      <c r="BH4" s="32">
        <f>SUMIF(RAW_Cases!$B:$B,$A$3,RAW_Cases!BI:BI)</f>
        <v>19100</v>
      </c>
      <c r="BI4" s="32">
        <f>SUMIF(RAW_Cases!$B:$B,$A$3,RAW_Cases!BJ:BJ)</f>
        <v>25489</v>
      </c>
      <c r="BJ4" s="32">
        <f>SUMIF(RAW_Cases!$B:$B,$A$3,RAW_Cases!BK:BK)</f>
        <v>33276</v>
      </c>
      <c r="BK4" s="32">
        <f>SUMIF(RAW_Cases!$B:$B,$A$3,RAW_Cases!BL:BL)</f>
        <v>43847</v>
      </c>
      <c r="BL4" s="32">
        <f>SUMIF(RAW_Cases!$B:$B,$A$3,RAW_Cases!BM:BM)</f>
        <v>0</v>
      </c>
      <c r="BM4" s="32">
        <f>SUMIF(RAW_Cases!$B:$B,$A$3,RAW_Cases!BN:BN)</f>
        <v>0</v>
      </c>
      <c r="BN4" s="32">
        <f>SUMIF(RAW_Cases!$B:$B,$A$3,RAW_Cases!BO:BO)</f>
        <v>0</v>
      </c>
      <c r="BO4" s="32">
        <f>SUMIF(RAW_Cases!$B:$B,$A$3,RAW_Cases!BP:BP)</f>
        <v>0</v>
      </c>
      <c r="BP4" s="32">
        <f>SUMIF(RAW_Cases!$B:$B,$A$3,RAW_Cases!BQ:BQ)</f>
        <v>0</v>
      </c>
      <c r="BQ4" s="32">
        <f>SUMIF(RAW_Cases!$B:$B,$A$3,RAW_Cases!BR:BR)</f>
        <v>0</v>
      </c>
      <c r="BR4" s="32">
        <f>SUMIF(RAW_Cases!$B:$B,$A$3,RAW_Cases!BS:BS)</f>
        <v>0</v>
      </c>
      <c r="BS4" s="32">
        <f>SUMIF(RAW_Cases!$B:$B,$A$3,RAW_Cases!BT:BT)</f>
        <v>0</v>
      </c>
      <c r="BT4" s="32">
        <f>SUMIF(RAW_Cases!$B:$B,$A$3,RAW_Cases!BU:BU)</f>
        <v>0</v>
      </c>
      <c r="BU4" s="32">
        <f>SUMIF(RAW_Cases!$B:$B,$A$3,RAW_Cases!BV:BV)</f>
        <v>0</v>
      </c>
      <c r="BV4" s="32">
        <f>SUMIF(RAW_Cases!$B:$B,$A$3,RAW_Cases!BW:BW)</f>
        <v>0</v>
      </c>
      <c r="BW4" s="32">
        <f>SUMIF(RAW_Cases!$B:$B,$A$3,RAW_Cases!BX:BX)</f>
        <v>0</v>
      </c>
      <c r="BX4" s="32">
        <f>SUMIF(RAW_Cases!$B:$B,$A$3,RAW_Cases!BY:BY)</f>
        <v>0</v>
      </c>
      <c r="BY4" s="32">
        <f>SUMIF(RAW_Cases!$B:$B,$A$3,RAW_Cases!BZ:BZ)</f>
        <v>0</v>
      </c>
      <c r="BZ4" s="32">
        <f>SUMIF(RAW_Cases!$B:$B,$A$3,RAW_Cases!CA:CA)</f>
        <v>0</v>
      </c>
      <c r="CA4" s="32">
        <f>SUMIF(RAW_Cases!$B:$B,$A$3,RAW_Cases!CB:CB)</f>
        <v>0</v>
      </c>
      <c r="CB4" s="32">
        <f>SUMIF(RAW_Cases!$B:$B,$A$3,RAW_Cases!CC:CC)</f>
        <v>0</v>
      </c>
      <c r="CC4" s="32">
        <f>SUMIF(RAW_Cases!$B:$B,$A$3,RAW_Cases!CD:CD)</f>
        <v>0</v>
      </c>
      <c r="CD4" s="32">
        <f>SUMIF(RAW_Cases!$B:$B,$A$3,RAW_Cases!CE:CE)</f>
        <v>0</v>
      </c>
      <c r="CE4" s="32">
        <f>SUMIF(RAW_Cases!$B:$B,$A$3,RAW_Cases!CF:CF)</f>
        <v>0</v>
      </c>
    </row>
    <row r="5" spans="1:83" s="15" customFormat="1" ht="12.75" x14ac:dyDescent="0.2">
      <c r="A5" s="30" t="s">
        <v>555</v>
      </c>
      <c r="B5" s="32">
        <f>SUMIF(RAW_DEATHS!$B:$B,$A$3,RAW_DEATHS!C:C)</f>
        <v>0</v>
      </c>
      <c r="C5" s="32">
        <f>SUMIF(RAW_DEATHS!$B:$B,$A$3,RAW_DEATHS!D:D)</f>
        <v>0</v>
      </c>
      <c r="D5" s="32">
        <f>SUMIF(RAW_DEATHS!$B:$B,$A$3,RAW_DEATHS!E:E)</f>
        <v>0</v>
      </c>
      <c r="E5" s="32">
        <f>SUMIF(RAW_DEATHS!$B:$B,$A$3,RAW_DEATHS!F:F)</f>
        <v>0</v>
      </c>
      <c r="F5" s="32">
        <f>SUMIF(RAW_DEATHS!$B:$B,$A$3,RAW_DEATHS!G:G)</f>
        <v>0</v>
      </c>
      <c r="G5" s="32">
        <f>SUMIF(RAW_DEATHS!$B:$B,$A$3,RAW_DEATHS!H:H)</f>
        <v>0</v>
      </c>
      <c r="H5" s="32">
        <f>SUMIF(RAW_DEATHS!$B:$B,$A$3,RAW_DEATHS!I:I)</f>
        <v>0</v>
      </c>
      <c r="I5" s="32">
        <f>SUMIF(RAW_DEATHS!$B:$B,$A$3,RAW_DEATHS!J:J)</f>
        <v>0</v>
      </c>
      <c r="J5" s="32">
        <f>SUMIF(RAW_DEATHS!$B:$B,$A$3,RAW_DEATHS!K:K)</f>
        <v>0</v>
      </c>
      <c r="K5" s="32">
        <f>SUMIF(RAW_DEATHS!$B:$B,$A$3,RAW_DEATHS!L:L)</f>
        <v>0</v>
      </c>
      <c r="L5" s="32">
        <f>SUMIF(RAW_DEATHS!$B:$B,$A$3,RAW_DEATHS!M:M)</f>
        <v>0</v>
      </c>
      <c r="M5" s="32">
        <f>SUMIF(RAW_DEATHS!$B:$B,$A$3,RAW_DEATHS!N:N)</f>
        <v>0</v>
      </c>
      <c r="N5" s="32">
        <f>SUMIF(RAW_DEATHS!$B:$B,$A$3,RAW_DEATHS!O:O)</f>
        <v>0</v>
      </c>
      <c r="O5" s="32">
        <f>SUMIF(RAW_DEATHS!$B:$B,$A$3,RAW_DEATHS!P:P)</f>
        <v>0</v>
      </c>
      <c r="P5" s="32">
        <f>SUMIF(RAW_DEATHS!$B:$B,$A$3,RAW_DEATHS!Q:Q)</f>
        <v>0</v>
      </c>
      <c r="Q5" s="32">
        <f>SUMIF(RAW_DEATHS!$B:$B,$A$3,RAW_DEATHS!R:R)</f>
        <v>0</v>
      </c>
      <c r="R5" s="32">
        <f>SUMIF(RAW_DEATHS!$B:$B,$A$3,RAW_DEATHS!S:S)</f>
        <v>0</v>
      </c>
      <c r="S5" s="32">
        <f>SUMIF(RAW_DEATHS!$B:$B,$A$3,RAW_DEATHS!T:T)</f>
        <v>0</v>
      </c>
      <c r="T5" s="32">
        <f>SUMIF(RAW_DEATHS!$B:$B,$A$3,RAW_DEATHS!U:U)</f>
        <v>0</v>
      </c>
      <c r="U5" s="32">
        <f>SUMIF(RAW_DEATHS!$B:$B,$A$3,RAW_DEATHS!V:V)</f>
        <v>0</v>
      </c>
      <c r="V5" s="32">
        <f>SUMIF(RAW_DEATHS!$B:$B,$A$3,RAW_DEATHS!W:W)</f>
        <v>0</v>
      </c>
      <c r="W5" s="32">
        <f>SUMIF(RAW_DEATHS!$B:$B,$A$3,RAW_DEATHS!X:X)</f>
        <v>0</v>
      </c>
      <c r="X5" s="32">
        <f>SUMIF(RAW_DEATHS!$B:$B,$A$3,RAW_DEATHS!Y:Y)</f>
        <v>0</v>
      </c>
      <c r="Y5" s="32">
        <f>SUMIF(RAW_DEATHS!$B:$B,$A$3,RAW_DEATHS!Z:Z)</f>
        <v>0</v>
      </c>
      <c r="Z5" s="32">
        <f>SUMIF(RAW_DEATHS!$B:$B,$A$3,RAW_DEATHS!AA:AA)</f>
        <v>0</v>
      </c>
      <c r="AA5" s="32">
        <f>SUMIF(RAW_DEATHS!$B:$B,$A$3,RAW_DEATHS!AB:AB)</f>
        <v>0</v>
      </c>
      <c r="AB5" s="32">
        <f>SUMIF(RAW_DEATHS!$B:$B,$A$3,RAW_DEATHS!AC:AC)</f>
        <v>0</v>
      </c>
      <c r="AC5" s="32">
        <f>SUMIF(RAW_DEATHS!$B:$B,$A$3,RAW_DEATHS!AD:AD)</f>
        <v>0</v>
      </c>
      <c r="AD5" s="32">
        <f>SUMIF(RAW_DEATHS!$B:$B,$A$3,RAW_DEATHS!AE:AE)</f>
        <v>0</v>
      </c>
      <c r="AE5" s="32">
        <f>SUMIF(RAW_DEATHS!$B:$B,$A$3,RAW_DEATHS!AF:AF)</f>
        <v>0</v>
      </c>
      <c r="AF5" s="32">
        <f>SUMIF(RAW_DEATHS!$B:$B,$A$3,RAW_DEATHS!AG:AG)</f>
        <v>0</v>
      </c>
      <c r="AG5" s="32">
        <f>SUMIF(RAW_DEATHS!$B:$B,$A$3,RAW_DEATHS!AH:AH)</f>
        <v>0</v>
      </c>
      <c r="AH5" s="32">
        <f>SUMIF(RAW_DEATHS!$B:$B,$A$3,RAW_DEATHS!AI:AI)</f>
        <v>0</v>
      </c>
      <c r="AI5" s="32">
        <f>SUMIF(RAW_DEATHS!$B:$B,$A$3,RAW_DEATHS!AJ:AJ)</f>
        <v>0</v>
      </c>
      <c r="AJ5" s="32">
        <f>SUMIF(RAW_DEATHS!$B:$B,$A$3,RAW_DEATHS!AK:AK)</f>
        <v>0</v>
      </c>
      <c r="AK5" s="32">
        <f>SUMIF(RAW_DEATHS!$B:$B,$A$3,RAW_DEATHS!AL:AL)</f>
        <v>0</v>
      </c>
      <c r="AL5" s="32">
        <f>SUMIF(RAW_DEATHS!$B:$B,$A$3,RAW_DEATHS!AM:AM)</f>
        <v>0</v>
      </c>
      <c r="AM5" s="32">
        <f>SUMIF(RAW_DEATHS!$B:$B,$A$3,RAW_DEATHS!AN:AN)</f>
        <v>0</v>
      </c>
      <c r="AN5" s="32">
        <f>SUMIF(RAW_DEATHS!$B:$B,$A$3,RAW_DEATHS!AO:AO)</f>
        <v>1</v>
      </c>
      <c r="AO5" s="32">
        <f>SUMIF(RAW_DEATHS!$B:$B,$A$3,RAW_DEATHS!AP:AP)</f>
        <v>1</v>
      </c>
      <c r="AP5" s="32">
        <f>SUMIF(RAW_DEATHS!$B:$B,$A$3,RAW_DEATHS!AQ:AQ)</f>
        <v>6</v>
      </c>
      <c r="AQ5" s="32">
        <f>SUMIF(RAW_DEATHS!$B:$B,$A$3,RAW_DEATHS!AR:AR)</f>
        <v>7</v>
      </c>
      <c r="AR5" s="32">
        <f>SUMIF(RAW_DEATHS!$B:$B,$A$3,RAW_DEATHS!AS:AS)</f>
        <v>11</v>
      </c>
      <c r="AS5" s="32">
        <f>SUMIF(RAW_DEATHS!$B:$B,$A$3,RAW_DEATHS!AT:AT)</f>
        <v>12</v>
      </c>
      <c r="AT5" s="32">
        <f>SUMIF(RAW_DEATHS!$B:$B,$A$3,RAW_DEATHS!AU:AU)</f>
        <v>14</v>
      </c>
      <c r="AU5" s="32">
        <f>SUMIF(RAW_DEATHS!$B:$B,$A$3,RAW_DEATHS!AV:AV)</f>
        <v>17</v>
      </c>
      <c r="AV5" s="32">
        <f>SUMIF(RAW_DEATHS!$B:$B,$A$3,RAW_DEATHS!AW:AW)</f>
        <v>21</v>
      </c>
      <c r="AW5" s="32">
        <f>SUMIF(RAW_DEATHS!$B:$B,$A$3,RAW_DEATHS!AX:AX)</f>
        <v>22</v>
      </c>
      <c r="AX5" s="32">
        <f>SUMIF(RAW_DEATHS!$B:$B,$A$3,RAW_DEATHS!AY:AY)</f>
        <v>28</v>
      </c>
      <c r="AY5" s="32">
        <f>SUMIF(RAW_DEATHS!$B:$B,$A$3,RAW_DEATHS!AZ:AZ)</f>
        <v>36</v>
      </c>
      <c r="AZ5" s="32">
        <f>SUMIF(RAW_DEATHS!$B:$B,$A$3,RAW_DEATHS!BA:BA)</f>
        <v>40</v>
      </c>
      <c r="BA5" s="32">
        <f>SUMIF(RAW_DEATHS!$B:$B,$A$3,RAW_DEATHS!BB:BB)</f>
        <v>47</v>
      </c>
      <c r="BB5" s="32">
        <f>SUMIF(RAW_DEATHS!$B:$B,$A$3,RAW_DEATHS!BC:BC)</f>
        <v>54</v>
      </c>
      <c r="BC5" s="32">
        <f>SUMIF(RAW_DEATHS!$B:$B,$A$3,RAW_DEATHS!BD:BD)</f>
        <v>63</v>
      </c>
      <c r="BD5" s="32">
        <f>SUMIF(RAW_DEATHS!$B:$B,$A$3,RAW_DEATHS!BE:BE)</f>
        <v>85</v>
      </c>
      <c r="BE5" s="32">
        <f>SUMIF(RAW_DEATHS!$B:$B,$A$3,RAW_DEATHS!BF:BF)</f>
        <v>108</v>
      </c>
      <c r="BF5" s="32">
        <f>SUMIF(RAW_DEATHS!$B:$B,$A$3,RAW_DEATHS!BG:BG)</f>
        <v>118</v>
      </c>
      <c r="BG5" s="32">
        <f>SUMIF(RAW_DEATHS!$B:$B,$A$3,RAW_DEATHS!BH:BH)</f>
        <v>200</v>
      </c>
      <c r="BH5" s="32">
        <f>SUMIF(RAW_DEATHS!$B:$B,$A$3,RAW_DEATHS!BI:BI)</f>
        <v>244</v>
      </c>
      <c r="BI5" s="32">
        <f>SUMIF(RAW_DEATHS!$B:$B,$A$3,RAW_DEATHS!BJ:BJ)</f>
        <v>307</v>
      </c>
      <c r="BJ5" s="32">
        <f>SUMIF(RAW_DEATHS!$B:$B,$A$3,RAW_DEATHS!BK:BK)</f>
        <v>417</v>
      </c>
      <c r="BK5" s="32">
        <f>SUMIF(RAW_DEATHS!$B:$B,$A$3,RAW_DEATHS!BL:BL)</f>
        <v>557</v>
      </c>
      <c r="BL5" s="32">
        <f>SUMIF(RAW_DEATHS!$B:$B,$A$3,RAW_DEATHS!BM:BM)</f>
        <v>0</v>
      </c>
      <c r="BM5" s="32">
        <f>SUMIF(RAW_DEATHS!$B:$B,$A$3,RAW_DEATHS!BN:BN)</f>
        <v>0</v>
      </c>
      <c r="BN5" s="32">
        <f>SUMIF(RAW_DEATHS!$B:$B,$A$3,RAW_DEATHS!BO:BO)</f>
        <v>0</v>
      </c>
      <c r="BO5" s="32">
        <f>SUMIF(RAW_DEATHS!$B:$B,$A$3,RAW_DEATHS!BP:BP)</f>
        <v>0</v>
      </c>
      <c r="BP5" s="32">
        <f>SUMIF(RAW_DEATHS!$B:$B,$A$3,RAW_DEATHS!BQ:BQ)</f>
        <v>0</v>
      </c>
      <c r="BQ5" s="32">
        <f>SUMIF(RAW_DEATHS!$B:$B,$A$3,RAW_DEATHS!BR:BR)</f>
        <v>0</v>
      </c>
      <c r="BR5" s="32">
        <f>SUMIF(RAW_DEATHS!$B:$B,$A$3,RAW_DEATHS!BS:BS)</f>
        <v>0</v>
      </c>
      <c r="BS5" s="32">
        <f>SUMIF(RAW_DEATHS!$B:$B,$A$3,RAW_DEATHS!BT:BT)</f>
        <v>0</v>
      </c>
      <c r="BT5" s="32">
        <f>SUMIF(RAW_DEATHS!$B:$B,$A$3,RAW_DEATHS!BU:BU)</f>
        <v>0</v>
      </c>
      <c r="BU5" s="32">
        <f>SUMIF(RAW_DEATHS!$B:$B,$A$3,RAW_DEATHS!BV:BV)</f>
        <v>0</v>
      </c>
      <c r="BV5" s="32">
        <f>SUMIF(RAW_DEATHS!$B:$B,$A$3,RAW_DEATHS!BW:BW)</f>
        <v>0</v>
      </c>
      <c r="BW5" s="32">
        <f>SUMIF(RAW_DEATHS!$B:$B,$A$3,RAW_DEATHS!BX:BX)</f>
        <v>0</v>
      </c>
      <c r="BX5" s="32">
        <f>SUMIF(RAW_DEATHS!$B:$B,$A$3,RAW_DEATHS!BY:BY)</f>
        <v>0</v>
      </c>
      <c r="BY5" s="32">
        <f>SUMIF(RAW_DEATHS!$B:$B,$A$3,RAW_DEATHS!BZ:BZ)</f>
        <v>0</v>
      </c>
      <c r="BZ5" s="32">
        <f>SUMIF(RAW_DEATHS!$B:$B,$A$3,RAW_DEATHS!CA:CA)</f>
        <v>0</v>
      </c>
      <c r="CA5" s="32">
        <f>SUMIF(RAW_DEATHS!$B:$B,$A$3,RAW_DEATHS!CB:CB)</f>
        <v>0</v>
      </c>
      <c r="CB5" s="32">
        <f>SUMIF(RAW_DEATHS!$B:$B,$A$3,RAW_DEATHS!CC:CC)</f>
        <v>0</v>
      </c>
      <c r="CC5" s="32">
        <f>SUMIF(RAW_DEATHS!$B:$B,$A$3,RAW_DEATHS!CD:CD)</f>
        <v>0</v>
      </c>
      <c r="CD5" s="32">
        <f>SUMIF(RAW_DEATHS!$B:$B,$A$3,RAW_DEATHS!CE:CE)</f>
        <v>0</v>
      </c>
      <c r="CE5" s="32">
        <f>SUMIF(RAW_DEATHS!$B:$B,$A$3,RAW_DEATHS!CF:CF)</f>
        <v>0</v>
      </c>
    </row>
    <row r="6" spans="1:83" s="15" customFormat="1" ht="12.75" x14ac:dyDescent="0.2">
      <c r="A6" s="30" t="s">
        <v>558</v>
      </c>
      <c r="B6" s="32">
        <f>SUMIF(RAW_RECOVERED!$B:$B,$A$3,RAW_RECOVERED!C:C)</f>
        <v>0</v>
      </c>
      <c r="C6" s="32">
        <f>SUMIF(RAW_RECOVERED!$B:$B,$A$3,RAW_RECOVERED!D:D)</f>
        <v>0</v>
      </c>
      <c r="D6" s="32">
        <f>SUMIF(RAW_RECOVERED!$B:$B,$A$3,RAW_RECOVERED!E:E)</f>
        <v>0</v>
      </c>
      <c r="E6" s="32">
        <f>SUMIF(RAW_RECOVERED!$B:$B,$A$3,RAW_RECOVERED!F:F)</f>
        <v>0</v>
      </c>
      <c r="F6" s="32">
        <f>SUMIF(RAW_RECOVERED!$B:$B,$A$3,RAW_RECOVERED!G:G)</f>
        <v>0</v>
      </c>
      <c r="G6" s="32">
        <f>SUMIF(RAW_RECOVERED!$B:$B,$A$3,RAW_RECOVERED!H:H)</f>
        <v>0</v>
      </c>
      <c r="H6" s="32">
        <f>SUMIF(RAW_RECOVERED!$B:$B,$A$3,RAW_RECOVERED!I:I)</f>
        <v>0</v>
      </c>
      <c r="I6" s="32">
        <f>SUMIF(RAW_RECOVERED!$B:$B,$A$3,RAW_RECOVERED!J:J)</f>
        <v>0</v>
      </c>
      <c r="J6" s="32">
        <f>SUMIF(RAW_RECOVERED!$B:$B,$A$3,RAW_RECOVERED!K:K)</f>
        <v>0</v>
      </c>
      <c r="K6" s="32">
        <f>SUMIF(RAW_RECOVERED!$B:$B,$A$3,RAW_RECOVERED!L:L)</f>
        <v>0</v>
      </c>
      <c r="L6" s="32">
        <f>SUMIF(RAW_RECOVERED!$B:$B,$A$3,RAW_RECOVERED!M:M)</f>
        <v>0</v>
      </c>
      <c r="M6" s="32">
        <f>SUMIF(RAW_RECOVERED!$B:$B,$A$3,RAW_RECOVERED!N:N)</f>
        <v>0</v>
      </c>
      <c r="N6" s="32">
        <f>SUMIF(RAW_RECOVERED!$B:$B,$A$3,RAW_RECOVERED!O:O)</f>
        <v>0</v>
      </c>
      <c r="O6" s="32">
        <f>SUMIF(RAW_RECOVERED!$B:$B,$A$3,RAW_RECOVERED!P:P)</f>
        <v>0</v>
      </c>
      <c r="P6" s="32">
        <f>SUMIF(RAW_RECOVERED!$B:$B,$A$3,RAW_RECOVERED!Q:Q)</f>
        <v>0</v>
      </c>
      <c r="Q6" s="32">
        <f>SUMIF(RAW_RECOVERED!$B:$B,$A$3,RAW_RECOVERED!R:R)</f>
        <v>0</v>
      </c>
      <c r="R6" s="32">
        <f>SUMIF(RAW_RECOVERED!$B:$B,$A$3,RAW_RECOVERED!S:S)</f>
        <v>0</v>
      </c>
      <c r="S6" s="32">
        <f>SUMIF(RAW_RECOVERED!$B:$B,$A$3,RAW_RECOVERED!T:T)</f>
        <v>0</v>
      </c>
      <c r="T6" s="32">
        <f>SUMIF(RAW_RECOVERED!$B:$B,$A$3,RAW_RECOVERED!U:U)</f>
        <v>3</v>
      </c>
      <c r="U6" s="32">
        <f>SUMIF(RAW_RECOVERED!$B:$B,$A$3,RAW_RECOVERED!V:V)</f>
        <v>3</v>
      </c>
      <c r="V6" s="32">
        <f>SUMIF(RAW_RECOVERED!$B:$B,$A$3,RAW_RECOVERED!W:W)</f>
        <v>3</v>
      </c>
      <c r="W6" s="32">
        <f>SUMIF(RAW_RECOVERED!$B:$B,$A$3,RAW_RECOVERED!X:X)</f>
        <v>3</v>
      </c>
      <c r="X6" s="32">
        <f>SUMIF(RAW_RECOVERED!$B:$B,$A$3,RAW_RECOVERED!Y:Y)</f>
        <v>3</v>
      </c>
      <c r="Y6" s="32">
        <f>SUMIF(RAW_RECOVERED!$B:$B,$A$3,RAW_RECOVERED!Z:Z)</f>
        <v>3</v>
      </c>
      <c r="Z6" s="32">
        <f>SUMIF(RAW_RECOVERED!$B:$B,$A$3,RAW_RECOVERED!AA:AA)</f>
        <v>3</v>
      </c>
      <c r="AA6" s="32">
        <f>SUMIF(RAW_RECOVERED!$B:$B,$A$3,RAW_RECOVERED!AB:AB)</f>
        <v>3</v>
      </c>
      <c r="AB6" s="32">
        <f>SUMIF(RAW_RECOVERED!$B:$B,$A$3,RAW_RECOVERED!AC:AC)</f>
        <v>3</v>
      </c>
      <c r="AC6" s="32">
        <f>SUMIF(RAW_RECOVERED!$B:$B,$A$3,RAW_RECOVERED!AD:AD)</f>
        <v>3</v>
      </c>
      <c r="AD6" s="32">
        <f>SUMIF(RAW_RECOVERED!$B:$B,$A$3,RAW_RECOVERED!AE:AE)</f>
        <v>3</v>
      </c>
      <c r="AE6" s="32">
        <f>SUMIF(RAW_RECOVERED!$B:$B,$A$3,RAW_RECOVERED!AF:AF)</f>
        <v>3</v>
      </c>
      <c r="AF6" s="32">
        <f>SUMIF(RAW_RECOVERED!$B:$B,$A$3,RAW_RECOVERED!AG:AG)</f>
        <v>5</v>
      </c>
      <c r="AG6" s="32">
        <f>SUMIF(RAW_RECOVERED!$B:$B,$A$3,RAW_RECOVERED!AH:AH)</f>
        <v>5</v>
      </c>
      <c r="AH6" s="32">
        <f>SUMIF(RAW_RECOVERED!$B:$B,$A$3,RAW_RECOVERED!AI:AI)</f>
        <v>5</v>
      </c>
      <c r="AI6" s="32">
        <f>SUMIF(RAW_RECOVERED!$B:$B,$A$3,RAW_RECOVERED!AJ:AJ)</f>
        <v>5</v>
      </c>
      <c r="AJ6" s="32">
        <f>SUMIF(RAW_RECOVERED!$B:$B,$A$3,RAW_RECOVERED!AK:AK)</f>
        <v>6</v>
      </c>
      <c r="AK6" s="32">
        <f>SUMIF(RAW_RECOVERED!$B:$B,$A$3,RAW_RECOVERED!AL:AL)</f>
        <v>6</v>
      </c>
      <c r="AL6" s="32">
        <f>SUMIF(RAW_RECOVERED!$B:$B,$A$3,RAW_RECOVERED!AM:AM)</f>
        <v>6</v>
      </c>
      <c r="AM6" s="32">
        <f>SUMIF(RAW_RECOVERED!$B:$B,$A$3,RAW_RECOVERED!AN:AN)</f>
        <v>7</v>
      </c>
      <c r="AN6" s="32">
        <f>SUMIF(RAW_RECOVERED!$B:$B,$A$3,RAW_RECOVERED!AO:AO)</f>
        <v>7</v>
      </c>
      <c r="AO6" s="32">
        <f>SUMIF(RAW_RECOVERED!$B:$B,$A$3,RAW_RECOVERED!AP:AP)</f>
        <v>7</v>
      </c>
      <c r="AP6" s="32">
        <f>SUMIF(RAW_RECOVERED!$B:$B,$A$3,RAW_RECOVERED!AQ:AQ)</f>
        <v>7</v>
      </c>
      <c r="AQ6" s="32">
        <f>SUMIF(RAW_RECOVERED!$B:$B,$A$3,RAW_RECOVERED!AR:AR)</f>
        <v>7</v>
      </c>
      <c r="AR6" s="32">
        <f>SUMIF(RAW_RECOVERED!$B:$B,$A$3,RAW_RECOVERED!AS:AS)</f>
        <v>7</v>
      </c>
      <c r="AS6" s="32">
        <f>SUMIF(RAW_RECOVERED!$B:$B,$A$3,RAW_RECOVERED!AT:AT)</f>
        <v>7</v>
      </c>
      <c r="AT6" s="32">
        <f>SUMIF(RAW_RECOVERED!$B:$B,$A$3,RAW_RECOVERED!AU:AU)</f>
        <v>7</v>
      </c>
      <c r="AU6" s="32">
        <f>SUMIF(RAW_RECOVERED!$B:$B,$A$3,RAW_RECOVERED!AV:AV)</f>
        <v>7</v>
      </c>
      <c r="AV6" s="32">
        <f>SUMIF(RAW_RECOVERED!$B:$B,$A$3,RAW_RECOVERED!AW:AW)</f>
        <v>7</v>
      </c>
      <c r="AW6" s="32">
        <f>SUMIF(RAW_RECOVERED!$B:$B,$A$3,RAW_RECOVERED!AX:AX)</f>
        <v>7</v>
      </c>
      <c r="AX6" s="32">
        <f>SUMIF(RAW_RECOVERED!$B:$B,$A$3,RAW_RECOVERED!AY:AY)</f>
        <v>8</v>
      </c>
      <c r="AY6" s="32">
        <f>SUMIF(RAW_RECOVERED!$B:$B,$A$3,RAW_RECOVERED!AZ:AZ)</f>
        <v>8</v>
      </c>
      <c r="AZ6" s="32">
        <f>SUMIF(RAW_RECOVERED!$B:$B,$A$3,RAW_RECOVERED!BA:BA)</f>
        <v>12</v>
      </c>
      <c r="BA6" s="32">
        <f>SUMIF(RAW_RECOVERED!$B:$B,$A$3,RAW_RECOVERED!BB:BB)</f>
        <v>12</v>
      </c>
      <c r="BB6" s="32">
        <f>SUMIF(RAW_RECOVERED!$B:$B,$A$3,RAW_RECOVERED!BC:BC)</f>
        <v>12</v>
      </c>
      <c r="BC6" s="32">
        <f>SUMIF(RAW_RECOVERED!$B:$B,$A$3,RAW_RECOVERED!BD:BD)</f>
        <v>12</v>
      </c>
      <c r="BD6" s="32">
        <f>SUMIF(RAW_RECOVERED!$B:$B,$A$3,RAW_RECOVERED!BE:BE)</f>
        <v>17</v>
      </c>
      <c r="BE6" s="32">
        <f>SUMIF(RAW_RECOVERED!$B:$B,$A$3,RAW_RECOVERED!BF:BF)</f>
        <v>17</v>
      </c>
      <c r="BF6" s="32">
        <f>SUMIF(RAW_RECOVERED!$B:$B,$A$3,RAW_RECOVERED!BG:BG)</f>
        <v>0</v>
      </c>
      <c r="BG6" s="32">
        <f>SUMIF(RAW_RECOVERED!$B:$B,$A$3,RAW_RECOVERED!BH:BH)</f>
        <v>0</v>
      </c>
      <c r="BH6" s="32">
        <f>SUMIF(RAW_RECOVERED!$B:$B,$A$3,RAW_RECOVERED!BI:BI)</f>
        <v>0</v>
      </c>
      <c r="BI6" s="32">
        <f>SUMIF(RAW_RECOVERED!$B:$B,$A$3,RAW_RECOVERED!BJ:BJ)</f>
        <v>0</v>
      </c>
      <c r="BJ6" s="32">
        <f>SUMIF(RAW_RECOVERED!$B:$B,$A$3,RAW_RECOVERED!BK:BK)</f>
        <v>0</v>
      </c>
      <c r="BK6" s="32">
        <f>SUMIF(RAW_RECOVERED!$B:$B,$A$3,RAW_RECOVERED!BL:BL)</f>
        <v>0</v>
      </c>
      <c r="BL6" s="32">
        <f>SUMIF(RAW_RECOVERED!$B:$B,$A$3,RAW_RECOVERED!BM:BM)</f>
        <v>0</v>
      </c>
      <c r="BM6" s="32">
        <f>SUMIF(RAW_RECOVERED!$B:$B,$A$3,RAW_RECOVERED!BN:BN)</f>
        <v>0</v>
      </c>
      <c r="BN6" s="32">
        <f>SUMIF(RAW_RECOVERED!$B:$B,$A$3,RAW_RECOVERED!BO:BO)</f>
        <v>0</v>
      </c>
      <c r="BO6" s="32">
        <f>SUMIF(RAW_RECOVERED!$B:$B,$A$3,RAW_RECOVERED!BP:BP)</f>
        <v>0</v>
      </c>
      <c r="BP6" s="32">
        <f>SUMIF(RAW_RECOVERED!$B:$B,$A$3,RAW_RECOVERED!BQ:BQ)</f>
        <v>0</v>
      </c>
      <c r="BQ6" s="32">
        <f>SUMIF(RAW_RECOVERED!$B:$B,$A$3,RAW_RECOVERED!BR:BR)</f>
        <v>0</v>
      </c>
      <c r="BR6" s="32">
        <f>SUMIF(RAW_RECOVERED!$B:$B,$A$3,RAW_RECOVERED!BS:BS)</f>
        <v>0</v>
      </c>
      <c r="BS6" s="32">
        <f>SUMIF(RAW_RECOVERED!$B:$B,$A$3,RAW_RECOVERED!BT:BT)</f>
        <v>0</v>
      </c>
      <c r="BT6" s="32">
        <f>SUMIF(RAW_RECOVERED!$B:$B,$A$3,RAW_RECOVERED!BU:BU)</f>
        <v>0</v>
      </c>
      <c r="BU6" s="32">
        <f>SUMIF(RAW_RECOVERED!$B:$B,$A$3,RAW_RECOVERED!BV:BV)</f>
        <v>0</v>
      </c>
      <c r="BV6" s="32">
        <f>SUMIF(RAW_RECOVERED!$B:$B,$A$3,RAW_RECOVERED!BW:BW)</f>
        <v>0</v>
      </c>
      <c r="BW6" s="32">
        <f>SUMIF(RAW_RECOVERED!$B:$B,$A$3,RAW_RECOVERED!BX:BX)</f>
        <v>0</v>
      </c>
      <c r="BX6" s="32">
        <f>SUMIF(RAW_RECOVERED!$B:$B,$A$3,RAW_RECOVERED!BY:BY)</f>
        <v>0</v>
      </c>
      <c r="BY6" s="32">
        <f>SUMIF(RAW_RECOVERED!$B:$B,$A$3,RAW_RECOVERED!BZ:BZ)</f>
        <v>0</v>
      </c>
      <c r="BZ6" s="32">
        <f>SUMIF(RAW_RECOVERED!$B:$B,$A$3,RAW_RECOVERED!CA:CA)</f>
        <v>0</v>
      </c>
      <c r="CA6" s="32">
        <f>SUMIF(RAW_RECOVERED!$B:$B,$A$3,RAW_RECOVERED!CB:CB)</f>
        <v>0</v>
      </c>
      <c r="CB6" s="32">
        <f>SUMIF(RAW_RECOVERED!$B:$B,$A$3,RAW_RECOVERED!CC:CC)</f>
        <v>0</v>
      </c>
      <c r="CC6" s="32">
        <f>SUMIF(RAW_RECOVERED!$B:$B,$A$3,RAW_RECOVERED!CD:CD)</f>
        <v>0</v>
      </c>
      <c r="CD6" s="32">
        <f>SUMIF(RAW_RECOVERED!$B:$B,$A$3,RAW_RECOVERED!CE:CE)</f>
        <v>0</v>
      </c>
      <c r="CE6" s="32">
        <f>SUMIF(RAW_RECOVERED!$B:$B,$A$3,RAW_RECOVERED!CF:CF)</f>
        <v>0</v>
      </c>
    </row>
    <row r="7" spans="1:83" s="15" customFormat="1" ht="12.75" x14ac:dyDescent="0.2">
      <c r="A7" s="30" t="s">
        <v>620</v>
      </c>
      <c r="B7" s="35"/>
      <c r="C7" s="35" t="str">
        <f>IF(C4-B4,(2*B4-C4)/(C4-B4)+1,"")</f>
        <v/>
      </c>
      <c r="D7" s="35">
        <f t="shared" ref="D7:BJ7" si="0">IF(D4-C4,(2*C4-D4)/(D4-C4)+1,"")</f>
        <v>1</v>
      </c>
      <c r="E7" s="35" t="str">
        <f t="shared" si="0"/>
        <v/>
      </c>
      <c r="F7" s="35">
        <f t="shared" si="0"/>
        <v>0.66666666666666674</v>
      </c>
      <c r="G7" s="35" t="str">
        <f t="shared" si="0"/>
        <v/>
      </c>
      <c r="H7" s="35" t="str">
        <f t="shared" si="0"/>
        <v/>
      </c>
      <c r="I7" s="35" t="str">
        <f t="shared" si="0"/>
        <v/>
      </c>
      <c r="J7" s="35" t="str">
        <f t="shared" si="0"/>
        <v/>
      </c>
      <c r="K7" s="35">
        <f t="shared" si="0"/>
        <v>2.5</v>
      </c>
      <c r="L7" s="35">
        <f t="shared" si="0"/>
        <v>7</v>
      </c>
      <c r="M7" s="35" t="str">
        <f t="shared" si="0"/>
        <v/>
      </c>
      <c r="N7" s="35">
        <f t="shared" si="0"/>
        <v>2.666666666666667</v>
      </c>
      <c r="O7" s="35" t="str">
        <f t="shared" si="0"/>
        <v/>
      </c>
      <c r="P7" s="35" t="str">
        <f t="shared" si="0"/>
        <v/>
      </c>
      <c r="Q7" s="35" t="str">
        <f t="shared" si="0"/>
        <v/>
      </c>
      <c r="R7" s="35" t="str">
        <f t="shared" si="0"/>
        <v/>
      </c>
      <c r="S7" s="35" t="str">
        <f t="shared" si="0"/>
        <v/>
      </c>
      <c r="T7" s="35" t="str">
        <f t="shared" si="0"/>
        <v/>
      </c>
      <c r="U7" s="35" t="str">
        <f t="shared" si="0"/>
        <v/>
      </c>
      <c r="V7" s="35">
        <f t="shared" si="0"/>
        <v>11</v>
      </c>
      <c r="W7" s="35" t="str">
        <f t="shared" si="0"/>
        <v/>
      </c>
      <c r="X7" s="35">
        <f t="shared" si="0"/>
        <v>12</v>
      </c>
      <c r="Y7" s="35" t="str">
        <f t="shared" si="0"/>
        <v/>
      </c>
      <c r="Z7" s="35" t="str">
        <f t="shared" si="0"/>
        <v/>
      </c>
      <c r="AA7" s="35" t="str">
        <f t="shared" si="0"/>
        <v/>
      </c>
      <c r="AB7" s="35" t="str">
        <f t="shared" si="0"/>
        <v/>
      </c>
      <c r="AC7" s="35" t="str">
        <f t="shared" si="0"/>
        <v/>
      </c>
      <c r="AD7" s="35" t="str">
        <f t="shared" si="0"/>
        <v/>
      </c>
      <c r="AE7" s="35" t="str">
        <f t="shared" si="0"/>
        <v/>
      </c>
      <c r="AF7" s="35">
        <f t="shared" si="0"/>
        <v>6.5</v>
      </c>
      <c r="AG7" s="35" t="str">
        <f t="shared" si="0"/>
        <v/>
      </c>
      <c r="AH7" s="35" t="str">
        <f t="shared" si="0"/>
        <v/>
      </c>
      <c r="AI7" s="35">
        <f t="shared" si="0"/>
        <v>0.41666666666666663</v>
      </c>
      <c r="AJ7" s="35" t="str">
        <f t="shared" si="0"/>
        <v/>
      </c>
      <c r="AK7" s="35">
        <f t="shared" si="0"/>
        <v>8.5</v>
      </c>
      <c r="AL7" s="35">
        <f t="shared" si="0"/>
        <v>57</v>
      </c>
      <c r="AM7" s="35">
        <f t="shared" si="0"/>
        <v>29</v>
      </c>
      <c r="AN7" s="35">
        <f t="shared" si="0"/>
        <v>7.5</v>
      </c>
      <c r="AO7" s="35">
        <f t="shared" si="0"/>
        <v>11.333333333333334</v>
      </c>
      <c r="AP7" s="35">
        <f t="shared" si="0"/>
        <v>3.0833333333333335</v>
      </c>
      <c r="AQ7" s="35">
        <f t="shared" si="0"/>
        <v>4.9000000000000004</v>
      </c>
      <c r="AR7" s="35">
        <f t="shared" si="0"/>
        <v>3.806451612903226</v>
      </c>
      <c r="AS7" s="35">
        <f t="shared" si="0"/>
        <v>2.1911764705882355</v>
      </c>
      <c r="AT7" s="35">
        <f t="shared" si="0"/>
        <v>4.8222222222222229</v>
      </c>
      <c r="AU7" s="35">
        <f t="shared" si="0"/>
        <v>1.8714285714285714</v>
      </c>
      <c r="AV7" s="35">
        <f t="shared" si="0"/>
        <v>3.4655172413793105</v>
      </c>
      <c r="AW7" s="35">
        <f t="shared" si="0"/>
        <v>7.9692307692307693</v>
      </c>
      <c r="AX7" s="35">
        <f t="shared" si="0"/>
        <v>1.550531914893617</v>
      </c>
      <c r="AY7" s="35">
        <f t="shared" si="0"/>
        <v>2.9782608695652173</v>
      </c>
      <c r="AZ7" s="35">
        <f t="shared" si="0"/>
        <v>3.3534031413612566</v>
      </c>
      <c r="BA7" s="35">
        <f t="shared" si="0"/>
        <v>3.2228682170542635</v>
      </c>
      <c r="BB7" s="35">
        <f t="shared" si="0"/>
        <v>3.9762773722627736</v>
      </c>
      <c r="BC7" s="35">
        <f t="shared" si="0"/>
        <v>3.5323834196891193</v>
      </c>
      <c r="BD7" s="35">
        <f t="shared" si="0"/>
        <v>3.0882612533097968</v>
      </c>
      <c r="BE7" s="35">
        <f t="shared" si="0"/>
        <v>2.5891559530463946</v>
      </c>
      <c r="BF7" s="35">
        <f t="shared" si="0"/>
        <v>4.7143906020558006</v>
      </c>
      <c r="BG7" s="35">
        <f t="shared" si="0"/>
        <v>1.3204954190702409</v>
      </c>
      <c r="BH7" s="35">
        <f t="shared" si="0"/>
        <v>2.5220357735570715</v>
      </c>
      <c r="BI7" s="35">
        <f t="shared" si="0"/>
        <v>2.9895132258569417</v>
      </c>
      <c r="BJ7" s="35">
        <f t="shared" si="0"/>
        <v>3.2732759727751382</v>
      </c>
      <c r="BK7" s="35">
        <f>IF(BK4-BJ4,(2*BJ4-BK4)/(BK4-BJ4)+1,"")</f>
        <v>3.1478573455680636</v>
      </c>
      <c r="BL7" s="35">
        <f t="shared" ref="BL7:CE7" si="1">IF(BL4-BK4,(2*BK4-BL4)/(BL4-BK4)+1,"")</f>
        <v>-1</v>
      </c>
      <c r="BM7" s="32" t="str">
        <f t="shared" si="1"/>
        <v/>
      </c>
      <c r="BN7" s="32" t="str">
        <f t="shared" si="1"/>
        <v/>
      </c>
      <c r="BO7" s="32" t="str">
        <f t="shared" si="1"/>
        <v/>
      </c>
      <c r="BP7" s="32" t="str">
        <f t="shared" si="1"/>
        <v/>
      </c>
      <c r="BQ7" s="32" t="str">
        <f t="shared" si="1"/>
        <v/>
      </c>
      <c r="BR7" s="32" t="str">
        <f t="shared" si="1"/>
        <v/>
      </c>
      <c r="BS7" s="32" t="str">
        <f t="shared" si="1"/>
        <v/>
      </c>
      <c r="BT7" s="32" t="str">
        <f t="shared" si="1"/>
        <v/>
      </c>
      <c r="BU7" s="32" t="str">
        <f t="shared" si="1"/>
        <v/>
      </c>
      <c r="BV7" s="32" t="str">
        <f t="shared" si="1"/>
        <v/>
      </c>
      <c r="BW7" s="32" t="str">
        <f t="shared" si="1"/>
        <v/>
      </c>
      <c r="BX7" s="32" t="str">
        <f t="shared" si="1"/>
        <v/>
      </c>
      <c r="BY7" s="32" t="str">
        <f t="shared" si="1"/>
        <v/>
      </c>
      <c r="BZ7" s="32" t="str">
        <f t="shared" si="1"/>
        <v/>
      </c>
      <c r="CA7" s="32" t="str">
        <f t="shared" si="1"/>
        <v/>
      </c>
      <c r="CB7" s="32" t="str">
        <f t="shared" si="1"/>
        <v/>
      </c>
      <c r="CC7" s="32" t="str">
        <f t="shared" si="1"/>
        <v/>
      </c>
      <c r="CD7" s="32" t="str">
        <f t="shared" si="1"/>
        <v/>
      </c>
      <c r="CE7" s="32" t="str">
        <f t="shared" si="1"/>
        <v/>
      </c>
    </row>
    <row r="8" spans="1:83" s="16" customFormat="1" x14ac:dyDescent="0.25">
      <c r="B8" s="17"/>
    </row>
    <row r="9" spans="1:83" s="20" customFormat="1" ht="29.25" customHeight="1" x14ac:dyDescent="0.25">
      <c r="A9" s="18" t="s">
        <v>554</v>
      </c>
      <c r="B9" s="19"/>
    </row>
    <row r="10" spans="1:83" s="34" customFormat="1" ht="24.75" customHeight="1" x14ac:dyDescent="0.25">
      <c r="A10" s="26" t="s">
        <v>1</v>
      </c>
      <c r="B10" s="24" t="s">
        <v>559</v>
      </c>
      <c r="C10" s="25" t="s">
        <v>560</v>
      </c>
      <c r="D10" s="25" t="s">
        <v>561</v>
      </c>
      <c r="E10" s="25" t="s">
        <v>562</v>
      </c>
      <c r="F10" s="25" t="s">
        <v>563</v>
      </c>
      <c r="G10" s="25" t="s">
        <v>564</v>
      </c>
      <c r="H10" s="25" t="s">
        <v>565</v>
      </c>
      <c r="I10" s="25" t="s">
        <v>566</v>
      </c>
      <c r="J10" s="25" t="s">
        <v>567</v>
      </c>
      <c r="K10" s="25" t="s">
        <v>568</v>
      </c>
      <c r="L10" s="25" t="s">
        <v>569</v>
      </c>
      <c r="M10" s="25" t="s">
        <v>570</v>
      </c>
      <c r="N10" s="25" t="s">
        <v>571</v>
      </c>
      <c r="O10" s="25" t="s">
        <v>572</v>
      </c>
      <c r="P10" s="25" t="s">
        <v>573</v>
      </c>
      <c r="Q10" s="25" t="s">
        <v>574</v>
      </c>
      <c r="R10" s="25" t="s">
        <v>575</v>
      </c>
      <c r="S10" s="25" t="s">
        <v>576</v>
      </c>
      <c r="T10" s="25" t="s">
        <v>577</v>
      </c>
      <c r="U10" s="25" t="s">
        <v>578</v>
      </c>
      <c r="V10" s="25" t="s">
        <v>579</v>
      </c>
      <c r="W10" s="25" t="s">
        <v>580</v>
      </c>
      <c r="X10" s="25" t="s">
        <v>581</v>
      </c>
      <c r="Y10" s="25" t="s">
        <v>582</v>
      </c>
      <c r="Z10" s="25" t="s">
        <v>583</v>
      </c>
      <c r="AA10" s="25" t="s">
        <v>584</v>
      </c>
      <c r="AB10" s="25" t="s">
        <v>585</v>
      </c>
      <c r="AC10" s="25" t="s">
        <v>586</v>
      </c>
      <c r="AD10" s="25" t="s">
        <v>587</v>
      </c>
      <c r="AE10" s="25" t="s">
        <v>588</v>
      </c>
      <c r="AF10" s="25" t="s">
        <v>589</v>
      </c>
      <c r="AG10" s="25" t="s">
        <v>590</v>
      </c>
      <c r="AH10" s="25" t="s">
        <v>591</v>
      </c>
      <c r="AI10" s="25" t="s">
        <v>592</v>
      </c>
      <c r="AJ10" s="25" t="s">
        <v>593</v>
      </c>
      <c r="AK10" s="25" t="s">
        <v>594</v>
      </c>
      <c r="AL10" s="25" t="s">
        <v>595</v>
      </c>
      <c r="AM10" s="25" t="s">
        <v>596</v>
      </c>
      <c r="AN10" s="25" t="s">
        <v>597</v>
      </c>
      <c r="AO10" s="25" t="s">
        <v>598</v>
      </c>
      <c r="AP10" s="25" t="s">
        <v>599</v>
      </c>
      <c r="AQ10" s="25" t="s">
        <v>600</v>
      </c>
      <c r="AR10" s="25" t="s">
        <v>601</v>
      </c>
      <c r="AS10" s="25" t="s">
        <v>602</v>
      </c>
      <c r="AT10" s="25" t="s">
        <v>603</v>
      </c>
      <c r="AU10" s="25" t="s">
        <v>604</v>
      </c>
      <c r="AV10" s="25" t="s">
        <v>605</v>
      </c>
      <c r="AW10" s="25" t="s">
        <v>606</v>
      </c>
      <c r="AX10" s="25" t="s">
        <v>607</v>
      </c>
      <c r="AY10" s="25" t="s">
        <v>608</v>
      </c>
      <c r="AZ10" s="25" t="s">
        <v>609</v>
      </c>
      <c r="BA10" s="25" t="s">
        <v>610</v>
      </c>
      <c r="BB10" s="25" t="s">
        <v>611</v>
      </c>
      <c r="BC10" s="25" t="s">
        <v>612</v>
      </c>
      <c r="BD10" s="25" t="s">
        <v>613</v>
      </c>
      <c r="BE10" s="25" t="s">
        <v>614</v>
      </c>
      <c r="BF10" s="25" t="s">
        <v>615</v>
      </c>
      <c r="BG10" s="25" t="s">
        <v>616</v>
      </c>
      <c r="BH10" s="25" t="s">
        <v>617</v>
      </c>
      <c r="BI10" s="25" t="s">
        <v>618</v>
      </c>
      <c r="BJ10" s="25" t="s">
        <v>619</v>
      </c>
      <c r="BK10" s="25" t="s">
        <v>621</v>
      </c>
      <c r="BL10" s="25" t="s">
        <v>622</v>
      </c>
      <c r="BM10" s="25" t="s">
        <v>623</v>
      </c>
      <c r="BN10" s="25" t="s">
        <v>624</v>
      </c>
      <c r="BO10" s="25" t="s">
        <v>625</v>
      </c>
      <c r="BP10" s="25" t="s">
        <v>626</v>
      </c>
      <c r="BQ10" s="25" t="s">
        <v>627</v>
      </c>
      <c r="BR10" s="25" t="s">
        <v>628</v>
      </c>
      <c r="BS10" s="25" t="s">
        <v>629</v>
      </c>
      <c r="BT10" s="25" t="s">
        <v>630</v>
      </c>
      <c r="BU10" s="25" t="s">
        <v>631</v>
      </c>
      <c r="BV10" s="25" t="s">
        <v>632</v>
      </c>
      <c r="BW10" s="25" t="s">
        <v>633</v>
      </c>
      <c r="BX10" s="25" t="s">
        <v>634</v>
      </c>
      <c r="BY10" s="25" t="s">
        <v>635</v>
      </c>
      <c r="BZ10" s="25" t="s">
        <v>636</v>
      </c>
      <c r="CA10" s="25" t="s">
        <v>637</v>
      </c>
      <c r="CB10" s="25" t="s">
        <v>638</v>
      </c>
      <c r="CC10" s="25" t="s">
        <v>639</v>
      </c>
      <c r="CD10" s="25" t="s">
        <v>640</v>
      </c>
      <c r="CE10" s="25" t="s">
        <v>641</v>
      </c>
    </row>
    <row r="11" spans="1:83" s="15" customFormat="1" ht="12.75" x14ac:dyDescent="0.2">
      <c r="A11" s="31" t="s">
        <v>77</v>
      </c>
      <c r="B11" s="10">
        <f>SUMIF(RAW_Cases!$B:$B,Tabelle2[[#This Row],[Country/Region]],RAW_Cases!C:C)</f>
        <v>0</v>
      </c>
      <c r="C11" s="10">
        <f>SUMIF(RAW_Cases!$B:$B,Tabelle2[[#This Row],[Country/Region]],RAW_Cases!D:D)</f>
        <v>0</v>
      </c>
      <c r="D11" s="10">
        <f>SUMIF(RAW_Cases!$B:$B,Tabelle2[[#This Row],[Country/Region]],RAW_Cases!E:E)</f>
        <v>0</v>
      </c>
      <c r="E11" s="10">
        <f>SUMIF(RAW_Cases!$B:$B,Tabelle2[[#This Row],[Country/Region]],RAW_Cases!F:F)</f>
        <v>0</v>
      </c>
      <c r="F11" s="10">
        <f>SUMIF(RAW_Cases!$B:$B,Tabelle2[[#This Row],[Country/Region]],RAW_Cases!G:G)</f>
        <v>0</v>
      </c>
      <c r="G11" s="10">
        <f>SUMIF(RAW_Cases!$B:$B,Tabelle2[[#This Row],[Country/Region]],RAW_Cases!H:H)</f>
        <v>1</v>
      </c>
      <c r="H11" s="10">
        <f>SUMIF(RAW_Cases!$B:$B,Tabelle2[[#This Row],[Country/Region]],RAW_Cases!I:I)</f>
        <v>4</v>
      </c>
      <c r="I11" s="10">
        <f>SUMIF(RAW_Cases!$B:$B,Tabelle2[[#This Row],[Country/Region]],RAW_Cases!J:J)</f>
        <v>4</v>
      </c>
      <c r="J11" s="10">
        <f>SUMIF(RAW_Cases!$B:$B,Tabelle2[[#This Row],[Country/Region]],RAW_Cases!K:K)</f>
        <v>4</v>
      </c>
      <c r="K11" s="10">
        <f>SUMIF(RAW_Cases!$B:$B,Tabelle2[[#This Row],[Country/Region]],RAW_Cases!L:L)</f>
        <v>5</v>
      </c>
      <c r="L11" s="10">
        <f>SUMIF(RAW_Cases!$B:$B,Tabelle2[[#This Row],[Country/Region]],RAW_Cases!M:M)</f>
        <v>8</v>
      </c>
      <c r="M11" s="10">
        <f>SUMIF(RAW_Cases!$B:$B,Tabelle2[[#This Row],[Country/Region]],RAW_Cases!N:N)</f>
        <v>10</v>
      </c>
      <c r="N11" s="10">
        <f>SUMIF(RAW_Cases!$B:$B,Tabelle2[[#This Row],[Country/Region]],RAW_Cases!O:O)</f>
        <v>12</v>
      </c>
      <c r="O11" s="10">
        <f>SUMIF(RAW_Cases!$B:$B,Tabelle2[[#This Row],[Country/Region]],RAW_Cases!P:P)</f>
        <v>12</v>
      </c>
      <c r="P11" s="10">
        <f>SUMIF(RAW_Cases!$B:$B,Tabelle2[[#This Row],[Country/Region]],RAW_Cases!Q:Q)</f>
        <v>12</v>
      </c>
      <c r="Q11" s="10">
        <f>SUMIF(RAW_Cases!$B:$B,Tabelle2[[#This Row],[Country/Region]],RAW_Cases!R:R)</f>
        <v>12</v>
      </c>
      <c r="R11" s="10">
        <f>SUMIF(RAW_Cases!$B:$B,Tabelle2[[#This Row],[Country/Region]],RAW_Cases!S:S)</f>
        <v>13</v>
      </c>
      <c r="S11" s="10">
        <f>SUMIF(RAW_Cases!$B:$B,Tabelle2[[#This Row],[Country/Region]],RAW_Cases!T:T)</f>
        <v>13</v>
      </c>
      <c r="T11" s="10">
        <f>SUMIF(RAW_Cases!$B:$B,Tabelle2[[#This Row],[Country/Region]],RAW_Cases!U:U)</f>
        <v>14</v>
      </c>
      <c r="U11" s="10">
        <f>SUMIF(RAW_Cases!$B:$B,Tabelle2[[#This Row],[Country/Region]],RAW_Cases!V:V)</f>
        <v>14</v>
      </c>
      <c r="V11" s="10">
        <f>SUMIF(RAW_Cases!$B:$B,Tabelle2[[#This Row],[Country/Region]],RAW_Cases!W:W)</f>
        <v>16</v>
      </c>
      <c r="W11" s="10">
        <f>SUMIF(RAW_Cases!$B:$B,Tabelle2[[#This Row],[Country/Region]],RAW_Cases!X:X)</f>
        <v>16</v>
      </c>
      <c r="X11" s="10">
        <f>SUMIF(RAW_Cases!$B:$B,Tabelle2[[#This Row],[Country/Region]],RAW_Cases!Y:Y)</f>
        <v>16</v>
      </c>
      <c r="Y11" s="10">
        <f>SUMIF(RAW_Cases!$B:$B,Tabelle2[[#This Row],[Country/Region]],RAW_Cases!Z:Z)</f>
        <v>16</v>
      </c>
      <c r="Z11" s="10">
        <f>SUMIF(RAW_Cases!$B:$B,Tabelle2[[#This Row],[Country/Region]],RAW_Cases!AA:AA)</f>
        <v>16</v>
      </c>
      <c r="AA11" s="10">
        <f>SUMIF(RAW_Cases!$B:$B,Tabelle2[[#This Row],[Country/Region]],RAW_Cases!AB:AB)</f>
        <v>16</v>
      </c>
      <c r="AB11" s="10">
        <f>SUMIF(RAW_Cases!$B:$B,Tabelle2[[#This Row],[Country/Region]],RAW_Cases!AC:AC)</f>
        <v>16</v>
      </c>
      <c r="AC11" s="10">
        <f>SUMIF(RAW_Cases!$B:$B,Tabelle2[[#This Row],[Country/Region]],RAW_Cases!AD:AD)</f>
        <v>16</v>
      </c>
      <c r="AD11" s="10">
        <f>SUMIF(RAW_Cases!$B:$B,Tabelle2[[#This Row],[Country/Region]],RAW_Cases!AE:AE)</f>
        <v>16</v>
      </c>
      <c r="AE11" s="10">
        <f>SUMIF(RAW_Cases!$B:$B,Tabelle2[[#This Row],[Country/Region]],RAW_Cases!AF:AF)</f>
        <v>16</v>
      </c>
      <c r="AF11" s="10">
        <f>SUMIF(RAW_Cases!$B:$B,Tabelle2[[#This Row],[Country/Region]],RAW_Cases!AG:AG)</f>
        <v>16</v>
      </c>
      <c r="AG11" s="10">
        <f>SUMIF(RAW_Cases!$B:$B,Tabelle2[[#This Row],[Country/Region]],RAW_Cases!AH:AH)</f>
        <v>16</v>
      </c>
      <c r="AH11" s="10">
        <f>SUMIF(RAW_Cases!$B:$B,Tabelle2[[#This Row],[Country/Region]],RAW_Cases!AI:AI)</f>
        <v>16</v>
      </c>
      <c r="AI11" s="10">
        <f>SUMIF(RAW_Cases!$B:$B,Tabelle2[[#This Row],[Country/Region]],RAW_Cases!AJ:AJ)</f>
        <v>16</v>
      </c>
      <c r="AJ11" s="10">
        <f>SUMIF(RAW_Cases!$B:$B,Tabelle2[[#This Row],[Country/Region]],RAW_Cases!AK:AK)</f>
        <v>17</v>
      </c>
      <c r="AK11" s="10">
        <f>SUMIF(RAW_Cases!$B:$B,Tabelle2[[#This Row],[Country/Region]],RAW_Cases!AL:AL)</f>
        <v>27</v>
      </c>
      <c r="AL11" s="10">
        <f>SUMIF(RAW_Cases!$B:$B,Tabelle2[[#This Row],[Country/Region]],RAW_Cases!AM:AM)</f>
        <v>46</v>
      </c>
      <c r="AM11" s="10">
        <f>SUMIF(RAW_Cases!$B:$B,Tabelle2[[#This Row],[Country/Region]],RAW_Cases!AN:AN)</f>
        <v>48</v>
      </c>
      <c r="AN11" s="10">
        <f>SUMIF(RAW_Cases!$B:$B,Tabelle2[[#This Row],[Country/Region]],RAW_Cases!AO:AO)</f>
        <v>79</v>
      </c>
      <c r="AO11" s="10">
        <f>SUMIF(RAW_Cases!$B:$B,Tabelle2[[#This Row],[Country/Region]],RAW_Cases!AP:AP)</f>
        <v>130</v>
      </c>
      <c r="AP11" s="10">
        <f>SUMIF(RAW_Cases!$B:$B,Tabelle2[[#This Row],[Country/Region]],RAW_Cases!AQ:AQ)</f>
        <v>159</v>
      </c>
      <c r="AQ11" s="10">
        <f>SUMIF(RAW_Cases!$B:$B,Tabelle2[[#This Row],[Country/Region]],RAW_Cases!AR:AR)</f>
        <v>196</v>
      </c>
      <c r="AR11" s="10">
        <f>SUMIF(RAW_Cases!$B:$B,Tabelle2[[#This Row],[Country/Region]],RAW_Cases!AS:AS)</f>
        <v>262</v>
      </c>
      <c r="AS11" s="10">
        <f>SUMIF(RAW_Cases!$B:$B,Tabelle2[[#This Row],[Country/Region]],RAW_Cases!AT:AT)</f>
        <v>482</v>
      </c>
      <c r="AT11" s="10">
        <f>SUMIF(RAW_Cases!$B:$B,Tabelle2[[#This Row],[Country/Region]],RAW_Cases!AU:AU)</f>
        <v>670</v>
      </c>
      <c r="AU11" s="10">
        <f>SUMIF(RAW_Cases!$B:$B,Tabelle2[[#This Row],[Country/Region]],RAW_Cases!AV:AV)</f>
        <v>799</v>
      </c>
      <c r="AV11" s="10">
        <f>SUMIF(RAW_Cases!$B:$B,Tabelle2[[#This Row],[Country/Region]],RAW_Cases!AW:AW)</f>
        <v>1040</v>
      </c>
      <c r="AW11" s="10">
        <f>SUMIF(RAW_Cases!$B:$B,Tabelle2[[#This Row],[Country/Region]],RAW_Cases!AX:AX)</f>
        <v>1176</v>
      </c>
      <c r="AX11" s="10">
        <f>SUMIF(RAW_Cases!$B:$B,Tabelle2[[#This Row],[Country/Region]],RAW_Cases!AY:AY)</f>
        <v>1457</v>
      </c>
      <c r="AY11" s="10">
        <f>SUMIF(RAW_Cases!$B:$B,Tabelle2[[#This Row],[Country/Region]],RAW_Cases!AZ:AZ)</f>
        <v>1908</v>
      </c>
      <c r="AZ11" s="10">
        <f>SUMIF(RAW_Cases!$B:$B,Tabelle2[[#This Row],[Country/Region]],RAW_Cases!BA:BA)</f>
        <v>2078</v>
      </c>
      <c r="BA11" s="10">
        <f>SUMIF(RAW_Cases!$B:$B,Tabelle2[[#This Row],[Country/Region]],RAW_Cases!BB:BB)</f>
        <v>3675</v>
      </c>
      <c r="BB11" s="10">
        <f>SUMIF(RAW_Cases!$B:$B,Tabelle2[[#This Row],[Country/Region]],RAW_Cases!BC:BC)</f>
        <v>4585</v>
      </c>
      <c r="BC11" s="10">
        <f>SUMIF(RAW_Cases!$B:$B,Tabelle2[[#This Row],[Country/Region]],RAW_Cases!BD:BD)</f>
        <v>5795</v>
      </c>
      <c r="BD11" s="10">
        <f>SUMIF(RAW_Cases!$B:$B,Tabelle2[[#This Row],[Country/Region]],RAW_Cases!BE:BE)</f>
        <v>7272</v>
      </c>
      <c r="BE11" s="10">
        <f>SUMIF(RAW_Cases!$B:$B,Tabelle2[[#This Row],[Country/Region]],RAW_Cases!BF:BF)</f>
        <v>9257</v>
      </c>
      <c r="BF11" s="10">
        <f>SUMIF(RAW_Cases!$B:$B,Tabelle2[[#This Row],[Country/Region]],RAW_Cases!BG:BG)</f>
        <v>12327</v>
      </c>
      <c r="BG11" s="10">
        <f>SUMIF(RAW_Cases!$B:$B,Tabelle2[[#This Row],[Country/Region]],RAW_Cases!BH:BH)</f>
        <v>15320</v>
      </c>
      <c r="BH11" s="10">
        <f>SUMIF(RAW_Cases!$B:$B,Tabelle2[[#This Row],[Country/Region]],RAW_Cases!BI:BI)</f>
        <v>19848</v>
      </c>
      <c r="BI11" s="10">
        <f>SUMIF(RAW_Cases!$B:$B,Tabelle2[[#This Row],[Country/Region]],RAW_Cases!BJ:BJ)</f>
        <v>22213</v>
      </c>
      <c r="BJ11" s="10">
        <f>SUMIF(RAW_Cases!$B:$B,Tabelle2[[#This Row],[Country/Region]],RAW_Cases!BK:BK)</f>
        <v>24873</v>
      </c>
      <c r="BK11" s="10">
        <f>SUMIF(RAW_Cases!$B:$B,Tabelle2[[#This Row],[Country/Region]],RAW_Cases!BL:BL)</f>
        <v>29056</v>
      </c>
      <c r="BL11" s="10">
        <f>SUMIF(RAW_Cases!$B:$B,Tabelle2[[#This Row],[Country/Region]],RAW_Cases!GQ:GQ)</f>
        <v>0</v>
      </c>
      <c r="BM11" s="10">
        <f>SUMIF(RAW_Cases!$B:$B,Tabelle2[[#This Row],[Country/Region]],RAW_Cases!GR:GR)</f>
        <v>0</v>
      </c>
      <c r="BN11" s="10">
        <f>SUMIF(RAW_Cases!$B:$B,Tabelle2[[#This Row],[Country/Region]],RAW_Cases!GS:GS)</f>
        <v>0</v>
      </c>
      <c r="BO11" s="10">
        <f>SUMIF(RAW_Cases!$B:$B,Tabelle2[[#This Row],[Country/Region]],RAW_Cases!GT:GT)</f>
        <v>0</v>
      </c>
      <c r="BP11" s="10">
        <f>SUMIF(RAW_Cases!$B:$B,Tabelle2[[#This Row],[Country/Region]],RAW_Cases!GU:GU)</f>
        <v>0</v>
      </c>
      <c r="BQ11" s="10">
        <f>SUMIF(RAW_Cases!$B:$B,Tabelle2[[#This Row],[Country/Region]],RAW_Cases!GV:GV)</f>
        <v>0</v>
      </c>
      <c r="BR11" s="10">
        <f>SUMIF(RAW_Cases!$B:$B,Tabelle2[[#This Row],[Country/Region]],RAW_Cases!GW:GW)</f>
        <v>0</v>
      </c>
      <c r="BS11" s="10">
        <f>SUMIF(RAW_Cases!$B:$B,Tabelle2[[#This Row],[Country/Region]],RAW_Cases!GX:GX)</f>
        <v>0</v>
      </c>
      <c r="BT11" s="10">
        <f>SUMIF(RAW_Cases!$B:$B,Tabelle2[[#This Row],[Country/Region]],RAW_Cases!GY:GY)</f>
        <v>0</v>
      </c>
      <c r="BU11" s="10">
        <f>SUMIF(RAW_Cases!$B:$B,Tabelle2[[#This Row],[Country/Region]],RAW_Cases!GZ:GZ)</f>
        <v>0</v>
      </c>
      <c r="BV11" s="10">
        <f>SUMIF(RAW_Cases!$B:$B,Tabelle2[[#This Row],[Country/Region]],RAW_Cases!HA:HA)</f>
        <v>0</v>
      </c>
      <c r="BW11" s="10">
        <f>SUMIF(RAW_Cases!$B:$B,Tabelle2[[#This Row],[Country/Region]],RAW_Cases!HB:HB)</f>
        <v>0</v>
      </c>
      <c r="BX11" s="10">
        <f>SUMIF(RAW_Cases!$B:$B,Tabelle2[[#This Row],[Country/Region]],RAW_Cases!HC:HC)</f>
        <v>0</v>
      </c>
      <c r="BY11" s="10">
        <f>SUMIF(RAW_Cases!$B:$B,Tabelle2[[#This Row],[Country/Region]],RAW_Cases!HD:HD)</f>
        <v>0</v>
      </c>
      <c r="BZ11" s="10">
        <f>SUMIF(RAW_Cases!$B:$B,Tabelle2[[#This Row],[Country/Region]],RAW_Cases!HE:HE)</f>
        <v>0</v>
      </c>
      <c r="CA11" s="10">
        <f>SUMIF(RAW_Cases!$B:$B,Tabelle2[[#This Row],[Country/Region]],RAW_Cases!HF:HF)</f>
        <v>0</v>
      </c>
      <c r="CB11" s="10">
        <f>SUMIF(RAW_Cases!$B:$B,Tabelle2[[#This Row],[Country/Region]],RAW_Cases!HG:HG)</f>
        <v>0</v>
      </c>
      <c r="CC11" s="10">
        <f>SUMIF(RAW_Cases!$B:$B,Tabelle2[[#This Row],[Country/Region]],RAW_Cases!HH:HH)</f>
        <v>0</v>
      </c>
      <c r="CD11" s="10">
        <f>SUMIF(RAW_Cases!$B:$B,Tabelle2[[#This Row],[Country/Region]],RAW_Cases!HI:HI)</f>
        <v>0</v>
      </c>
      <c r="CE11" s="10">
        <f>SUMIF(RAW_Cases!$B:$B,Tabelle2[[#This Row],[Country/Region]],RAW_Cases!HJ:HJ)</f>
        <v>0</v>
      </c>
    </row>
    <row r="12" spans="1:83" s="15" customFormat="1" ht="12.75" x14ac:dyDescent="0.2">
      <c r="A12" s="31" t="s">
        <v>165</v>
      </c>
      <c r="B12" s="10">
        <f>SUMIF(RAW_Cases!$B:$B,Tabelle2[[#This Row],[Country/Region]],RAW_Cases!C:C)</f>
        <v>1</v>
      </c>
      <c r="C12" s="10">
        <f>SUMIF(RAW_Cases!$B:$B,Tabelle2[[#This Row],[Country/Region]],RAW_Cases!D:D)</f>
        <v>1</v>
      </c>
      <c r="D12" s="10">
        <f>SUMIF(RAW_Cases!$B:$B,Tabelle2[[#This Row],[Country/Region]],RAW_Cases!E:E)</f>
        <v>2</v>
      </c>
      <c r="E12" s="10">
        <f>SUMIF(RAW_Cases!$B:$B,Tabelle2[[#This Row],[Country/Region]],RAW_Cases!F:F)</f>
        <v>2</v>
      </c>
      <c r="F12" s="10">
        <f>SUMIF(RAW_Cases!$B:$B,Tabelle2[[#This Row],[Country/Region]],RAW_Cases!G:G)</f>
        <v>5</v>
      </c>
      <c r="G12" s="10">
        <f>SUMIF(RAW_Cases!$B:$B,Tabelle2[[#This Row],[Country/Region]],RAW_Cases!H:H)</f>
        <v>5</v>
      </c>
      <c r="H12" s="10">
        <f>SUMIF(RAW_Cases!$B:$B,Tabelle2[[#This Row],[Country/Region]],RAW_Cases!I:I)</f>
        <v>5</v>
      </c>
      <c r="I12" s="10">
        <f>SUMIF(RAW_Cases!$B:$B,Tabelle2[[#This Row],[Country/Region]],RAW_Cases!J:J)</f>
        <v>5</v>
      </c>
      <c r="J12" s="10">
        <f>SUMIF(RAW_Cases!$B:$B,Tabelle2[[#This Row],[Country/Region]],RAW_Cases!K:K)</f>
        <v>5</v>
      </c>
      <c r="K12" s="10">
        <f>SUMIF(RAW_Cases!$B:$B,Tabelle2[[#This Row],[Country/Region]],RAW_Cases!L:L)</f>
        <v>7</v>
      </c>
      <c r="L12" s="10">
        <f>SUMIF(RAW_Cases!$B:$B,Tabelle2[[#This Row],[Country/Region]],RAW_Cases!M:M)</f>
        <v>8</v>
      </c>
      <c r="M12" s="10">
        <f>SUMIF(RAW_Cases!$B:$B,Tabelle2[[#This Row],[Country/Region]],RAW_Cases!N:N)</f>
        <v>8</v>
      </c>
      <c r="N12" s="10">
        <f>SUMIF(RAW_Cases!$B:$B,Tabelle2[[#This Row],[Country/Region]],RAW_Cases!O:O)</f>
        <v>11</v>
      </c>
      <c r="O12" s="10">
        <f>SUMIF(RAW_Cases!$B:$B,Tabelle2[[#This Row],[Country/Region]],RAW_Cases!P:P)</f>
        <v>11</v>
      </c>
      <c r="P12" s="10">
        <f>SUMIF(RAW_Cases!$B:$B,Tabelle2[[#This Row],[Country/Region]],RAW_Cases!Q:Q)</f>
        <v>11</v>
      </c>
      <c r="Q12" s="10">
        <f>SUMIF(RAW_Cases!$B:$B,Tabelle2[[#This Row],[Country/Region]],RAW_Cases!R:R)</f>
        <v>11</v>
      </c>
      <c r="R12" s="10">
        <f>SUMIF(RAW_Cases!$B:$B,Tabelle2[[#This Row],[Country/Region]],RAW_Cases!S:S)</f>
        <v>11</v>
      </c>
      <c r="S12" s="10">
        <f>SUMIF(RAW_Cases!$B:$B,Tabelle2[[#This Row],[Country/Region]],RAW_Cases!T:T)</f>
        <v>11</v>
      </c>
      <c r="T12" s="10">
        <f>SUMIF(RAW_Cases!$B:$B,Tabelle2[[#This Row],[Country/Region]],RAW_Cases!U:U)</f>
        <v>11</v>
      </c>
      <c r="U12" s="10">
        <f>SUMIF(RAW_Cases!$B:$B,Tabelle2[[#This Row],[Country/Region]],RAW_Cases!V:V)</f>
        <v>11</v>
      </c>
      <c r="V12" s="10">
        <f>SUMIF(RAW_Cases!$B:$B,Tabelle2[[#This Row],[Country/Region]],RAW_Cases!W:W)</f>
        <v>12</v>
      </c>
      <c r="W12" s="10">
        <f>SUMIF(RAW_Cases!$B:$B,Tabelle2[[#This Row],[Country/Region]],RAW_Cases!X:X)</f>
        <v>12</v>
      </c>
      <c r="X12" s="10">
        <f>SUMIF(RAW_Cases!$B:$B,Tabelle2[[#This Row],[Country/Region]],RAW_Cases!Y:Y)</f>
        <v>13</v>
      </c>
      <c r="Y12" s="10">
        <f>SUMIF(RAW_Cases!$B:$B,Tabelle2[[#This Row],[Country/Region]],RAW_Cases!Z:Z)</f>
        <v>13</v>
      </c>
      <c r="Z12" s="10">
        <f>SUMIF(RAW_Cases!$B:$B,Tabelle2[[#This Row],[Country/Region]],RAW_Cases!AA:AA)</f>
        <v>13</v>
      </c>
      <c r="AA12" s="10">
        <f>SUMIF(RAW_Cases!$B:$B,Tabelle2[[#This Row],[Country/Region]],RAW_Cases!AB:AB)</f>
        <v>13</v>
      </c>
      <c r="AB12" s="10">
        <f>SUMIF(RAW_Cases!$B:$B,Tabelle2[[#This Row],[Country/Region]],RAW_Cases!AC:AC)</f>
        <v>13</v>
      </c>
      <c r="AC12" s="10">
        <f>SUMIF(RAW_Cases!$B:$B,Tabelle2[[#This Row],[Country/Region]],RAW_Cases!AD:AD)</f>
        <v>13</v>
      </c>
      <c r="AD12" s="10">
        <f>SUMIF(RAW_Cases!$B:$B,Tabelle2[[#This Row],[Country/Region]],RAW_Cases!AE:AE)</f>
        <v>13</v>
      </c>
      <c r="AE12" s="10">
        <f>SUMIF(RAW_Cases!$B:$B,Tabelle2[[#This Row],[Country/Region]],RAW_Cases!AF:AF)</f>
        <v>13</v>
      </c>
      <c r="AF12" s="10">
        <f>SUMIF(RAW_Cases!$B:$B,Tabelle2[[#This Row],[Country/Region]],RAW_Cases!AG:AG)</f>
        <v>15</v>
      </c>
      <c r="AG12" s="10">
        <f>SUMIF(RAW_Cases!$B:$B,Tabelle2[[#This Row],[Country/Region]],RAW_Cases!AH:AH)</f>
        <v>15</v>
      </c>
      <c r="AH12" s="10">
        <f>SUMIF(RAW_Cases!$B:$B,Tabelle2[[#This Row],[Country/Region]],RAW_Cases!AI:AI)</f>
        <v>15</v>
      </c>
      <c r="AI12" s="10">
        <f>SUMIF(RAW_Cases!$B:$B,Tabelle2[[#This Row],[Country/Region]],RAW_Cases!AJ:AJ)</f>
        <v>51</v>
      </c>
      <c r="AJ12" s="10">
        <f>SUMIF(RAW_Cases!$B:$B,Tabelle2[[#This Row],[Country/Region]],RAW_Cases!AK:AK)</f>
        <v>51</v>
      </c>
      <c r="AK12" s="10">
        <f>SUMIF(RAW_Cases!$B:$B,Tabelle2[[#This Row],[Country/Region]],RAW_Cases!AL:AL)</f>
        <v>57</v>
      </c>
      <c r="AL12" s="10">
        <f>SUMIF(RAW_Cases!$B:$B,Tabelle2[[#This Row],[Country/Region]],RAW_Cases!AM:AM)</f>
        <v>58</v>
      </c>
      <c r="AM12" s="10">
        <f>SUMIF(RAW_Cases!$B:$B,Tabelle2[[#This Row],[Country/Region]],RAW_Cases!AN:AN)</f>
        <v>60</v>
      </c>
      <c r="AN12" s="10">
        <f>SUMIF(RAW_Cases!$B:$B,Tabelle2[[#This Row],[Country/Region]],RAW_Cases!AO:AO)</f>
        <v>68</v>
      </c>
      <c r="AO12" s="10">
        <f>SUMIF(RAW_Cases!$B:$B,Tabelle2[[#This Row],[Country/Region]],RAW_Cases!AP:AP)</f>
        <v>74</v>
      </c>
      <c r="AP12" s="10">
        <f>SUMIF(RAW_Cases!$B:$B,Tabelle2[[#This Row],[Country/Region]],RAW_Cases!AQ:AQ)</f>
        <v>98</v>
      </c>
      <c r="AQ12" s="10">
        <f>SUMIF(RAW_Cases!$B:$B,Tabelle2[[#This Row],[Country/Region]],RAW_Cases!AR:AR)</f>
        <v>118</v>
      </c>
      <c r="AR12" s="10">
        <f>SUMIF(RAW_Cases!$B:$B,Tabelle2[[#This Row],[Country/Region]],RAW_Cases!AS:AS)</f>
        <v>149</v>
      </c>
      <c r="AS12" s="10">
        <f>SUMIF(RAW_Cases!$B:$B,Tabelle2[[#This Row],[Country/Region]],RAW_Cases!AT:AT)</f>
        <v>217</v>
      </c>
      <c r="AT12" s="10">
        <f>SUMIF(RAW_Cases!$B:$B,Tabelle2[[#This Row],[Country/Region]],RAW_Cases!AU:AU)</f>
        <v>262</v>
      </c>
      <c r="AU12" s="10">
        <f>SUMIF(RAW_Cases!$B:$B,Tabelle2[[#This Row],[Country/Region]],RAW_Cases!AV:AV)</f>
        <v>402</v>
      </c>
      <c r="AV12" s="10">
        <f>SUMIF(RAW_Cases!$B:$B,Tabelle2[[#This Row],[Country/Region]],RAW_Cases!AW:AW)</f>
        <v>518</v>
      </c>
      <c r="AW12" s="10">
        <f>SUMIF(RAW_Cases!$B:$B,Tabelle2[[#This Row],[Country/Region]],RAW_Cases!AX:AX)</f>
        <v>583</v>
      </c>
      <c r="AX12" s="10">
        <f>SUMIF(RAW_Cases!$B:$B,Tabelle2[[#This Row],[Country/Region]],RAW_Cases!AY:AY)</f>
        <v>959</v>
      </c>
      <c r="AY12" s="10">
        <f>SUMIF(RAW_Cases!$B:$B,Tabelle2[[#This Row],[Country/Region]],RAW_Cases!AZ:AZ)</f>
        <v>1281</v>
      </c>
      <c r="AZ12" s="10">
        <f>SUMIF(RAW_Cases!$B:$B,Tabelle2[[#This Row],[Country/Region]],RAW_Cases!BA:BA)</f>
        <v>1663</v>
      </c>
      <c r="BA12" s="10">
        <f>SUMIF(RAW_Cases!$B:$B,Tabelle2[[#This Row],[Country/Region]],RAW_Cases!BB:BB)</f>
        <v>2179</v>
      </c>
      <c r="BB12" s="10">
        <f>SUMIF(RAW_Cases!$B:$B,Tabelle2[[#This Row],[Country/Region]],RAW_Cases!BC:BC)</f>
        <v>2727</v>
      </c>
      <c r="BC12" s="10">
        <f>SUMIF(RAW_Cases!$B:$B,Tabelle2[[#This Row],[Country/Region]],RAW_Cases!BD:BD)</f>
        <v>3499</v>
      </c>
      <c r="BD12" s="10">
        <f>SUMIF(RAW_Cases!$B:$B,Tabelle2[[#This Row],[Country/Region]],RAW_Cases!BE:BE)</f>
        <v>4632</v>
      </c>
      <c r="BE12" s="10">
        <f>SUMIF(RAW_Cases!$B:$B,Tabelle2[[#This Row],[Country/Region]],RAW_Cases!BF:BF)</f>
        <v>6421</v>
      </c>
      <c r="BF12" s="10">
        <f>SUMIF(RAW_Cases!$B:$B,Tabelle2[[#This Row],[Country/Region]],RAW_Cases!BG:BG)</f>
        <v>7783</v>
      </c>
      <c r="BG12" s="10">
        <f>SUMIF(RAW_Cases!$B:$B,Tabelle2[[#This Row],[Country/Region]],RAW_Cases!BH:BH)</f>
        <v>13677</v>
      </c>
      <c r="BH12" s="10">
        <f>SUMIF(RAW_Cases!$B:$B,Tabelle2[[#This Row],[Country/Region]],RAW_Cases!BI:BI)</f>
        <v>19100</v>
      </c>
      <c r="BI12" s="10">
        <f>SUMIF(RAW_Cases!$B:$B,Tabelle2[[#This Row],[Country/Region]],RAW_Cases!BJ:BJ)</f>
        <v>25489</v>
      </c>
      <c r="BJ12" s="10">
        <f>SUMIF(RAW_Cases!$B:$B,Tabelle2[[#This Row],[Country/Region]],RAW_Cases!BK:BK)</f>
        <v>33276</v>
      </c>
      <c r="BK12" s="10">
        <f>SUMIF(RAW_Cases!$B:$B,Tabelle2[[#This Row],[Country/Region]],RAW_Cases!BL:BL)</f>
        <v>43847</v>
      </c>
      <c r="BL12" s="10">
        <f>SUMIF(RAW_Cases!$B:$B,Tabelle2[[#This Row],[Country/Region]],RAW_Cases!GQ:GQ)</f>
        <v>0</v>
      </c>
      <c r="BM12" s="10">
        <f>SUMIF(RAW_Cases!$B:$B,Tabelle2[[#This Row],[Country/Region]],RAW_Cases!GR:GR)</f>
        <v>0</v>
      </c>
      <c r="BN12" s="10">
        <f>SUMIF(RAW_Cases!$B:$B,Tabelle2[[#This Row],[Country/Region]],RAW_Cases!GS:GS)</f>
        <v>0</v>
      </c>
      <c r="BO12" s="10">
        <f>SUMIF(RAW_Cases!$B:$B,Tabelle2[[#This Row],[Country/Region]],RAW_Cases!GT:GT)</f>
        <v>0</v>
      </c>
      <c r="BP12" s="10">
        <f>SUMIF(RAW_Cases!$B:$B,Tabelle2[[#This Row],[Country/Region]],RAW_Cases!GU:GU)</f>
        <v>0</v>
      </c>
      <c r="BQ12" s="10">
        <f>SUMIF(RAW_Cases!$B:$B,Tabelle2[[#This Row],[Country/Region]],RAW_Cases!GV:GV)</f>
        <v>0</v>
      </c>
      <c r="BR12" s="10">
        <f>SUMIF(RAW_Cases!$B:$B,Tabelle2[[#This Row],[Country/Region]],RAW_Cases!GW:GW)</f>
        <v>0</v>
      </c>
      <c r="BS12" s="10">
        <f>SUMIF(RAW_Cases!$B:$B,Tabelle2[[#This Row],[Country/Region]],RAW_Cases!GX:GX)</f>
        <v>0</v>
      </c>
      <c r="BT12" s="10">
        <f>SUMIF(RAW_Cases!$B:$B,Tabelle2[[#This Row],[Country/Region]],RAW_Cases!GY:GY)</f>
        <v>0</v>
      </c>
      <c r="BU12" s="10">
        <f>SUMIF(RAW_Cases!$B:$B,Tabelle2[[#This Row],[Country/Region]],RAW_Cases!GZ:GZ)</f>
        <v>0</v>
      </c>
      <c r="BV12" s="10">
        <f>SUMIF(RAW_Cases!$B:$B,Tabelle2[[#This Row],[Country/Region]],RAW_Cases!HA:HA)</f>
        <v>0</v>
      </c>
      <c r="BW12" s="10">
        <f>SUMIF(RAW_Cases!$B:$B,Tabelle2[[#This Row],[Country/Region]],RAW_Cases!HB:HB)</f>
        <v>0</v>
      </c>
      <c r="BX12" s="10">
        <f>SUMIF(RAW_Cases!$B:$B,Tabelle2[[#This Row],[Country/Region]],RAW_Cases!HC:HC)</f>
        <v>0</v>
      </c>
      <c r="BY12" s="10">
        <f>SUMIF(RAW_Cases!$B:$B,Tabelle2[[#This Row],[Country/Region]],RAW_Cases!HD:HD)</f>
        <v>0</v>
      </c>
      <c r="BZ12" s="10">
        <f>SUMIF(RAW_Cases!$B:$B,Tabelle2[[#This Row],[Country/Region]],RAW_Cases!HE:HE)</f>
        <v>0</v>
      </c>
      <c r="CA12" s="10">
        <f>SUMIF(RAW_Cases!$B:$B,Tabelle2[[#This Row],[Country/Region]],RAW_Cases!HF:HF)</f>
        <v>0</v>
      </c>
      <c r="CB12" s="10">
        <f>SUMIF(RAW_Cases!$B:$B,Tabelle2[[#This Row],[Country/Region]],RAW_Cases!HG:HG)</f>
        <v>0</v>
      </c>
      <c r="CC12" s="10">
        <f>SUMIF(RAW_Cases!$B:$B,Tabelle2[[#This Row],[Country/Region]],RAW_Cases!HH:HH)</f>
        <v>0</v>
      </c>
      <c r="CD12" s="10">
        <f>SUMIF(RAW_Cases!$B:$B,Tabelle2[[#This Row],[Country/Region]],RAW_Cases!HI:HI)</f>
        <v>0</v>
      </c>
      <c r="CE12" s="10">
        <f>SUMIF(RAW_Cases!$B:$B,Tabelle2[[#This Row],[Country/Region]],RAW_Cases!HJ:HJ)</f>
        <v>0</v>
      </c>
    </row>
    <row r="13" spans="1:83" s="15" customFormat="1" ht="12.75" x14ac:dyDescent="0.2">
      <c r="A13" s="31" t="s">
        <v>82</v>
      </c>
      <c r="B13" s="10">
        <f>SUMIF(RAW_Cases!$B:$B,Tabelle2[[#This Row],[Country/Region]],RAW_Cases!C:C)</f>
        <v>0</v>
      </c>
      <c r="C13" s="10">
        <f>SUMIF(RAW_Cases!$B:$B,Tabelle2[[#This Row],[Country/Region]],RAW_Cases!D:D)</f>
        <v>0</v>
      </c>
      <c r="D13" s="10">
        <f>SUMIF(RAW_Cases!$B:$B,Tabelle2[[#This Row],[Country/Region]],RAW_Cases!E:E)</f>
        <v>0</v>
      </c>
      <c r="E13" s="10">
        <f>SUMIF(RAW_Cases!$B:$B,Tabelle2[[#This Row],[Country/Region]],RAW_Cases!F:F)</f>
        <v>0</v>
      </c>
      <c r="F13" s="10">
        <f>SUMIF(RAW_Cases!$B:$B,Tabelle2[[#This Row],[Country/Region]],RAW_Cases!G:G)</f>
        <v>0</v>
      </c>
      <c r="G13" s="10">
        <f>SUMIF(RAW_Cases!$B:$B,Tabelle2[[#This Row],[Country/Region]],RAW_Cases!H:H)</f>
        <v>0</v>
      </c>
      <c r="H13" s="10">
        <f>SUMIF(RAW_Cases!$B:$B,Tabelle2[[#This Row],[Country/Region]],RAW_Cases!I:I)</f>
        <v>0</v>
      </c>
      <c r="I13" s="10">
        <f>SUMIF(RAW_Cases!$B:$B,Tabelle2[[#This Row],[Country/Region]],RAW_Cases!J:J)</f>
        <v>0</v>
      </c>
      <c r="J13" s="10">
        <f>SUMIF(RAW_Cases!$B:$B,Tabelle2[[#This Row],[Country/Region]],RAW_Cases!K:K)</f>
        <v>0</v>
      </c>
      <c r="K13" s="10">
        <f>SUMIF(RAW_Cases!$B:$B,Tabelle2[[#This Row],[Country/Region]],RAW_Cases!L:L)</f>
        <v>2</v>
      </c>
      <c r="L13" s="10">
        <f>SUMIF(RAW_Cases!$B:$B,Tabelle2[[#This Row],[Country/Region]],RAW_Cases!M:M)</f>
        <v>2</v>
      </c>
      <c r="M13" s="10">
        <f>SUMIF(RAW_Cases!$B:$B,Tabelle2[[#This Row],[Country/Region]],RAW_Cases!N:N)</f>
        <v>2</v>
      </c>
      <c r="N13" s="10">
        <f>SUMIF(RAW_Cases!$B:$B,Tabelle2[[#This Row],[Country/Region]],RAW_Cases!O:O)</f>
        <v>2</v>
      </c>
      <c r="O13" s="10">
        <f>SUMIF(RAW_Cases!$B:$B,Tabelle2[[#This Row],[Country/Region]],RAW_Cases!P:P)</f>
        <v>2</v>
      </c>
      <c r="P13" s="10">
        <f>SUMIF(RAW_Cases!$B:$B,Tabelle2[[#This Row],[Country/Region]],RAW_Cases!Q:Q)</f>
        <v>2</v>
      </c>
      <c r="Q13" s="10">
        <f>SUMIF(RAW_Cases!$B:$B,Tabelle2[[#This Row],[Country/Region]],RAW_Cases!R:R)</f>
        <v>2</v>
      </c>
      <c r="R13" s="10">
        <f>SUMIF(RAW_Cases!$B:$B,Tabelle2[[#This Row],[Country/Region]],RAW_Cases!S:S)</f>
        <v>3</v>
      </c>
      <c r="S13" s="10">
        <f>SUMIF(RAW_Cases!$B:$B,Tabelle2[[#This Row],[Country/Region]],RAW_Cases!T:T)</f>
        <v>3</v>
      </c>
      <c r="T13" s="10">
        <f>SUMIF(RAW_Cases!$B:$B,Tabelle2[[#This Row],[Country/Region]],RAW_Cases!U:U)</f>
        <v>3</v>
      </c>
      <c r="U13" s="10">
        <f>SUMIF(RAW_Cases!$B:$B,Tabelle2[[#This Row],[Country/Region]],RAW_Cases!V:V)</f>
        <v>3</v>
      </c>
      <c r="V13" s="10">
        <f>SUMIF(RAW_Cases!$B:$B,Tabelle2[[#This Row],[Country/Region]],RAW_Cases!W:W)</f>
        <v>3</v>
      </c>
      <c r="W13" s="10">
        <f>SUMIF(RAW_Cases!$B:$B,Tabelle2[[#This Row],[Country/Region]],RAW_Cases!X:X)</f>
        <v>3</v>
      </c>
      <c r="X13" s="10">
        <f>SUMIF(RAW_Cases!$B:$B,Tabelle2[[#This Row],[Country/Region]],RAW_Cases!Y:Y)</f>
        <v>3</v>
      </c>
      <c r="Y13" s="10">
        <f>SUMIF(RAW_Cases!$B:$B,Tabelle2[[#This Row],[Country/Region]],RAW_Cases!Z:Z)</f>
        <v>3</v>
      </c>
      <c r="Z13" s="10">
        <f>SUMIF(RAW_Cases!$B:$B,Tabelle2[[#This Row],[Country/Region]],RAW_Cases!AA:AA)</f>
        <v>3</v>
      </c>
      <c r="AA13" s="10">
        <f>SUMIF(RAW_Cases!$B:$B,Tabelle2[[#This Row],[Country/Region]],RAW_Cases!AB:AB)</f>
        <v>3</v>
      </c>
      <c r="AB13" s="10">
        <f>SUMIF(RAW_Cases!$B:$B,Tabelle2[[#This Row],[Country/Region]],RAW_Cases!AC:AC)</f>
        <v>3</v>
      </c>
      <c r="AC13" s="10">
        <f>SUMIF(RAW_Cases!$B:$B,Tabelle2[[#This Row],[Country/Region]],RAW_Cases!AD:AD)</f>
        <v>3</v>
      </c>
      <c r="AD13" s="10">
        <f>SUMIF(RAW_Cases!$B:$B,Tabelle2[[#This Row],[Country/Region]],RAW_Cases!AE:AE)</f>
        <v>3</v>
      </c>
      <c r="AE13" s="10">
        <f>SUMIF(RAW_Cases!$B:$B,Tabelle2[[#This Row],[Country/Region]],RAW_Cases!AF:AF)</f>
        <v>3</v>
      </c>
      <c r="AF13" s="10">
        <f>SUMIF(RAW_Cases!$B:$B,Tabelle2[[#This Row],[Country/Region]],RAW_Cases!AG:AG)</f>
        <v>20</v>
      </c>
      <c r="AG13" s="10">
        <f>SUMIF(RAW_Cases!$B:$B,Tabelle2[[#This Row],[Country/Region]],RAW_Cases!AH:AH)</f>
        <v>62</v>
      </c>
      <c r="AH13" s="10">
        <f>SUMIF(RAW_Cases!$B:$B,Tabelle2[[#This Row],[Country/Region]],RAW_Cases!AI:AI)</f>
        <v>155</v>
      </c>
      <c r="AI13" s="10">
        <f>SUMIF(RAW_Cases!$B:$B,Tabelle2[[#This Row],[Country/Region]],RAW_Cases!AJ:AJ)</f>
        <v>229</v>
      </c>
      <c r="AJ13" s="10">
        <f>SUMIF(RAW_Cases!$B:$B,Tabelle2[[#This Row],[Country/Region]],RAW_Cases!AK:AK)</f>
        <v>322</v>
      </c>
      <c r="AK13" s="10">
        <f>SUMIF(RAW_Cases!$B:$B,Tabelle2[[#This Row],[Country/Region]],RAW_Cases!AL:AL)</f>
        <v>453</v>
      </c>
      <c r="AL13" s="10">
        <f>SUMIF(RAW_Cases!$B:$B,Tabelle2[[#This Row],[Country/Region]],RAW_Cases!AM:AM)</f>
        <v>655</v>
      </c>
      <c r="AM13" s="10">
        <f>SUMIF(RAW_Cases!$B:$B,Tabelle2[[#This Row],[Country/Region]],RAW_Cases!AN:AN)</f>
        <v>888</v>
      </c>
      <c r="AN13" s="10">
        <f>SUMIF(RAW_Cases!$B:$B,Tabelle2[[#This Row],[Country/Region]],RAW_Cases!AO:AO)</f>
        <v>1128</v>
      </c>
      <c r="AO13" s="10">
        <f>SUMIF(RAW_Cases!$B:$B,Tabelle2[[#This Row],[Country/Region]],RAW_Cases!AP:AP)</f>
        <v>1694</v>
      </c>
      <c r="AP13" s="10">
        <f>SUMIF(RAW_Cases!$B:$B,Tabelle2[[#This Row],[Country/Region]],RAW_Cases!AQ:AQ)</f>
        <v>2036</v>
      </c>
      <c r="AQ13" s="10">
        <f>SUMIF(RAW_Cases!$B:$B,Tabelle2[[#This Row],[Country/Region]],RAW_Cases!AR:AR)</f>
        <v>2502</v>
      </c>
      <c r="AR13" s="10">
        <f>SUMIF(RAW_Cases!$B:$B,Tabelle2[[#This Row],[Country/Region]],RAW_Cases!AS:AS)</f>
        <v>3089</v>
      </c>
      <c r="AS13" s="10">
        <f>SUMIF(RAW_Cases!$B:$B,Tabelle2[[#This Row],[Country/Region]],RAW_Cases!AT:AT)</f>
        <v>3858</v>
      </c>
      <c r="AT13" s="10">
        <f>SUMIF(RAW_Cases!$B:$B,Tabelle2[[#This Row],[Country/Region]],RAW_Cases!AU:AU)</f>
        <v>4636</v>
      </c>
      <c r="AU13" s="10">
        <f>SUMIF(RAW_Cases!$B:$B,Tabelle2[[#This Row],[Country/Region]],RAW_Cases!AV:AV)</f>
        <v>5883</v>
      </c>
      <c r="AV13" s="10">
        <f>SUMIF(RAW_Cases!$B:$B,Tabelle2[[#This Row],[Country/Region]],RAW_Cases!AW:AW)</f>
        <v>7375</v>
      </c>
      <c r="AW13" s="10">
        <f>SUMIF(RAW_Cases!$B:$B,Tabelle2[[#This Row],[Country/Region]],RAW_Cases!AX:AX)</f>
        <v>9172</v>
      </c>
      <c r="AX13" s="10">
        <f>SUMIF(RAW_Cases!$B:$B,Tabelle2[[#This Row],[Country/Region]],RAW_Cases!AY:AY)</f>
        <v>10149</v>
      </c>
      <c r="AY13" s="10">
        <f>SUMIF(RAW_Cases!$B:$B,Tabelle2[[#This Row],[Country/Region]],RAW_Cases!AZ:AZ)</f>
        <v>12462</v>
      </c>
      <c r="AZ13" s="10">
        <f>SUMIF(RAW_Cases!$B:$B,Tabelle2[[#This Row],[Country/Region]],RAW_Cases!BA:BA)</f>
        <v>12462</v>
      </c>
      <c r="BA13" s="10">
        <f>SUMIF(RAW_Cases!$B:$B,Tabelle2[[#This Row],[Country/Region]],RAW_Cases!BB:BB)</f>
        <v>17660</v>
      </c>
      <c r="BB13" s="10">
        <f>SUMIF(RAW_Cases!$B:$B,Tabelle2[[#This Row],[Country/Region]],RAW_Cases!BC:BC)</f>
        <v>21157</v>
      </c>
      <c r="BC13" s="10">
        <f>SUMIF(RAW_Cases!$B:$B,Tabelle2[[#This Row],[Country/Region]],RAW_Cases!BD:BD)</f>
        <v>24747</v>
      </c>
      <c r="BD13" s="10">
        <f>SUMIF(RAW_Cases!$B:$B,Tabelle2[[#This Row],[Country/Region]],RAW_Cases!BE:BE)</f>
        <v>27980</v>
      </c>
      <c r="BE13" s="10">
        <f>SUMIF(RAW_Cases!$B:$B,Tabelle2[[#This Row],[Country/Region]],RAW_Cases!BF:BF)</f>
        <v>31506</v>
      </c>
      <c r="BF13" s="10">
        <f>SUMIF(RAW_Cases!$B:$B,Tabelle2[[#This Row],[Country/Region]],RAW_Cases!BG:BG)</f>
        <v>35713</v>
      </c>
      <c r="BG13" s="10">
        <f>SUMIF(RAW_Cases!$B:$B,Tabelle2[[#This Row],[Country/Region]],RAW_Cases!BH:BH)</f>
        <v>41035</v>
      </c>
      <c r="BH13" s="10">
        <f>SUMIF(RAW_Cases!$B:$B,Tabelle2[[#This Row],[Country/Region]],RAW_Cases!BI:BI)</f>
        <v>47021</v>
      </c>
      <c r="BI13" s="10">
        <f>SUMIF(RAW_Cases!$B:$B,Tabelle2[[#This Row],[Country/Region]],RAW_Cases!BJ:BJ)</f>
        <v>53578</v>
      </c>
      <c r="BJ13" s="10">
        <f>SUMIF(RAW_Cases!$B:$B,Tabelle2[[#This Row],[Country/Region]],RAW_Cases!BK:BK)</f>
        <v>59138</v>
      </c>
      <c r="BK13" s="10">
        <f>SUMIF(RAW_Cases!$B:$B,Tabelle2[[#This Row],[Country/Region]],RAW_Cases!BL:BL)</f>
        <v>63927</v>
      </c>
      <c r="BL13" s="10">
        <f>SUMIF(RAW_Cases!$B:$B,Tabelle2[[#This Row],[Country/Region]],RAW_Cases!GQ:GQ)</f>
        <v>0</v>
      </c>
      <c r="BM13" s="10">
        <f>SUMIF(RAW_Cases!$B:$B,Tabelle2[[#This Row],[Country/Region]],RAW_Cases!GR:GR)</f>
        <v>0</v>
      </c>
      <c r="BN13" s="10">
        <f>SUMIF(RAW_Cases!$B:$B,Tabelle2[[#This Row],[Country/Region]],RAW_Cases!GS:GS)</f>
        <v>0</v>
      </c>
      <c r="BO13" s="10">
        <f>SUMIF(RAW_Cases!$B:$B,Tabelle2[[#This Row],[Country/Region]],RAW_Cases!GT:GT)</f>
        <v>0</v>
      </c>
      <c r="BP13" s="10">
        <f>SUMIF(RAW_Cases!$B:$B,Tabelle2[[#This Row],[Country/Region]],RAW_Cases!GU:GU)</f>
        <v>0</v>
      </c>
      <c r="BQ13" s="10">
        <f>SUMIF(RAW_Cases!$B:$B,Tabelle2[[#This Row],[Country/Region]],RAW_Cases!GV:GV)</f>
        <v>0</v>
      </c>
      <c r="BR13" s="10">
        <f>SUMIF(RAW_Cases!$B:$B,Tabelle2[[#This Row],[Country/Region]],RAW_Cases!GW:GW)</f>
        <v>0</v>
      </c>
      <c r="BS13" s="10">
        <f>SUMIF(RAW_Cases!$B:$B,Tabelle2[[#This Row],[Country/Region]],RAW_Cases!GX:GX)</f>
        <v>0</v>
      </c>
      <c r="BT13" s="10">
        <f>SUMIF(RAW_Cases!$B:$B,Tabelle2[[#This Row],[Country/Region]],RAW_Cases!GY:GY)</f>
        <v>0</v>
      </c>
      <c r="BU13" s="10">
        <f>SUMIF(RAW_Cases!$B:$B,Tabelle2[[#This Row],[Country/Region]],RAW_Cases!GZ:GZ)</f>
        <v>0</v>
      </c>
      <c r="BV13" s="10">
        <f>SUMIF(RAW_Cases!$B:$B,Tabelle2[[#This Row],[Country/Region]],RAW_Cases!HA:HA)</f>
        <v>0</v>
      </c>
      <c r="BW13" s="10">
        <f>SUMIF(RAW_Cases!$B:$B,Tabelle2[[#This Row],[Country/Region]],RAW_Cases!HB:HB)</f>
        <v>0</v>
      </c>
      <c r="BX13" s="10">
        <f>SUMIF(RAW_Cases!$B:$B,Tabelle2[[#This Row],[Country/Region]],RAW_Cases!HC:HC)</f>
        <v>0</v>
      </c>
      <c r="BY13" s="10">
        <f>SUMIF(RAW_Cases!$B:$B,Tabelle2[[#This Row],[Country/Region]],RAW_Cases!HD:HD)</f>
        <v>0</v>
      </c>
      <c r="BZ13" s="10">
        <f>SUMIF(RAW_Cases!$B:$B,Tabelle2[[#This Row],[Country/Region]],RAW_Cases!HE:HE)</f>
        <v>0</v>
      </c>
      <c r="CA13" s="10">
        <f>SUMIF(RAW_Cases!$B:$B,Tabelle2[[#This Row],[Country/Region]],RAW_Cases!HF:HF)</f>
        <v>0</v>
      </c>
      <c r="CB13" s="10">
        <f>SUMIF(RAW_Cases!$B:$B,Tabelle2[[#This Row],[Country/Region]],RAW_Cases!HG:HG)</f>
        <v>0</v>
      </c>
      <c r="CC13" s="10">
        <f>SUMIF(RAW_Cases!$B:$B,Tabelle2[[#This Row],[Country/Region]],RAW_Cases!HH:HH)</f>
        <v>0</v>
      </c>
      <c r="CD13" s="10">
        <f>SUMIF(RAW_Cases!$B:$B,Tabelle2[[#This Row],[Country/Region]],RAW_Cases!HI:HI)</f>
        <v>0</v>
      </c>
      <c r="CE13" s="10">
        <f>SUMIF(RAW_Cases!$B:$B,Tabelle2[[#This Row],[Country/Region]],RAW_Cases!HJ:HJ)</f>
        <v>0</v>
      </c>
    </row>
    <row r="14" spans="1:83" s="15" customFormat="1" ht="12.75" x14ac:dyDescent="0.2">
      <c r="A14" s="31" t="s">
        <v>72</v>
      </c>
      <c r="B14" s="10">
        <f>SUMIF(RAW_Cases!$B:$B,Tabelle2[[#This Row],[Country/Region]],RAW_Cases!C:C)</f>
        <v>0</v>
      </c>
      <c r="C14" s="10">
        <f>SUMIF(RAW_Cases!$B:$B,Tabelle2[[#This Row],[Country/Region]],RAW_Cases!D:D)</f>
        <v>0</v>
      </c>
      <c r="D14" s="10">
        <f>SUMIF(RAW_Cases!$B:$B,Tabelle2[[#This Row],[Country/Region]],RAW_Cases!E:E)</f>
        <v>0</v>
      </c>
      <c r="E14" s="10">
        <f>SUMIF(RAW_Cases!$B:$B,Tabelle2[[#This Row],[Country/Region]],RAW_Cases!F:F)</f>
        <v>0</v>
      </c>
      <c r="F14" s="10">
        <f>SUMIF(RAW_Cases!$B:$B,Tabelle2[[#This Row],[Country/Region]],RAW_Cases!G:G)</f>
        <v>4</v>
      </c>
      <c r="G14" s="10">
        <f>SUMIF(RAW_Cases!$B:$B,Tabelle2[[#This Row],[Country/Region]],RAW_Cases!H:H)</f>
        <v>5</v>
      </c>
      <c r="H14" s="10">
        <f>SUMIF(RAW_Cases!$B:$B,Tabelle2[[#This Row],[Country/Region]],RAW_Cases!I:I)</f>
        <v>5</v>
      </c>
      <c r="I14" s="10">
        <f>SUMIF(RAW_Cases!$B:$B,Tabelle2[[#This Row],[Country/Region]],RAW_Cases!J:J)</f>
        <v>6</v>
      </c>
      <c r="J14" s="10">
        <f>SUMIF(RAW_Cases!$B:$B,Tabelle2[[#This Row],[Country/Region]],RAW_Cases!K:K)</f>
        <v>9</v>
      </c>
      <c r="K14" s="10">
        <f>SUMIF(RAW_Cases!$B:$B,Tabelle2[[#This Row],[Country/Region]],RAW_Cases!L:L)</f>
        <v>9</v>
      </c>
      <c r="L14" s="10">
        <f>SUMIF(RAW_Cases!$B:$B,Tabelle2[[#This Row],[Country/Region]],RAW_Cases!M:M)</f>
        <v>12</v>
      </c>
      <c r="M14" s="10">
        <f>SUMIF(RAW_Cases!$B:$B,Tabelle2[[#This Row],[Country/Region]],RAW_Cases!N:N)</f>
        <v>12</v>
      </c>
      <c r="N14" s="10">
        <f>SUMIF(RAW_Cases!$B:$B,Tabelle2[[#This Row],[Country/Region]],RAW_Cases!O:O)</f>
        <v>12</v>
      </c>
      <c r="O14" s="10">
        <f>SUMIF(RAW_Cases!$B:$B,Tabelle2[[#This Row],[Country/Region]],RAW_Cases!P:P)</f>
        <v>13</v>
      </c>
      <c r="P14" s="10">
        <f>SUMIF(RAW_Cases!$B:$B,Tabelle2[[#This Row],[Country/Region]],RAW_Cases!Q:Q)</f>
        <v>13</v>
      </c>
      <c r="Q14" s="10">
        <f>SUMIF(RAW_Cases!$B:$B,Tabelle2[[#This Row],[Country/Region]],RAW_Cases!R:R)</f>
        <v>14</v>
      </c>
      <c r="R14" s="10">
        <f>SUMIF(RAW_Cases!$B:$B,Tabelle2[[#This Row],[Country/Region]],RAW_Cases!S:S)</f>
        <v>15</v>
      </c>
      <c r="S14" s="10">
        <f>SUMIF(RAW_Cases!$B:$B,Tabelle2[[#This Row],[Country/Region]],RAW_Cases!T:T)</f>
        <v>15</v>
      </c>
      <c r="T14" s="10">
        <f>SUMIF(RAW_Cases!$B:$B,Tabelle2[[#This Row],[Country/Region]],RAW_Cases!U:U)</f>
        <v>15</v>
      </c>
      <c r="U14" s="10">
        <f>SUMIF(RAW_Cases!$B:$B,Tabelle2[[#This Row],[Country/Region]],RAW_Cases!V:V)</f>
        <v>15</v>
      </c>
      <c r="V14" s="10">
        <f>SUMIF(RAW_Cases!$B:$B,Tabelle2[[#This Row],[Country/Region]],RAW_Cases!W:W)</f>
        <v>15</v>
      </c>
      <c r="W14" s="10">
        <f>SUMIF(RAW_Cases!$B:$B,Tabelle2[[#This Row],[Country/Region]],RAW_Cases!X:X)</f>
        <v>15</v>
      </c>
      <c r="X14" s="10">
        <f>SUMIF(RAW_Cases!$B:$B,Tabelle2[[#This Row],[Country/Region]],RAW_Cases!Y:Y)</f>
        <v>15</v>
      </c>
      <c r="Y14" s="10">
        <f>SUMIF(RAW_Cases!$B:$B,Tabelle2[[#This Row],[Country/Region]],RAW_Cases!Z:Z)</f>
        <v>15</v>
      </c>
      <c r="Z14" s="10">
        <f>SUMIF(RAW_Cases!$B:$B,Tabelle2[[#This Row],[Country/Region]],RAW_Cases!AA:AA)</f>
        <v>15</v>
      </c>
      <c r="AA14" s="10">
        <f>SUMIF(RAW_Cases!$B:$B,Tabelle2[[#This Row],[Country/Region]],RAW_Cases!AB:AB)</f>
        <v>15</v>
      </c>
      <c r="AB14" s="10">
        <f>SUMIF(RAW_Cases!$B:$B,Tabelle2[[#This Row],[Country/Region]],RAW_Cases!AC:AC)</f>
        <v>15</v>
      </c>
      <c r="AC14" s="10">
        <f>SUMIF(RAW_Cases!$B:$B,Tabelle2[[#This Row],[Country/Region]],RAW_Cases!AD:AD)</f>
        <v>15</v>
      </c>
      <c r="AD14" s="10">
        <f>SUMIF(RAW_Cases!$B:$B,Tabelle2[[#This Row],[Country/Region]],RAW_Cases!AE:AE)</f>
        <v>15</v>
      </c>
      <c r="AE14" s="10">
        <f>SUMIF(RAW_Cases!$B:$B,Tabelle2[[#This Row],[Country/Region]],RAW_Cases!AF:AF)</f>
        <v>15</v>
      </c>
      <c r="AF14" s="10">
        <f>SUMIF(RAW_Cases!$B:$B,Tabelle2[[#This Row],[Country/Region]],RAW_Cases!AG:AG)</f>
        <v>15</v>
      </c>
      <c r="AG14" s="10">
        <f>SUMIF(RAW_Cases!$B:$B,Tabelle2[[#This Row],[Country/Region]],RAW_Cases!AH:AH)</f>
        <v>15</v>
      </c>
      <c r="AH14" s="10">
        <f>SUMIF(RAW_Cases!$B:$B,Tabelle2[[#This Row],[Country/Region]],RAW_Cases!AI:AI)</f>
        <v>15</v>
      </c>
      <c r="AI14" s="10">
        <f>SUMIF(RAW_Cases!$B:$B,Tabelle2[[#This Row],[Country/Region]],RAW_Cases!AJ:AJ)</f>
        <v>15</v>
      </c>
      <c r="AJ14" s="10">
        <f>SUMIF(RAW_Cases!$B:$B,Tabelle2[[#This Row],[Country/Region]],RAW_Cases!AK:AK)</f>
        <v>15</v>
      </c>
      <c r="AK14" s="10">
        <f>SUMIF(RAW_Cases!$B:$B,Tabelle2[[#This Row],[Country/Region]],RAW_Cases!AL:AL)</f>
        <v>15</v>
      </c>
      <c r="AL14" s="10">
        <f>SUMIF(RAW_Cases!$B:$B,Tabelle2[[#This Row],[Country/Region]],RAW_Cases!AM:AM)</f>
        <v>15</v>
      </c>
      <c r="AM14" s="10">
        <f>SUMIF(RAW_Cases!$B:$B,Tabelle2[[#This Row],[Country/Region]],RAW_Cases!AN:AN)</f>
        <v>15</v>
      </c>
      <c r="AN14" s="10">
        <f>SUMIF(RAW_Cases!$B:$B,Tabelle2[[#This Row],[Country/Region]],RAW_Cases!AO:AO)</f>
        <v>25</v>
      </c>
      <c r="AO14" s="10">
        <f>SUMIF(RAW_Cases!$B:$B,Tabelle2[[#This Row],[Country/Region]],RAW_Cases!AP:AP)</f>
        <v>27</v>
      </c>
      <c r="AP14" s="10">
        <f>SUMIF(RAW_Cases!$B:$B,Tabelle2[[#This Row],[Country/Region]],RAW_Cases!AQ:AQ)</f>
        <v>30</v>
      </c>
      <c r="AQ14" s="10">
        <f>SUMIF(RAW_Cases!$B:$B,Tabelle2[[#This Row],[Country/Region]],RAW_Cases!AR:AR)</f>
        <v>39</v>
      </c>
      <c r="AR14" s="10">
        <f>SUMIF(RAW_Cases!$B:$B,Tabelle2[[#This Row],[Country/Region]],RAW_Cases!AS:AS)</f>
        <v>52</v>
      </c>
      <c r="AS14" s="10">
        <f>SUMIF(RAW_Cases!$B:$B,Tabelle2[[#This Row],[Country/Region]],RAW_Cases!AT:AT)</f>
        <v>55</v>
      </c>
      <c r="AT14" s="10">
        <f>SUMIF(RAW_Cases!$B:$B,Tabelle2[[#This Row],[Country/Region]],RAW_Cases!AU:AU)</f>
        <v>60</v>
      </c>
      <c r="AU14" s="10">
        <f>SUMIF(RAW_Cases!$B:$B,Tabelle2[[#This Row],[Country/Region]],RAW_Cases!AV:AV)</f>
        <v>63</v>
      </c>
      <c r="AV14" s="10">
        <f>SUMIF(RAW_Cases!$B:$B,Tabelle2[[#This Row],[Country/Region]],RAW_Cases!AW:AW)</f>
        <v>76</v>
      </c>
      <c r="AW14" s="10">
        <f>SUMIF(RAW_Cases!$B:$B,Tabelle2[[#This Row],[Country/Region]],RAW_Cases!AX:AX)</f>
        <v>91</v>
      </c>
      <c r="AX14" s="10">
        <f>SUMIF(RAW_Cases!$B:$B,Tabelle2[[#This Row],[Country/Region]],RAW_Cases!AY:AY)</f>
        <v>107</v>
      </c>
      <c r="AY14" s="10">
        <f>SUMIF(RAW_Cases!$B:$B,Tabelle2[[#This Row],[Country/Region]],RAW_Cases!AZ:AZ)</f>
        <v>128</v>
      </c>
      <c r="AZ14" s="10">
        <f>SUMIF(RAW_Cases!$B:$B,Tabelle2[[#This Row],[Country/Region]],RAW_Cases!BA:BA)</f>
        <v>128</v>
      </c>
      <c r="BA14" s="10">
        <f>SUMIF(RAW_Cases!$B:$B,Tabelle2[[#This Row],[Country/Region]],RAW_Cases!BB:BB)</f>
        <v>200</v>
      </c>
      <c r="BB14" s="10">
        <f>SUMIF(RAW_Cases!$B:$B,Tabelle2[[#This Row],[Country/Region]],RAW_Cases!BC:BC)</f>
        <v>250</v>
      </c>
      <c r="BC14" s="10">
        <f>SUMIF(RAW_Cases!$B:$B,Tabelle2[[#This Row],[Country/Region]],RAW_Cases!BD:BD)</f>
        <v>297</v>
      </c>
      <c r="BD14" s="10">
        <f>SUMIF(RAW_Cases!$B:$B,Tabelle2[[#This Row],[Country/Region]],RAW_Cases!BE:BE)</f>
        <v>377</v>
      </c>
      <c r="BE14" s="10">
        <f>SUMIF(RAW_Cases!$B:$B,Tabelle2[[#This Row],[Country/Region]],RAW_Cases!BF:BF)</f>
        <v>452</v>
      </c>
      <c r="BF14" s="10">
        <f>SUMIF(RAW_Cases!$B:$B,Tabelle2[[#This Row],[Country/Region]],RAW_Cases!BG:BG)</f>
        <v>568</v>
      </c>
      <c r="BG14" s="10">
        <f>SUMIF(RAW_Cases!$B:$B,Tabelle2[[#This Row],[Country/Region]],RAW_Cases!BH:BH)</f>
        <v>681</v>
      </c>
      <c r="BH14" s="10">
        <f>SUMIF(RAW_Cases!$B:$B,Tabelle2[[#This Row],[Country/Region]],RAW_Cases!BI:BI)</f>
        <v>791</v>
      </c>
      <c r="BI14" s="10">
        <f>SUMIF(RAW_Cases!$B:$B,Tabelle2[[#This Row],[Country/Region]],RAW_Cases!BJ:BJ)</f>
        <v>1071</v>
      </c>
      <c r="BJ14" s="10">
        <f>SUMIF(RAW_Cases!$B:$B,Tabelle2[[#This Row],[Country/Region]],RAW_Cases!BK:BK)</f>
        <v>1549</v>
      </c>
      <c r="BK14" s="10">
        <f>SUMIF(RAW_Cases!$B:$B,Tabelle2[[#This Row],[Country/Region]],RAW_Cases!BL:BL)</f>
        <v>1682</v>
      </c>
      <c r="BL14" s="10">
        <f>SUMIF(RAW_Cases!$B:$B,Tabelle2[[#This Row],[Country/Region]],RAW_Cases!GQ:GQ)</f>
        <v>0</v>
      </c>
      <c r="BM14" s="10">
        <f>SUMIF(RAW_Cases!$B:$B,Tabelle2[[#This Row],[Country/Region]],RAW_Cases!GR:GR)</f>
        <v>0</v>
      </c>
      <c r="BN14" s="10">
        <f>SUMIF(RAW_Cases!$B:$B,Tabelle2[[#This Row],[Country/Region]],RAW_Cases!GS:GS)</f>
        <v>0</v>
      </c>
      <c r="BO14" s="10">
        <f>SUMIF(RAW_Cases!$B:$B,Tabelle2[[#This Row],[Country/Region]],RAW_Cases!GT:GT)</f>
        <v>0</v>
      </c>
      <c r="BP14" s="10">
        <f>SUMIF(RAW_Cases!$B:$B,Tabelle2[[#This Row],[Country/Region]],RAW_Cases!GU:GU)</f>
        <v>0</v>
      </c>
      <c r="BQ14" s="10">
        <f>SUMIF(RAW_Cases!$B:$B,Tabelle2[[#This Row],[Country/Region]],RAW_Cases!GV:GV)</f>
        <v>0</v>
      </c>
      <c r="BR14" s="10">
        <f>SUMIF(RAW_Cases!$B:$B,Tabelle2[[#This Row],[Country/Region]],RAW_Cases!GW:GW)</f>
        <v>0</v>
      </c>
      <c r="BS14" s="10">
        <f>SUMIF(RAW_Cases!$B:$B,Tabelle2[[#This Row],[Country/Region]],RAW_Cases!GX:GX)</f>
        <v>0</v>
      </c>
      <c r="BT14" s="10">
        <f>SUMIF(RAW_Cases!$B:$B,Tabelle2[[#This Row],[Country/Region]],RAW_Cases!GY:GY)</f>
        <v>0</v>
      </c>
      <c r="BU14" s="10">
        <f>SUMIF(RAW_Cases!$B:$B,Tabelle2[[#This Row],[Country/Region]],RAW_Cases!GZ:GZ)</f>
        <v>0</v>
      </c>
      <c r="BV14" s="10">
        <f>SUMIF(RAW_Cases!$B:$B,Tabelle2[[#This Row],[Country/Region]],RAW_Cases!HA:HA)</f>
        <v>0</v>
      </c>
      <c r="BW14" s="10">
        <f>SUMIF(RAW_Cases!$B:$B,Tabelle2[[#This Row],[Country/Region]],RAW_Cases!HB:HB)</f>
        <v>0</v>
      </c>
      <c r="BX14" s="10">
        <f>SUMIF(RAW_Cases!$B:$B,Tabelle2[[#This Row],[Country/Region]],RAW_Cases!HC:HC)</f>
        <v>0</v>
      </c>
      <c r="BY14" s="10">
        <f>SUMIF(RAW_Cases!$B:$B,Tabelle2[[#This Row],[Country/Region]],RAW_Cases!HD:HD)</f>
        <v>0</v>
      </c>
      <c r="BZ14" s="10">
        <f>SUMIF(RAW_Cases!$B:$B,Tabelle2[[#This Row],[Country/Region]],RAW_Cases!HE:HE)</f>
        <v>0</v>
      </c>
      <c r="CA14" s="10">
        <f>SUMIF(RAW_Cases!$B:$B,Tabelle2[[#This Row],[Country/Region]],RAW_Cases!HF:HF)</f>
        <v>0</v>
      </c>
      <c r="CB14" s="10">
        <f>SUMIF(RAW_Cases!$B:$B,Tabelle2[[#This Row],[Country/Region]],RAW_Cases!HG:HG)</f>
        <v>0</v>
      </c>
      <c r="CC14" s="10">
        <f>SUMIF(RAW_Cases!$B:$B,Tabelle2[[#This Row],[Country/Region]],RAW_Cases!HH:HH)</f>
        <v>0</v>
      </c>
      <c r="CD14" s="10">
        <f>SUMIF(RAW_Cases!$B:$B,Tabelle2[[#This Row],[Country/Region]],RAW_Cases!HI:HI)</f>
        <v>0</v>
      </c>
      <c r="CE14" s="10">
        <f>SUMIF(RAW_Cases!$B:$B,Tabelle2[[#This Row],[Country/Region]],RAW_Cases!HJ:HJ)</f>
        <v>0</v>
      </c>
    </row>
    <row r="15" spans="1:83" s="15" customFormat="1" ht="12.75" x14ac:dyDescent="0.2">
      <c r="A15" s="31" t="s">
        <v>223</v>
      </c>
      <c r="B15" s="10">
        <f>SUMIF(RAW_Cases!$B:$B,Tabelle2[[#This Row],[Country/Region]],RAW_Cases!C:C)</f>
        <v>1</v>
      </c>
      <c r="C15" s="10">
        <f>SUMIF(RAW_Cases!$B:$B,Tabelle2[[#This Row],[Country/Region]],RAW_Cases!D:D)</f>
        <v>1</v>
      </c>
      <c r="D15" s="10">
        <f>SUMIF(RAW_Cases!$B:$B,Tabelle2[[#This Row],[Country/Region]],RAW_Cases!E:E)</f>
        <v>2</v>
      </c>
      <c r="E15" s="10">
        <f>SUMIF(RAW_Cases!$B:$B,Tabelle2[[#This Row],[Country/Region]],RAW_Cases!F:F)</f>
        <v>2</v>
      </c>
      <c r="F15" s="10">
        <f>SUMIF(RAW_Cases!$B:$B,Tabelle2[[#This Row],[Country/Region]],RAW_Cases!G:G)</f>
        <v>3</v>
      </c>
      <c r="G15" s="10">
        <f>SUMIF(RAW_Cases!$B:$B,Tabelle2[[#This Row],[Country/Region]],RAW_Cases!H:H)</f>
        <v>4</v>
      </c>
      <c r="H15" s="10">
        <f>SUMIF(RAW_Cases!$B:$B,Tabelle2[[#This Row],[Country/Region]],RAW_Cases!I:I)</f>
        <v>4</v>
      </c>
      <c r="I15" s="10">
        <f>SUMIF(RAW_Cases!$B:$B,Tabelle2[[#This Row],[Country/Region]],RAW_Cases!J:J)</f>
        <v>4</v>
      </c>
      <c r="J15" s="10">
        <f>SUMIF(RAW_Cases!$B:$B,Tabelle2[[#This Row],[Country/Region]],RAW_Cases!K:K)</f>
        <v>4</v>
      </c>
      <c r="K15" s="10">
        <f>SUMIF(RAW_Cases!$B:$B,Tabelle2[[#This Row],[Country/Region]],RAW_Cases!L:L)</f>
        <v>11</v>
      </c>
      <c r="L15" s="10">
        <f>SUMIF(RAW_Cases!$B:$B,Tabelle2[[#This Row],[Country/Region]],RAW_Cases!M:M)</f>
        <v>12</v>
      </c>
      <c r="M15" s="10">
        <f>SUMIF(RAW_Cases!$B:$B,Tabelle2[[#This Row],[Country/Region]],RAW_Cases!N:N)</f>
        <v>15</v>
      </c>
      <c r="N15" s="10">
        <f>SUMIF(RAW_Cases!$B:$B,Tabelle2[[#This Row],[Country/Region]],RAW_Cases!O:O)</f>
        <v>15</v>
      </c>
      <c r="O15" s="10">
        <f>SUMIF(RAW_Cases!$B:$B,Tabelle2[[#This Row],[Country/Region]],RAW_Cases!P:P)</f>
        <v>16</v>
      </c>
      <c r="P15" s="10">
        <f>SUMIF(RAW_Cases!$B:$B,Tabelle2[[#This Row],[Country/Region]],RAW_Cases!Q:Q)</f>
        <v>19</v>
      </c>
      <c r="Q15" s="10">
        <f>SUMIF(RAW_Cases!$B:$B,Tabelle2[[#This Row],[Country/Region]],RAW_Cases!R:R)</f>
        <v>23</v>
      </c>
      <c r="R15" s="10">
        <f>SUMIF(RAW_Cases!$B:$B,Tabelle2[[#This Row],[Country/Region]],RAW_Cases!S:S)</f>
        <v>24</v>
      </c>
      <c r="S15" s="10">
        <f>SUMIF(RAW_Cases!$B:$B,Tabelle2[[#This Row],[Country/Region]],RAW_Cases!T:T)</f>
        <v>24</v>
      </c>
      <c r="T15" s="10">
        <f>SUMIF(RAW_Cases!$B:$B,Tabelle2[[#This Row],[Country/Region]],RAW_Cases!U:U)</f>
        <v>25</v>
      </c>
      <c r="U15" s="10">
        <f>SUMIF(RAW_Cases!$B:$B,Tabelle2[[#This Row],[Country/Region]],RAW_Cases!V:V)</f>
        <v>27</v>
      </c>
      <c r="V15" s="10">
        <f>SUMIF(RAW_Cases!$B:$B,Tabelle2[[#This Row],[Country/Region]],RAW_Cases!W:W)</f>
        <v>28</v>
      </c>
      <c r="W15" s="10">
        <f>SUMIF(RAW_Cases!$B:$B,Tabelle2[[#This Row],[Country/Region]],RAW_Cases!X:X)</f>
        <v>28</v>
      </c>
      <c r="X15" s="10">
        <f>SUMIF(RAW_Cases!$B:$B,Tabelle2[[#This Row],[Country/Region]],RAW_Cases!Y:Y)</f>
        <v>28</v>
      </c>
      <c r="Y15" s="10">
        <f>SUMIF(RAW_Cases!$B:$B,Tabelle2[[#This Row],[Country/Region]],RAW_Cases!Z:Z)</f>
        <v>28</v>
      </c>
      <c r="Z15" s="10">
        <f>SUMIF(RAW_Cases!$B:$B,Tabelle2[[#This Row],[Country/Region]],RAW_Cases!AA:AA)</f>
        <v>28</v>
      </c>
      <c r="AA15" s="10">
        <f>SUMIF(RAW_Cases!$B:$B,Tabelle2[[#This Row],[Country/Region]],RAW_Cases!AB:AB)</f>
        <v>29</v>
      </c>
      <c r="AB15" s="10">
        <f>SUMIF(RAW_Cases!$B:$B,Tabelle2[[#This Row],[Country/Region]],RAW_Cases!AC:AC)</f>
        <v>30</v>
      </c>
      <c r="AC15" s="10">
        <f>SUMIF(RAW_Cases!$B:$B,Tabelle2[[#This Row],[Country/Region]],RAW_Cases!AD:AD)</f>
        <v>31</v>
      </c>
      <c r="AD15" s="10">
        <f>SUMIF(RAW_Cases!$B:$B,Tabelle2[[#This Row],[Country/Region]],RAW_Cases!AE:AE)</f>
        <v>31</v>
      </c>
      <c r="AE15" s="10">
        <f>SUMIF(RAW_Cases!$B:$B,Tabelle2[[#This Row],[Country/Region]],RAW_Cases!AF:AF)</f>
        <v>104</v>
      </c>
      <c r="AF15" s="10">
        <f>SUMIF(RAW_Cases!$B:$B,Tabelle2[[#This Row],[Country/Region]],RAW_Cases!AG:AG)</f>
        <v>204</v>
      </c>
      <c r="AG15" s="10">
        <f>SUMIF(RAW_Cases!$B:$B,Tabelle2[[#This Row],[Country/Region]],RAW_Cases!AH:AH)</f>
        <v>433</v>
      </c>
      <c r="AH15" s="10">
        <f>SUMIF(RAW_Cases!$B:$B,Tabelle2[[#This Row],[Country/Region]],RAW_Cases!AI:AI)</f>
        <v>602</v>
      </c>
      <c r="AI15" s="10">
        <f>SUMIF(RAW_Cases!$B:$B,Tabelle2[[#This Row],[Country/Region]],RAW_Cases!AJ:AJ)</f>
        <v>833</v>
      </c>
      <c r="AJ15" s="10">
        <f>SUMIF(RAW_Cases!$B:$B,Tabelle2[[#This Row],[Country/Region]],RAW_Cases!AK:AK)</f>
        <v>977</v>
      </c>
      <c r="AK15" s="10">
        <f>SUMIF(RAW_Cases!$B:$B,Tabelle2[[#This Row],[Country/Region]],RAW_Cases!AL:AL)</f>
        <v>1261</v>
      </c>
      <c r="AL15" s="10">
        <f>SUMIF(RAW_Cases!$B:$B,Tabelle2[[#This Row],[Country/Region]],RAW_Cases!AM:AM)</f>
        <v>1766</v>
      </c>
      <c r="AM15" s="10">
        <f>SUMIF(RAW_Cases!$B:$B,Tabelle2[[#This Row],[Country/Region]],RAW_Cases!AN:AN)</f>
        <v>2337</v>
      </c>
      <c r="AN15" s="10">
        <f>SUMIF(RAW_Cases!$B:$B,Tabelle2[[#This Row],[Country/Region]],RAW_Cases!AO:AO)</f>
        <v>3150</v>
      </c>
      <c r="AO15" s="10">
        <f>SUMIF(RAW_Cases!$B:$B,Tabelle2[[#This Row],[Country/Region]],RAW_Cases!AP:AP)</f>
        <v>3736</v>
      </c>
      <c r="AP15" s="10">
        <f>SUMIF(RAW_Cases!$B:$B,Tabelle2[[#This Row],[Country/Region]],RAW_Cases!AQ:AQ)</f>
        <v>4335</v>
      </c>
      <c r="AQ15" s="10">
        <f>SUMIF(RAW_Cases!$B:$B,Tabelle2[[#This Row],[Country/Region]],RAW_Cases!AR:AR)</f>
        <v>5186</v>
      </c>
      <c r="AR15" s="10">
        <f>SUMIF(RAW_Cases!$B:$B,Tabelle2[[#This Row],[Country/Region]],RAW_Cases!AS:AS)</f>
        <v>5621</v>
      </c>
      <c r="AS15" s="10">
        <f>SUMIF(RAW_Cases!$B:$B,Tabelle2[[#This Row],[Country/Region]],RAW_Cases!AT:AT)</f>
        <v>6088</v>
      </c>
      <c r="AT15" s="10">
        <f>SUMIF(RAW_Cases!$B:$B,Tabelle2[[#This Row],[Country/Region]],RAW_Cases!AU:AU)</f>
        <v>6593</v>
      </c>
      <c r="AU15" s="10">
        <f>SUMIF(RAW_Cases!$B:$B,Tabelle2[[#This Row],[Country/Region]],RAW_Cases!AV:AV)</f>
        <v>7041</v>
      </c>
      <c r="AV15" s="10">
        <f>SUMIF(RAW_Cases!$B:$B,Tabelle2[[#This Row],[Country/Region]],RAW_Cases!AW:AW)</f>
        <v>7314</v>
      </c>
      <c r="AW15" s="10">
        <f>SUMIF(RAW_Cases!$B:$B,Tabelle2[[#This Row],[Country/Region]],RAW_Cases!AX:AX)</f>
        <v>7478</v>
      </c>
      <c r="AX15" s="10">
        <f>SUMIF(RAW_Cases!$B:$B,Tabelle2[[#This Row],[Country/Region]],RAW_Cases!AY:AY)</f>
        <v>7513</v>
      </c>
      <c r="AY15" s="10">
        <f>SUMIF(RAW_Cases!$B:$B,Tabelle2[[#This Row],[Country/Region]],RAW_Cases!AZ:AZ)</f>
        <v>7755</v>
      </c>
      <c r="AZ15" s="10">
        <f>SUMIF(RAW_Cases!$B:$B,Tabelle2[[#This Row],[Country/Region]],RAW_Cases!BA:BA)</f>
        <v>7869</v>
      </c>
      <c r="BA15" s="10">
        <f>SUMIF(RAW_Cases!$B:$B,Tabelle2[[#This Row],[Country/Region]],RAW_Cases!BB:BB)</f>
        <v>7979</v>
      </c>
      <c r="BB15" s="10">
        <f>SUMIF(RAW_Cases!$B:$B,Tabelle2[[#This Row],[Country/Region]],RAW_Cases!BC:BC)</f>
        <v>8086</v>
      </c>
      <c r="BC15" s="10">
        <f>SUMIF(RAW_Cases!$B:$B,Tabelle2[[#This Row],[Country/Region]],RAW_Cases!BD:BD)</f>
        <v>8162</v>
      </c>
      <c r="BD15" s="10">
        <f>SUMIF(RAW_Cases!$B:$B,Tabelle2[[#This Row],[Country/Region]],RAW_Cases!BE:BE)</f>
        <v>8236</v>
      </c>
      <c r="BE15" s="10">
        <f>SUMIF(RAW_Cases!$B:$B,Tabelle2[[#This Row],[Country/Region]],RAW_Cases!BF:BF)</f>
        <v>8320</v>
      </c>
      <c r="BF15" s="10">
        <f>SUMIF(RAW_Cases!$B:$B,Tabelle2[[#This Row],[Country/Region]],RAW_Cases!BG:BG)</f>
        <v>8413</v>
      </c>
      <c r="BG15" s="10">
        <f>SUMIF(RAW_Cases!$B:$B,Tabelle2[[#This Row],[Country/Region]],RAW_Cases!BH:BH)</f>
        <v>8565</v>
      </c>
      <c r="BH15" s="10">
        <f>SUMIF(RAW_Cases!$B:$B,Tabelle2[[#This Row],[Country/Region]],RAW_Cases!BI:BI)</f>
        <v>8652</v>
      </c>
      <c r="BI15" s="10">
        <f>SUMIF(RAW_Cases!$B:$B,Tabelle2[[#This Row],[Country/Region]],RAW_Cases!BJ:BJ)</f>
        <v>8799</v>
      </c>
      <c r="BJ15" s="10">
        <f>SUMIF(RAW_Cases!$B:$B,Tabelle2[[#This Row],[Country/Region]],RAW_Cases!BK:BK)</f>
        <v>8961</v>
      </c>
      <c r="BK15" s="10">
        <f>SUMIF(RAW_Cases!$B:$B,Tabelle2[[#This Row],[Country/Region]],RAW_Cases!BL:BL)</f>
        <v>8961</v>
      </c>
      <c r="BL15" s="10">
        <f>SUMIF(RAW_Cases!$B:$B,Tabelle2[[#This Row],[Country/Region]],RAW_Cases!GQ:GQ)</f>
        <v>0</v>
      </c>
      <c r="BM15" s="10">
        <f>SUMIF(RAW_Cases!$B:$B,Tabelle2[[#This Row],[Country/Region]],RAW_Cases!GR:GR)</f>
        <v>0</v>
      </c>
      <c r="BN15" s="10">
        <f>SUMIF(RAW_Cases!$B:$B,Tabelle2[[#This Row],[Country/Region]],RAW_Cases!GS:GS)</f>
        <v>0</v>
      </c>
      <c r="BO15" s="10">
        <f>SUMIF(RAW_Cases!$B:$B,Tabelle2[[#This Row],[Country/Region]],RAW_Cases!GT:GT)</f>
        <v>0</v>
      </c>
      <c r="BP15" s="10">
        <f>SUMIF(RAW_Cases!$B:$B,Tabelle2[[#This Row],[Country/Region]],RAW_Cases!GU:GU)</f>
        <v>0</v>
      </c>
      <c r="BQ15" s="10">
        <f>SUMIF(RAW_Cases!$B:$B,Tabelle2[[#This Row],[Country/Region]],RAW_Cases!GV:GV)</f>
        <v>0</v>
      </c>
      <c r="BR15" s="10">
        <f>SUMIF(RAW_Cases!$B:$B,Tabelle2[[#This Row],[Country/Region]],RAW_Cases!GW:GW)</f>
        <v>0</v>
      </c>
      <c r="BS15" s="10">
        <f>SUMIF(RAW_Cases!$B:$B,Tabelle2[[#This Row],[Country/Region]],RAW_Cases!GX:GX)</f>
        <v>0</v>
      </c>
      <c r="BT15" s="10">
        <f>SUMIF(RAW_Cases!$B:$B,Tabelle2[[#This Row],[Country/Region]],RAW_Cases!GY:GY)</f>
        <v>0</v>
      </c>
      <c r="BU15" s="10">
        <f>SUMIF(RAW_Cases!$B:$B,Tabelle2[[#This Row],[Country/Region]],RAW_Cases!GZ:GZ)</f>
        <v>0</v>
      </c>
      <c r="BV15" s="10">
        <f>SUMIF(RAW_Cases!$B:$B,Tabelle2[[#This Row],[Country/Region]],RAW_Cases!HA:HA)</f>
        <v>0</v>
      </c>
      <c r="BW15" s="10">
        <f>SUMIF(RAW_Cases!$B:$B,Tabelle2[[#This Row],[Country/Region]],RAW_Cases!HB:HB)</f>
        <v>0</v>
      </c>
      <c r="BX15" s="10">
        <f>SUMIF(RAW_Cases!$B:$B,Tabelle2[[#This Row],[Country/Region]],RAW_Cases!HC:HC)</f>
        <v>0</v>
      </c>
      <c r="BY15" s="10">
        <f>SUMIF(RAW_Cases!$B:$B,Tabelle2[[#This Row],[Country/Region]],RAW_Cases!HD:HD)</f>
        <v>0</v>
      </c>
      <c r="BZ15" s="10">
        <f>SUMIF(RAW_Cases!$B:$B,Tabelle2[[#This Row],[Country/Region]],RAW_Cases!HE:HE)</f>
        <v>0</v>
      </c>
      <c r="CA15" s="10">
        <f>SUMIF(RAW_Cases!$B:$B,Tabelle2[[#This Row],[Country/Region]],RAW_Cases!HF:HF)</f>
        <v>0</v>
      </c>
      <c r="CB15" s="10">
        <f>SUMIF(RAW_Cases!$B:$B,Tabelle2[[#This Row],[Country/Region]],RAW_Cases!HG:HG)</f>
        <v>0</v>
      </c>
      <c r="CC15" s="10">
        <f>SUMIF(RAW_Cases!$B:$B,Tabelle2[[#This Row],[Country/Region]],RAW_Cases!HH:HH)</f>
        <v>0</v>
      </c>
      <c r="CD15" s="10">
        <f>SUMIF(RAW_Cases!$B:$B,Tabelle2[[#This Row],[Country/Region]],RAW_Cases!HI:HI)</f>
        <v>0</v>
      </c>
      <c r="CE15" s="10">
        <f>SUMIF(RAW_Cases!$B:$B,Tabelle2[[#This Row],[Country/Region]],RAW_Cases!HJ:HJ)</f>
        <v>0</v>
      </c>
    </row>
    <row r="16" spans="1:83" s="15" customFormat="1" ht="12.75" x14ac:dyDescent="0.2">
      <c r="A16" s="31" t="s">
        <v>97</v>
      </c>
      <c r="B16" s="10">
        <f>SUMIF(RAW_Cases!$B:$B,Tabelle2[[#This Row],[Country/Region]],RAW_Cases!C:C)</f>
        <v>0</v>
      </c>
      <c r="C16" s="10">
        <f>SUMIF(RAW_Cases!$B:$B,Tabelle2[[#This Row],[Country/Region]],RAW_Cases!D:D)</f>
        <v>0</v>
      </c>
      <c r="D16" s="10">
        <f>SUMIF(RAW_Cases!$B:$B,Tabelle2[[#This Row],[Country/Region]],RAW_Cases!E:E)</f>
        <v>0</v>
      </c>
      <c r="E16" s="10">
        <f>SUMIF(RAW_Cases!$B:$B,Tabelle2[[#This Row],[Country/Region]],RAW_Cases!F:F)</f>
        <v>0</v>
      </c>
      <c r="F16" s="10">
        <f>SUMIF(RAW_Cases!$B:$B,Tabelle2[[#This Row],[Country/Region]],RAW_Cases!G:G)</f>
        <v>0</v>
      </c>
      <c r="G16" s="10">
        <f>SUMIF(RAW_Cases!$B:$B,Tabelle2[[#This Row],[Country/Region]],RAW_Cases!H:H)</f>
        <v>0</v>
      </c>
      <c r="H16" s="10">
        <f>SUMIF(RAW_Cases!$B:$B,Tabelle2[[#This Row],[Country/Region]],RAW_Cases!I:I)</f>
        <v>0</v>
      </c>
      <c r="I16" s="10">
        <f>SUMIF(RAW_Cases!$B:$B,Tabelle2[[#This Row],[Country/Region]],RAW_Cases!J:J)</f>
        <v>0</v>
      </c>
      <c r="J16" s="10">
        <f>SUMIF(RAW_Cases!$B:$B,Tabelle2[[#This Row],[Country/Region]],RAW_Cases!K:K)</f>
        <v>0</v>
      </c>
      <c r="K16" s="10">
        <f>SUMIF(RAW_Cases!$B:$B,Tabelle2[[#This Row],[Country/Region]],RAW_Cases!L:L)</f>
        <v>0</v>
      </c>
      <c r="L16" s="10">
        <f>SUMIF(RAW_Cases!$B:$B,Tabelle2[[#This Row],[Country/Region]],RAW_Cases!M:M)</f>
        <v>0</v>
      </c>
      <c r="M16" s="10">
        <f>SUMIF(RAW_Cases!$B:$B,Tabelle2[[#This Row],[Country/Region]],RAW_Cases!N:N)</f>
        <v>0</v>
      </c>
      <c r="N16" s="10">
        <f>SUMIF(RAW_Cases!$B:$B,Tabelle2[[#This Row],[Country/Region]],RAW_Cases!O:O)</f>
        <v>0</v>
      </c>
      <c r="O16" s="10">
        <f>SUMIF(RAW_Cases!$B:$B,Tabelle2[[#This Row],[Country/Region]],RAW_Cases!P:P)</f>
        <v>0</v>
      </c>
      <c r="P16" s="10">
        <f>SUMIF(RAW_Cases!$B:$B,Tabelle2[[#This Row],[Country/Region]],RAW_Cases!Q:Q)</f>
        <v>0</v>
      </c>
      <c r="Q16" s="10">
        <f>SUMIF(RAW_Cases!$B:$B,Tabelle2[[#This Row],[Country/Region]],RAW_Cases!R:R)</f>
        <v>0</v>
      </c>
      <c r="R16" s="10">
        <f>SUMIF(RAW_Cases!$B:$B,Tabelle2[[#This Row],[Country/Region]],RAW_Cases!S:S)</f>
        <v>0</v>
      </c>
      <c r="S16" s="10">
        <f>SUMIF(RAW_Cases!$B:$B,Tabelle2[[#This Row],[Country/Region]],RAW_Cases!T:T)</f>
        <v>0</v>
      </c>
      <c r="T16" s="10">
        <f>SUMIF(RAW_Cases!$B:$B,Tabelle2[[#This Row],[Country/Region]],RAW_Cases!U:U)</f>
        <v>0</v>
      </c>
      <c r="U16" s="10">
        <f>SUMIF(RAW_Cases!$B:$B,Tabelle2[[#This Row],[Country/Region]],RAW_Cases!V:V)</f>
        <v>0</v>
      </c>
      <c r="V16" s="10">
        <f>SUMIF(RAW_Cases!$B:$B,Tabelle2[[#This Row],[Country/Region]],RAW_Cases!W:W)</f>
        <v>0</v>
      </c>
      <c r="W16" s="10">
        <f>SUMIF(RAW_Cases!$B:$B,Tabelle2[[#This Row],[Country/Region]],RAW_Cases!X:X)</f>
        <v>0</v>
      </c>
      <c r="X16" s="10">
        <f>SUMIF(RAW_Cases!$B:$B,Tabelle2[[#This Row],[Country/Region]],RAW_Cases!Y:Y)</f>
        <v>0</v>
      </c>
      <c r="Y16" s="10">
        <f>SUMIF(RAW_Cases!$B:$B,Tabelle2[[#This Row],[Country/Region]],RAW_Cases!Z:Z)</f>
        <v>0</v>
      </c>
      <c r="Z16" s="10">
        <f>SUMIF(RAW_Cases!$B:$B,Tabelle2[[#This Row],[Country/Region]],RAW_Cases!AA:AA)</f>
        <v>0</v>
      </c>
      <c r="AA16" s="10">
        <f>SUMIF(RAW_Cases!$B:$B,Tabelle2[[#This Row],[Country/Region]],RAW_Cases!AB:AB)</f>
        <v>0</v>
      </c>
      <c r="AB16" s="10">
        <f>SUMIF(RAW_Cases!$B:$B,Tabelle2[[#This Row],[Country/Region]],RAW_Cases!AC:AC)</f>
        <v>0</v>
      </c>
      <c r="AC16" s="10">
        <f>SUMIF(RAW_Cases!$B:$B,Tabelle2[[#This Row],[Country/Region]],RAW_Cases!AD:AD)</f>
        <v>0</v>
      </c>
      <c r="AD16" s="10">
        <f>SUMIF(RAW_Cases!$B:$B,Tabelle2[[#This Row],[Country/Region]],RAW_Cases!AE:AE)</f>
        <v>0</v>
      </c>
      <c r="AE16" s="10">
        <f>SUMIF(RAW_Cases!$B:$B,Tabelle2[[#This Row],[Country/Region]],RAW_Cases!AF:AF)</f>
        <v>0</v>
      </c>
      <c r="AF16" s="10">
        <f>SUMIF(RAW_Cases!$B:$B,Tabelle2[[#This Row],[Country/Region]],RAW_Cases!AG:AG)</f>
        <v>0</v>
      </c>
      <c r="AG16" s="10">
        <f>SUMIF(RAW_Cases!$B:$B,Tabelle2[[#This Row],[Country/Region]],RAW_Cases!AH:AH)</f>
        <v>0</v>
      </c>
      <c r="AH16" s="10">
        <f>SUMIF(RAW_Cases!$B:$B,Tabelle2[[#This Row],[Country/Region]],RAW_Cases!AI:AI)</f>
        <v>0</v>
      </c>
      <c r="AI16" s="10">
        <f>SUMIF(RAW_Cases!$B:$B,Tabelle2[[#This Row],[Country/Region]],RAW_Cases!AJ:AJ)</f>
        <v>0</v>
      </c>
      <c r="AJ16" s="10">
        <f>SUMIF(RAW_Cases!$B:$B,Tabelle2[[#This Row],[Country/Region]],RAW_Cases!AK:AK)</f>
        <v>1</v>
      </c>
      <c r="AK16" s="10">
        <f>SUMIF(RAW_Cases!$B:$B,Tabelle2[[#This Row],[Country/Region]],RAW_Cases!AL:AL)</f>
        <v>1</v>
      </c>
      <c r="AL16" s="10">
        <f>SUMIF(RAW_Cases!$B:$B,Tabelle2[[#This Row],[Country/Region]],RAW_Cases!AM:AM)</f>
        <v>8</v>
      </c>
      <c r="AM16" s="10">
        <f>SUMIF(RAW_Cases!$B:$B,Tabelle2[[#This Row],[Country/Region]],RAW_Cases!AN:AN)</f>
        <v>8</v>
      </c>
      <c r="AN16" s="10">
        <f>SUMIF(RAW_Cases!$B:$B,Tabelle2[[#This Row],[Country/Region]],RAW_Cases!AO:AO)</f>
        <v>18</v>
      </c>
      <c r="AO16" s="10">
        <f>SUMIF(RAW_Cases!$B:$B,Tabelle2[[#This Row],[Country/Region]],RAW_Cases!AP:AP)</f>
        <v>27</v>
      </c>
      <c r="AP16" s="10">
        <f>SUMIF(RAW_Cases!$B:$B,Tabelle2[[#This Row],[Country/Region]],RAW_Cases!AQ:AQ)</f>
        <v>42</v>
      </c>
      <c r="AQ16" s="10">
        <f>SUMIF(RAW_Cases!$B:$B,Tabelle2[[#This Row],[Country/Region]],RAW_Cases!AR:AR)</f>
        <v>56</v>
      </c>
      <c r="AR16" s="10">
        <f>SUMIF(RAW_Cases!$B:$B,Tabelle2[[#This Row],[Country/Region]],RAW_Cases!AS:AS)</f>
        <v>90</v>
      </c>
      <c r="AS16" s="10">
        <f>SUMIF(RAW_Cases!$B:$B,Tabelle2[[#This Row],[Country/Region]],RAW_Cases!AT:AT)</f>
        <v>114</v>
      </c>
      <c r="AT16" s="10">
        <f>SUMIF(RAW_Cases!$B:$B,Tabelle2[[#This Row],[Country/Region]],RAW_Cases!AU:AU)</f>
        <v>214</v>
      </c>
      <c r="AU16" s="10">
        <f>SUMIF(RAW_Cases!$B:$B,Tabelle2[[#This Row],[Country/Region]],RAW_Cases!AV:AV)</f>
        <v>268</v>
      </c>
      <c r="AV16" s="10">
        <f>SUMIF(RAW_Cases!$B:$B,Tabelle2[[#This Row],[Country/Region]],RAW_Cases!AW:AW)</f>
        <v>337</v>
      </c>
      <c r="AW16" s="10">
        <f>SUMIF(RAW_Cases!$B:$B,Tabelle2[[#This Row],[Country/Region]],RAW_Cases!AX:AX)</f>
        <v>374</v>
      </c>
      <c r="AX16" s="10">
        <f>SUMIF(RAW_Cases!$B:$B,Tabelle2[[#This Row],[Country/Region]],RAW_Cases!AY:AY)</f>
        <v>491</v>
      </c>
      <c r="AY16" s="10">
        <f>SUMIF(RAW_Cases!$B:$B,Tabelle2[[#This Row],[Country/Region]],RAW_Cases!AZ:AZ)</f>
        <v>652</v>
      </c>
      <c r="AZ16" s="10">
        <f>SUMIF(RAW_Cases!$B:$B,Tabelle2[[#This Row],[Country/Region]],RAW_Cases!BA:BA)</f>
        <v>652</v>
      </c>
      <c r="BA16" s="10">
        <f>SUMIF(RAW_Cases!$B:$B,Tabelle2[[#This Row],[Country/Region]],RAW_Cases!BB:BB)</f>
        <v>1139</v>
      </c>
      <c r="BB16" s="10">
        <f>SUMIF(RAW_Cases!$B:$B,Tabelle2[[#This Row],[Country/Region]],RAW_Cases!BC:BC)</f>
        <v>1359</v>
      </c>
      <c r="BC16" s="10">
        <f>SUMIF(RAW_Cases!$B:$B,Tabelle2[[#This Row],[Country/Region]],RAW_Cases!BD:BD)</f>
        <v>2200</v>
      </c>
      <c r="BD16" s="10">
        <f>SUMIF(RAW_Cases!$B:$B,Tabelle2[[#This Row],[Country/Region]],RAW_Cases!BE:BE)</f>
        <v>2200</v>
      </c>
      <c r="BE16" s="10">
        <f>SUMIF(RAW_Cases!$B:$B,Tabelle2[[#This Row],[Country/Region]],RAW_Cases!BF:BF)</f>
        <v>2700</v>
      </c>
      <c r="BF16" s="10">
        <f>SUMIF(RAW_Cases!$B:$B,Tabelle2[[#This Row],[Country/Region]],RAW_Cases!BG:BG)</f>
        <v>3028</v>
      </c>
      <c r="BG16" s="10">
        <f>SUMIF(RAW_Cases!$B:$B,Tabelle2[[#This Row],[Country/Region]],RAW_Cases!BH:BH)</f>
        <v>4075</v>
      </c>
      <c r="BH16" s="10">
        <f>SUMIF(RAW_Cases!$B:$B,Tabelle2[[#This Row],[Country/Region]],RAW_Cases!BI:BI)</f>
        <v>5294</v>
      </c>
      <c r="BI16" s="10">
        <f>SUMIF(RAW_Cases!$B:$B,Tabelle2[[#This Row],[Country/Region]],RAW_Cases!BJ:BJ)</f>
        <v>6575</v>
      </c>
      <c r="BJ16" s="10">
        <f>SUMIF(RAW_Cases!$B:$B,Tabelle2[[#This Row],[Country/Region]],RAW_Cases!BK:BK)</f>
        <v>7474</v>
      </c>
      <c r="BK16" s="10">
        <f>SUMIF(RAW_Cases!$B:$B,Tabelle2[[#This Row],[Country/Region]],RAW_Cases!BL:BL)</f>
        <v>8795</v>
      </c>
      <c r="BL16" s="10">
        <f>SUMIF(RAW_Cases!$B:$B,Tabelle2[[#This Row],[Country/Region]],RAW_Cases!GQ:GQ)</f>
        <v>0</v>
      </c>
      <c r="BM16" s="10">
        <f>SUMIF(RAW_Cases!$B:$B,Tabelle2[[#This Row],[Country/Region]],RAW_Cases!GR:GR)</f>
        <v>0</v>
      </c>
      <c r="BN16" s="10">
        <f>SUMIF(RAW_Cases!$B:$B,Tabelle2[[#This Row],[Country/Region]],RAW_Cases!GS:GS)</f>
        <v>0</v>
      </c>
      <c r="BO16" s="10">
        <f>SUMIF(RAW_Cases!$B:$B,Tabelle2[[#This Row],[Country/Region]],RAW_Cases!GT:GT)</f>
        <v>0</v>
      </c>
      <c r="BP16" s="10">
        <f>SUMIF(RAW_Cases!$B:$B,Tabelle2[[#This Row],[Country/Region]],RAW_Cases!GU:GU)</f>
        <v>0</v>
      </c>
      <c r="BQ16" s="10">
        <f>SUMIF(RAW_Cases!$B:$B,Tabelle2[[#This Row],[Country/Region]],RAW_Cases!GV:GV)</f>
        <v>0</v>
      </c>
      <c r="BR16" s="10">
        <f>SUMIF(RAW_Cases!$B:$B,Tabelle2[[#This Row],[Country/Region]],RAW_Cases!GW:GW)</f>
        <v>0</v>
      </c>
      <c r="BS16" s="10">
        <f>SUMIF(RAW_Cases!$B:$B,Tabelle2[[#This Row],[Country/Region]],RAW_Cases!GX:GX)</f>
        <v>0</v>
      </c>
      <c r="BT16" s="10">
        <f>SUMIF(RAW_Cases!$B:$B,Tabelle2[[#This Row],[Country/Region]],RAW_Cases!GY:GY)</f>
        <v>0</v>
      </c>
      <c r="BU16" s="10">
        <f>SUMIF(RAW_Cases!$B:$B,Tabelle2[[#This Row],[Country/Region]],RAW_Cases!GZ:GZ)</f>
        <v>0</v>
      </c>
      <c r="BV16" s="10">
        <f>SUMIF(RAW_Cases!$B:$B,Tabelle2[[#This Row],[Country/Region]],RAW_Cases!HA:HA)</f>
        <v>0</v>
      </c>
      <c r="BW16" s="10">
        <f>SUMIF(RAW_Cases!$B:$B,Tabelle2[[#This Row],[Country/Region]],RAW_Cases!HB:HB)</f>
        <v>0</v>
      </c>
      <c r="BX16" s="10">
        <f>SUMIF(RAW_Cases!$B:$B,Tabelle2[[#This Row],[Country/Region]],RAW_Cases!HC:HC)</f>
        <v>0</v>
      </c>
      <c r="BY16" s="10">
        <f>SUMIF(RAW_Cases!$B:$B,Tabelle2[[#This Row],[Country/Region]],RAW_Cases!HD:HD)</f>
        <v>0</v>
      </c>
      <c r="BZ16" s="10">
        <f>SUMIF(RAW_Cases!$B:$B,Tabelle2[[#This Row],[Country/Region]],RAW_Cases!HE:HE)</f>
        <v>0</v>
      </c>
      <c r="CA16" s="10">
        <f>SUMIF(RAW_Cases!$B:$B,Tabelle2[[#This Row],[Country/Region]],RAW_Cases!HF:HF)</f>
        <v>0</v>
      </c>
      <c r="CB16" s="10">
        <f>SUMIF(RAW_Cases!$B:$B,Tabelle2[[#This Row],[Country/Region]],RAW_Cases!HG:HG)</f>
        <v>0</v>
      </c>
      <c r="CC16" s="10">
        <f>SUMIF(RAW_Cases!$B:$B,Tabelle2[[#This Row],[Country/Region]],RAW_Cases!HH:HH)</f>
        <v>0</v>
      </c>
      <c r="CD16" s="10">
        <f>SUMIF(RAW_Cases!$B:$B,Tabelle2[[#This Row],[Country/Region]],RAW_Cases!HI:HI)</f>
        <v>0</v>
      </c>
      <c r="CE16" s="10">
        <f>SUMIF(RAW_Cases!$B:$B,Tabelle2[[#This Row],[Country/Region]],RAW_Cases!HJ:HJ)</f>
        <v>0</v>
      </c>
    </row>
    <row r="17" spans="1:83" s="15" customFormat="1" ht="12.75" x14ac:dyDescent="0.2">
      <c r="A17" s="31"/>
      <c r="B17" s="10">
        <f>SUMIF(RAW_Cases!$B:$B,Tabelle2[[#This Row],[Country/Region]],RAW_Cases!C:C)</f>
        <v>0</v>
      </c>
      <c r="C17" s="10">
        <f>SUMIF(RAW_Cases!$B:$B,Tabelle2[[#This Row],[Country/Region]],RAW_Cases!D:D)</f>
        <v>0</v>
      </c>
      <c r="D17" s="10">
        <f>SUMIF(RAW_Cases!$B:$B,Tabelle2[[#This Row],[Country/Region]],RAW_Cases!E:E)</f>
        <v>0</v>
      </c>
      <c r="E17" s="10">
        <f>SUMIF(RAW_Cases!$B:$B,Tabelle2[[#This Row],[Country/Region]],RAW_Cases!F:F)</f>
        <v>0</v>
      </c>
      <c r="F17" s="10">
        <f>SUMIF(RAW_Cases!$B:$B,Tabelle2[[#This Row],[Country/Region]],RAW_Cases!G:G)</f>
        <v>0</v>
      </c>
      <c r="G17" s="10">
        <f>SUMIF(RAW_Cases!$B:$B,Tabelle2[[#This Row],[Country/Region]],RAW_Cases!H:H)</f>
        <v>0</v>
      </c>
      <c r="H17" s="10">
        <f>SUMIF(RAW_Cases!$B:$B,Tabelle2[[#This Row],[Country/Region]],RAW_Cases!I:I)</f>
        <v>0</v>
      </c>
      <c r="I17" s="10">
        <f>SUMIF(RAW_Cases!$B:$B,Tabelle2[[#This Row],[Country/Region]],RAW_Cases!J:J)</f>
        <v>0</v>
      </c>
      <c r="J17" s="10">
        <f>SUMIF(RAW_Cases!$B:$B,Tabelle2[[#This Row],[Country/Region]],RAW_Cases!K:K)</f>
        <v>0</v>
      </c>
      <c r="K17" s="10">
        <f>SUMIF(RAW_Cases!$B:$B,Tabelle2[[#This Row],[Country/Region]],RAW_Cases!L:L)</f>
        <v>0</v>
      </c>
      <c r="L17" s="10">
        <f>SUMIF(RAW_Cases!$B:$B,Tabelle2[[#This Row],[Country/Region]],RAW_Cases!M:M)</f>
        <v>0</v>
      </c>
      <c r="M17" s="10">
        <f>SUMIF(RAW_Cases!$B:$B,Tabelle2[[#This Row],[Country/Region]],RAW_Cases!N:N)</f>
        <v>0</v>
      </c>
      <c r="N17" s="10">
        <f>SUMIF(RAW_Cases!$B:$B,Tabelle2[[#This Row],[Country/Region]],RAW_Cases!O:O)</f>
        <v>0</v>
      </c>
      <c r="O17" s="10">
        <f>SUMIF(RAW_Cases!$B:$B,Tabelle2[[#This Row],[Country/Region]],RAW_Cases!P:P)</f>
        <v>0</v>
      </c>
      <c r="P17" s="10">
        <f>SUMIF(RAW_Cases!$B:$B,Tabelle2[[#This Row],[Country/Region]],RAW_Cases!Q:Q)</f>
        <v>0</v>
      </c>
      <c r="Q17" s="10">
        <f>SUMIF(RAW_Cases!$B:$B,Tabelle2[[#This Row],[Country/Region]],RAW_Cases!R:R)</f>
        <v>0</v>
      </c>
      <c r="R17" s="10">
        <f>SUMIF(RAW_Cases!$B:$B,Tabelle2[[#This Row],[Country/Region]],RAW_Cases!S:S)</f>
        <v>0</v>
      </c>
      <c r="S17" s="10">
        <f>SUMIF(RAW_Cases!$B:$B,Tabelle2[[#This Row],[Country/Region]],RAW_Cases!T:T)</f>
        <v>0</v>
      </c>
      <c r="T17" s="10">
        <f>SUMIF(RAW_Cases!$B:$B,Tabelle2[[#This Row],[Country/Region]],RAW_Cases!U:U)</f>
        <v>0</v>
      </c>
      <c r="U17" s="10">
        <f>SUMIF(RAW_Cases!$B:$B,Tabelle2[[#This Row],[Country/Region]],RAW_Cases!V:V)</f>
        <v>0</v>
      </c>
      <c r="V17" s="10">
        <f>SUMIF(RAW_Cases!$B:$B,Tabelle2[[#This Row],[Country/Region]],RAW_Cases!W:W)</f>
        <v>0</v>
      </c>
      <c r="W17" s="10">
        <f>SUMIF(RAW_Cases!$B:$B,Tabelle2[[#This Row],[Country/Region]],RAW_Cases!X:X)</f>
        <v>0</v>
      </c>
      <c r="X17" s="10">
        <f>SUMIF(RAW_Cases!$B:$B,Tabelle2[[#This Row],[Country/Region]],RAW_Cases!Y:Y)</f>
        <v>0</v>
      </c>
      <c r="Y17" s="10">
        <f>SUMIF(RAW_Cases!$B:$B,Tabelle2[[#This Row],[Country/Region]],RAW_Cases!Z:Z)</f>
        <v>0</v>
      </c>
      <c r="Z17" s="10">
        <f>SUMIF(RAW_Cases!$B:$B,Tabelle2[[#This Row],[Country/Region]],RAW_Cases!AA:AA)</f>
        <v>0</v>
      </c>
      <c r="AA17" s="10">
        <f>SUMIF(RAW_Cases!$B:$B,Tabelle2[[#This Row],[Country/Region]],RAW_Cases!AB:AB)</f>
        <v>0</v>
      </c>
      <c r="AB17" s="10">
        <f>SUMIF(RAW_Cases!$B:$B,Tabelle2[[#This Row],[Country/Region]],RAW_Cases!AC:AC)</f>
        <v>0</v>
      </c>
      <c r="AC17" s="10">
        <f>SUMIF(RAW_Cases!$B:$B,Tabelle2[[#This Row],[Country/Region]],RAW_Cases!AD:AD)</f>
        <v>0</v>
      </c>
      <c r="AD17" s="10">
        <f>SUMIF(RAW_Cases!$B:$B,Tabelle2[[#This Row],[Country/Region]],RAW_Cases!AE:AE)</f>
        <v>0</v>
      </c>
      <c r="AE17" s="10">
        <f>SUMIF(RAW_Cases!$B:$B,Tabelle2[[#This Row],[Country/Region]],RAW_Cases!AF:AF)</f>
        <v>0</v>
      </c>
      <c r="AF17" s="10">
        <f>SUMIF(RAW_Cases!$B:$B,Tabelle2[[#This Row],[Country/Region]],RAW_Cases!AG:AG)</f>
        <v>0</v>
      </c>
      <c r="AG17" s="10">
        <f>SUMIF(RAW_Cases!$B:$B,Tabelle2[[#This Row],[Country/Region]],RAW_Cases!AH:AH)</f>
        <v>0</v>
      </c>
      <c r="AH17" s="10">
        <f>SUMIF(RAW_Cases!$B:$B,Tabelle2[[#This Row],[Country/Region]],RAW_Cases!AI:AI)</f>
        <v>0</v>
      </c>
      <c r="AI17" s="10">
        <f>SUMIF(RAW_Cases!$B:$B,Tabelle2[[#This Row],[Country/Region]],RAW_Cases!AJ:AJ)</f>
        <v>0</v>
      </c>
      <c r="AJ17" s="10">
        <f>SUMIF(RAW_Cases!$B:$B,Tabelle2[[#This Row],[Country/Region]],RAW_Cases!AK:AK)</f>
        <v>0</v>
      </c>
      <c r="AK17" s="10">
        <f>SUMIF(RAW_Cases!$B:$B,Tabelle2[[#This Row],[Country/Region]],RAW_Cases!AL:AL)</f>
        <v>0</v>
      </c>
      <c r="AL17" s="10">
        <f>SUMIF(RAW_Cases!$B:$B,Tabelle2[[#This Row],[Country/Region]],RAW_Cases!AM:AM)</f>
        <v>0</v>
      </c>
      <c r="AM17" s="10">
        <f>SUMIF(RAW_Cases!$B:$B,Tabelle2[[#This Row],[Country/Region]],RAW_Cases!AN:AN)</f>
        <v>0</v>
      </c>
      <c r="AN17" s="10">
        <f>SUMIF(RAW_Cases!$B:$B,Tabelle2[[#This Row],[Country/Region]],RAW_Cases!AO:AO)</f>
        <v>0</v>
      </c>
      <c r="AO17" s="10">
        <f>SUMIF(RAW_Cases!$B:$B,Tabelle2[[#This Row],[Country/Region]],RAW_Cases!AP:AP)</f>
        <v>0</v>
      </c>
      <c r="AP17" s="10">
        <f>SUMIF(RAW_Cases!$B:$B,Tabelle2[[#This Row],[Country/Region]],RAW_Cases!AQ:AQ)</f>
        <v>0</v>
      </c>
      <c r="AQ17" s="10">
        <f>SUMIF(RAW_Cases!$B:$B,Tabelle2[[#This Row],[Country/Region]],RAW_Cases!AR:AR)</f>
        <v>0</v>
      </c>
      <c r="AR17" s="10">
        <f>SUMIF(RAW_Cases!$B:$B,Tabelle2[[#This Row],[Country/Region]],RAW_Cases!AS:AS)</f>
        <v>0</v>
      </c>
      <c r="AS17" s="10">
        <f>SUMIF(RAW_Cases!$B:$B,Tabelle2[[#This Row],[Country/Region]],RAW_Cases!AT:AT)</f>
        <v>0</v>
      </c>
      <c r="AT17" s="10">
        <f>SUMIF(RAW_Cases!$B:$B,Tabelle2[[#This Row],[Country/Region]],RAW_Cases!AU:AU)</f>
        <v>0</v>
      </c>
      <c r="AU17" s="10">
        <f>SUMIF(RAW_Cases!$B:$B,Tabelle2[[#This Row],[Country/Region]],RAW_Cases!AV:AV)</f>
        <v>0</v>
      </c>
      <c r="AV17" s="10">
        <f>SUMIF(RAW_Cases!$B:$B,Tabelle2[[#This Row],[Country/Region]],RAW_Cases!AW:AW)</f>
        <v>0</v>
      </c>
      <c r="AW17" s="10">
        <f>SUMIF(RAW_Cases!$B:$B,Tabelle2[[#This Row],[Country/Region]],RAW_Cases!AX:AX)</f>
        <v>0</v>
      </c>
      <c r="AX17" s="10">
        <f>SUMIF(RAW_Cases!$B:$B,Tabelle2[[#This Row],[Country/Region]],RAW_Cases!AY:AY)</f>
        <v>0</v>
      </c>
      <c r="AY17" s="10">
        <f>SUMIF(RAW_Cases!$B:$B,Tabelle2[[#This Row],[Country/Region]],RAW_Cases!AZ:AZ)</f>
        <v>0</v>
      </c>
      <c r="AZ17" s="10">
        <f>SUMIF(RAW_Cases!$B:$B,Tabelle2[[#This Row],[Country/Region]],RAW_Cases!BA:BA)</f>
        <v>0</v>
      </c>
      <c r="BA17" s="10">
        <f>SUMIF(RAW_Cases!$B:$B,Tabelle2[[#This Row],[Country/Region]],RAW_Cases!BB:BB)</f>
        <v>0</v>
      </c>
      <c r="BB17" s="10">
        <f>SUMIF(RAW_Cases!$B:$B,Tabelle2[[#This Row],[Country/Region]],RAW_Cases!BC:BC)</f>
        <v>0</v>
      </c>
      <c r="BC17" s="10">
        <f>SUMIF(RAW_Cases!$B:$B,Tabelle2[[#This Row],[Country/Region]],RAW_Cases!BD:BD)</f>
        <v>0</v>
      </c>
      <c r="BD17" s="10">
        <f>SUMIF(RAW_Cases!$B:$B,Tabelle2[[#This Row],[Country/Region]],RAW_Cases!BE:BE)</f>
        <v>0</v>
      </c>
      <c r="BE17" s="10">
        <f>SUMIF(RAW_Cases!$B:$B,Tabelle2[[#This Row],[Country/Region]],RAW_Cases!BF:BF)</f>
        <v>0</v>
      </c>
      <c r="BF17" s="10">
        <f>SUMIF(RAW_Cases!$B:$B,Tabelle2[[#This Row],[Country/Region]],RAW_Cases!BG:BG)</f>
        <v>0</v>
      </c>
      <c r="BG17" s="10">
        <f>SUMIF(RAW_Cases!$B:$B,Tabelle2[[#This Row],[Country/Region]],RAW_Cases!BH:BH)</f>
        <v>0</v>
      </c>
      <c r="BH17" s="10">
        <f>SUMIF(RAW_Cases!$B:$B,Tabelle2[[#This Row],[Country/Region]],RAW_Cases!BI:BI)</f>
        <v>0</v>
      </c>
      <c r="BI17" s="10">
        <f>SUMIF(RAW_Cases!$B:$B,Tabelle2[[#This Row],[Country/Region]],RAW_Cases!BJ:BJ)</f>
        <v>0</v>
      </c>
      <c r="BJ17" s="10">
        <f>SUMIF(RAW_Cases!$B:$B,Tabelle2[[#This Row],[Country/Region]],RAW_Cases!BK:BK)</f>
        <v>0</v>
      </c>
      <c r="BK17" s="10">
        <f>SUMIF(RAW_Cases!$B:$B,Tabelle2[[#This Row],[Country/Region]],RAW_Cases!BL:BL)</f>
        <v>0</v>
      </c>
      <c r="BL17" s="10">
        <f>SUMIF(RAW_Cases!$B:$B,Tabelle2[[#This Row],[Country/Region]],RAW_Cases!GQ:GQ)</f>
        <v>0</v>
      </c>
      <c r="BM17" s="10">
        <f>SUMIF(RAW_Cases!$B:$B,Tabelle2[[#This Row],[Country/Region]],RAW_Cases!GR:GR)</f>
        <v>0</v>
      </c>
      <c r="BN17" s="10">
        <f>SUMIF(RAW_Cases!$B:$B,Tabelle2[[#This Row],[Country/Region]],RAW_Cases!GS:GS)</f>
        <v>0</v>
      </c>
      <c r="BO17" s="10">
        <f>SUMIF(RAW_Cases!$B:$B,Tabelle2[[#This Row],[Country/Region]],RAW_Cases!GT:GT)</f>
        <v>0</v>
      </c>
      <c r="BP17" s="10">
        <f>SUMIF(RAW_Cases!$B:$B,Tabelle2[[#This Row],[Country/Region]],RAW_Cases!GU:GU)</f>
        <v>0</v>
      </c>
      <c r="BQ17" s="10">
        <f>SUMIF(RAW_Cases!$B:$B,Tabelle2[[#This Row],[Country/Region]],RAW_Cases!GV:GV)</f>
        <v>0</v>
      </c>
      <c r="BR17" s="10">
        <f>SUMIF(RAW_Cases!$B:$B,Tabelle2[[#This Row],[Country/Region]],RAW_Cases!GW:GW)</f>
        <v>0</v>
      </c>
      <c r="BS17" s="10">
        <f>SUMIF(RAW_Cases!$B:$B,Tabelle2[[#This Row],[Country/Region]],RAW_Cases!GX:GX)</f>
        <v>0</v>
      </c>
      <c r="BT17" s="10">
        <f>SUMIF(RAW_Cases!$B:$B,Tabelle2[[#This Row],[Country/Region]],RAW_Cases!GY:GY)</f>
        <v>0</v>
      </c>
      <c r="BU17" s="10">
        <f>SUMIF(RAW_Cases!$B:$B,Tabelle2[[#This Row],[Country/Region]],RAW_Cases!GZ:GZ)</f>
        <v>0</v>
      </c>
      <c r="BV17" s="10">
        <f>SUMIF(RAW_Cases!$B:$B,Tabelle2[[#This Row],[Country/Region]],RAW_Cases!HA:HA)</f>
        <v>0</v>
      </c>
      <c r="BW17" s="10">
        <f>SUMIF(RAW_Cases!$B:$B,Tabelle2[[#This Row],[Country/Region]],RAW_Cases!HB:HB)</f>
        <v>0</v>
      </c>
      <c r="BX17" s="10">
        <f>SUMIF(RAW_Cases!$B:$B,Tabelle2[[#This Row],[Country/Region]],RAW_Cases!HC:HC)</f>
        <v>0</v>
      </c>
      <c r="BY17" s="10">
        <f>SUMIF(RAW_Cases!$B:$B,Tabelle2[[#This Row],[Country/Region]],RAW_Cases!HD:HD)</f>
        <v>0</v>
      </c>
      <c r="BZ17" s="10">
        <f>SUMIF(RAW_Cases!$B:$B,Tabelle2[[#This Row],[Country/Region]],RAW_Cases!HE:HE)</f>
        <v>0</v>
      </c>
      <c r="CA17" s="10">
        <f>SUMIF(RAW_Cases!$B:$B,Tabelle2[[#This Row],[Country/Region]],RAW_Cases!HF:HF)</f>
        <v>0</v>
      </c>
      <c r="CB17" s="10">
        <f>SUMIF(RAW_Cases!$B:$B,Tabelle2[[#This Row],[Country/Region]],RAW_Cases!HG:HG)</f>
        <v>0</v>
      </c>
      <c r="CC17" s="10">
        <f>SUMIF(RAW_Cases!$B:$B,Tabelle2[[#This Row],[Country/Region]],RAW_Cases!HH:HH)</f>
        <v>0</v>
      </c>
      <c r="CD17" s="10">
        <f>SUMIF(RAW_Cases!$B:$B,Tabelle2[[#This Row],[Country/Region]],RAW_Cases!HI:HI)</f>
        <v>0</v>
      </c>
      <c r="CE17" s="10">
        <f>SUMIF(RAW_Cases!$B:$B,Tabelle2[[#This Row],[Country/Region]],RAW_Cases!HJ:HJ)</f>
        <v>0</v>
      </c>
    </row>
    <row r="18" spans="1:83" s="21" customFormat="1" ht="12" x14ac:dyDescent="0.2">
      <c r="A18" s="21" t="s">
        <v>553</v>
      </c>
      <c r="B18" s="8">
        <f>SUM(RAW_Cases!C:C)</f>
        <v>555</v>
      </c>
      <c r="C18" s="9">
        <f>SUM(RAW_Cases!D:D)</f>
        <v>654</v>
      </c>
      <c r="D18" s="9">
        <f>SUM(RAW_Cases!E:E)</f>
        <v>941</v>
      </c>
      <c r="E18" s="9">
        <f>SUM(RAW_Cases!F:F)</f>
        <v>1434</v>
      </c>
      <c r="F18" s="9">
        <f>SUM(RAW_Cases!G:G)</f>
        <v>2118</v>
      </c>
      <c r="G18" s="9">
        <f>SUM(RAW_Cases!H:H)</f>
        <v>2927</v>
      </c>
      <c r="H18" s="9">
        <f>SUM(RAW_Cases!I:I)</f>
        <v>5578</v>
      </c>
      <c r="I18" s="9">
        <f>SUM(RAW_Cases!J:J)</f>
        <v>6166</v>
      </c>
      <c r="J18" s="9">
        <f>SUM(RAW_Cases!K:K)</f>
        <v>8234</v>
      </c>
      <c r="K18" s="9">
        <f>SUM(RAW_Cases!L:L)</f>
        <v>9927</v>
      </c>
      <c r="L18" s="9">
        <f>SUM(RAW_Cases!M:M)</f>
        <v>12038</v>
      </c>
      <c r="M18" s="9">
        <f>SUM(RAW_Cases!N:N)</f>
        <v>16787</v>
      </c>
      <c r="N18" s="9">
        <f>SUM(RAW_Cases!O:O)</f>
        <v>19881</v>
      </c>
      <c r="O18" s="9">
        <f>SUM(RAW_Cases!P:P)</f>
        <v>23892</v>
      </c>
      <c r="P18" s="9">
        <f>SUM(RAW_Cases!Q:Q)</f>
        <v>27635</v>
      </c>
      <c r="Q18" s="9">
        <f>SUM(RAW_Cases!R:R)</f>
        <v>30794</v>
      </c>
      <c r="R18" s="9">
        <f>SUM(RAW_Cases!S:S)</f>
        <v>34391</v>
      </c>
      <c r="S18" s="9">
        <f>SUM(RAW_Cases!T:T)</f>
        <v>37120</v>
      </c>
      <c r="T18" s="9">
        <f>SUM(RAW_Cases!U:U)</f>
        <v>40150</v>
      </c>
      <c r="U18" s="9">
        <f>SUM(RAW_Cases!V:V)</f>
        <v>42762</v>
      </c>
      <c r="V18" s="9">
        <f>SUM(RAW_Cases!W:W)</f>
        <v>44802</v>
      </c>
      <c r="W18" s="9">
        <f>SUM(RAW_Cases!X:X)</f>
        <v>45221</v>
      </c>
      <c r="X18" s="9">
        <f>SUM(RAW_Cases!Y:Y)</f>
        <v>60368</v>
      </c>
      <c r="Y18" s="9">
        <f>SUM(RAW_Cases!Z:Z)</f>
        <v>66885</v>
      </c>
      <c r="Z18" s="9">
        <f>SUM(RAW_Cases!AA:AA)</f>
        <v>69030</v>
      </c>
      <c r="AA18" s="9">
        <f>SUM(RAW_Cases!AB:AB)</f>
        <v>71224</v>
      </c>
      <c r="AB18" s="9">
        <f>SUM(RAW_Cases!AC:AC)</f>
        <v>73258</v>
      </c>
      <c r="AC18" s="9">
        <f>SUM(RAW_Cases!AD:AD)</f>
        <v>75136</v>
      </c>
      <c r="AD18" s="9">
        <f>SUM(RAW_Cases!AE:AE)</f>
        <v>75639</v>
      </c>
      <c r="AE18" s="9">
        <f>SUM(RAW_Cases!AF:AF)</f>
        <v>76197</v>
      </c>
      <c r="AF18" s="9">
        <f>SUM(RAW_Cases!AG:AG)</f>
        <v>76819</v>
      </c>
      <c r="AG18" s="9">
        <f>SUM(RAW_Cases!AH:AH)</f>
        <v>78572</v>
      </c>
      <c r="AH18" s="9">
        <f>SUM(RAW_Cases!AI:AI)</f>
        <v>78958</v>
      </c>
      <c r="AI18" s="9">
        <f>SUM(RAW_Cases!AJ:AJ)</f>
        <v>79561</v>
      </c>
      <c r="AJ18" s="9">
        <f>SUM(RAW_Cases!AK:AK)</f>
        <v>80406</v>
      </c>
      <c r="AK18" s="9">
        <f>SUM(RAW_Cases!AL:AL)</f>
        <v>81388</v>
      </c>
      <c r="AL18" s="9">
        <f>SUM(RAW_Cases!AM:AM)</f>
        <v>82746</v>
      </c>
      <c r="AM18" s="9">
        <f>SUM(RAW_Cases!AN:AN)</f>
        <v>84112</v>
      </c>
      <c r="AN18" s="9">
        <f>SUM(RAW_Cases!AO:AO)</f>
        <v>86011</v>
      </c>
      <c r="AO18" s="9">
        <f>SUM(RAW_Cases!AP:AP)</f>
        <v>88369</v>
      </c>
      <c r="AP18" s="9">
        <f>SUM(RAW_Cases!AQ:AQ)</f>
        <v>90306</v>
      </c>
      <c r="AQ18" s="9">
        <f>SUM(RAW_Cases!AR:AR)</f>
        <v>92840</v>
      </c>
      <c r="AR18" s="9">
        <f>SUM(RAW_Cases!AS:AS)</f>
        <v>95120</v>
      </c>
      <c r="AS18" s="9">
        <f>SUM(RAW_Cases!AT:AT)</f>
        <v>97882</v>
      </c>
      <c r="AT18" s="9">
        <f>SUM(RAW_Cases!AU:AU)</f>
        <v>101794</v>
      </c>
      <c r="AU18" s="9">
        <f>SUM(RAW_Cases!AV:AV)</f>
        <v>105831</v>
      </c>
      <c r="AV18" s="9">
        <f>SUM(RAW_Cases!AW:AW)</f>
        <v>109805</v>
      </c>
      <c r="AW18" s="9">
        <f>SUM(RAW_Cases!AX:AX)</f>
        <v>113571</v>
      </c>
      <c r="AX18" s="9">
        <f>SUM(RAW_Cases!AY:AY)</f>
        <v>118602</v>
      </c>
      <c r="AY18" s="9">
        <f>SUM(RAW_Cases!AZ:AZ)</f>
        <v>125875</v>
      </c>
      <c r="AZ18" s="9">
        <f>SUM(RAW_Cases!BA:BA)</f>
        <v>128353</v>
      </c>
      <c r="BA18" s="9">
        <f>SUM(RAW_Cases!BB:BB)</f>
        <v>145209</v>
      </c>
      <c r="BB18" s="9">
        <f>SUM(RAW_Cases!BC:BC)</f>
        <v>156104</v>
      </c>
      <c r="BC18" s="9">
        <f>SUM(RAW_Cases!BD:BD)</f>
        <v>167454</v>
      </c>
      <c r="BD18" s="9">
        <f>SUM(RAW_Cases!BE:BE)</f>
        <v>181573</v>
      </c>
      <c r="BE18" s="9">
        <f>SUM(RAW_Cases!BF:BF)</f>
        <v>197150</v>
      </c>
      <c r="BF18" s="9">
        <f>SUM(RAW_Cases!BG:BG)</f>
        <v>214909</v>
      </c>
      <c r="BG18" s="9">
        <f>SUM(RAW_Cases!BH:BH)</f>
        <v>242706</v>
      </c>
      <c r="BH18" s="9">
        <f>SUM(RAW_Cases!BI:BI)</f>
        <v>272164</v>
      </c>
      <c r="BI18" s="9">
        <f>SUM(RAW_Cases!BJ:BJ)</f>
        <v>304519</v>
      </c>
      <c r="BJ18" s="9">
        <f>SUM(RAW_Cases!BK:BK)</f>
        <v>337089</v>
      </c>
      <c r="BK18" s="9">
        <f>SUM(RAW_Cases!BL:BL)</f>
        <v>378547</v>
      </c>
    </row>
    <row r="19" spans="1:83" s="22" customFormat="1" x14ac:dyDescent="0.25">
      <c r="B19" s="23"/>
    </row>
    <row r="20" spans="1:83" s="20" customFormat="1" ht="29.25" customHeight="1" x14ac:dyDescent="0.25">
      <c r="A20" s="18" t="s">
        <v>555</v>
      </c>
      <c r="B20" s="19"/>
    </row>
    <row r="21" spans="1:83" s="34" customFormat="1" ht="25.5" customHeight="1" x14ac:dyDescent="0.25">
      <c r="A21" s="26" t="s">
        <v>1</v>
      </c>
      <c r="B21" s="24" t="s">
        <v>559</v>
      </c>
      <c r="C21" s="25" t="s">
        <v>560</v>
      </c>
      <c r="D21" s="25" t="s">
        <v>561</v>
      </c>
      <c r="E21" s="25" t="s">
        <v>562</v>
      </c>
      <c r="F21" s="25" t="s">
        <v>563</v>
      </c>
      <c r="G21" s="25" t="s">
        <v>564</v>
      </c>
      <c r="H21" s="25" t="s">
        <v>565</v>
      </c>
      <c r="I21" s="25" t="s">
        <v>566</v>
      </c>
      <c r="J21" s="25" t="s">
        <v>567</v>
      </c>
      <c r="K21" s="25" t="s">
        <v>568</v>
      </c>
      <c r="L21" s="25" t="s">
        <v>569</v>
      </c>
      <c r="M21" s="25" t="s">
        <v>570</v>
      </c>
      <c r="N21" s="25" t="s">
        <v>571</v>
      </c>
      <c r="O21" s="25" t="s">
        <v>572</v>
      </c>
      <c r="P21" s="25" t="s">
        <v>573</v>
      </c>
      <c r="Q21" s="25" t="s">
        <v>574</v>
      </c>
      <c r="R21" s="25" t="s">
        <v>575</v>
      </c>
      <c r="S21" s="25" t="s">
        <v>576</v>
      </c>
      <c r="T21" s="25" t="s">
        <v>577</v>
      </c>
      <c r="U21" s="25" t="s">
        <v>578</v>
      </c>
      <c r="V21" s="25" t="s">
        <v>579</v>
      </c>
      <c r="W21" s="25" t="s">
        <v>580</v>
      </c>
      <c r="X21" s="25" t="s">
        <v>581</v>
      </c>
      <c r="Y21" s="25" t="s">
        <v>582</v>
      </c>
      <c r="Z21" s="25" t="s">
        <v>583</v>
      </c>
      <c r="AA21" s="25" t="s">
        <v>584</v>
      </c>
      <c r="AB21" s="25" t="s">
        <v>585</v>
      </c>
      <c r="AC21" s="25" t="s">
        <v>586</v>
      </c>
      <c r="AD21" s="25" t="s">
        <v>587</v>
      </c>
      <c r="AE21" s="25" t="s">
        <v>588</v>
      </c>
      <c r="AF21" s="25" t="s">
        <v>589</v>
      </c>
      <c r="AG21" s="25" t="s">
        <v>590</v>
      </c>
      <c r="AH21" s="25" t="s">
        <v>591</v>
      </c>
      <c r="AI21" s="25" t="s">
        <v>592</v>
      </c>
      <c r="AJ21" s="25" t="s">
        <v>593</v>
      </c>
      <c r="AK21" s="25" t="s">
        <v>594</v>
      </c>
      <c r="AL21" s="25" t="s">
        <v>595</v>
      </c>
      <c r="AM21" s="25" t="s">
        <v>596</v>
      </c>
      <c r="AN21" s="25" t="s">
        <v>597</v>
      </c>
      <c r="AO21" s="25" t="s">
        <v>598</v>
      </c>
      <c r="AP21" s="25" t="s">
        <v>599</v>
      </c>
      <c r="AQ21" s="25" t="s">
        <v>600</v>
      </c>
      <c r="AR21" s="25" t="s">
        <v>601</v>
      </c>
      <c r="AS21" s="25" t="s">
        <v>602</v>
      </c>
      <c r="AT21" s="25" t="s">
        <v>603</v>
      </c>
      <c r="AU21" s="25" t="s">
        <v>604</v>
      </c>
      <c r="AV21" s="25" t="s">
        <v>605</v>
      </c>
      <c r="AW21" s="25" t="s">
        <v>606</v>
      </c>
      <c r="AX21" s="25" t="s">
        <v>607</v>
      </c>
      <c r="AY21" s="25" t="s">
        <v>608</v>
      </c>
      <c r="AZ21" s="25" t="s">
        <v>609</v>
      </c>
      <c r="BA21" s="25" t="s">
        <v>610</v>
      </c>
      <c r="BB21" s="25" t="s">
        <v>611</v>
      </c>
      <c r="BC21" s="25" t="s">
        <v>612</v>
      </c>
      <c r="BD21" s="25" t="s">
        <v>613</v>
      </c>
      <c r="BE21" s="25" t="s">
        <v>614</v>
      </c>
      <c r="BF21" s="25" t="s">
        <v>615</v>
      </c>
      <c r="BG21" s="25" t="s">
        <v>616</v>
      </c>
      <c r="BH21" s="25" t="s">
        <v>617</v>
      </c>
      <c r="BI21" s="25" t="s">
        <v>618</v>
      </c>
      <c r="BJ21" s="25" t="s">
        <v>619</v>
      </c>
      <c r="BK21" s="25" t="s">
        <v>621</v>
      </c>
      <c r="BL21" s="25" t="s">
        <v>622</v>
      </c>
      <c r="BM21" s="25" t="s">
        <v>623</v>
      </c>
      <c r="BN21" s="25" t="s">
        <v>624</v>
      </c>
      <c r="BO21" s="25" t="s">
        <v>625</v>
      </c>
      <c r="BP21" s="25" t="s">
        <v>626</v>
      </c>
      <c r="BQ21" s="25" t="s">
        <v>627</v>
      </c>
      <c r="BR21" s="25" t="s">
        <v>628</v>
      </c>
      <c r="BS21" s="25" t="s">
        <v>629</v>
      </c>
      <c r="BT21" s="25" t="s">
        <v>630</v>
      </c>
      <c r="BU21" s="25" t="s">
        <v>631</v>
      </c>
      <c r="BV21" s="25" t="s">
        <v>632</v>
      </c>
      <c r="BW21" s="25" t="s">
        <v>633</v>
      </c>
      <c r="BX21" s="25" t="s">
        <v>634</v>
      </c>
      <c r="BY21" s="25" t="s">
        <v>635</v>
      </c>
      <c r="BZ21" s="25" t="s">
        <v>636</v>
      </c>
      <c r="CA21" s="25" t="s">
        <v>637</v>
      </c>
      <c r="CB21" s="25" t="s">
        <v>638</v>
      </c>
      <c r="CC21" s="25" t="s">
        <v>639</v>
      </c>
      <c r="CD21" s="25" t="s">
        <v>640</v>
      </c>
      <c r="CE21" s="25" t="s">
        <v>641</v>
      </c>
    </row>
    <row r="22" spans="1:83" s="15" customFormat="1" ht="12.75" x14ac:dyDescent="0.2">
      <c r="A22" s="31" t="str">
        <f t="shared" ref="A22:A26" si="2">IF(ISBLANK(A11),"",A11)</f>
        <v>Germany</v>
      </c>
      <c r="B22" s="32">
        <f>SUMIF(RAW_DEATHS!$B:$B,Tabelle28[[#This Row],[Country/Region]],RAW_DEATHS!C:C)</f>
        <v>0</v>
      </c>
      <c r="C22" s="32">
        <f>SUMIF(RAW_DEATHS!$B:$B,Tabelle28[[#This Row],[Country/Region]],RAW_DEATHS!D:D)</f>
        <v>0</v>
      </c>
      <c r="D22" s="32">
        <f>SUMIF(RAW_DEATHS!$B:$B,Tabelle28[[#This Row],[Country/Region]],RAW_DEATHS!E:E)</f>
        <v>0</v>
      </c>
      <c r="E22" s="32">
        <f>SUMIF(RAW_DEATHS!$B:$B,Tabelle28[[#This Row],[Country/Region]],RAW_DEATHS!F:F)</f>
        <v>0</v>
      </c>
      <c r="F22" s="32">
        <f>SUMIF(RAW_DEATHS!$B:$B,Tabelle28[[#This Row],[Country/Region]],RAW_DEATHS!G:G)</f>
        <v>0</v>
      </c>
      <c r="G22" s="32">
        <f>SUMIF(RAW_DEATHS!$B:$B,Tabelle28[[#This Row],[Country/Region]],RAW_DEATHS!H:H)</f>
        <v>0</v>
      </c>
      <c r="H22" s="32">
        <f>SUMIF(RAW_DEATHS!$B:$B,Tabelle28[[#This Row],[Country/Region]],RAW_DEATHS!I:I)</f>
        <v>0</v>
      </c>
      <c r="I22" s="32">
        <f>SUMIF(RAW_DEATHS!$B:$B,Tabelle28[[#This Row],[Country/Region]],RAW_DEATHS!J:J)</f>
        <v>0</v>
      </c>
      <c r="J22" s="32">
        <f>SUMIF(RAW_DEATHS!$B:$B,Tabelle28[[#This Row],[Country/Region]],RAW_DEATHS!K:K)</f>
        <v>0</v>
      </c>
      <c r="K22" s="32">
        <f>SUMIF(RAW_DEATHS!$B:$B,Tabelle28[[#This Row],[Country/Region]],RAW_DEATHS!L:L)</f>
        <v>0</v>
      </c>
      <c r="L22" s="32">
        <f>SUMIF(RAW_DEATHS!$B:$B,Tabelle28[[#This Row],[Country/Region]],RAW_DEATHS!M:M)</f>
        <v>0</v>
      </c>
      <c r="M22" s="32">
        <f>SUMIF(RAW_DEATHS!$B:$B,Tabelle28[[#This Row],[Country/Region]],RAW_DEATHS!N:N)</f>
        <v>0</v>
      </c>
      <c r="N22" s="32">
        <f>SUMIF(RAW_DEATHS!$B:$B,Tabelle28[[#This Row],[Country/Region]],RAW_DEATHS!O:O)</f>
        <v>0</v>
      </c>
      <c r="O22" s="32">
        <f>SUMIF(RAW_DEATHS!$B:$B,Tabelle28[[#This Row],[Country/Region]],RAW_DEATHS!P:P)</f>
        <v>0</v>
      </c>
      <c r="P22" s="32">
        <f>SUMIF(RAW_DEATHS!$B:$B,Tabelle28[[#This Row],[Country/Region]],RAW_DEATHS!Q:Q)</f>
        <v>0</v>
      </c>
      <c r="Q22" s="32">
        <f>SUMIF(RAW_DEATHS!$B:$B,Tabelle28[[#This Row],[Country/Region]],RAW_DEATHS!R:R)</f>
        <v>0</v>
      </c>
      <c r="R22" s="32">
        <f>SUMIF(RAW_DEATHS!$B:$B,Tabelle28[[#This Row],[Country/Region]],RAW_DEATHS!S:S)</f>
        <v>0</v>
      </c>
      <c r="S22" s="32">
        <f>SUMIF(RAW_DEATHS!$B:$B,Tabelle28[[#This Row],[Country/Region]],RAW_DEATHS!T:T)</f>
        <v>0</v>
      </c>
      <c r="T22" s="32">
        <f>SUMIF(RAW_DEATHS!$B:$B,Tabelle28[[#This Row],[Country/Region]],RAW_DEATHS!U:U)</f>
        <v>0</v>
      </c>
      <c r="U22" s="32">
        <f>SUMIF(RAW_DEATHS!$B:$B,Tabelle28[[#This Row],[Country/Region]],RAW_DEATHS!V:V)</f>
        <v>0</v>
      </c>
      <c r="V22" s="32">
        <f>SUMIF(RAW_DEATHS!$B:$B,Tabelle28[[#This Row],[Country/Region]],RAW_DEATHS!W:W)</f>
        <v>0</v>
      </c>
      <c r="W22" s="32">
        <f>SUMIF(RAW_DEATHS!$B:$B,Tabelle28[[#This Row],[Country/Region]],RAW_DEATHS!X:X)</f>
        <v>0</v>
      </c>
      <c r="X22" s="32">
        <f>SUMIF(RAW_DEATHS!$B:$B,Tabelle28[[#This Row],[Country/Region]],RAW_DEATHS!Y:Y)</f>
        <v>0</v>
      </c>
      <c r="Y22" s="32">
        <f>SUMIF(RAW_DEATHS!$B:$B,Tabelle28[[#This Row],[Country/Region]],RAW_DEATHS!Z:Z)</f>
        <v>0</v>
      </c>
      <c r="Z22" s="32">
        <f>SUMIF(RAW_DEATHS!$B:$B,Tabelle28[[#This Row],[Country/Region]],RAW_DEATHS!AA:AA)</f>
        <v>0</v>
      </c>
      <c r="AA22" s="32">
        <f>SUMIF(RAW_DEATHS!$B:$B,Tabelle28[[#This Row],[Country/Region]],RAW_DEATHS!AB:AB)</f>
        <v>0</v>
      </c>
      <c r="AB22" s="32">
        <f>SUMIF(RAW_DEATHS!$B:$B,Tabelle28[[#This Row],[Country/Region]],RAW_DEATHS!AC:AC)</f>
        <v>0</v>
      </c>
      <c r="AC22" s="32">
        <f>SUMIF(RAW_DEATHS!$B:$B,Tabelle28[[#This Row],[Country/Region]],RAW_DEATHS!AD:AD)</f>
        <v>0</v>
      </c>
      <c r="AD22" s="32">
        <f>SUMIF(RAW_DEATHS!$B:$B,Tabelle28[[#This Row],[Country/Region]],RAW_DEATHS!AE:AE)</f>
        <v>0</v>
      </c>
      <c r="AE22" s="32">
        <f>SUMIF(RAW_DEATHS!$B:$B,Tabelle28[[#This Row],[Country/Region]],RAW_DEATHS!AF:AF)</f>
        <v>0</v>
      </c>
      <c r="AF22" s="32">
        <f>SUMIF(RAW_DEATHS!$B:$B,Tabelle28[[#This Row],[Country/Region]],RAW_DEATHS!AG:AG)</f>
        <v>0</v>
      </c>
      <c r="AG22" s="32">
        <f>SUMIF(RAW_DEATHS!$B:$B,Tabelle28[[#This Row],[Country/Region]],RAW_DEATHS!AH:AH)</f>
        <v>0</v>
      </c>
      <c r="AH22" s="32">
        <f>SUMIF(RAW_DEATHS!$B:$B,Tabelle28[[#This Row],[Country/Region]],RAW_DEATHS!AI:AI)</f>
        <v>0</v>
      </c>
      <c r="AI22" s="32">
        <f>SUMIF(RAW_DEATHS!$B:$B,Tabelle28[[#This Row],[Country/Region]],RAW_DEATHS!AJ:AJ)</f>
        <v>0</v>
      </c>
      <c r="AJ22" s="32">
        <f>SUMIF(RAW_DEATHS!$B:$B,Tabelle28[[#This Row],[Country/Region]],RAW_DEATHS!AK:AK)</f>
        <v>0</v>
      </c>
      <c r="AK22" s="32">
        <f>SUMIF(RAW_DEATHS!$B:$B,Tabelle28[[#This Row],[Country/Region]],RAW_DEATHS!AL:AL)</f>
        <v>0</v>
      </c>
      <c r="AL22" s="32">
        <f>SUMIF(RAW_DEATHS!$B:$B,Tabelle28[[#This Row],[Country/Region]],RAW_DEATHS!AM:AM)</f>
        <v>0</v>
      </c>
      <c r="AM22" s="32">
        <f>SUMIF(RAW_DEATHS!$B:$B,Tabelle28[[#This Row],[Country/Region]],RAW_DEATHS!AN:AN)</f>
        <v>0</v>
      </c>
      <c r="AN22" s="32">
        <f>SUMIF(RAW_DEATHS!$B:$B,Tabelle28[[#This Row],[Country/Region]],RAW_DEATHS!AO:AO)</f>
        <v>0</v>
      </c>
      <c r="AO22" s="32">
        <f>SUMIF(RAW_DEATHS!$B:$B,Tabelle28[[#This Row],[Country/Region]],RAW_DEATHS!AP:AP)</f>
        <v>0</v>
      </c>
      <c r="AP22" s="32">
        <f>SUMIF(RAW_DEATHS!$B:$B,Tabelle28[[#This Row],[Country/Region]],RAW_DEATHS!AQ:AQ)</f>
        <v>0</v>
      </c>
      <c r="AQ22" s="32">
        <f>SUMIF(RAW_DEATHS!$B:$B,Tabelle28[[#This Row],[Country/Region]],RAW_DEATHS!AR:AR)</f>
        <v>0</v>
      </c>
      <c r="AR22" s="32">
        <f>SUMIF(RAW_DEATHS!$B:$B,Tabelle28[[#This Row],[Country/Region]],RAW_DEATHS!AS:AS)</f>
        <v>0</v>
      </c>
      <c r="AS22" s="32">
        <f>SUMIF(RAW_DEATHS!$B:$B,Tabelle28[[#This Row],[Country/Region]],RAW_DEATHS!AT:AT)</f>
        <v>0</v>
      </c>
      <c r="AT22" s="32">
        <f>SUMIF(RAW_DEATHS!$B:$B,Tabelle28[[#This Row],[Country/Region]],RAW_DEATHS!AU:AU)</f>
        <v>0</v>
      </c>
      <c r="AU22" s="32">
        <f>SUMIF(RAW_DEATHS!$B:$B,Tabelle28[[#This Row],[Country/Region]],RAW_DEATHS!AV:AV)</f>
        <v>0</v>
      </c>
      <c r="AV22" s="32">
        <f>SUMIF(RAW_DEATHS!$B:$B,Tabelle28[[#This Row],[Country/Region]],RAW_DEATHS!AW:AW)</f>
        <v>0</v>
      </c>
      <c r="AW22" s="32">
        <f>SUMIF(RAW_DEATHS!$B:$B,Tabelle28[[#This Row],[Country/Region]],RAW_DEATHS!AX:AX)</f>
        <v>2</v>
      </c>
      <c r="AX22" s="32">
        <f>SUMIF(RAW_DEATHS!$B:$B,Tabelle28[[#This Row],[Country/Region]],RAW_DEATHS!AY:AY)</f>
        <v>2</v>
      </c>
      <c r="AY22" s="32">
        <f>SUMIF(RAW_DEATHS!$B:$B,Tabelle28[[#This Row],[Country/Region]],RAW_DEATHS!AZ:AZ)</f>
        <v>3</v>
      </c>
      <c r="AZ22" s="32">
        <f>SUMIF(RAW_DEATHS!$B:$B,Tabelle28[[#This Row],[Country/Region]],RAW_DEATHS!BA:BA)</f>
        <v>3</v>
      </c>
      <c r="BA22" s="32">
        <f>SUMIF(RAW_DEATHS!$B:$B,Tabelle28[[#This Row],[Country/Region]],RAW_DEATHS!BB:BB)</f>
        <v>7</v>
      </c>
      <c r="BB22" s="32">
        <f>SUMIF(RAW_DEATHS!$B:$B,Tabelle28[[#This Row],[Country/Region]],RAW_DEATHS!BC:BC)</f>
        <v>9</v>
      </c>
      <c r="BC22" s="32">
        <f>SUMIF(RAW_DEATHS!$B:$B,Tabelle28[[#This Row],[Country/Region]],RAW_DEATHS!BD:BD)</f>
        <v>11</v>
      </c>
      <c r="BD22" s="32">
        <f>SUMIF(RAW_DEATHS!$B:$B,Tabelle28[[#This Row],[Country/Region]],RAW_DEATHS!BE:BE)</f>
        <v>17</v>
      </c>
      <c r="BE22" s="32">
        <f>SUMIF(RAW_DEATHS!$B:$B,Tabelle28[[#This Row],[Country/Region]],RAW_DEATHS!BF:BF)</f>
        <v>24</v>
      </c>
      <c r="BF22" s="32">
        <f>SUMIF(RAW_DEATHS!$B:$B,Tabelle28[[#This Row],[Country/Region]],RAW_DEATHS!BG:BG)</f>
        <v>28</v>
      </c>
      <c r="BG22" s="32">
        <f>SUMIF(RAW_DEATHS!$B:$B,Tabelle28[[#This Row],[Country/Region]],RAW_DEATHS!BH:BH)</f>
        <v>44</v>
      </c>
      <c r="BH22" s="32">
        <f>SUMIF(RAW_DEATHS!$B:$B,Tabelle28[[#This Row],[Country/Region]],RAW_DEATHS!BI:BI)</f>
        <v>67</v>
      </c>
      <c r="BI22" s="32">
        <f>SUMIF(RAW_DEATHS!$B:$B,Tabelle28[[#This Row],[Country/Region]],RAW_DEATHS!BJ:BJ)</f>
        <v>84</v>
      </c>
      <c r="BJ22" s="32">
        <f>SUMIF(RAW_DEATHS!$B:$B,Tabelle28[[#This Row],[Country/Region]],RAW_DEATHS!BK:BK)</f>
        <v>94</v>
      </c>
      <c r="BK22" s="32">
        <f>SUMIF(RAW_DEATHS!$B:$B,Tabelle28[[#This Row],[Country/Region]],RAW_DEATHS!BL:BL)</f>
        <v>123</v>
      </c>
      <c r="BL22" s="32">
        <f>SUMIF(RAW_DEATHS!$B:$B,Tabelle28[[#This Row],[Country/Region]],RAW_DEATHS!BM:BM)</f>
        <v>0</v>
      </c>
      <c r="BM22" s="32">
        <f>SUMIF(RAW_DEATHS!$B:$B,Tabelle28[[#This Row],[Country/Region]],RAW_DEATHS!BN:BN)</f>
        <v>0</v>
      </c>
      <c r="BN22" s="32">
        <f>SUMIF(RAW_DEATHS!$B:$B,Tabelle28[[#This Row],[Country/Region]],RAW_DEATHS!BO:BO)</f>
        <v>0</v>
      </c>
      <c r="BO22" s="32">
        <f>SUMIF(RAW_DEATHS!$B:$B,Tabelle28[[#This Row],[Country/Region]],RAW_DEATHS!BP:BP)</f>
        <v>0</v>
      </c>
      <c r="BP22" s="32">
        <f>SUMIF(RAW_DEATHS!$B:$B,Tabelle28[[#This Row],[Country/Region]],RAW_DEATHS!BQ:BQ)</f>
        <v>0</v>
      </c>
      <c r="BQ22" s="32">
        <f>SUMIF(RAW_DEATHS!$B:$B,Tabelle28[[#This Row],[Country/Region]],RAW_DEATHS!BR:BR)</f>
        <v>0</v>
      </c>
      <c r="BR22" s="32">
        <f>SUMIF(RAW_DEATHS!$B:$B,Tabelle28[[#This Row],[Country/Region]],RAW_DEATHS!BS:BS)</f>
        <v>0</v>
      </c>
      <c r="BS22" s="32">
        <f>SUMIF(RAW_DEATHS!$B:$B,Tabelle28[[#This Row],[Country/Region]],RAW_DEATHS!BT:BT)</f>
        <v>0</v>
      </c>
      <c r="BT22" s="32">
        <f>SUMIF(RAW_DEATHS!$B:$B,Tabelle28[[#This Row],[Country/Region]],RAW_DEATHS!BU:BU)</f>
        <v>0</v>
      </c>
      <c r="BU22" s="32">
        <f>SUMIF(RAW_DEATHS!$B:$B,Tabelle28[[#This Row],[Country/Region]],RAW_DEATHS!BV:BV)</f>
        <v>0</v>
      </c>
      <c r="BV22" s="32">
        <f>SUMIF(RAW_DEATHS!$B:$B,Tabelle28[[#This Row],[Country/Region]],RAW_DEATHS!BW:BW)</f>
        <v>0</v>
      </c>
      <c r="BW22" s="32">
        <f>SUMIF(RAW_DEATHS!$B:$B,Tabelle28[[#This Row],[Country/Region]],RAW_DEATHS!BX:BX)</f>
        <v>0</v>
      </c>
      <c r="BX22" s="32">
        <f>SUMIF(RAW_DEATHS!$B:$B,Tabelle28[[#This Row],[Country/Region]],RAW_DEATHS!BY:BY)</f>
        <v>0</v>
      </c>
      <c r="BY22" s="32">
        <f>SUMIF(RAW_DEATHS!$B:$B,Tabelle28[[#This Row],[Country/Region]],RAW_DEATHS!BZ:BZ)</f>
        <v>0</v>
      </c>
      <c r="BZ22" s="32">
        <f>SUMIF(RAW_DEATHS!$B:$B,Tabelle28[[#This Row],[Country/Region]],RAW_DEATHS!CA:CA)</f>
        <v>0</v>
      </c>
      <c r="CA22" s="32">
        <f>SUMIF(RAW_DEATHS!$B:$B,Tabelle28[[#This Row],[Country/Region]],RAW_DEATHS!CB:CB)</f>
        <v>0</v>
      </c>
      <c r="CB22" s="32">
        <f>SUMIF(RAW_DEATHS!$B:$B,Tabelle28[[#This Row],[Country/Region]],RAW_DEATHS!CC:CC)</f>
        <v>0</v>
      </c>
      <c r="CC22" s="32">
        <f>SUMIF(RAW_DEATHS!$B:$B,Tabelle28[[#This Row],[Country/Region]],RAW_DEATHS!CD:CD)</f>
        <v>0</v>
      </c>
      <c r="CD22" s="32">
        <f>SUMIF(RAW_DEATHS!$B:$B,Tabelle28[[#This Row],[Country/Region]],RAW_DEATHS!CE:CE)</f>
        <v>0</v>
      </c>
      <c r="CE22" s="32">
        <f>SUMIF(RAW_DEATHS!$B:$B,Tabelle28[[#This Row],[Country/Region]],RAW_DEATHS!CF:CF)</f>
        <v>0</v>
      </c>
    </row>
    <row r="23" spans="1:83" s="15" customFormat="1" ht="12.75" x14ac:dyDescent="0.2">
      <c r="A23" s="31" t="str">
        <f t="shared" si="2"/>
        <v>US</v>
      </c>
      <c r="B23" s="32">
        <f>SUMIF(RAW_DEATHS!$B:$B,Tabelle28[[#This Row],[Country/Region]],RAW_DEATHS!C:C)</f>
        <v>0</v>
      </c>
      <c r="C23" s="32">
        <f>SUMIF(RAW_DEATHS!$B:$B,Tabelle28[[#This Row],[Country/Region]],RAW_DEATHS!D:D)</f>
        <v>0</v>
      </c>
      <c r="D23" s="32">
        <f>SUMIF(RAW_DEATHS!$B:$B,Tabelle28[[#This Row],[Country/Region]],RAW_DEATHS!E:E)</f>
        <v>0</v>
      </c>
      <c r="E23" s="32">
        <f>SUMIF(RAW_DEATHS!$B:$B,Tabelle28[[#This Row],[Country/Region]],RAW_DEATHS!F:F)</f>
        <v>0</v>
      </c>
      <c r="F23" s="32">
        <f>SUMIF(RAW_DEATHS!$B:$B,Tabelle28[[#This Row],[Country/Region]],RAW_DEATHS!G:G)</f>
        <v>0</v>
      </c>
      <c r="G23" s="32">
        <f>SUMIF(RAW_DEATHS!$B:$B,Tabelle28[[#This Row],[Country/Region]],RAW_DEATHS!H:H)</f>
        <v>0</v>
      </c>
      <c r="H23" s="32">
        <f>SUMIF(RAW_DEATHS!$B:$B,Tabelle28[[#This Row],[Country/Region]],RAW_DEATHS!I:I)</f>
        <v>0</v>
      </c>
      <c r="I23" s="32">
        <f>SUMIF(RAW_DEATHS!$B:$B,Tabelle28[[#This Row],[Country/Region]],RAW_DEATHS!J:J)</f>
        <v>0</v>
      </c>
      <c r="J23" s="32">
        <f>SUMIF(RAW_DEATHS!$B:$B,Tabelle28[[#This Row],[Country/Region]],RAW_DEATHS!K:K)</f>
        <v>0</v>
      </c>
      <c r="K23" s="32">
        <f>SUMIF(RAW_DEATHS!$B:$B,Tabelle28[[#This Row],[Country/Region]],RAW_DEATHS!L:L)</f>
        <v>0</v>
      </c>
      <c r="L23" s="32">
        <f>SUMIF(RAW_DEATHS!$B:$B,Tabelle28[[#This Row],[Country/Region]],RAW_DEATHS!M:M)</f>
        <v>0</v>
      </c>
      <c r="M23" s="32">
        <f>SUMIF(RAW_DEATHS!$B:$B,Tabelle28[[#This Row],[Country/Region]],RAW_DEATHS!N:N)</f>
        <v>0</v>
      </c>
      <c r="N23" s="32">
        <f>SUMIF(RAW_DEATHS!$B:$B,Tabelle28[[#This Row],[Country/Region]],RAW_DEATHS!O:O)</f>
        <v>0</v>
      </c>
      <c r="O23" s="32">
        <f>SUMIF(RAW_DEATHS!$B:$B,Tabelle28[[#This Row],[Country/Region]],RAW_DEATHS!P:P)</f>
        <v>0</v>
      </c>
      <c r="P23" s="32">
        <f>SUMIF(RAW_DEATHS!$B:$B,Tabelle28[[#This Row],[Country/Region]],RAW_DEATHS!Q:Q)</f>
        <v>0</v>
      </c>
      <c r="Q23" s="32">
        <f>SUMIF(RAW_DEATHS!$B:$B,Tabelle28[[#This Row],[Country/Region]],RAW_DEATHS!R:R)</f>
        <v>0</v>
      </c>
      <c r="R23" s="32">
        <f>SUMIF(RAW_DEATHS!$B:$B,Tabelle28[[#This Row],[Country/Region]],RAW_DEATHS!S:S)</f>
        <v>0</v>
      </c>
      <c r="S23" s="32">
        <f>SUMIF(RAW_DEATHS!$B:$B,Tabelle28[[#This Row],[Country/Region]],RAW_DEATHS!T:T)</f>
        <v>0</v>
      </c>
      <c r="T23" s="32">
        <f>SUMIF(RAW_DEATHS!$B:$B,Tabelle28[[#This Row],[Country/Region]],RAW_DEATHS!U:U)</f>
        <v>0</v>
      </c>
      <c r="U23" s="32">
        <f>SUMIF(RAW_DEATHS!$B:$B,Tabelle28[[#This Row],[Country/Region]],RAW_DEATHS!V:V)</f>
        <v>0</v>
      </c>
      <c r="V23" s="32">
        <f>SUMIF(RAW_DEATHS!$B:$B,Tabelle28[[#This Row],[Country/Region]],RAW_DEATHS!W:W)</f>
        <v>0</v>
      </c>
      <c r="W23" s="32">
        <f>SUMIF(RAW_DEATHS!$B:$B,Tabelle28[[#This Row],[Country/Region]],RAW_DEATHS!X:X)</f>
        <v>0</v>
      </c>
      <c r="X23" s="32">
        <f>SUMIF(RAW_DEATHS!$B:$B,Tabelle28[[#This Row],[Country/Region]],RAW_DEATHS!Y:Y)</f>
        <v>0</v>
      </c>
      <c r="Y23" s="32">
        <f>SUMIF(RAW_DEATHS!$B:$B,Tabelle28[[#This Row],[Country/Region]],RAW_DEATHS!Z:Z)</f>
        <v>0</v>
      </c>
      <c r="Z23" s="32">
        <f>SUMIF(RAW_DEATHS!$B:$B,Tabelle28[[#This Row],[Country/Region]],RAW_DEATHS!AA:AA)</f>
        <v>0</v>
      </c>
      <c r="AA23" s="32">
        <f>SUMIF(RAW_DEATHS!$B:$B,Tabelle28[[#This Row],[Country/Region]],RAW_DEATHS!AB:AB)</f>
        <v>0</v>
      </c>
      <c r="AB23" s="32">
        <f>SUMIF(RAW_DEATHS!$B:$B,Tabelle28[[#This Row],[Country/Region]],RAW_DEATHS!AC:AC)</f>
        <v>0</v>
      </c>
      <c r="AC23" s="32">
        <f>SUMIF(RAW_DEATHS!$B:$B,Tabelle28[[#This Row],[Country/Region]],RAW_DEATHS!AD:AD)</f>
        <v>0</v>
      </c>
      <c r="AD23" s="32">
        <f>SUMIF(RAW_DEATHS!$B:$B,Tabelle28[[#This Row],[Country/Region]],RAW_DEATHS!AE:AE)</f>
        <v>0</v>
      </c>
      <c r="AE23" s="32">
        <f>SUMIF(RAW_DEATHS!$B:$B,Tabelle28[[#This Row],[Country/Region]],RAW_DEATHS!AF:AF)</f>
        <v>0</v>
      </c>
      <c r="AF23" s="32">
        <f>SUMIF(RAW_DEATHS!$B:$B,Tabelle28[[#This Row],[Country/Region]],RAW_DEATHS!AG:AG)</f>
        <v>0</v>
      </c>
      <c r="AG23" s="32">
        <f>SUMIF(RAW_DEATHS!$B:$B,Tabelle28[[#This Row],[Country/Region]],RAW_DEATHS!AH:AH)</f>
        <v>0</v>
      </c>
      <c r="AH23" s="32">
        <f>SUMIF(RAW_DEATHS!$B:$B,Tabelle28[[#This Row],[Country/Region]],RAW_DEATHS!AI:AI)</f>
        <v>0</v>
      </c>
      <c r="AI23" s="32">
        <f>SUMIF(RAW_DEATHS!$B:$B,Tabelle28[[#This Row],[Country/Region]],RAW_DEATHS!AJ:AJ)</f>
        <v>0</v>
      </c>
      <c r="AJ23" s="32">
        <f>SUMIF(RAW_DEATHS!$B:$B,Tabelle28[[#This Row],[Country/Region]],RAW_DEATHS!AK:AK)</f>
        <v>0</v>
      </c>
      <c r="AK23" s="32">
        <f>SUMIF(RAW_DEATHS!$B:$B,Tabelle28[[#This Row],[Country/Region]],RAW_DEATHS!AL:AL)</f>
        <v>0</v>
      </c>
      <c r="AL23" s="32">
        <f>SUMIF(RAW_DEATHS!$B:$B,Tabelle28[[#This Row],[Country/Region]],RAW_DEATHS!AM:AM)</f>
        <v>0</v>
      </c>
      <c r="AM23" s="32">
        <f>SUMIF(RAW_DEATHS!$B:$B,Tabelle28[[#This Row],[Country/Region]],RAW_DEATHS!AN:AN)</f>
        <v>0</v>
      </c>
      <c r="AN23" s="32">
        <f>SUMIF(RAW_DEATHS!$B:$B,Tabelle28[[#This Row],[Country/Region]],RAW_DEATHS!AO:AO)</f>
        <v>1</v>
      </c>
      <c r="AO23" s="32">
        <f>SUMIF(RAW_DEATHS!$B:$B,Tabelle28[[#This Row],[Country/Region]],RAW_DEATHS!AP:AP)</f>
        <v>1</v>
      </c>
      <c r="AP23" s="32">
        <f>SUMIF(RAW_DEATHS!$B:$B,Tabelle28[[#This Row],[Country/Region]],RAW_DEATHS!AQ:AQ)</f>
        <v>6</v>
      </c>
      <c r="AQ23" s="32">
        <f>SUMIF(RAW_DEATHS!$B:$B,Tabelle28[[#This Row],[Country/Region]],RAW_DEATHS!AR:AR)</f>
        <v>7</v>
      </c>
      <c r="AR23" s="32">
        <f>SUMIF(RAW_DEATHS!$B:$B,Tabelle28[[#This Row],[Country/Region]],RAW_DEATHS!AS:AS)</f>
        <v>11</v>
      </c>
      <c r="AS23" s="32">
        <f>SUMIF(RAW_DEATHS!$B:$B,Tabelle28[[#This Row],[Country/Region]],RAW_DEATHS!AT:AT)</f>
        <v>12</v>
      </c>
      <c r="AT23" s="32">
        <f>SUMIF(RAW_DEATHS!$B:$B,Tabelle28[[#This Row],[Country/Region]],RAW_DEATHS!AU:AU)</f>
        <v>14</v>
      </c>
      <c r="AU23" s="32">
        <f>SUMIF(RAW_DEATHS!$B:$B,Tabelle28[[#This Row],[Country/Region]],RAW_DEATHS!AV:AV)</f>
        <v>17</v>
      </c>
      <c r="AV23" s="32">
        <f>SUMIF(RAW_DEATHS!$B:$B,Tabelle28[[#This Row],[Country/Region]],RAW_DEATHS!AW:AW)</f>
        <v>21</v>
      </c>
      <c r="AW23" s="32">
        <f>SUMIF(RAW_DEATHS!$B:$B,Tabelle28[[#This Row],[Country/Region]],RAW_DEATHS!AX:AX)</f>
        <v>22</v>
      </c>
      <c r="AX23" s="32">
        <f>SUMIF(RAW_DEATHS!$B:$B,Tabelle28[[#This Row],[Country/Region]],RAW_DEATHS!AY:AY)</f>
        <v>28</v>
      </c>
      <c r="AY23" s="32">
        <f>SUMIF(RAW_DEATHS!$B:$B,Tabelle28[[#This Row],[Country/Region]],RAW_DEATHS!AZ:AZ)</f>
        <v>36</v>
      </c>
      <c r="AZ23" s="32">
        <f>SUMIF(RAW_DEATHS!$B:$B,Tabelle28[[#This Row],[Country/Region]],RAW_DEATHS!BA:BA)</f>
        <v>40</v>
      </c>
      <c r="BA23" s="32">
        <f>SUMIF(RAW_DEATHS!$B:$B,Tabelle28[[#This Row],[Country/Region]],RAW_DEATHS!BB:BB)</f>
        <v>47</v>
      </c>
      <c r="BB23" s="32">
        <f>SUMIF(RAW_DEATHS!$B:$B,Tabelle28[[#This Row],[Country/Region]],RAW_DEATHS!BC:BC)</f>
        <v>54</v>
      </c>
      <c r="BC23" s="32">
        <f>SUMIF(RAW_DEATHS!$B:$B,Tabelle28[[#This Row],[Country/Region]],RAW_DEATHS!BD:BD)</f>
        <v>63</v>
      </c>
      <c r="BD23" s="32">
        <f>SUMIF(RAW_DEATHS!$B:$B,Tabelle28[[#This Row],[Country/Region]],RAW_DEATHS!BE:BE)</f>
        <v>85</v>
      </c>
      <c r="BE23" s="32">
        <f>SUMIF(RAW_DEATHS!$B:$B,Tabelle28[[#This Row],[Country/Region]],RAW_DEATHS!BF:BF)</f>
        <v>108</v>
      </c>
      <c r="BF23" s="32">
        <f>SUMIF(RAW_DEATHS!$B:$B,Tabelle28[[#This Row],[Country/Region]],RAW_DEATHS!BG:BG)</f>
        <v>118</v>
      </c>
      <c r="BG23" s="32">
        <f>SUMIF(RAW_DEATHS!$B:$B,Tabelle28[[#This Row],[Country/Region]],RAW_DEATHS!BH:BH)</f>
        <v>200</v>
      </c>
      <c r="BH23" s="32">
        <f>SUMIF(RAW_DEATHS!$B:$B,Tabelle28[[#This Row],[Country/Region]],RAW_DEATHS!BI:BI)</f>
        <v>244</v>
      </c>
      <c r="BI23" s="32">
        <f>SUMIF(RAW_DEATHS!$B:$B,Tabelle28[[#This Row],[Country/Region]],RAW_DEATHS!BJ:BJ)</f>
        <v>307</v>
      </c>
      <c r="BJ23" s="32">
        <f>SUMIF(RAW_DEATHS!$B:$B,Tabelle28[[#This Row],[Country/Region]],RAW_DEATHS!BK:BK)</f>
        <v>417</v>
      </c>
      <c r="BK23" s="32">
        <f>SUMIF(RAW_DEATHS!$B:$B,Tabelle28[[#This Row],[Country/Region]],RAW_DEATHS!BL:BL)</f>
        <v>557</v>
      </c>
      <c r="BL23" s="32">
        <f>SUMIF(RAW_DEATHS!$B:$B,Tabelle28[[#This Row],[Country/Region]],RAW_DEATHS!BM:BM)</f>
        <v>0</v>
      </c>
      <c r="BM23" s="32">
        <f>SUMIF(RAW_DEATHS!$B:$B,Tabelle28[[#This Row],[Country/Region]],RAW_DEATHS!BN:BN)</f>
        <v>0</v>
      </c>
      <c r="BN23" s="32">
        <f>SUMIF(RAW_DEATHS!$B:$B,Tabelle28[[#This Row],[Country/Region]],RAW_DEATHS!BO:BO)</f>
        <v>0</v>
      </c>
      <c r="BO23" s="32">
        <f>SUMIF(RAW_DEATHS!$B:$B,Tabelle28[[#This Row],[Country/Region]],RAW_DEATHS!BP:BP)</f>
        <v>0</v>
      </c>
      <c r="BP23" s="32">
        <f>SUMIF(RAW_DEATHS!$B:$B,Tabelle28[[#This Row],[Country/Region]],RAW_DEATHS!BQ:BQ)</f>
        <v>0</v>
      </c>
      <c r="BQ23" s="32">
        <f>SUMIF(RAW_DEATHS!$B:$B,Tabelle28[[#This Row],[Country/Region]],RAW_DEATHS!BR:BR)</f>
        <v>0</v>
      </c>
      <c r="BR23" s="32">
        <f>SUMIF(RAW_DEATHS!$B:$B,Tabelle28[[#This Row],[Country/Region]],RAW_DEATHS!BS:BS)</f>
        <v>0</v>
      </c>
      <c r="BS23" s="32">
        <f>SUMIF(RAW_DEATHS!$B:$B,Tabelle28[[#This Row],[Country/Region]],RAW_DEATHS!BT:BT)</f>
        <v>0</v>
      </c>
      <c r="BT23" s="32">
        <f>SUMIF(RAW_DEATHS!$B:$B,Tabelle28[[#This Row],[Country/Region]],RAW_DEATHS!BU:BU)</f>
        <v>0</v>
      </c>
      <c r="BU23" s="32">
        <f>SUMIF(RAW_DEATHS!$B:$B,Tabelle28[[#This Row],[Country/Region]],RAW_DEATHS!BV:BV)</f>
        <v>0</v>
      </c>
      <c r="BV23" s="32">
        <f>SUMIF(RAW_DEATHS!$B:$B,Tabelle28[[#This Row],[Country/Region]],RAW_DEATHS!BW:BW)</f>
        <v>0</v>
      </c>
      <c r="BW23" s="32">
        <f>SUMIF(RAW_DEATHS!$B:$B,Tabelle28[[#This Row],[Country/Region]],RAW_DEATHS!BX:BX)</f>
        <v>0</v>
      </c>
      <c r="BX23" s="32">
        <f>SUMIF(RAW_DEATHS!$B:$B,Tabelle28[[#This Row],[Country/Region]],RAW_DEATHS!BY:BY)</f>
        <v>0</v>
      </c>
      <c r="BY23" s="32">
        <f>SUMIF(RAW_DEATHS!$B:$B,Tabelle28[[#This Row],[Country/Region]],RAW_DEATHS!BZ:BZ)</f>
        <v>0</v>
      </c>
      <c r="BZ23" s="32">
        <f>SUMIF(RAW_DEATHS!$B:$B,Tabelle28[[#This Row],[Country/Region]],RAW_DEATHS!CA:CA)</f>
        <v>0</v>
      </c>
      <c r="CA23" s="32">
        <f>SUMIF(RAW_DEATHS!$B:$B,Tabelle28[[#This Row],[Country/Region]],RAW_DEATHS!CB:CB)</f>
        <v>0</v>
      </c>
      <c r="CB23" s="32">
        <f>SUMIF(RAW_DEATHS!$B:$B,Tabelle28[[#This Row],[Country/Region]],RAW_DEATHS!CC:CC)</f>
        <v>0</v>
      </c>
      <c r="CC23" s="32">
        <f>SUMIF(RAW_DEATHS!$B:$B,Tabelle28[[#This Row],[Country/Region]],RAW_DEATHS!CD:CD)</f>
        <v>0</v>
      </c>
      <c r="CD23" s="32">
        <f>SUMIF(RAW_DEATHS!$B:$B,Tabelle28[[#This Row],[Country/Region]],RAW_DEATHS!CE:CE)</f>
        <v>0</v>
      </c>
      <c r="CE23" s="32">
        <f>SUMIF(RAW_DEATHS!$B:$B,Tabelle28[[#This Row],[Country/Region]],RAW_DEATHS!CF:CF)</f>
        <v>0</v>
      </c>
    </row>
    <row r="24" spans="1:83" s="15" customFormat="1" ht="12.75" x14ac:dyDescent="0.2">
      <c r="A24" s="31" t="str">
        <f t="shared" si="2"/>
        <v>Italy</v>
      </c>
      <c r="B24" s="32">
        <f>SUMIF(RAW_DEATHS!$B:$B,Tabelle28[[#This Row],[Country/Region]],RAW_DEATHS!C:C)</f>
        <v>0</v>
      </c>
      <c r="C24" s="32">
        <f>SUMIF(RAW_DEATHS!$B:$B,Tabelle28[[#This Row],[Country/Region]],RAW_DEATHS!D:D)</f>
        <v>0</v>
      </c>
      <c r="D24" s="32">
        <f>SUMIF(RAW_DEATHS!$B:$B,Tabelle28[[#This Row],[Country/Region]],RAW_DEATHS!E:E)</f>
        <v>0</v>
      </c>
      <c r="E24" s="32">
        <f>SUMIF(RAW_DEATHS!$B:$B,Tabelle28[[#This Row],[Country/Region]],RAW_DEATHS!F:F)</f>
        <v>0</v>
      </c>
      <c r="F24" s="32">
        <f>SUMIF(RAW_DEATHS!$B:$B,Tabelle28[[#This Row],[Country/Region]],RAW_DEATHS!G:G)</f>
        <v>0</v>
      </c>
      <c r="G24" s="32">
        <f>SUMIF(RAW_DEATHS!$B:$B,Tabelle28[[#This Row],[Country/Region]],RAW_DEATHS!H:H)</f>
        <v>0</v>
      </c>
      <c r="H24" s="32">
        <f>SUMIF(RAW_DEATHS!$B:$B,Tabelle28[[#This Row],[Country/Region]],RAW_DEATHS!I:I)</f>
        <v>0</v>
      </c>
      <c r="I24" s="32">
        <f>SUMIF(RAW_DEATHS!$B:$B,Tabelle28[[#This Row],[Country/Region]],RAW_DEATHS!J:J)</f>
        <v>0</v>
      </c>
      <c r="J24" s="32">
        <f>SUMIF(RAW_DEATHS!$B:$B,Tabelle28[[#This Row],[Country/Region]],RAW_DEATHS!K:K)</f>
        <v>0</v>
      </c>
      <c r="K24" s="32">
        <f>SUMIF(RAW_DEATHS!$B:$B,Tabelle28[[#This Row],[Country/Region]],RAW_DEATHS!L:L)</f>
        <v>0</v>
      </c>
      <c r="L24" s="32">
        <f>SUMIF(RAW_DEATHS!$B:$B,Tabelle28[[#This Row],[Country/Region]],RAW_DEATHS!M:M)</f>
        <v>0</v>
      </c>
      <c r="M24" s="32">
        <f>SUMIF(RAW_DEATHS!$B:$B,Tabelle28[[#This Row],[Country/Region]],RAW_DEATHS!N:N)</f>
        <v>0</v>
      </c>
      <c r="N24" s="32">
        <f>SUMIF(RAW_DEATHS!$B:$B,Tabelle28[[#This Row],[Country/Region]],RAW_DEATHS!O:O)</f>
        <v>0</v>
      </c>
      <c r="O24" s="32">
        <f>SUMIF(RAW_DEATHS!$B:$B,Tabelle28[[#This Row],[Country/Region]],RAW_DEATHS!P:P)</f>
        <v>0</v>
      </c>
      <c r="P24" s="32">
        <f>SUMIF(RAW_DEATHS!$B:$B,Tabelle28[[#This Row],[Country/Region]],RAW_DEATHS!Q:Q)</f>
        <v>0</v>
      </c>
      <c r="Q24" s="32">
        <f>SUMIF(RAW_DEATHS!$B:$B,Tabelle28[[#This Row],[Country/Region]],RAW_DEATHS!R:R)</f>
        <v>0</v>
      </c>
      <c r="R24" s="32">
        <f>SUMIF(RAW_DEATHS!$B:$B,Tabelle28[[#This Row],[Country/Region]],RAW_DEATHS!S:S)</f>
        <v>0</v>
      </c>
      <c r="S24" s="32">
        <f>SUMIF(RAW_DEATHS!$B:$B,Tabelle28[[#This Row],[Country/Region]],RAW_DEATHS!T:T)</f>
        <v>0</v>
      </c>
      <c r="T24" s="32">
        <f>SUMIF(RAW_DEATHS!$B:$B,Tabelle28[[#This Row],[Country/Region]],RAW_DEATHS!U:U)</f>
        <v>0</v>
      </c>
      <c r="U24" s="32">
        <f>SUMIF(RAW_DEATHS!$B:$B,Tabelle28[[#This Row],[Country/Region]],RAW_DEATHS!V:V)</f>
        <v>0</v>
      </c>
      <c r="V24" s="32">
        <f>SUMIF(RAW_DEATHS!$B:$B,Tabelle28[[#This Row],[Country/Region]],RAW_DEATHS!W:W)</f>
        <v>0</v>
      </c>
      <c r="W24" s="32">
        <f>SUMIF(RAW_DEATHS!$B:$B,Tabelle28[[#This Row],[Country/Region]],RAW_DEATHS!X:X)</f>
        <v>0</v>
      </c>
      <c r="X24" s="32">
        <f>SUMIF(RAW_DEATHS!$B:$B,Tabelle28[[#This Row],[Country/Region]],RAW_DEATHS!Y:Y)</f>
        <v>0</v>
      </c>
      <c r="Y24" s="32">
        <f>SUMIF(RAW_DEATHS!$B:$B,Tabelle28[[#This Row],[Country/Region]],RAW_DEATHS!Z:Z)</f>
        <v>0</v>
      </c>
      <c r="Z24" s="32">
        <f>SUMIF(RAW_DEATHS!$B:$B,Tabelle28[[#This Row],[Country/Region]],RAW_DEATHS!AA:AA)</f>
        <v>0</v>
      </c>
      <c r="AA24" s="32">
        <f>SUMIF(RAW_DEATHS!$B:$B,Tabelle28[[#This Row],[Country/Region]],RAW_DEATHS!AB:AB)</f>
        <v>0</v>
      </c>
      <c r="AB24" s="32">
        <f>SUMIF(RAW_DEATHS!$B:$B,Tabelle28[[#This Row],[Country/Region]],RAW_DEATHS!AC:AC)</f>
        <v>0</v>
      </c>
      <c r="AC24" s="32">
        <f>SUMIF(RAW_DEATHS!$B:$B,Tabelle28[[#This Row],[Country/Region]],RAW_DEATHS!AD:AD)</f>
        <v>0</v>
      </c>
      <c r="AD24" s="32">
        <f>SUMIF(RAW_DEATHS!$B:$B,Tabelle28[[#This Row],[Country/Region]],RAW_DEATHS!AE:AE)</f>
        <v>0</v>
      </c>
      <c r="AE24" s="32">
        <f>SUMIF(RAW_DEATHS!$B:$B,Tabelle28[[#This Row],[Country/Region]],RAW_DEATHS!AF:AF)</f>
        <v>0</v>
      </c>
      <c r="AF24" s="32">
        <f>SUMIF(RAW_DEATHS!$B:$B,Tabelle28[[#This Row],[Country/Region]],RAW_DEATHS!AG:AG)</f>
        <v>1</v>
      </c>
      <c r="AG24" s="32">
        <f>SUMIF(RAW_DEATHS!$B:$B,Tabelle28[[#This Row],[Country/Region]],RAW_DEATHS!AH:AH)</f>
        <v>2</v>
      </c>
      <c r="AH24" s="32">
        <f>SUMIF(RAW_DEATHS!$B:$B,Tabelle28[[#This Row],[Country/Region]],RAW_DEATHS!AI:AI)</f>
        <v>3</v>
      </c>
      <c r="AI24" s="32">
        <f>SUMIF(RAW_DEATHS!$B:$B,Tabelle28[[#This Row],[Country/Region]],RAW_DEATHS!AJ:AJ)</f>
        <v>7</v>
      </c>
      <c r="AJ24" s="32">
        <f>SUMIF(RAW_DEATHS!$B:$B,Tabelle28[[#This Row],[Country/Region]],RAW_DEATHS!AK:AK)</f>
        <v>10</v>
      </c>
      <c r="AK24" s="32">
        <f>SUMIF(RAW_DEATHS!$B:$B,Tabelle28[[#This Row],[Country/Region]],RAW_DEATHS!AL:AL)</f>
        <v>12</v>
      </c>
      <c r="AL24" s="32">
        <f>SUMIF(RAW_DEATHS!$B:$B,Tabelle28[[#This Row],[Country/Region]],RAW_DEATHS!AM:AM)</f>
        <v>17</v>
      </c>
      <c r="AM24" s="32">
        <f>SUMIF(RAW_DEATHS!$B:$B,Tabelle28[[#This Row],[Country/Region]],RAW_DEATHS!AN:AN)</f>
        <v>21</v>
      </c>
      <c r="AN24" s="32">
        <f>SUMIF(RAW_DEATHS!$B:$B,Tabelle28[[#This Row],[Country/Region]],RAW_DEATHS!AO:AO)</f>
        <v>29</v>
      </c>
      <c r="AO24" s="32">
        <f>SUMIF(RAW_DEATHS!$B:$B,Tabelle28[[#This Row],[Country/Region]],RAW_DEATHS!AP:AP)</f>
        <v>34</v>
      </c>
      <c r="AP24" s="32">
        <f>SUMIF(RAW_DEATHS!$B:$B,Tabelle28[[#This Row],[Country/Region]],RAW_DEATHS!AQ:AQ)</f>
        <v>52</v>
      </c>
      <c r="AQ24" s="32">
        <f>SUMIF(RAW_DEATHS!$B:$B,Tabelle28[[#This Row],[Country/Region]],RAW_DEATHS!AR:AR)</f>
        <v>79</v>
      </c>
      <c r="AR24" s="32">
        <f>SUMIF(RAW_DEATHS!$B:$B,Tabelle28[[#This Row],[Country/Region]],RAW_DEATHS!AS:AS)</f>
        <v>107</v>
      </c>
      <c r="AS24" s="32">
        <f>SUMIF(RAW_DEATHS!$B:$B,Tabelle28[[#This Row],[Country/Region]],RAW_DEATHS!AT:AT)</f>
        <v>148</v>
      </c>
      <c r="AT24" s="32">
        <f>SUMIF(RAW_DEATHS!$B:$B,Tabelle28[[#This Row],[Country/Region]],RAW_DEATHS!AU:AU)</f>
        <v>197</v>
      </c>
      <c r="AU24" s="32">
        <f>SUMIF(RAW_DEATHS!$B:$B,Tabelle28[[#This Row],[Country/Region]],RAW_DEATHS!AV:AV)</f>
        <v>233</v>
      </c>
      <c r="AV24" s="32">
        <f>SUMIF(RAW_DEATHS!$B:$B,Tabelle28[[#This Row],[Country/Region]],RAW_DEATHS!AW:AW)</f>
        <v>366</v>
      </c>
      <c r="AW24" s="32">
        <f>SUMIF(RAW_DEATHS!$B:$B,Tabelle28[[#This Row],[Country/Region]],RAW_DEATHS!AX:AX)</f>
        <v>463</v>
      </c>
      <c r="AX24" s="32">
        <f>SUMIF(RAW_DEATHS!$B:$B,Tabelle28[[#This Row],[Country/Region]],RAW_DEATHS!AY:AY)</f>
        <v>631</v>
      </c>
      <c r="AY24" s="32">
        <f>SUMIF(RAW_DEATHS!$B:$B,Tabelle28[[#This Row],[Country/Region]],RAW_DEATHS!AZ:AZ)</f>
        <v>827</v>
      </c>
      <c r="AZ24" s="32">
        <f>SUMIF(RAW_DEATHS!$B:$B,Tabelle28[[#This Row],[Country/Region]],RAW_DEATHS!BA:BA)</f>
        <v>827</v>
      </c>
      <c r="BA24" s="32">
        <f>SUMIF(RAW_DEATHS!$B:$B,Tabelle28[[#This Row],[Country/Region]],RAW_DEATHS!BB:BB)</f>
        <v>1266</v>
      </c>
      <c r="BB24" s="32">
        <f>SUMIF(RAW_DEATHS!$B:$B,Tabelle28[[#This Row],[Country/Region]],RAW_DEATHS!BC:BC)</f>
        <v>1441</v>
      </c>
      <c r="BC24" s="32">
        <f>SUMIF(RAW_DEATHS!$B:$B,Tabelle28[[#This Row],[Country/Region]],RAW_DEATHS!BD:BD)</f>
        <v>1809</v>
      </c>
      <c r="BD24" s="32">
        <f>SUMIF(RAW_DEATHS!$B:$B,Tabelle28[[#This Row],[Country/Region]],RAW_DEATHS!BE:BE)</f>
        <v>2158</v>
      </c>
      <c r="BE24" s="32">
        <f>SUMIF(RAW_DEATHS!$B:$B,Tabelle28[[#This Row],[Country/Region]],RAW_DEATHS!BF:BF)</f>
        <v>2503</v>
      </c>
      <c r="BF24" s="32">
        <f>SUMIF(RAW_DEATHS!$B:$B,Tabelle28[[#This Row],[Country/Region]],RAW_DEATHS!BG:BG)</f>
        <v>2978</v>
      </c>
      <c r="BG24" s="32">
        <f>SUMIF(RAW_DEATHS!$B:$B,Tabelle28[[#This Row],[Country/Region]],RAW_DEATHS!BH:BH)</f>
        <v>3405</v>
      </c>
      <c r="BH24" s="32">
        <f>SUMIF(RAW_DEATHS!$B:$B,Tabelle28[[#This Row],[Country/Region]],RAW_DEATHS!BI:BI)</f>
        <v>4032</v>
      </c>
      <c r="BI24" s="32">
        <f>SUMIF(RAW_DEATHS!$B:$B,Tabelle28[[#This Row],[Country/Region]],RAW_DEATHS!BJ:BJ)</f>
        <v>4825</v>
      </c>
      <c r="BJ24" s="32">
        <f>SUMIF(RAW_DEATHS!$B:$B,Tabelle28[[#This Row],[Country/Region]],RAW_DEATHS!BK:BK)</f>
        <v>5476</v>
      </c>
      <c r="BK24" s="32">
        <f>SUMIF(RAW_DEATHS!$B:$B,Tabelle28[[#This Row],[Country/Region]],RAW_DEATHS!BL:BL)</f>
        <v>6077</v>
      </c>
      <c r="BL24" s="32">
        <f>SUMIF(RAW_DEATHS!$B:$B,Tabelle28[[#This Row],[Country/Region]],RAW_DEATHS!BM:BM)</f>
        <v>0</v>
      </c>
      <c r="BM24" s="32">
        <f>SUMIF(RAW_DEATHS!$B:$B,Tabelle28[[#This Row],[Country/Region]],RAW_DEATHS!BN:BN)</f>
        <v>0</v>
      </c>
      <c r="BN24" s="32">
        <f>SUMIF(RAW_DEATHS!$B:$B,Tabelle28[[#This Row],[Country/Region]],RAW_DEATHS!BO:BO)</f>
        <v>0</v>
      </c>
      <c r="BO24" s="32">
        <f>SUMIF(RAW_DEATHS!$B:$B,Tabelle28[[#This Row],[Country/Region]],RAW_DEATHS!BP:BP)</f>
        <v>0</v>
      </c>
      <c r="BP24" s="32">
        <f>SUMIF(RAW_DEATHS!$B:$B,Tabelle28[[#This Row],[Country/Region]],RAW_DEATHS!BQ:BQ)</f>
        <v>0</v>
      </c>
      <c r="BQ24" s="32">
        <f>SUMIF(RAW_DEATHS!$B:$B,Tabelle28[[#This Row],[Country/Region]],RAW_DEATHS!BR:BR)</f>
        <v>0</v>
      </c>
      <c r="BR24" s="32">
        <f>SUMIF(RAW_DEATHS!$B:$B,Tabelle28[[#This Row],[Country/Region]],RAW_DEATHS!BS:BS)</f>
        <v>0</v>
      </c>
      <c r="BS24" s="32">
        <f>SUMIF(RAW_DEATHS!$B:$B,Tabelle28[[#This Row],[Country/Region]],RAW_DEATHS!BT:BT)</f>
        <v>0</v>
      </c>
      <c r="BT24" s="32">
        <f>SUMIF(RAW_DEATHS!$B:$B,Tabelle28[[#This Row],[Country/Region]],RAW_DEATHS!BU:BU)</f>
        <v>0</v>
      </c>
      <c r="BU24" s="32">
        <f>SUMIF(RAW_DEATHS!$B:$B,Tabelle28[[#This Row],[Country/Region]],RAW_DEATHS!BV:BV)</f>
        <v>0</v>
      </c>
      <c r="BV24" s="32">
        <f>SUMIF(RAW_DEATHS!$B:$B,Tabelle28[[#This Row],[Country/Region]],RAW_DEATHS!BW:BW)</f>
        <v>0</v>
      </c>
      <c r="BW24" s="32">
        <f>SUMIF(RAW_DEATHS!$B:$B,Tabelle28[[#This Row],[Country/Region]],RAW_DEATHS!BX:BX)</f>
        <v>0</v>
      </c>
      <c r="BX24" s="32">
        <f>SUMIF(RAW_DEATHS!$B:$B,Tabelle28[[#This Row],[Country/Region]],RAW_DEATHS!BY:BY)</f>
        <v>0</v>
      </c>
      <c r="BY24" s="32">
        <f>SUMIF(RAW_DEATHS!$B:$B,Tabelle28[[#This Row],[Country/Region]],RAW_DEATHS!BZ:BZ)</f>
        <v>0</v>
      </c>
      <c r="BZ24" s="32">
        <f>SUMIF(RAW_DEATHS!$B:$B,Tabelle28[[#This Row],[Country/Region]],RAW_DEATHS!CA:CA)</f>
        <v>0</v>
      </c>
      <c r="CA24" s="32">
        <f>SUMIF(RAW_DEATHS!$B:$B,Tabelle28[[#This Row],[Country/Region]],RAW_DEATHS!CB:CB)</f>
        <v>0</v>
      </c>
      <c r="CB24" s="32">
        <f>SUMIF(RAW_DEATHS!$B:$B,Tabelle28[[#This Row],[Country/Region]],RAW_DEATHS!CC:CC)</f>
        <v>0</v>
      </c>
      <c r="CC24" s="32">
        <f>SUMIF(RAW_DEATHS!$B:$B,Tabelle28[[#This Row],[Country/Region]],RAW_DEATHS!CD:CD)</f>
        <v>0</v>
      </c>
      <c r="CD24" s="32">
        <f>SUMIF(RAW_DEATHS!$B:$B,Tabelle28[[#This Row],[Country/Region]],RAW_DEATHS!CE:CE)</f>
        <v>0</v>
      </c>
      <c r="CE24" s="32">
        <f>SUMIF(RAW_DEATHS!$B:$B,Tabelle28[[#This Row],[Country/Region]],RAW_DEATHS!CF:CF)</f>
        <v>0</v>
      </c>
    </row>
    <row r="25" spans="1:83" s="15" customFormat="1" ht="12.75" x14ac:dyDescent="0.2">
      <c r="A25" s="31" t="str">
        <f t="shared" si="2"/>
        <v>Australia</v>
      </c>
      <c r="B25" s="32">
        <f>SUMIF(RAW_DEATHS!$B:$B,Tabelle28[[#This Row],[Country/Region]],RAW_DEATHS!C:C)</f>
        <v>0</v>
      </c>
      <c r="C25" s="32">
        <f>SUMIF(RAW_DEATHS!$B:$B,Tabelle28[[#This Row],[Country/Region]],RAW_DEATHS!D:D)</f>
        <v>0</v>
      </c>
      <c r="D25" s="32">
        <f>SUMIF(RAW_DEATHS!$B:$B,Tabelle28[[#This Row],[Country/Region]],RAW_DEATHS!E:E)</f>
        <v>0</v>
      </c>
      <c r="E25" s="32">
        <f>SUMIF(RAW_DEATHS!$B:$B,Tabelle28[[#This Row],[Country/Region]],RAW_DEATHS!F:F)</f>
        <v>0</v>
      </c>
      <c r="F25" s="32">
        <f>SUMIF(RAW_DEATHS!$B:$B,Tabelle28[[#This Row],[Country/Region]],RAW_DEATHS!G:G)</f>
        <v>0</v>
      </c>
      <c r="G25" s="32">
        <f>SUMIF(RAW_DEATHS!$B:$B,Tabelle28[[#This Row],[Country/Region]],RAW_DEATHS!H:H)</f>
        <v>0</v>
      </c>
      <c r="H25" s="32">
        <f>SUMIF(RAW_DEATHS!$B:$B,Tabelle28[[#This Row],[Country/Region]],RAW_DEATHS!I:I)</f>
        <v>0</v>
      </c>
      <c r="I25" s="32">
        <f>SUMIF(RAW_DEATHS!$B:$B,Tabelle28[[#This Row],[Country/Region]],RAW_DEATHS!J:J)</f>
        <v>0</v>
      </c>
      <c r="J25" s="32">
        <f>SUMIF(RAW_DEATHS!$B:$B,Tabelle28[[#This Row],[Country/Region]],RAW_DEATHS!K:K)</f>
        <v>0</v>
      </c>
      <c r="K25" s="32">
        <f>SUMIF(RAW_DEATHS!$B:$B,Tabelle28[[#This Row],[Country/Region]],RAW_DEATHS!L:L)</f>
        <v>0</v>
      </c>
      <c r="L25" s="32">
        <f>SUMIF(RAW_DEATHS!$B:$B,Tabelle28[[#This Row],[Country/Region]],RAW_DEATHS!M:M)</f>
        <v>0</v>
      </c>
      <c r="M25" s="32">
        <f>SUMIF(RAW_DEATHS!$B:$B,Tabelle28[[#This Row],[Country/Region]],RAW_DEATHS!N:N)</f>
        <v>0</v>
      </c>
      <c r="N25" s="32">
        <f>SUMIF(RAW_DEATHS!$B:$B,Tabelle28[[#This Row],[Country/Region]],RAW_DEATHS!O:O)</f>
        <v>0</v>
      </c>
      <c r="O25" s="32">
        <f>SUMIF(RAW_DEATHS!$B:$B,Tabelle28[[#This Row],[Country/Region]],RAW_DEATHS!P:P)</f>
        <v>0</v>
      </c>
      <c r="P25" s="32">
        <f>SUMIF(RAW_DEATHS!$B:$B,Tabelle28[[#This Row],[Country/Region]],RAW_DEATHS!Q:Q)</f>
        <v>0</v>
      </c>
      <c r="Q25" s="32">
        <f>SUMIF(RAW_DEATHS!$B:$B,Tabelle28[[#This Row],[Country/Region]],RAW_DEATHS!R:R)</f>
        <v>0</v>
      </c>
      <c r="R25" s="32">
        <f>SUMIF(RAW_DEATHS!$B:$B,Tabelle28[[#This Row],[Country/Region]],RAW_DEATHS!S:S)</f>
        <v>0</v>
      </c>
      <c r="S25" s="32">
        <f>SUMIF(RAW_DEATHS!$B:$B,Tabelle28[[#This Row],[Country/Region]],RAW_DEATHS!T:T)</f>
        <v>0</v>
      </c>
      <c r="T25" s="32">
        <f>SUMIF(RAW_DEATHS!$B:$B,Tabelle28[[#This Row],[Country/Region]],RAW_DEATHS!U:U)</f>
        <v>0</v>
      </c>
      <c r="U25" s="32">
        <f>SUMIF(RAW_DEATHS!$B:$B,Tabelle28[[#This Row],[Country/Region]],RAW_DEATHS!V:V)</f>
        <v>0</v>
      </c>
      <c r="V25" s="32">
        <f>SUMIF(RAW_DEATHS!$B:$B,Tabelle28[[#This Row],[Country/Region]],RAW_DEATHS!W:W)</f>
        <v>0</v>
      </c>
      <c r="W25" s="32">
        <f>SUMIF(RAW_DEATHS!$B:$B,Tabelle28[[#This Row],[Country/Region]],RAW_DEATHS!X:X)</f>
        <v>0</v>
      </c>
      <c r="X25" s="32">
        <f>SUMIF(RAW_DEATHS!$B:$B,Tabelle28[[#This Row],[Country/Region]],RAW_DEATHS!Y:Y)</f>
        <v>0</v>
      </c>
      <c r="Y25" s="32">
        <f>SUMIF(RAW_DEATHS!$B:$B,Tabelle28[[#This Row],[Country/Region]],RAW_DEATHS!Z:Z)</f>
        <v>0</v>
      </c>
      <c r="Z25" s="32">
        <f>SUMIF(RAW_DEATHS!$B:$B,Tabelle28[[#This Row],[Country/Region]],RAW_DEATHS!AA:AA)</f>
        <v>0</v>
      </c>
      <c r="AA25" s="32">
        <f>SUMIF(RAW_DEATHS!$B:$B,Tabelle28[[#This Row],[Country/Region]],RAW_DEATHS!AB:AB)</f>
        <v>0</v>
      </c>
      <c r="AB25" s="32">
        <f>SUMIF(RAW_DEATHS!$B:$B,Tabelle28[[#This Row],[Country/Region]],RAW_DEATHS!AC:AC)</f>
        <v>0</v>
      </c>
      <c r="AC25" s="32">
        <f>SUMIF(RAW_DEATHS!$B:$B,Tabelle28[[#This Row],[Country/Region]],RAW_DEATHS!AD:AD)</f>
        <v>0</v>
      </c>
      <c r="AD25" s="32">
        <f>SUMIF(RAW_DEATHS!$B:$B,Tabelle28[[#This Row],[Country/Region]],RAW_DEATHS!AE:AE)</f>
        <v>0</v>
      </c>
      <c r="AE25" s="32">
        <f>SUMIF(RAW_DEATHS!$B:$B,Tabelle28[[#This Row],[Country/Region]],RAW_DEATHS!AF:AF)</f>
        <v>0</v>
      </c>
      <c r="AF25" s="32">
        <f>SUMIF(RAW_DEATHS!$B:$B,Tabelle28[[#This Row],[Country/Region]],RAW_DEATHS!AG:AG)</f>
        <v>0</v>
      </c>
      <c r="AG25" s="32">
        <f>SUMIF(RAW_DEATHS!$B:$B,Tabelle28[[#This Row],[Country/Region]],RAW_DEATHS!AH:AH)</f>
        <v>0</v>
      </c>
      <c r="AH25" s="32">
        <f>SUMIF(RAW_DEATHS!$B:$B,Tabelle28[[#This Row],[Country/Region]],RAW_DEATHS!AI:AI)</f>
        <v>0</v>
      </c>
      <c r="AI25" s="32">
        <f>SUMIF(RAW_DEATHS!$B:$B,Tabelle28[[#This Row],[Country/Region]],RAW_DEATHS!AJ:AJ)</f>
        <v>0</v>
      </c>
      <c r="AJ25" s="32">
        <f>SUMIF(RAW_DEATHS!$B:$B,Tabelle28[[#This Row],[Country/Region]],RAW_DEATHS!AK:AK)</f>
        <v>0</v>
      </c>
      <c r="AK25" s="32">
        <f>SUMIF(RAW_DEATHS!$B:$B,Tabelle28[[#This Row],[Country/Region]],RAW_DEATHS!AL:AL)</f>
        <v>0</v>
      </c>
      <c r="AL25" s="32">
        <f>SUMIF(RAW_DEATHS!$B:$B,Tabelle28[[#This Row],[Country/Region]],RAW_DEATHS!AM:AM)</f>
        <v>0</v>
      </c>
      <c r="AM25" s="32">
        <f>SUMIF(RAW_DEATHS!$B:$B,Tabelle28[[#This Row],[Country/Region]],RAW_DEATHS!AN:AN)</f>
        <v>0</v>
      </c>
      <c r="AN25" s="32">
        <f>SUMIF(RAW_DEATHS!$B:$B,Tabelle28[[#This Row],[Country/Region]],RAW_DEATHS!AO:AO)</f>
        <v>0</v>
      </c>
      <c r="AO25" s="32">
        <f>SUMIF(RAW_DEATHS!$B:$B,Tabelle28[[#This Row],[Country/Region]],RAW_DEATHS!AP:AP)</f>
        <v>1</v>
      </c>
      <c r="AP25" s="32">
        <f>SUMIF(RAW_DEATHS!$B:$B,Tabelle28[[#This Row],[Country/Region]],RAW_DEATHS!AQ:AQ)</f>
        <v>1</v>
      </c>
      <c r="AQ25" s="32">
        <f>SUMIF(RAW_DEATHS!$B:$B,Tabelle28[[#This Row],[Country/Region]],RAW_DEATHS!AR:AR)</f>
        <v>1</v>
      </c>
      <c r="AR25" s="32">
        <f>SUMIF(RAW_DEATHS!$B:$B,Tabelle28[[#This Row],[Country/Region]],RAW_DEATHS!AS:AS)</f>
        <v>2</v>
      </c>
      <c r="AS25" s="32">
        <f>SUMIF(RAW_DEATHS!$B:$B,Tabelle28[[#This Row],[Country/Region]],RAW_DEATHS!AT:AT)</f>
        <v>2</v>
      </c>
      <c r="AT25" s="32">
        <f>SUMIF(RAW_DEATHS!$B:$B,Tabelle28[[#This Row],[Country/Region]],RAW_DEATHS!AU:AU)</f>
        <v>2</v>
      </c>
      <c r="AU25" s="32">
        <f>SUMIF(RAW_DEATHS!$B:$B,Tabelle28[[#This Row],[Country/Region]],RAW_DEATHS!AV:AV)</f>
        <v>2</v>
      </c>
      <c r="AV25" s="32">
        <f>SUMIF(RAW_DEATHS!$B:$B,Tabelle28[[#This Row],[Country/Region]],RAW_DEATHS!AW:AW)</f>
        <v>3</v>
      </c>
      <c r="AW25" s="32">
        <f>SUMIF(RAW_DEATHS!$B:$B,Tabelle28[[#This Row],[Country/Region]],RAW_DEATHS!AX:AX)</f>
        <v>3</v>
      </c>
      <c r="AX25" s="32">
        <f>SUMIF(RAW_DEATHS!$B:$B,Tabelle28[[#This Row],[Country/Region]],RAW_DEATHS!AY:AY)</f>
        <v>3</v>
      </c>
      <c r="AY25" s="32">
        <f>SUMIF(RAW_DEATHS!$B:$B,Tabelle28[[#This Row],[Country/Region]],RAW_DEATHS!AZ:AZ)</f>
        <v>3</v>
      </c>
      <c r="AZ25" s="32">
        <f>SUMIF(RAW_DEATHS!$B:$B,Tabelle28[[#This Row],[Country/Region]],RAW_DEATHS!BA:BA)</f>
        <v>3</v>
      </c>
      <c r="BA25" s="32">
        <f>SUMIF(RAW_DEATHS!$B:$B,Tabelle28[[#This Row],[Country/Region]],RAW_DEATHS!BB:BB)</f>
        <v>3</v>
      </c>
      <c r="BB25" s="32">
        <f>SUMIF(RAW_DEATHS!$B:$B,Tabelle28[[#This Row],[Country/Region]],RAW_DEATHS!BC:BC)</f>
        <v>3</v>
      </c>
      <c r="BC25" s="32">
        <f>SUMIF(RAW_DEATHS!$B:$B,Tabelle28[[#This Row],[Country/Region]],RAW_DEATHS!BD:BD)</f>
        <v>3</v>
      </c>
      <c r="BD25" s="32">
        <f>SUMIF(RAW_DEATHS!$B:$B,Tabelle28[[#This Row],[Country/Region]],RAW_DEATHS!BE:BE)</f>
        <v>3</v>
      </c>
      <c r="BE25" s="32">
        <f>SUMIF(RAW_DEATHS!$B:$B,Tabelle28[[#This Row],[Country/Region]],RAW_DEATHS!BF:BF)</f>
        <v>5</v>
      </c>
      <c r="BF25" s="32">
        <f>SUMIF(RAW_DEATHS!$B:$B,Tabelle28[[#This Row],[Country/Region]],RAW_DEATHS!BG:BG)</f>
        <v>6</v>
      </c>
      <c r="BG25" s="32">
        <f>SUMIF(RAW_DEATHS!$B:$B,Tabelle28[[#This Row],[Country/Region]],RAW_DEATHS!BH:BH)</f>
        <v>6</v>
      </c>
      <c r="BH25" s="32">
        <f>SUMIF(RAW_DEATHS!$B:$B,Tabelle28[[#This Row],[Country/Region]],RAW_DEATHS!BI:BI)</f>
        <v>7</v>
      </c>
      <c r="BI25" s="32">
        <f>SUMIF(RAW_DEATHS!$B:$B,Tabelle28[[#This Row],[Country/Region]],RAW_DEATHS!BJ:BJ)</f>
        <v>7</v>
      </c>
      <c r="BJ25" s="32">
        <f>SUMIF(RAW_DEATHS!$B:$B,Tabelle28[[#This Row],[Country/Region]],RAW_DEATHS!BK:BK)</f>
        <v>7</v>
      </c>
      <c r="BK25" s="32">
        <f>SUMIF(RAW_DEATHS!$B:$B,Tabelle28[[#This Row],[Country/Region]],RAW_DEATHS!BL:BL)</f>
        <v>7</v>
      </c>
      <c r="BL25" s="32">
        <f>SUMIF(RAW_DEATHS!$B:$B,Tabelle28[[#This Row],[Country/Region]],RAW_DEATHS!BM:BM)</f>
        <v>0</v>
      </c>
      <c r="BM25" s="32">
        <f>SUMIF(RAW_DEATHS!$B:$B,Tabelle28[[#This Row],[Country/Region]],RAW_DEATHS!BN:BN)</f>
        <v>0</v>
      </c>
      <c r="BN25" s="32">
        <f>SUMIF(RAW_DEATHS!$B:$B,Tabelle28[[#This Row],[Country/Region]],RAW_DEATHS!BO:BO)</f>
        <v>0</v>
      </c>
      <c r="BO25" s="32">
        <f>SUMIF(RAW_DEATHS!$B:$B,Tabelle28[[#This Row],[Country/Region]],RAW_DEATHS!BP:BP)</f>
        <v>0</v>
      </c>
      <c r="BP25" s="32">
        <f>SUMIF(RAW_DEATHS!$B:$B,Tabelle28[[#This Row],[Country/Region]],RAW_DEATHS!BQ:BQ)</f>
        <v>0</v>
      </c>
      <c r="BQ25" s="32">
        <f>SUMIF(RAW_DEATHS!$B:$B,Tabelle28[[#This Row],[Country/Region]],RAW_DEATHS!BR:BR)</f>
        <v>0</v>
      </c>
      <c r="BR25" s="32">
        <f>SUMIF(RAW_DEATHS!$B:$B,Tabelle28[[#This Row],[Country/Region]],RAW_DEATHS!BS:BS)</f>
        <v>0</v>
      </c>
      <c r="BS25" s="32">
        <f>SUMIF(RAW_DEATHS!$B:$B,Tabelle28[[#This Row],[Country/Region]],RAW_DEATHS!BT:BT)</f>
        <v>0</v>
      </c>
      <c r="BT25" s="32">
        <f>SUMIF(RAW_DEATHS!$B:$B,Tabelle28[[#This Row],[Country/Region]],RAW_DEATHS!BU:BU)</f>
        <v>0</v>
      </c>
      <c r="BU25" s="32">
        <f>SUMIF(RAW_DEATHS!$B:$B,Tabelle28[[#This Row],[Country/Region]],RAW_DEATHS!BV:BV)</f>
        <v>0</v>
      </c>
      <c r="BV25" s="32">
        <f>SUMIF(RAW_DEATHS!$B:$B,Tabelle28[[#This Row],[Country/Region]],RAW_DEATHS!BW:BW)</f>
        <v>0</v>
      </c>
      <c r="BW25" s="32">
        <f>SUMIF(RAW_DEATHS!$B:$B,Tabelle28[[#This Row],[Country/Region]],RAW_DEATHS!BX:BX)</f>
        <v>0</v>
      </c>
      <c r="BX25" s="32">
        <f>SUMIF(RAW_DEATHS!$B:$B,Tabelle28[[#This Row],[Country/Region]],RAW_DEATHS!BY:BY)</f>
        <v>0</v>
      </c>
      <c r="BY25" s="32">
        <f>SUMIF(RAW_DEATHS!$B:$B,Tabelle28[[#This Row],[Country/Region]],RAW_DEATHS!BZ:BZ)</f>
        <v>0</v>
      </c>
      <c r="BZ25" s="32">
        <f>SUMIF(RAW_DEATHS!$B:$B,Tabelle28[[#This Row],[Country/Region]],RAW_DEATHS!CA:CA)</f>
        <v>0</v>
      </c>
      <c r="CA25" s="32">
        <f>SUMIF(RAW_DEATHS!$B:$B,Tabelle28[[#This Row],[Country/Region]],RAW_DEATHS!CB:CB)</f>
        <v>0</v>
      </c>
      <c r="CB25" s="32">
        <f>SUMIF(RAW_DEATHS!$B:$B,Tabelle28[[#This Row],[Country/Region]],RAW_DEATHS!CC:CC)</f>
        <v>0</v>
      </c>
      <c r="CC25" s="32">
        <f>SUMIF(RAW_DEATHS!$B:$B,Tabelle28[[#This Row],[Country/Region]],RAW_DEATHS!CD:CD)</f>
        <v>0</v>
      </c>
      <c r="CD25" s="32">
        <f>SUMIF(RAW_DEATHS!$B:$B,Tabelle28[[#This Row],[Country/Region]],RAW_DEATHS!CE:CE)</f>
        <v>0</v>
      </c>
      <c r="CE25" s="32">
        <f>SUMIF(RAW_DEATHS!$B:$B,Tabelle28[[#This Row],[Country/Region]],RAW_DEATHS!CF:CF)</f>
        <v>0</v>
      </c>
    </row>
    <row r="26" spans="1:83" s="15" customFormat="1" ht="12.75" x14ac:dyDescent="0.2">
      <c r="A26" s="31" t="str">
        <f t="shared" si="2"/>
        <v>Korea, South</v>
      </c>
      <c r="B26" s="32">
        <f>SUMIF(RAW_DEATHS!$B:$B,Tabelle28[[#This Row],[Country/Region]],RAW_DEATHS!C:C)</f>
        <v>0</v>
      </c>
      <c r="C26" s="32">
        <f>SUMIF(RAW_DEATHS!$B:$B,Tabelle28[[#This Row],[Country/Region]],RAW_DEATHS!D:D)</f>
        <v>0</v>
      </c>
      <c r="D26" s="32">
        <f>SUMIF(RAW_DEATHS!$B:$B,Tabelle28[[#This Row],[Country/Region]],RAW_DEATHS!E:E)</f>
        <v>0</v>
      </c>
      <c r="E26" s="32">
        <f>SUMIF(RAW_DEATHS!$B:$B,Tabelle28[[#This Row],[Country/Region]],RAW_DEATHS!F:F)</f>
        <v>0</v>
      </c>
      <c r="F26" s="32">
        <f>SUMIF(RAW_DEATHS!$B:$B,Tabelle28[[#This Row],[Country/Region]],RAW_DEATHS!G:G)</f>
        <v>0</v>
      </c>
      <c r="G26" s="32">
        <f>SUMIF(RAW_DEATHS!$B:$B,Tabelle28[[#This Row],[Country/Region]],RAW_DEATHS!H:H)</f>
        <v>0</v>
      </c>
      <c r="H26" s="32">
        <f>SUMIF(RAW_DEATHS!$B:$B,Tabelle28[[#This Row],[Country/Region]],RAW_DEATHS!I:I)</f>
        <v>0</v>
      </c>
      <c r="I26" s="32">
        <f>SUMIF(RAW_DEATHS!$B:$B,Tabelle28[[#This Row],[Country/Region]],RAW_DEATHS!J:J)</f>
        <v>0</v>
      </c>
      <c r="J26" s="32">
        <f>SUMIF(RAW_DEATHS!$B:$B,Tabelle28[[#This Row],[Country/Region]],RAW_DEATHS!K:K)</f>
        <v>0</v>
      </c>
      <c r="K26" s="32">
        <f>SUMIF(RAW_DEATHS!$B:$B,Tabelle28[[#This Row],[Country/Region]],RAW_DEATHS!L:L)</f>
        <v>0</v>
      </c>
      <c r="L26" s="32">
        <f>SUMIF(RAW_DEATHS!$B:$B,Tabelle28[[#This Row],[Country/Region]],RAW_DEATHS!M:M)</f>
        <v>0</v>
      </c>
      <c r="M26" s="32">
        <f>SUMIF(RAW_DEATHS!$B:$B,Tabelle28[[#This Row],[Country/Region]],RAW_DEATHS!N:N)</f>
        <v>0</v>
      </c>
      <c r="N26" s="32">
        <f>SUMIF(RAW_DEATHS!$B:$B,Tabelle28[[#This Row],[Country/Region]],RAW_DEATHS!O:O)</f>
        <v>0</v>
      </c>
      <c r="O26" s="32">
        <f>SUMIF(RAW_DEATHS!$B:$B,Tabelle28[[#This Row],[Country/Region]],RAW_DEATHS!P:P)</f>
        <v>0</v>
      </c>
      <c r="P26" s="32">
        <f>SUMIF(RAW_DEATHS!$B:$B,Tabelle28[[#This Row],[Country/Region]],RAW_DEATHS!Q:Q)</f>
        <v>0</v>
      </c>
      <c r="Q26" s="32">
        <f>SUMIF(RAW_DEATHS!$B:$B,Tabelle28[[#This Row],[Country/Region]],RAW_DEATHS!R:R)</f>
        <v>0</v>
      </c>
      <c r="R26" s="32">
        <f>SUMIF(RAW_DEATHS!$B:$B,Tabelle28[[#This Row],[Country/Region]],RAW_DEATHS!S:S)</f>
        <v>0</v>
      </c>
      <c r="S26" s="32">
        <f>SUMIF(RAW_DEATHS!$B:$B,Tabelle28[[#This Row],[Country/Region]],RAW_DEATHS!T:T)</f>
        <v>0</v>
      </c>
      <c r="T26" s="32">
        <f>SUMIF(RAW_DEATHS!$B:$B,Tabelle28[[#This Row],[Country/Region]],RAW_DEATHS!U:U)</f>
        <v>0</v>
      </c>
      <c r="U26" s="32">
        <f>SUMIF(RAW_DEATHS!$B:$B,Tabelle28[[#This Row],[Country/Region]],RAW_DEATHS!V:V)</f>
        <v>0</v>
      </c>
      <c r="V26" s="32">
        <f>SUMIF(RAW_DEATHS!$B:$B,Tabelle28[[#This Row],[Country/Region]],RAW_DEATHS!W:W)</f>
        <v>0</v>
      </c>
      <c r="W26" s="32">
        <f>SUMIF(RAW_DEATHS!$B:$B,Tabelle28[[#This Row],[Country/Region]],RAW_DEATHS!X:X)</f>
        <v>0</v>
      </c>
      <c r="X26" s="32">
        <f>SUMIF(RAW_DEATHS!$B:$B,Tabelle28[[#This Row],[Country/Region]],RAW_DEATHS!Y:Y)</f>
        <v>0</v>
      </c>
      <c r="Y26" s="32">
        <f>SUMIF(RAW_DEATHS!$B:$B,Tabelle28[[#This Row],[Country/Region]],RAW_DEATHS!Z:Z)</f>
        <v>0</v>
      </c>
      <c r="Z26" s="32">
        <f>SUMIF(RAW_DEATHS!$B:$B,Tabelle28[[#This Row],[Country/Region]],RAW_DEATHS!AA:AA)</f>
        <v>0</v>
      </c>
      <c r="AA26" s="32">
        <f>SUMIF(RAW_DEATHS!$B:$B,Tabelle28[[#This Row],[Country/Region]],RAW_DEATHS!AB:AB)</f>
        <v>0</v>
      </c>
      <c r="AB26" s="32">
        <f>SUMIF(RAW_DEATHS!$B:$B,Tabelle28[[#This Row],[Country/Region]],RAW_DEATHS!AC:AC)</f>
        <v>0</v>
      </c>
      <c r="AC26" s="32">
        <f>SUMIF(RAW_DEATHS!$B:$B,Tabelle28[[#This Row],[Country/Region]],RAW_DEATHS!AD:AD)</f>
        <v>0</v>
      </c>
      <c r="AD26" s="32">
        <f>SUMIF(RAW_DEATHS!$B:$B,Tabelle28[[#This Row],[Country/Region]],RAW_DEATHS!AE:AE)</f>
        <v>0</v>
      </c>
      <c r="AE26" s="32">
        <f>SUMIF(RAW_DEATHS!$B:$B,Tabelle28[[#This Row],[Country/Region]],RAW_DEATHS!AF:AF)</f>
        <v>1</v>
      </c>
      <c r="AF26" s="32">
        <f>SUMIF(RAW_DEATHS!$B:$B,Tabelle28[[#This Row],[Country/Region]],RAW_DEATHS!AG:AG)</f>
        <v>2</v>
      </c>
      <c r="AG26" s="32">
        <f>SUMIF(RAW_DEATHS!$B:$B,Tabelle28[[#This Row],[Country/Region]],RAW_DEATHS!AH:AH)</f>
        <v>2</v>
      </c>
      <c r="AH26" s="32">
        <f>SUMIF(RAW_DEATHS!$B:$B,Tabelle28[[#This Row],[Country/Region]],RAW_DEATHS!AI:AI)</f>
        <v>6</v>
      </c>
      <c r="AI26" s="32">
        <f>SUMIF(RAW_DEATHS!$B:$B,Tabelle28[[#This Row],[Country/Region]],RAW_DEATHS!AJ:AJ)</f>
        <v>8</v>
      </c>
      <c r="AJ26" s="32">
        <f>SUMIF(RAW_DEATHS!$B:$B,Tabelle28[[#This Row],[Country/Region]],RAW_DEATHS!AK:AK)</f>
        <v>10</v>
      </c>
      <c r="AK26" s="32">
        <f>SUMIF(RAW_DEATHS!$B:$B,Tabelle28[[#This Row],[Country/Region]],RAW_DEATHS!AL:AL)</f>
        <v>12</v>
      </c>
      <c r="AL26" s="32">
        <f>SUMIF(RAW_DEATHS!$B:$B,Tabelle28[[#This Row],[Country/Region]],RAW_DEATHS!AM:AM)</f>
        <v>13</v>
      </c>
      <c r="AM26" s="32">
        <f>SUMIF(RAW_DEATHS!$B:$B,Tabelle28[[#This Row],[Country/Region]],RAW_DEATHS!AN:AN)</f>
        <v>13</v>
      </c>
      <c r="AN26" s="32">
        <f>SUMIF(RAW_DEATHS!$B:$B,Tabelle28[[#This Row],[Country/Region]],RAW_DEATHS!AO:AO)</f>
        <v>16</v>
      </c>
      <c r="AO26" s="32">
        <f>SUMIF(RAW_DEATHS!$B:$B,Tabelle28[[#This Row],[Country/Region]],RAW_DEATHS!AP:AP)</f>
        <v>17</v>
      </c>
      <c r="AP26" s="32">
        <f>SUMIF(RAW_DEATHS!$B:$B,Tabelle28[[#This Row],[Country/Region]],RAW_DEATHS!AQ:AQ)</f>
        <v>28</v>
      </c>
      <c r="AQ26" s="32">
        <f>SUMIF(RAW_DEATHS!$B:$B,Tabelle28[[#This Row],[Country/Region]],RAW_DEATHS!AR:AR)</f>
        <v>28</v>
      </c>
      <c r="AR26" s="32">
        <f>SUMIF(RAW_DEATHS!$B:$B,Tabelle28[[#This Row],[Country/Region]],RAW_DEATHS!AS:AS)</f>
        <v>35</v>
      </c>
      <c r="AS26" s="32">
        <f>SUMIF(RAW_DEATHS!$B:$B,Tabelle28[[#This Row],[Country/Region]],RAW_DEATHS!AT:AT)</f>
        <v>35</v>
      </c>
      <c r="AT26" s="32">
        <f>SUMIF(RAW_DEATHS!$B:$B,Tabelle28[[#This Row],[Country/Region]],RAW_DEATHS!AU:AU)</f>
        <v>42</v>
      </c>
      <c r="AU26" s="32">
        <f>SUMIF(RAW_DEATHS!$B:$B,Tabelle28[[#This Row],[Country/Region]],RAW_DEATHS!AV:AV)</f>
        <v>44</v>
      </c>
      <c r="AV26" s="32">
        <f>SUMIF(RAW_DEATHS!$B:$B,Tabelle28[[#This Row],[Country/Region]],RAW_DEATHS!AW:AW)</f>
        <v>50</v>
      </c>
      <c r="AW26" s="32">
        <f>SUMIF(RAW_DEATHS!$B:$B,Tabelle28[[#This Row],[Country/Region]],RAW_DEATHS!AX:AX)</f>
        <v>53</v>
      </c>
      <c r="AX26" s="32">
        <f>SUMIF(RAW_DEATHS!$B:$B,Tabelle28[[#This Row],[Country/Region]],RAW_DEATHS!AY:AY)</f>
        <v>54</v>
      </c>
      <c r="AY26" s="32">
        <f>SUMIF(RAW_DEATHS!$B:$B,Tabelle28[[#This Row],[Country/Region]],RAW_DEATHS!AZ:AZ)</f>
        <v>60</v>
      </c>
      <c r="AZ26" s="32">
        <f>SUMIF(RAW_DEATHS!$B:$B,Tabelle28[[#This Row],[Country/Region]],RAW_DEATHS!BA:BA)</f>
        <v>66</v>
      </c>
      <c r="BA26" s="32">
        <f>SUMIF(RAW_DEATHS!$B:$B,Tabelle28[[#This Row],[Country/Region]],RAW_DEATHS!BB:BB)</f>
        <v>66</v>
      </c>
      <c r="BB26" s="32">
        <f>SUMIF(RAW_DEATHS!$B:$B,Tabelle28[[#This Row],[Country/Region]],RAW_DEATHS!BC:BC)</f>
        <v>72</v>
      </c>
      <c r="BC26" s="32">
        <f>SUMIF(RAW_DEATHS!$B:$B,Tabelle28[[#This Row],[Country/Region]],RAW_DEATHS!BD:BD)</f>
        <v>75</v>
      </c>
      <c r="BD26" s="32">
        <f>SUMIF(RAW_DEATHS!$B:$B,Tabelle28[[#This Row],[Country/Region]],RAW_DEATHS!BE:BE)</f>
        <v>75</v>
      </c>
      <c r="BE26" s="32">
        <f>SUMIF(RAW_DEATHS!$B:$B,Tabelle28[[#This Row],[Country/Region]],RAW_DEATHS!BF:BF)</f>
        <v>81</v>
      </c>
      <c r="BF26" s="32">
        <f>SUMIF(RAW_DEATHS!$B:$B,Tabelle28[[#This Row],[Country/Region]],RAW_DEATHS!BG:BG)</f>
        <v>84</v>
      </c>
      <c r="BG26" s="32">
        <f>SUMIF(RAW_DEATHS!$B:$B,Tabelle28[[#This Row],[Country/Region]],RAW_DEATHS!BH:BH)</f>
        <v>91</v>
      </c>
      <c r="BH26" s="32">
        <f>SUMIF(RAW_DEATHS!$B:$B,Tabelle28[[#This Row],[Country/Region]],RAW_DEATHS!BI:BI)</f>
        <v>94</v>
      </c>
      <c r="BI26" s="32">
        <f>SUMIF(RAW_DEATHS!$B:$B,Tabelle28[[#This Row],[Country/Region]],RAW_DEATHS!BJ:BJ)</f>
        <v>102</v>
      </c>
      <c r="BJ26" s="32">
        <f>SUMIF(RAW_DEATHS!$B:$B,Tabelle28[[#This Row],[Country/Region]],RAW_DEATHS!BK:BK)</f>
        <v>111</v>
      </c>
      <c r="BK26" s="32">
        <f>SUMIF(RAW_DEATHS!$B:$B,Tabelle28[[#This Row],[Country/Region]],RAW_DEATHS!BL:BL)</f>
        <v>111</v>
      </c>
      <c r="BL26" s="32">
        <f>SUMIF(RAW_DEATHS!$B:$B,Tabelle28[[#This Row],[Country/Region]],RAW_DEATHS!BM:BM)</f>
        <v>0</v>
      </c>
      <c r="BM26" s="32">
        <f>SUMIF(RAW_DEATHS!$B:$B,Tabelle28[[#This Row],[Country/Region]],RAW_DEATHS!BN:BN)</f>
        <v>0</v>
      </c>
      <c r="BN26" s="32">
        <f>SUMIF(RAW_DEATHS!$B:$B,Tabelle28[[#This Row],[Country/Region]],RAW_DEATHS!BO:BO)</f>
        <v>0</v>
      </c>
      <c r="BO26" s="32">
        <f>SUMIF(RAW_DEATHS!$B:$B,Tabelle28[[#This Row],[Country/Region]],RAW_DEATHS!BP:BP)</f>
        <v>0</v>
      </c>
      <c r="BP26" s="32">
        <f>SUMIF(RAW_DEATHS!$B:$B,Tabelle28[[#This Row],[Country/Region]],RAW_DEATHS!BQ:BQ)</f>
        <v>0</v>
      </c>
      <c r="BQ26" s="32">
        <f>SUMIF(RAW_DEATHS!$B:$B,Tabelle28[[#This Row],[Country/Region]],RAW_DEATHS!BR:BR)</f>
        <v>0</v>
      </c>
      <c r="BR26" s="32">
        <f>SUMIF(RAW_DEATHS!$B:$B,Tabelle28[[#This Row],[Country/Region]],RAW_DEATHS!BS:BS)</f>
        <v>0</v>
      </c>
      <c r="BS26" s="32">
        <f>SUMIF(RAW_DEATHS!$B:$B,Tabelle28[[#This Row],[Country/Region]],RAW_DEATHS!BT:BT)</f>
        <v>0</v>
      </c>
      <c r="BT26" s="32">
        <f>SUMIF(RAW_DEATHS!$B:$B,Tabelle28[[#This Row],[Country/Region]],RAW_DEATHS!BU:BU)</f>
        <v>0</v>
      </c>
      <c r="BU26" s="32">
        <f>SUMIF(RAW_DEATHS!$B:$B,Tabelle28[[#This Row],[Country/Region]],RAW_DEATHS!BV:BV)</f>
        <v>0</v>
      </c>
      <c r="BV26" s="32">
        <f>SUMIF(RAW_DEATHS!$B:$B,Tabelle28[[#This Row],[Country/Region]],RAW_DEATHS!BW:BW)</f>
        <v>0</v>
      </c>
      <c r="BW26" s="32">
        <f>SUMIF(RAW_DEATHS!$B:$B,Tabelle28[[#This Row],[Country/Region]],RAW_DEATHS!BX:BX)</f>
        <v>0</v>
      </c>
      <c r="BX26" s="32">
        <f>SUMIF(RAW_DEATHS!$B:$B,Tabelle28[[#This Row],[Country/Region]],RAW_DEATHS!BY:BY)</f>
        <v>0</v>
      </c>
      <c r="BY26" s="32">
        <f>SUMIF(RAW_DEATHS!$B:$B,Tabelle28[[#This Row],[Country/Region]],RAW_DEATHS!BZ:BZ)</f>
        <v>0</v>
      </c>
      <c r="BZ26" s="32">
        <f>SUMIF(RAW_DEATHS!$B:$B,Tabelle28[[#This Row],[Country/Region]],RAW_DEATHS!CA:CA)</f>
        <v>0</v>
      </c>
      <c r="CA26" s="32">
        <f>SUMIF(RAW_DEATHS!$B:$B,Tabelle28[[#This Row],[Country/Region]],RAW_DEATHS!CB:CB)</f>
        <v>0</v>
      </c>
      <c r="CB26" s="32">
        <f>SUMIF(RAW_DEATHS!$B:$B,Tabelle28[[#This Row],[Country/Region]],RAW_DEATHS!CC:CC)</f>
        <v>0</v>
      </c>
      <c r="CC26" s="32">
        <f>SUMIF(RAW_DEATHS!$B:$B,Tabelle28[[#This Row],[Country/Region]],RAW_DEATHS!CD:CD)</f>
        <v>0</v>
      </c>
      <c r="CD26" s="32">
        <f>SUMIF(RAW_DEATHS!$B:$B,Tabelle28[[#This Row],[Country/Region]],RAW_DEATHS!CE:CE)</f>
        <v>0</v>
      </c>
      <c r="CE26" s="32">
        <f>SUMIF(RAW_DEATHS!$B:$B,Tabelle28[[#This Row],[Country/Region]],RAW_DEATHS!CF:CF)</f>
        <v>0</v>
      </c>
    </row>
    <row r="27" spans="1:83" s="15" customFormat="1" ht="12.75" x14ac:dyDescent="0.2">
      <c r="A27" s="31" t="str">
        <f>IF(ISBLANK(A16),"",A16)</f>
        <v>Switzerland</v>
      </c>
      <c r="B27" s="32">
        <f>SUMIF(RAW_DEATHS!$B:$B,Tabelle28[[#This Row],[Country/Region]],RAW_DEATHS!C:C)</f>
        <v>0</v>
      </c>
      <c r="C27" s="32">
        <f>SUMIF(RAW_DEATHS!$B:$B,Tabelle28[[#This Row],[Country/Region]],RAW_DEATHS!D:D)</f>
        <v>0</v>
      </c>
      <c r="D27" s="32">
        <f>SUMIF(RAW_DEATHS!$B:$B,Tabelle28[[#This Row],[Country/Region]],RAW_DEATHS!E:E)</f>
        <v>0</v>
      </c>
      <c r="E27" s="32">
        <f>SUMIF(RAW_DEATHS!$B:$B,Tabelle28[[#This Row],[Country/Region]],RAW_DEATHS!F:F)</f>
        <v>0</v>
      </c>
      <c r="F27" s="32">
        <f>SUMIF(RAW_DEATHS!$B:$B,Tabelle28[[#This Row],[Country/Region]],RAW_DEATHS!G:G)</f>
        <v>0</v>
      </c>
      <c r="G27" s="32">
        <f>SUMIF(RAW_DEATHS!$B:$B,Tabelle28[[#This Row],[Country/Region]],RAW_DEATHS!H:H)</f>
        <v>0</v>
      </c>
      <c r="H27" s="32">
        <f>SUMIF(RAW_DEATHS!$B:$B,Tabelle28[[#This Row],[Country/Region]],RAW_DEATHS!I:I)</f>
        <v>0</v>
      </c>
      <c r="I27" s="32">
        <f>SUMIF(RAW_DEATHS!$B:$B,Tabelle28[[#This Row],[Country/Region]],RAW_DEATHS!J:J)</f>
        <v>0</v>
      </c>
      <c r="J27" s="32">
        <f>SUMIF(RAW_DEATHS!$B:$B,Tabelle28[[#This Row],[Country/Region]],RAW_DEATHS!K:K)</f>
        <v>0</v>
      </c>
      <c r="K27" s="32">
        <f>SUMIF(RAW_DEATHS!$B:$B,Tabelle28[[#This Row],[Country/Region]],RAW_DEATHS!L:L)</f>
        <v>0</v>
      </c>
      <c r="L27" s="32">
        <f>SUMIF(RAW_DEATHS!$B:$B,Tabelle28[[#This Row],[Country/Region]],RAW_DEATHS!M:M)</f>
        <v>0</v>
      </c>
      <c r="M27" s="32">
        <f>SUMIF(RAW_DEATHS!$B:$B,Tabelle28[[#This Row],[Country/Region]],RAW_DEATHS!N:N)</f>
        <v>0</v>
      </c>
      <c r="N27" s="32">
        <f>SUMIF(RAW_DEATHS!$B:$B,Tabelle28[[#This Row],[Country/Region]],RAW_DEATHS!O:O)</f>
        <v>0</v>
      </c>
      <c r="O27" s="32">
        <f>SUMIF(RAW_DEATHS!$B:$B,Tabelle28[[#This Row],[Country/Region]],RAW_DEATHS!P:P)</f>
        <v>0</v>
      </c>
      <c r="P27" s="32">
        <f>SUMIF(RAW_DEATHS!$B:$B,Tabelle28[[#This Row],[Country/Region]],RAW_DEATHS!Q:Q)</f>
        <v>0</v>
      </c>
      <c r="Q27" s="32">
        <f>SUMIF(RAW_DEATHS!$B:$B,Tabelle28[[#This Row],[Country/Region]],RAW_DEATHS!R:R)</f>
        <v>0</v>
      </c>
      <c r="R27" s="32">
        <f>SUMIF(RAW_DEATHS!$B:$B,Tabelle28[[#This Row],[Country/Region]],RAW_DEATHS!S:S)</f>
        <v>0</v>
      </c>
      <c r="S27" s="32">
        <f>SUMIF(RAW_DEATHS!$B:$B,Tabelle28[[#This Row],[Country/Region]],RAW_DEATHS!T:T)</f>
        <v>0</v>
      </c>
      <c r="T27" s="32">
        <f>SUMIF(RAW_DEATHS!$B:$B,Tabelle28[[#This Row],[Country/Region]],RAW_DEATHS!U:U)</f>
        <v>0</v>
      </c>
      <c r="U27" s="32">
        <f>SUMIF(RAW_DEATHS!$B:$B,Tabelle28[[#This Row],[Country/Region]],RAW_DEATHS!V:V)</f>
        <v>0</v>
      </c>
      <c r="V27" s="32">
        <f>SUMIF(RAW_DEATHS!$B:$B,Tabelle28[[#This Row],[Country/Region]],RAW_DEATHS!W:W)</f>
        <v>0</v>
      </c>
      <c r="W27" s="32">
        <f>SUMIF(RAW_DEATHS!$B:$B,Tabelle28[[#This Row],[Country/Region]],RAW_DEATHS!X:X)</f>
        <v>0</v>
      </c>
      <c r="X27" s="32">
        <f>SUMIF(RAW_DEATHS!$B:$B,Tabelle28[[#This Row],[Country/Region]],RAW_DEATHS!Y:Y)</f>
        <v>0</v>
      </c>
      <c r="Y27" s="32">
        <f>SUMIF(RAW_DEATHS!$B:$B,Tabelle28[[#This Row],[Country/Region]],RAW_DEATHS!Z:Z)</f>
        <v>0</v>
      </c>
      <c r="Z27" s="32">
        <f>SUMIF(RAW_DEATHS!$B:$B,Tabelle28[[#This Row],[Country/Region]],RAW_DEATHS!AA:AA)</f>
        <v>0</v>
      </c>
      <c r="AA27" s="32">
        <f>SUMIF(RAW_DEATHS!$B:$B,Tabelle28[[#This Row],[Country/Region]],RAW_DEATHS!AB:AB)</f>
        <v>0</v>
      </c>
      <c r="AB27" s="32">
        <f>SUMIF(RAW_DEATHS!$B:$B,Tabelle28[[#This Row],[Country/Region]],RAW_DEATHS!AC:AC)</f>
        <v>0</v>
      </c>
      <c r="AC27" s="32">
        <f>SUMIF(RAW_DEATHS!$B:$B,Tabelle28[[#This Row],[Country/Region]],RAW_DEATHS!AD:AD)</f>
        <v>0</v>
      </c>
      <c r="AD27" s="32">
        <f>SUMIF(RAW_DEATHS!$B:$B,Tabelle28[[#This Row],[Country/Region]],RAW_DEATHS!AE:AE)</f>
        <v>0</v>
      </c>
      <c r="AE27" s="32">
        <f>SUMIF(RAW_DEATHS!$B:$B,Tabelle28[[#This Row],[Country/Region]],RAW_DEATHS!AF:AF)</f>
        <v>0</v>
      </c>
      <c r="AF27" s="32">
        <f>SUMIF(RAW_DEATHS!$B:$B,Tabelle28[[#This Row],[Country/Region]],RAW_DEATHS!AG:AG)</f>
        <v>0</v>
      </c>
      <c r="AG27" s="32">
        <f>SUMIF(RAW_DEATHS!$B:$B,Tabelle28[[#This Row],[Country/Region]],RAW_DEATHS!AH:AH)</f>
        <v>0</v>
      </c>
      <c r="AH27" s="32">
        <f>SUMIF(RAW_DEATHS!$B:$B,Tabelle28[[#This Row],[Country/Region]],RAW_DEATHS!AI:AI)</f>
        <v>0</v>
      </c>
      <c r="AI27" s="32">
        <f>SUMIF(RAW_DEATHS!$B:$B,Tabelle28[[#This Row],[Country/Region]],RAW_DEATHS!AJ:AJ)</f>
        <v>0</v>
      </c>
      <c r="AJ27" s="32">
        <f>SUMIF(RAW_DEATHS!$B:$B,Tabelle28[[#This Row],[Country/Region]],RAW_DEATHS!AK:AK)</f>
        <v>0</v>
      </c>
      <c r="AK27" s="32">
        <f>SUMIF(RAW_DEATHS!$B:$B,Tabelle28[[#This Row],[Country/Region]],RAW_DEATHS!AL:AL)</f>
        <v>0</v>
      </c>
      <c r="AL27" s="32">
        <f>SUMIF(RAW_DEATHS!$B:$B,Tabelle28[[#This Row],[Country/Region]],RAW_DEATHS!AM:AM)</f>
        <v>0</v>
      </c>
      <c r="AM27" s="32">
        <f>SUMIF(RAW_DEATHS!$B:$B,Tabelle28[[#This Row],[Country/Region]],RAW_DEATHS!AN:AN)</f>
        <v>0</v>
      </c>
      <c r="AN27" s="32">
        <f>SUMIF(RAW_DEATHS!$B:$B,Tabelle28[[#This Row],[Country/Region]],RAW_DEATHS!AO:AO)</f>
        <v>0</v>
      </c>
      <c r="AO27" s="32">
        <f>SUMIF(RAW_DEATHS!$B:$B,Tabelle28[[#This Row],[Country/Region]],RAW_DEATHS!AP:AP)</f>
        <v>0</v>
      </c>
      <c r="AP27" s="32">
        <f>SUMIF(RAW_DEATHS!$B:$B,Tabelle28[[#This Row],[Country/Region]],RAW_DEATHS!AQ:AQ)</f>
        <v>0</v>
      </c>
      <c r="AQ27" s="32">
        <f>SUMIF(RAW_DEATHS!$B:$B,Tabelle28[[#This Row],[Country/Region]],RAW_DEATHS!AR:AR)</f>
        <v>0</v>
      </c>
      <c r="AR27" s="32">
        <f>SUMIF(RAW_DEATHS!$B:$B,Tabelle28[[#This Row],[Country/Region]],RAW_DEATHS!AS:AS)</f>
        <v>0</v>
      </c>
      <c r="AS27" s="32">
        <f>SUMIF(RAW_DEATHS!$B:$B,Tabelle28[[#This Row],[Country/Region]],RAW_DEATHS!AT:AT)</f>
        <v>1</v>
      </c>
      <c r="AT27" s="32">
        <f>SUMIF(RAW_DEATHS!$B:$B,Tabelle28[[#This Row],[Country/Region]],RAW_DEATHS!AU:AU)</f>
        <v>1</v>
      </c>
      <c r="AU27" s="32">
        <f>SUMIF(RAW_DEATHS!$B:$B,Tabelle28[[#This Row],[Country/Region]],RAW_DEATHS!AV:AV)</f>
        <v>1</v>
      </c>
      <c r="AV27" s="32">
        <f>SUMIF(RAW_DEATHS!$B:$B,Tabelle28[[#This Row],[Country/Region]],RAW_DEATHS!AW:AW)</f>
        <v>2</v>
      </c>
      <c r="AW27" s="32">
        <f>SUMIF(RAW_DEATHS!$B:$B,Tabelle28[[#This Row],[Country/Region]],RAW_DEATHS!AX:AX)</f>
        <v>2</v>
      </c>
      <c r="AX27" s="32">
        <f>SUMIF(RAW_DEATHS!$B:$B,Tabelle28[[#This Row],[Country/Region]],RAW_DEATHS!AY:AY)</f>
        <v>3</v>
      </c>
      <c r="AY27" s="32">
        <f>SUMIF(RAW_DEATHS!$B:$B,Tabelle28[[#This Row],[Country/Region]],RAW_DEATHS!AZ:AZ)</f>
        <v>4</v>
      </c>
      <c r="AZ27" s="32">
        <f>SUMIF(RAW_DEATHS!$B:$B,Tabelle28[[#This Row],[Country/Region]],RAW_DEATHS!BA:BA)</f>
        <v>4</v>
      </c>
      <c r="BA27" s="32">
        <f>SUMIF(RAW_DEATHS!$B:$B,Tabelle28[[#This Row],[Country/Region]],RAW_DEATHS!BB:BB)</f>
        <v>11</v>
      </c>
      <c r="BB27" s="32">
        <f>SUMIF(RAW_DEATHS!$B:$B,Tabelle28[[#This Row],[Country/Region]],RAW_DEATHS!BC:BC)</f>
        <v>13</v>
      </c>
      <c r="BC27" s="32">
        <f>SUMIF(RAW_DEATHS!$B:$B,Tabelle28[[#This Row],[Country/Region]],RAW_DEATHS!BD:BD)</f>
        <v>14</v>
      </c>
      <c r="BD27" s="32">
        <f>SUMIF(RAW_DEATHS!$B:$B,Tabelle28[[#This Row],[Country/Region]],RAW_DEATHS!BE:BE)</f>
        <v>14</v>
      </c>
      <c r="BE27" s="32">
        <f>SUMIF(RAW_DEATHS!$B:$B,Tabelle28[[#This Row],[Country/Region]],RAW_DEATHS!BF:BF)</f>
        <v>27</v>
      </c>
      <c r="BF27" s="32">
        <f>SUMIF(RAW_DEATHS!$B:$B,Tabelle28[[#This Row],[Country/Region]],RAW_DEATHS!BG:BG)</f>
        <v>28</v>
      </c>
      <c r="BG27" s="32">
        <f>SUMIF(RAW_DEATHS!$B:$B,Tabelle28[[#This Row],[Country/Region]],RAW_DEATHS!BH:BH)</f>
        <v>41</v>
      </c>
      <c r="BH27" s="32">
        <f>SUMIF(RAW_DEATHS!$B:$B,Tabelle28[[#This Row],[Country/Region]],RAW_DEATHS!BI:BI)</f>
        <v>54</v>
      </c>
      <c r="BI27" s="32">
        <f>SUMIF(RAW_DEATHS!$B:$B,Tabelle28[[#This Row],[Country/Region]],RAW_DEATHS!BJ:BJ)</f>
        <v>75</v>
      </c>
      <c r="BJ27" s="32">
        <f>SUMIF(RAW_DEATHS!$B:$B,Tabelle28[[#This Row],[Country/Region]],RAW_DEATHS!BK:BK)</f>
        <v>98</v>
      </c>
      <c r="BK27" s="32">
        <f>SUMIF(RAW_DEATHS!$B:$B,Tabelle28[[#This Row],[Country/Region]],RAW_DEATHS!BL:BL)</f>
        <v>120</v>
      </c>
      <c r="BL27" s="32">
        <f>SUMIF(RAW_DEATHS!$B:$B,Tabelle28[[#This Row],[Country/Region]],RAW_DEATHS!BM:BM)</f>
        <v>0</v>
      </c>
      <c r="BM27" s="32">
        <f>SUMIF(RAW_DEATHS!$B:$B,Tabelle28[[#This Row],[Country/Region]],RAW_DEATHS!BN:BN)</f>
        <v>0</v>
      </c>
      <c r="BN27" s="32">
        <f>SUMIF(RAW_DEATHS!$B:$B,Tabelle28[[#This Row],[Country/Region]],RAW_DEATHS!BO:BO)</f>
        <v>0</v>
      </c>
      <c r="BO27" s="32">
        <f>SUMIF(RAW_DEATHS!$B:$B,Tabelle28[[#This Row],[Country/Region]],RAW_DEATHS!BP:BP)</f>
        <v>0</v>
      </c>
      <c r="BP27" s="32">
        <f>SUMIF(RAW_DEATHS!$B:$B,Tabelle28[[#This Row],[Country/Region]],RAW_DEATHS!BQ:BQ)</f>
        <v>0</v>
      </c>
      <c r="BQ27" s="32">
        <f>SUMIF(RAW_DEATHS!$B:$B,Tabelle28[[#This Row],[Country/Region]],RAW_DEATHS!BR:BR)</f>
        <v>0</v>
      </c>
      <c r="BR27" s="32">
        <f>SUMIF(RAW_DEATHS!$B:$B,Tabelle28[[#This Row],[Country/Region]],RAW_DEATHS!BS:BS)</f>
        <v>0</v>
      </c>
      <c r="BS27" s="32">
        <f>SUMIF(RAW_DEATHS!$B:$B,Tabelle28[[#This Row],[Country/Region]],RAW_DEATHS!BT:BT)</f>
        <v>0</v>
      </c>
      <c r="BT27" s="32">
        <f>SUMIF(RAW_DEATHS!$B:$B,Tabelle28[[#This Row],[Country/Region]],RAW_DEATHS!BU:BU)</f>
        <v>0</v>
      </c>
      <c r="BU27" s="32">
        <f>SUMIF(RAW_DEATHS!$B:$B,Tabelle28[[#This Row],[Country/Region]],RAW_DEATHS!BV:BV)</f>
        <v>0</v>
      </c>
      <c r="BV27" s="32">
        <f>SUMIF(RAW_DEATHS!$B:$B,Tabelle28[[#This Row],[Country/Region]],RAW_DEATHS!BW:BW)</f>
        <v>0</v>
      </c>
      <c r="BW27" s="32">
        <f>SUMIF(RAW_DEATHS!$B:$B,Tabelle28[[#This Row],[Country/Region]],RAW_DEATHS!BX:BX)</f>
        <v>0</v>
      </c>
      <c r="BX27" s="32">
        <f>SUMIF(RAW_DEATHS!$B:$B,Tabelle28[[#This Row],[Country/Region]],RAW_DEATHS!BY:BY)</f>
        <v>0</v>
      </c>
      <c r="BY27" s="32">
        <f>SUMIF(RAW_DEATHS!$B:$B,Tabelle28[[#This Row],[Country/Region]],RAW_DEATHS!BZ:BZ)</f>
        <v>0</v>
      </c>
      <c r="BZ27" s="32">
        <f>SUMIF(RAW_DEATHS!$B:$B,Tabelle28[[#This Row],[Country/Region]],RAW_DEATHS!CA:CA)</f>
        <v>0</v>
      </c>
      <c r="CA27" s="32">
        <f>SUMIF(RAW_DEATHS!$B:$B,Tabelle28[[#This Row],[Country/Region]],RAW_DEATHS!CB:CB)</f>
        <v>0</v>
      </c>
      <c r="CB27" s="32">
        <f>SUMIF(RAW_DEATHS!$B:$B,Tabelle28[[#This Row],[Country/Region]],RAW_DEATHS!CC:CC)</f>
        <v>0</v>
      </c>
      <c r="CC27" s="32">
        <f>SUMIF(RAW_DEATHS!$B:$B,Tabelle28[[#This Row],[Country/Region]],RAW_DEATHS!CD:CD)</f>
        <v>0</v>
      </c>
      <c r="CD27" s="32">
        <f>SUMIF(RAW_DEATHS!$B:$B,Tabelle28[[#This Row],[Country/Region]],RAW_DEATHS!CE:CE)</f>
        <v>0</v>
      </c>
      <c r="CE27" s="32">
        <f>SUMIF(RAW_DEATHS!$B:$B,Tabelle28[[#This Row],[Country/Region]],RAW_DEATHS!CF:CF)</f>
        <v>0</v>
      </c>
    </row>
    <row r="28" spans="1:83" s="15" customFormat="1" ht="12.75" x14ac:dyDescent="0.2">
      <c r="A28" s="31" t="str">
        <f t="shared" ref="A28" si="3">IF(ISBLANK(A17),"",A17)</f>
        <v/>
      </c>
      <c r="B28" s="32">
        <f>SUMIF(RAW_DEATHS!$B:$B,Tabelle28[[#This Row],[Country/Region]],RAW_DEATHS!C:C)</f>
        <v>0</v>
      </c>
      <c r="C28" s="32">
        <f>SUMIF(RAW_DEATHS!$B:$B,Tabelle28[[#This Row],[Country/Region]],RAW_DEATHS!D:D)</f>
        <v>0</v>
      </c>
      <c r="D28" s="32">
        <f>SUMIF(RAW_DEATHS!$B:$B,Tabelle28[[#This Row],[Country/Region]],RAW_DEATHS!E:E)</f>
        <v>0</v>
      </c>
      <c r="E28" s="32">
        <f>SUMIF(RAW_DEATHS!$B:$B,Tabelle28[[#This Row],[Country/Region]],RAW_DEATHS!F:F)</f>
        <v>0</v>
      </c>
      <c r="F28" s="32">
        <f>SUMIF(RAW_DEATHS!$B:$B,Tabelle28[[#This Row],[Country/Region]],RAW_DEATHS!G:G)</f>
        <v>0</v>
      </c>
      <c r="G28" s="32">
        <f>SUMIF(RAW_DEATHS!$B:$B,Tabelle28[[#This Row],[Country/Region]],RAW_DEATHS!H:H)</f>
        <v>0</v>
      </c>
      <c r="H28" s="32">
        <f>SUMIF(RAW_DEATHS!$B:$B,Tabelle28[[#This Row],[Country/Region]],RAW_DEATHS!I:I)</f>
        <v>0</v>
      </c>
      <c r="I28" s="32">
        <f>SUMIF(RAW_DEATHS!$B:$B,Tabelle28[[#This Row],[Country/Region]],RAW_DEATHS!J:J)</f>
        <v>0</v>
      </c>
      <c r="J28" s="32">
        <f>SUMIF(RAW_DEATHS!$B:$B,Tabelle28[[#This Row],[Country/Region]],RAW_DEATHS!K:K)</f>
        <v>0</v>
      </c>
      <c r="K28" s="32">
        <f>SUMIF(RAW_DEATHS!$B:$B,Tabelle28[[#This Row],[Country/Region]],RAW_DEATHS!L:L)</f>
        <v>0</v>
      </c>
      <c r="L28" s="32">
        <f>SUMIF(RAW_DEATHS!$B:$B,Tabelle28[[#This Row],[Country/Region]],RAW_DEATHS!M:M)</f>
        <v>0</v>
      </c>
      <c r="M28" s="32">
        <f>SUMIF(RAW_DEATHS!$B:$B,Tabelle28[[#This Row],[Country/Region]],RAW_DEATHS!N:N)</f>
        <v>0</v>
      </c>
      <c r="N28" s="32">
        <f>SUMIF(RAW_DEATHS!$B:$B,Tabelle28[[#This Row],[Country/Region]],RAW_DEATHS!O:O)</f>
        <v>0</v>
      </c>
      <c r="O28" s="32">
        <f>SUMIF(RAW_DEATHS!$B:$B,Tabelle28[[#This Row],[Country/Region]],RAW_DEATHS!P:P)</f>
        <v>0</v>
      </c>
      <c r="P28" s="32">
        <f>SUMIF(RAW_DEATHS!$B:$B,Tabelle28[[#This Row],[Country/Region]],RAW_DEATHS!Q:Q)</f>
        <v>0</v>
      </c>
      <c r="Q28" s="32">
        <f>SUMIF(RAW_DEATHS!$B:$B,Tabelle28[[#This Row],[Country/Region]],RAW_DEATHS!R:R)</f>
        <v>0</v>
      </c>
      <c r="R28" s="32">
        <f>SUMIF(RAW_DEATHS!$B:$B,Tabelle28[[#This Row],[Country/Region]],RAW_DEATHS!S:S)</f>
        <v>0</v>
      </c>
      <c r="S28" s="32">
        <f>SUMIF(RAW_DEATHS!$B:$B,Tabelle28[[#This Row],[Country/Region]],RAW_DEATHS!T:T)</f>
        <v>0</v>
      </c>
      <c r="T28" s="32">
        <f>SUMIF(RAW_DEATHS!$B:$B,Tabelle28[[#This Row],[Country/Region]],RAW_DEATHS!U:U)</f>
        <v>0</v>
      </c>
      <c r="U28" s="32">
        <f>SUMIF(RAW_DEATHS!$B:$B,Tabelle28[[#This Row],[Country/Region]],RAW_DEATHS!V:V)</f>
        <v>0</v>
      </c>
      <c r="V28" s="32">
        <f>SUMIF(RAW_DEATHS!$B:$B,Tabelle28[[#This Row],[Country/Region]],RAW_DEATHS!W:W)</f>
        <v>0</v>
      </c>
      <c r="W28" s="32">
        <f>SUMIF(RAW_DEATHS!$B:$B,Tabelle28[[#This Row],[Country/Region]],RAW_DEATHS!X:X)</f>
        <v>0</v>
      </c>
      <c r="X28" s="32">
        <f>SUMIF(RAW_DEATHS!$B:$B,Tabelle28[[#This Row],[Country/Region]],RAW_DEATHS!Y:Y)</f>
        <v>0</v>
      </c>
      <c r="Y28" s="32">
        <f>SUMIF(RAW_DEATHS!$B:$B,Tabelle28[[#This Row],[Country/Region]],RAW_DEATHS!Z:Z)</f>
        <v>0</v>
      </c>
      <c r="Z28" s="32">
        <f>SUMIF(RAW_DEATHS!$B:$B,Tabelle28[[#This Row],[Country/Region]],RAW_DEATHS!AA:AA)</f>
        <v>0</v>
      </c>
      <c r="AA28" s="32">
        <f>SUMIF(RAW_DEATHS!$B:$B,Tabelle28[[#This Row],[Country/Region]],RAW_DEATHS!AB:AB)</f>
        <v>0</v>
      </c>
      <c r="AB28" s="32">
        <f>SUMIF(RAW_DEATHS!$B:$B,Tabelle28[[#This Row],[Country/Region]],RAW_DEATHS!AC:AC)</f>
        <v>0</v>
      </c>
      <c r="AC28" s="32">
        <f>SUMIF(RAW_DEATHS!$B:$B,Tabelle28[[#This Row],[Country/Region]],RAW_DEATHS!AD:AD)</f>
        <v>0</v>
      </c>
      <c r="AD28" s="32">
        <f>SUMIF(RAW_DEATHS!$B:$B,Tabelle28[[#This Row],[Country/Region]],RAW_DEATHS!AE:AE)</f>
        <v>0</v>
      </c>
      <c r="AE28" s="32">
        <f>SUMIF(RAW_DEATHS!$B:$B,Tabelle28[[#This Row],[Country/Region]],RAW_DEATHS!AF:AF)</f>
        <v>0</v>
      </c>
      <c r="AF28" s="32">
        <f>SUMIF(RAW_DEATHS!$B:$B,Tabelle28[[#This Row],[Country/Region]],RAW_DEATHS!AG:AG)</f>
        <v>0</v>
      </c>
      <c r="AG28" s="32">
        <f>SUMIF(RAW_DEATHS!$B:$B,Tabelle28[[#This Row],[Country/Region]],RAW_DEATHS!AH:AH)</f>
        <v>0</v>
      </c>
      <c r="AH28" s="32">
        <f>SUMIF(RAW_DEATHS!$B:$B,Tabelle28[[#This Row],[Country/Region]],RAW_DEATHS!AI:AI)</f>
        <v>0</v>
      </c>
      <c r="AI28" s="32">
        <f>SUMIF(RAW_DEATHS!$B:$B,Tabelle28[[#This Row],[Country/Region]],RAW_DEATHS!AJ:AJ)</f>
        <v>0</v>
      </c>
      <c r="AJ28" s="32">
        <f>SUMIF(RAW_DEATHS!$B:$B,Tabelle28[[#This Row],[Country/Region]],RAW_DEATHS!AK:AK)</f>
        <v>0</v>
      </c>
      <c r="AK28" s="32">
        <f>SUMIF(RAW_DEATHS!$B:$B,Tabelle28[[#This Row],[Country/Region]],RAW_DEATHS!AL:AL)</f>
        <v>0</v>
      </c>
      <c r="AL28" s="32">
        <f>SUMIF(RAW_DEATHS!$B:$B,Tabelle28[[#This Row],[Country/Region]],RAW_DEATHS!AM:AM)</f>
        <v>0</v>
      </c>
      <c r="AM28" s="32">
        <f>SUMIF(RAW_DEATHS!$B:$B,Tabelle28[[#This Row],[Country/Region]],RAW_DEATHS!AN:AN)</f>
        <v>0</v>
      </c>
      <c r="AN28" s="32">
        <f>SUMIF(RAW_DEATHS!$B:$B,Tabelle28[[#This Row],[Country/Region]],RAW_DEATHS!AO:AO)</f>
        <v>0</v>
      </c>
      <c r="AO28" s="32">
        <f>SUMIF(RAW_DEATHS!$B:$B,Tabelle28[[#This Row],[Country/Region]],RAW_DEATHS!AP:AP)</f>
        <v>0</v>
      </c>
      <c r="AP28" s="32">
        <f>SUMIF(RAW_DEATHS!$B:$B,Tabelle28[[#This Row],[Country/Region]],RAW_DEATHS!AQ:AQ)</f>
        <v>0</v>
      </c>
      <c r="AQ28" s="32">
        <f>SUMIF(RAW_DEATHS!$B:$B,Tabelle28[[#This Row],[Country/Region]],RAW_DEATHS!AR:AR)</f>
        <v>0</v>
      </c>
      <c r="AR28" s="32">
        <f>SUMIF(RAW_DEATHS!$B:$B,Tabelle28[[#This Row],[Country/Region]],RAW_DEATHS!AS:AS)</f>
        <v>0</v>
      </c>
      <c r="AS28" s="32">
        <f>SUMIF(RAW_DEATHS!$B:$B,Tabelle28[[#This Row],[Country/Region]],RAW_DEATHS!AT:AT)</f>
        <v>0</v>
      </c>
      <c r="AT28" s="32">
        <f>SUMIF(RAW_DEATHS!$B:$B,Tabelle28[[#This Row],[Country/Region]],RAW_DEATHS!AU:AU)</f>
        <v>0</v>
      </c>
      <c r="AU28" s="32">
        <f>SUMIF(RAW_DEATHS!$B:$B,Tabelle28[[#This Row],[Country/Region]],RAW_DEATHS!AV:AV)</f>
        <v>0</v>
      </c>
      <c r="AV28" s="32">
        <f>SUMIF(RAW_DEATHS!$B:$B,Tabelle28[[#This Row],[Country/Region]],RAW_DEATHS!AW:AW)</f>
        <v>0</v>
      </c>
      <c r="AW28" s="32">
        <f>SUMIF(RAW_DEATHS!$B:$B,Tabelle28[[#This Row],[Country/Region]],RAW_DEATHS!AX:AX)</f>
        <v>0</v>
      </c>
      <c r="AX28" s="32">
        <f>SUMIF(RAW_DEATHS!$B:$B,Tabelle28[[#This Row],[Country/Region]],RAW_DEATHS!AY:AY)</f>
        <v>0</v>
      </c>
      <c r="AY28" s="32">
        <f>SUMIF(RAW_DEATHS!$B:$B,Tabelle28[[#This Row],[Country/Region]],RAW_DEATHS!AZ:AZ)</f>
        <v>0</v>
      </c>
      <c r="AZ28" s="32">
        <f>SUMIF(RAW_DEATHS!$B:$B,Tabelle28[[#This Row],[Country/Region]],RAW_DEATHS!BA:BA)</f>
        <v>0</v>
      </c>
      <c r="BA28" s="32">
        <f>SUMIF(RAW_DEATHS!$B:$B,Tabelle28[[#This Row],[Country/Region]],RAW_DEATHS!BB:BB)</f>
        <v>0</v>
      </c>
      <c r="BB28" s="32">
        <f>SUMIF(RAW_DEATHS!$B:$B,Tabelle28[[#This Row],[Country/Region]],RAW_DEATHS!BC:BC)</f>
        <v>0</v>
      </c>
      <c r="BC28" s="32">
        <f>SUMIF(RAW_DEATHS!$B:$B,Tabelle28[[#This Row],[Country/Region]],RAW_DEATHS!BD:BD)</f>
        <v>0</v>
      </c>
      <c r="BD28" s="32">
        <f>SUMIF(RAW_DEATHS!$B:$B,Tabelle28[[#This Row],[Country/Region]],RAW_DEATHS!BE:BE)</f>
        <v>0</v>
      </c>
      <c r="BE28" s="32">
        <f>SUMIF(RAW_DEATHS!$B:$B,Tabelle28[[#This Row],[Country/Region]],RAW_DEATHS!BF:BF)</f>
        <v>0</v>
      </c>
      <c r="BF28" s="32">
        <f>SUMIF(RAW_DEATHS!$B:$B,Tabelle28[[#This Row],[Country/Region]],RAW_DEATHS!BG:BG)</f>
        <v>0</v>
      </c>
      <c r="BG28" s="32">
        <f>SUMIF(RAW_DEATHS!$B:$B,Tabelle28[[#This Row],[Country/Region]],RAW_DEATHS!BH:BH)</f>
        <v>0</v>
      </c>
      <c r="BH28" s="32">
        <f>SUMIF(RAW_DEATHS!$B:$B,Tabelle28[[#This Row],[Country/Region]],RAW_DEATHS!BI:BI)</f>
        <v>0</v>
      </c>
      <c r="BI28" s="32">
        <f>SUMIF(RAW_DEATHS!$B:$B,Tabelle28[[#This Row],[Country/Region]],RAW_DEATHS!BJ:BJ)</f>
        <v>0</v>
      </c>
      <c r="BJ28" s="32">
        <f>SUMIF(RAW_DEATHS!$B:$B,Tabelle28[[#This Row],[Country/Region]],RAW_DEATHS!BK:BK)</f>
        <v>0</v>
      </c>
      <c r="BK28" s="32">
        <f>SUMIF(RAW_DEATHS!$B:$B,Tabelle28[[#This Row],[Country/Region]],RAW_DEATHS!BL:BL)</f>
        <v>0</v>
      </c>
      <c r="BL28" s="32">
        <f>SUMIF(RAW_DEATHS!$B:$B,Tabelle28[[#This Row],[Country/Region]],RAW_DEATHS!BM:BM)</f>
        <v>0</v>
      </c>
      <c r="BM28" s="32">
        <f>SUMIF(RAW_DEATHS!$B:$B,Tabelle28[[#This Row],[Country/Region]],RAW_DEATHS!BN:BN)</f>
        <v>0</v>
      </c>
      <c r="BN28" s="32">
        <f>SUMIF(RAW_DEATHS!$B:$B,Tabelle28[[#This Row],[Country/Region]],RAW_DEATHS!BO:BO)</f>
        <v>0</v>
      </c>
      <c r="BO28" s="32">
        <f>SUMIF(RAW_DEATHS!$B:$B,Tabelle28[[#This Row],[Country/Region]],RAW_DEATHS!BP:BP)</f>
        <v>0</v>
      </c>
      <c r="BP28" s="32">
        <f>SUMIF(RAW_DEATHS!$B:$B,Tabelle28[[#This Row],[Country/Region]],RAW_DEATHS!BQ:BQ)</f>
        <v>0</v>
      </c>
      <c r="BQ28" s="32">
        <f>SUMIF(RAW_DEATHS!$B:$B,Tabelle28[[#This Row],[Country/Region]],RAW_DEATHS!BR:BR)</f>
        <v>0</v>
      </c>
      <c r="BR28" s="32">
        <f>SUMIF(RAW_DEATHS!$B:$B,Tabelle28[[#This Row],[Country/Region]],RAW_DEATHS!BS:BS)</f>
        <v>0</v>
      </c>
      <c r="BS28" s="32">
        <f>SUMIF(RAW_DEATHS!$B:$B,Tabelle28[[#This Row],[Country/Region]],RAW_DEATHS!BT:BT)</f>
        <v>0</v>
      </c>
      <c r="BT28" s="32">
        <f>SUMIF(RAW_DEATHS!$B:$B,Tabelle28[[#This Row],[Country/Region]],RAW_DEATHS!BU:BU)</f>
        <v>0</v>
      </c>
      <c r="BU28" s="32">
        <f>SUMIF(RAW_DEATHS!$B:$B,Tabelle28[[#This Row],[Country/Region]],RAW_DEATHS!BV:BV)</f>
        <v>0</v>
      </c>
      <c r="BV28" s="32">
        <f>SUMIF(RAW_DEATHS!$B:$B,Tabelle28[[#This Row],[Country/Region]],RAW_DEATHS!BW:BW)</f>
        <v>0</v>
      </c>
      <c r="BW28" s="32">
        <f>SUMIF(RAW_DEATHS!$B:$B,Tabelle28[[#This Row],[Country/Region]],RAW_DEATHS!BX:BX)</f>
        <v>0</v>
      </c>
      <c r="BX28" s="32">
        <f>SUMIF(RAW_DEATHS!$B:$B,Tabelle28[[#This Row],[Country/Region]],RAW_DEATHS!BY:BY)</f>
        <v>0</v>
      </c>
      <c r="BY28" s="32">
        <f>SUMIF(RAW_DEATHS!$B:$B,Tabelle28[[#This Row],[Country/Region]],RAW_DEATHS!BZ:BZ)</f>
        <v>0</v>
      </c>
      <c r="BZ28" s="32">
        <f>SUMIF(RAW_DEATHS!$B:$B,Tabelle28[[#This Row],[Country/Region]],RAW_DEATHS!CA:CA)</f>
        <v>0</v>
      </c>
      <c r="CA28" s="32">
        <f>SUMIF(RAW_DEATHS!$B:$B,Tabelle28[[#This Row],[Country/Region]],RAW_DEATHS!CB:CB)</f>
        <v>0</v>
      </c>
      <c r="CB28" s="32">
        <f>SUMIF(RAW_DEATHS!$B:$B,Tabelle28[[#This Row],[Country/Region]],RAW_DEATHS!CC:CC)</f>
        <v>0</v>
      </c>
      <c r="CC28" s="32">
        <f>SUMIF(RAW_DEATHS!$B:$B,Tabelle28[[#This Row],[Country/Region]],RAW_DEATHS!CD:CD)</f>
        <v>0</v>
      </c>
      <c r="CD28" s="32">
        <f>SUMIF(RAW_DEATHS!$B:$B,Tabelle28[[#This Row],[Country/Region]],RAW_DEATHS!CE:CE)</f>
        <v>0</v>
      </c>
      <c r="CE28" s="32">
        <f>SUMIF(RAW_DEATHS!$B:$B,Tabelle28[[#This Row],[Country/Region]],RAW_DEATHS!CF:CF)</f>
        <v>0</v>
      </c>
    </row>
    <row r="29" spans="1:83" s="21" customFormat="1" ht="12.75" x14ac:dyDescent="0.2">
      <c r="A29" s="21" t="s">
        <v>553</v>
      </c>
      <c r="B29" s="8">
        <f>SUM(RAW_DEATHS!C:C)</f>
        <v>17</v>
      </c>
      <c r="C29" s="8">
        <f>SUM(RAW_DEATHS!D:D)</f>
        <v>18</v>
      </c>
      <c r="D29" s="8">
        <f>SUM(RAW_DEATHS!E:E)</f>
        <v>26</v>
      </c>
      <c r="E29" s="8">
        <f>SUM(RAW_DEATHS!F:F)</f>
        <v>42</v>
      </c>
      <c r="F29" s="8">
        <f>SUM(RAW_DEATHS!G:G)</f>
        <v>56</v>
      </c>
      <c r="G29" s="8">
        <f>SUM(RAW_DEATHS!H:H)</f>
        <v>82</v>
      </c>
      <c r="H29" s="8">
        <f>SUM(RAW_DEATHS!I:I)</f>
        <v>131</v>
      </c>
      <c r="I29" s="8">
        <f>SUM(RAW_DEATHS!J:J)</f>
        <v>133</v>
      </c>
      <c r="J29" s="8">
        <f>SUM(RAW_DEATHS!K:K)</f>
        <v>171</v>
      </c>
      <c r="K29" s="8">
        <f>SUM(RAW_DEATHS!L:L)</f>
        <v>213</v>
      </c>
      <c r="L29" s="8">
        <f>SUM(RAW_DEATHS!M:M)</f>
        <v>259</v>
      </c>
      <c r="M29" s="8">
        <f>SUM(RAW_DEATHS!N:N)</f>
        <v>362</v>
      </c>
      <c r="N29" s="8">
        <f>SUM(RAW_DEATHS!O:O)</f>
        <v>426</v>
      </c>
      <c r="O29" s="8">
        <f>SUM(RAW_DEATHS!P:P)</f>
        <v>492</v>
      </c>
      <c r="P29" s="8">
        <f>SUM(RAW_DEATHS!Q:Q)</f>
        <v>564</v>
      </c>
      <c r="Q29" s="8">
        <f>SUM(RAW_DEATHS!R:R)</f>
        <v>634</v>
      </c>
      <c r="R29" s="8">
        <f>SUM(RAW_DEATHS!S:S)</f>
        <v>719</v>
      </c>
      <c r="S29" s="8">
        <f>SUM(RAW_DEATHS!T:T)</f>
        <v>806</v>
      </c>
      <c r="T29" s="8">
        <f>SUM(RAW_DEATHS!U:U)</f>
        <v>906</v>
      </c>
      <c r="U29" s="8">
        <f>SUM(RAW_DEATHS!V:V)</f>
        <v>1013</v>
      </c>
      <c r="V29" s="8">
        <f>SUM(RAW_DEATHS!W:W)</f>
        <v>1113</v>
      </c>
      <c r="W29" s="8">
        <f>SUM(RAW_DEATHS!X:X)</f>
        <v>1118</v>
      </c>
      <c r="X29" s="8">
        <f>SUM(RAW_DEATHS!Y:Y)</f>
        <v>1371</v>
      </c>
      <c r="Y29" s="8">
        <f>SUM(RAW_DEATHS!Z:Z)</f>
        <v>1523</v>
      </c>
      <c r="Z29" s="8">
        <f>SUM(RAW_DEATHS!AA:AA)</f>
        <v>1666</v>
      </c>
      <c r="AA29" s="8">
        <f>SUM(RAW_DEATHS!AB:AB)</f>
        <v>1770</v>
      </c>
      <c r="AB29" s="8">
        <f>SUM(RAW_DEATHS!AC:AC)</f>
        <v>1868</v>
      </c>
      <c r="AC29" s="8">
        <f>SUM(RAW_DEATHS!AD:AD)</f>
        <v>2007</v>
      </c>
      <c r="AD29" s="8">
        <f>SUM(RAW_DEATHS!AE:AE)</f>
        <v>2122</v>
      </c>
      <c r="AE29" s="8">
        <f>SUM(RAW_DEATHS!AF:AF)</f>
        <v>2247</v>
      </c>
      <c r="AF29" s="8">
        <f>SUM(RAW_DEATHS!AG:AG)</f>
        <v>2251</v>
      </c>
      <c r="AG29" s="8">
        <f>SUM(RAW_DEATHS!AH:AH)</f>
        <v>2458</v>
      </c>
      <c r="AH29" s="8">
        <f>SUM(RAW_DEATHS!AI:AI)</f>
        <v>2469</v>
      </c>
      <c r="AI29" s="8">
        <f>SUM(RAW_DEATHS!AJ:AJ)</f>
        <v>2629</v>
      </c>
      <c r="AJ29" s="8">
        <f>SUM(RAW_DEATHS!AK:AK)</f>
        <v>2708</v>
      </c>
      <c r="AK29" s="8">
        <f>SUM(RAW_DEATHS!AL:AL)</f>
        <v>2770</v>
      </c>
      <c r="AL29" s="8">
        <f>SUM(RAW_DEATHS!AM:AM)</f>
        <v>2814</v>
      </c>
      <c r="AM29" s="8">
        <f>SUM(RAW_DEATHS!AN:AN)</f>
        <v>2872</v>
      </c>
      <c r="AN29" s="8">
        <f>SUM(RAW_DEATHS!AO:AO)</f>
        <v>2941</v>
      </c>
      <c r="AO29" s="8">
        <f>SUM(RAW_DEATHS!AP:AP)</f>
        <v>2996</v>
      </c>
      <c r="AP29" s="8">
        <f>SUM(RAW_DEATHS!AQ:AQ)</f>
        <v>3085</v>
      </c>
      <c r="AQ29" s="8">
        <f>SUM(RAW_DEATHS!AR:AR)</f>
        <v>3160</v>
      </c>
      <c r="AR29" s="8">
        <f>SUM(RAW_DEATHS!AS:AS)</f>
        <v>3254</v>
      </c>
      <c r="AS29" s="8">
        <f>SUM(RAW_DEATHS!AT:AT)</f>
        <v>3348</v>
      </c>
      <c r="AT29" s="8">
        <f>SUM(RAW_DEATHS!AU:AU)</f>
        <v>3460</v>
      </c>
      <c r="AU29" s="8">
        <f>SUM(RAW_DEATHS!AV:AV)</f>
        <v>3558</v>
      </c>
      <c r="AV29" s="8">
        <f>SUM(RAW_DEATHS!AW:AW)</f>
        <v>3802</v>
      </c>
      <c r="AW29" s="8">
        <f>SUM(RAW_DEATHS!AX:AX)</f>
        <v>3988</v>
      </c>
      <c r="AX29" s="8">
        <f>SUM(RAW_DEATHS!AY:AY)</f>
        <v>4262</v>
      </c>
      <c r="AY29" s="8">
        <f>SUM(RAW_DEATHS!AZ:AZ)</f>
        <v>4615</v>
      </c>
      <c r="AZ29" s="8">
        <f>SUM(RAW_DEATHS!BA:BA)</f>
        <v>4720</v>
      </c>
      <c r="BA29" s="8">
        <f>SUM(RAW_DEATHS!BB:BB)</f>
        <v>5404</v>
      </c>
      <c r="BB29" s="8">
        <f>SUM(RAW_DEATHS!BC:BC)</f>
        <v>5819</v>
      </c>
      <c r="BC29" s="8">
        <f>SUM(RAW_DEATHS!BD:BD)</f>
        <v>6440</v>
      </c>
      <c r="BD29" s="8">
        <f>SUM(RAW_DEATHS!BE:BE)</f>
        <v>7126</v>
      </c>
      <c r="BE29" s="8">
        <f>SUM(RAW_DEATHS!BF:BF)</f>
        <v>7905</v>
      </c>
      <c r="BF29" s="8">
        <f>SUM(RAW_DEATHS!BG:BG)</f>
        <v>8733</v>
      </c>
      <c r="BG29" s="8">
        <f>SUM(RAW_DEATHS!BH:BH)</f>
        <v>9867</v>
      </c>
      <c r="BH29" s="8">
        <f>SUM(RAW_DEATHS!BI:BI)</f>
        <v>11299</v>
      </c>
      <c r="BI29" s="8">
        <f>SUM(RAW_DEATHS!BJ:BJ)</f>
        <v>12973</v>
      </c>
      <c r="BJ29" s="8">
        <f>SUM(RAW_DEATHS!BK:BK)</f>
        <v>14651</v>
      </c>
      <c r="BK29" s="8">
        <f>SUM(RAW_DEATHS!BL:BL)</f>
        <v>16505</v>
      </c>
      <c r="BL29" s="11">
        <f>SUM(RAW_Cases!GR:GR)</f>
        <v>0</v>
      </c>
      <c r="BM29" s="11">
        <f>SUM(RAW_Cases!GS:GS)</f>
        <v>0</v>
      </c>
    </row>
    <row r="30" spans="1:83" s="22" customFormat="1" x14ac:dyDescent="0.25">
      <c r="B30" s="23"/>
    </row>
    <row r="31" spans="1:83" s="20" customFormat="1" ht="29.25" customHeight="1" x14ac:dyDescent="0.25">
      <c r="A31" s="18" t="s">
        <v>556</v>
      </c>
      <c r="B31" s="19"/>
    </row>
    <row r="32" spans="1:83" s="33" customFormat="1" ht="25.5" customHeight="1" x14ac:dyDescent="0.25">
      <c r="A32" s="26" t="s">
        <v>1</v>
      </c>
      <c r="B32" s="33" t="s">
        <v>559</v>
      </c>
      <c r="C32" s="33" t="s">
        <v>560</v>
      </c>
      <c r="D32" s="33" t="s">
        <v>561</v>
      </c>
      <c r="E32" s="33" t="s">
        <v>562</v>
      </c>
      <c r="F32" s="33" t="s">
        <v>563</v>
      </c>
      <c r="G32" s="33" t="s">
        <v>564</v>
      </c>
      <c r="H32" s="33" t="s">
        <v>565</v>
      </c>
      <c r="I32" s="33" t="s">
        <v>566</v>
      </c>
      <c r="J32" s="33" t="s">
        <v>567</v>
      </c>
      <c r="K32" s="33" t="s">
        <v>568</v>
      </c>
      <c r="L32" s="33" t="s">
        <v>569</v>
      </c>
      <c r="M32" s="33" t="s">
        <v>570</v>
      </c>
      <c r="N32" s="33" t="s">
        <v>571</v>
      </c>
      <c r="O32" s="33" t="s">
        <v>572</v>
      </c>
      <c r="P32" s="33" t="s">
        <v>573</v>
      </c>
      <c r="Q32" s="33" t="s">
        <v>574</v>
      </c>
      <c r="R32" s="33" t="s">
        <v>575</v>
      </c>
      <c r="S32" s="33" t="s">
        <v>576</v>
      </c>
      <c r="T32" s="33" t="s">
        <v>577</v>
      </c>
      <c r="U32" s="33" t="s">
        <v>578</v>
      </c>
      <c r="V32" s="33" t="s">
        <v>579</v>
      </c>
      <c r="W32" s="33" t="s">
        <v>580</v>
      </c>
      <c r="X32" s="33" t="s">
        <v>581</v>
      </c>
      <c r="Y32" s="33" t="s">
        <v>582</v>
      </c>
      <c r="Z32" s="33" t="s">
        <v>583</v>
      </c>
      <c r="AA32" s="33" t="s">
        <v>584</v>
      </c>
      <c r="AB32" s="33" t="s">
        <v>585</v>
      </c>
      <c r="AC32" s="33" t="s">
        <v>586</v>
      </c>
      <c r="AD32" s="33" t="s">
        <v>587</v>
      </c>
      <c r="AE32" s="33" t="s">
        <v>588</v>
      </c>
      <c r="AF32" s="33" t="s">
        <v>589</v>
      </c>
      <c r="AG32" s="33" t="s">
        <v>590</v>
      </c>
      <c r="AH32" s="33" t="s">
        <v>591</v>
      </c>
      <c r="AI32" s="33" t="s">
        <v>592</v>
      </c>
      <c r="AJ32" s="33" t="s">
        <v>593</v>
      </c>
      <c r="AK32" s="33" t="s">
        <v>594</v>
      </c>
      <c r="AL32" s="33" t="s">
        <v>595</v>
      </c>
      <c r="AM32" s="33" t="s">
        <v>596</v>
      </c>
      <c r="AN32" s="33" t="s">
        <v>597</v>
      </c>
      <c r="AO32" s="33" t="s">
        <v>598</v>
      </c>
      <c r="AP32" s="33" t="s">
        <v>599</v>
      </c>
      <c r="AQ32" s="33" t="s">
        <v>600</v>
      </c>
      <c r="AR32" s="33" t="s">
        <v>601</v>
      </c>
      <c r="AS32" s="33" t="s">
        <v>602</v>
      </c>
      <c r="AT32" s="33" t="s">
        <v>603</v>
      </c>
      <c r="AU32" s="33" t="s">
        <v>604</v>
      </c>
      <c r="AV32" s="33" t="s">
        <v>605</v>
      </c>
      <c r="AW32" s="33" t="s">
        <v>606</v>
      </c>
      <c r="AX32" s="33" t="s">
        <v>607</v>
      </c>
      <c r="AY32" s="33" t="s">
        <v>608</v>
      </c>
      <c r="AZ32" s="33" t="s">
        <v>609</v>
      </c>
      <c r="BA32" s="33" t="s">
        <v>610</v>
      </c>
      <c r="BB32" s="33" t="s">
        <v>611</v>
      </c>
      <c r="BC32" s="33" t="s">
        <v>612</v>
      </c>
      <c r="BD32" s="33" t="s">
        <v>613</v>
      </c>
      <c r="BE32" s="33" t="s">
        <v>614</v>
      </c>
      <c r="BF32" s="33" t="s">
        <v>615</v>
      </c>
      <c r="BG32" s="33" t="s">
        <v>616</v>
      </c>
      <c r="BH32" s="33" t="s">
        <v>617</v>
      </c>
      <c r="BI32" s="33" t="s">
        <v>618</v>
      </c>
      <c r="BJ32" s="33" t="s">
        <v>619</v>
      </c>
      <c r="BK32" s="33" t="s">
        <v>621</v>
      </c>
      <c r="BL32" s="33" t="s">
        <v>622</v>
      </c>
      <c r="BM32" s="33" t="s">
        <v>623</v>
      </c>
      <c r="BN32" s="33" t="s">
        <v>624</v>
      </c>
      <c r="BO32" s="33" t="s">
        <v>625</v>
      </c>
      <c r="BP32" s="33" t="s">
        <v>626</v>
      </c>
      <c r="BQ32" s="33" t="s">
        <v>627</v>
      </c>
      <c r="BR32" s="33" t="s">
        <v>628</v>
      </c>
      <c r="BS32" s="33" t="s">
        <v>629</v>
      </c>
      <c r="BT32" s="33" t="s">
        <v>630</v>
      </c>
      <c r="BU32" s="33" t="s">
        <v>631</v>
      </c>
      <c r="BV32" s="33" t="s">
        <v>632</v>
      </c>
      <c r="BW32" s="33" t="s">
        <v>633</v>
      </c>
      <c r="BX32" s="33" t="s">
        <v>634</v>
      </c>
      <c r="BY32" s="33" t="s">
        <v>635</v>
      </c>
      <c r="BZ32" s="33" t="s">
        <v>636</v>
      </c>
      <c r="CA32" s="33" t="s">
        <v>637</v>
      </c>
      <c r="CB32" s="33" t="s">
        <v>638</v>
      </c>
      <c r="CC32" s="33" t="s">
        <v>639</v>
      </c>
      <c r="CD32" s="33" t="s">
        <v>640</v>
      </c>
      <c r="CE32" s="33" t="s">
        <v>641</v>
      </c>
    </row>
    <row r="33" spans="1:83" s="15" customFormat="1" ht="12.75" x14ac:dyDescent="0.2">
      <c r="A33" s="31" t="str">
        <f t="shared" ref="A33:A39" si="4">IF(ISBLANK(A22),"",A22)</f>
        <v>Germany</v>
      </c>
      <c r="B33" s="32">
        <f>SUMIF(RAW_RECOVERED!$B:$B,Tabelle289[[#This Row],[Country/Region]],RAW_RECOVERED!C:C)</f>
        <v>0</v>
      </c>
      <c r="C33" s="32">
        <f>SUMIF(RAW_RECOVERED!$B:$B,Tabelle289[[#This Row],[Country/Region]],RAW_RECOVERED!D:D)</f>
        <v>0</v>
      </c>
      <c r="D33" s="32">
        <f>SUMIF(RAW_RECOVERED!$B:$B,Tabelle289[[#This Row],[Country/Region]],RAW_RECOVERED!E:E)</f>
        <v>0</v>
      </c>
      <c r="E33" s="32">
        <f>SUMIF(RAW_RECOVERED!$B:$B,Tabelle289[[#This Row],[Country/Region]],RAW_RECOVERED!F:F)</f>
        <v>0</v>
      </c>
      <c r="F33" s="32">
        <f>SUMIF(RAW_RECOVERED!$B:$B,Tabelle289[[#This Row],[Country/Region]],RAW_RECOVERED!G:G)</f>
        <v>0</v>
      </c>
      <c r="G33" s="32">
        <f>SUMIF(RAW_RECOVERED!$B:$B,Tabelle289[[#This Row],[Country/Region]],RAW_RECOVERED!H:H)</f>
        <v>0</v>
      </c>
      <c r="H33" s="32">
        <f>SUMIF(RAW_RECOVERED!$B:$B,Tabelle289[[#This Row],[Country/Region]],RAW_RECOVERED!I:I)</f>
        <v>0</v>
      </c>
      <c r="I33" s="32">
        <f>SUMIF(RAW_RECOVERED!$B:$B,Tabelle289[[#This Row],[Country/Region]],RAW_RECOVERED!J:J)</f>
        <v>0</v>
      </c>
      <c r="J33" s="32">
        <f>SUMIF(RAW_RECOVERED!$B:$B,Tabelle289[[#This Row],[Country/Region]],RAW_RECOVERED!K:K)</f>
        <v>0</v>
      </c>
      <c r="K33" s="32">
        <f>SUMIF(RAW_RECOVERED!$B:$B,Tabelle289[[#This Row],[Country/Region]],RAW_RECOVERED!L:L)</f>
        <v>0</v>
      </c>
      <c r="L33" s="32">
        <f>SUMIF(RAW_RECOVERED!$B:$B,Tabelle289[[#This Row],[Country/Region]],RAW_RECOVERED!M:M)</f>
        <v>0</v>
      </c>
      <c r="M33" s="32">
        <f>SUMIF(RAW_RECOVERED!$B:$B,Tabelle289[[#This Row],[Country/Region]],RAW_RECOVERED!N:N)</f>
        <v>0</v>
      </c>
      <c r="N33" s="32">
        <f>SUMIF(RAW_RECOVERED!$B:$B,Tabelle289[[#This Row],[Country/Region]],RAW_RECOVERED!O:O)</f>
        <v>0</v>
      </c>
      <c r="O33" s="32">
        <f>SUMIF(RAW_RECOVERED!$B:$B,Tabelle289[[#This Row],[Country/Region]],RAW_RECOVERED!P:P)</f>
        <v>0</v>
      </c>
      <c r="P33" s="32">
        <f>SUMIF(RAW_RECOVERED!$B:$B,Tabelle289[[#This Row],[Country/Region]],RAW_RECOVERED!Q:Q)</f>
        <v>0</v>
      </c>
      <c r="Q33" s="32">
        <f>SUMIF(RAW_RECOVERED!$B:$B,Tabelle289[[#This Row],[Country/Region]],RAW_RECOVERED!R:R)</f>
        <v>0</v>
      </c>
      <c r="R33" s="32">
        <f>SUMIF(RAW_RECOVERED!$B:$B,Tabelle289[[#This Row],[Country/Region]],RAW_RECOVERED!S:S)</f>
        <v>0</v>
      </c>
      <c r="S33" s="32">
        <f>SUMIF(RAW_RECOVERED!$B:$B,Tabelle289[[#This Row],[Country/Region]],RAW_RECOVERED!T:T)</f>
        <v>0</v>
      </c>
      <c r="T33" s="32">
        <f>SUMIF(RAW_RECOVERED!$B:$B,Tabelle289[[#This Row],[Country/Region]],RAW_RECOVERED!U:U)</f>
        <v>0</v>
      </c>
      <c r="U33" s="32">
        <f>SUMIF(RAW_RECOVERED!$B:$B,Tabelle289[[#This Row],[Country/Region]],RAW_RECOVERED!V:V)</f>
        <v>0</v>
      </c>
      <c r="V33" s="32">
        <f>SUMIF(RAW_RECOVERED!$B:$B,Tabelle289[[#This Row],[Country/Region]],RAW_RECOVERED!W:W)</f>
        <v>0</v>
      </c>
      <c r="W33" s="32">
        <f>SUMIF(RAW_RECOVERED!$B:$B,Tabelle289[[#This Row],[Country/Region]],RAW_RECOVERED!X:X)</f>
        <v>0</v>
      </c>
      <c r="X33" s="32">
        <f>SUMIF(RAW_RECOVERED!$B:$B,Tabelle289[[#This Row],[Country/Region]],RAW_RECOVERED!Y:Y)</f>
        <v>1</v>
      </c>
      <c r="Y33" s="32">
        <f>SUMIF(RAW_RECOVERED!$B:$B,Tabelle289[[#This Row],[Country/Region]],RAW_RECOVERED!Z:Z)</f>
        <v>1</v>
      </c>
      <c r="Z33" s="32">
        <f>SUMIF(RAW_RECOVERED!$B:$B,Tabelle289[[#This Row],[Country/Region]],RAW_RECOVERED!AA:AA)</f>
        <v>1</v>
      </c>
      <c r="AA33" s="32">
        <f>SUMIF(RAW_RECOVERED!$B:$B,Tabelle289[[#This Row],[Country/Region]],RAW_RECOVERED!AB:AB)</f>
        <v>1</v>
      </c>
      <c r="AB33" s="32">
        <f>SUMIF(RAW_RECOVERED!$B:$B,Tabelle289[[#This Row],[Country/Region]],RAW_RECOVERED!AC:AC)</f>
        <v>1</v>
      </c>
      <c r="AC33" s="32">
        <f>SUMIF(RAW_RECOVERED!$B:$B,Tabelle289[[#This Row],[Country/Region]],RAW_RECOVERED!AD:AD)</f>
        <v>12</v>
      </c>
      <c r="AD33" s="32">
        <f>SUMIF(RAW_RECOVERED!$B:$B,Tabelle289[[#This Row],[Country/Region]],RAW_RECOVERED!AE:AE)</f>
        <v>12</v>
      </c>
      <c r="AE33" s="32">
        <f>SUMIF(RAW_RECOVERED!$B:$B,Tabelle289[[#This Row],[Country/Region]],RAW_RECOVERED!AF:AF)</f>
        <v>12</v>
      </c>
      <c r="AF33" s="32">
        <f>SUMIF(RAW_RECOVERED!$B:$B,Tabelle289[[#This Row],[Country/Region]],RAW_RECOVERED!AG:AG)</f>
        <v>14</v>
      </c>
      <c r="AG33" s="32">
        <f>SUMIF(RAW_RECOVERED!$B:$B,Tabelle289[[#This Row],[Country/Region]],RAW_RECOVERED!AH:AH)</f>
        <v>14</v>
      </c>
      <c r="AH33" s="32">
        <f>SUMIF(RAW_RECOVERED!$B:$B,Tabelle289[[#This Row],[Country/Region]],RAW_RECOVERED!AI:AI)</f>
        <v>14</v>
      </c>
      <c r="AI33" s="32">
        <f>SUMIF(RAW_RECOVERED!$B:$B,Tabelle289[[#This Row],[Country/Region]],RAW_RECOVERED!AJ:AJ)</f>
        <v>14</v>
      </c>
      <c r="AJ33" s="32">
        <f>SUMIF(RAW_RECOVERED!$B:$B,Tabelle289[[#This Row],[Country/Region]],RAW_RECOVERED!AK:AK)</f>
        <v>14</v>
      </c>
      <c r="AK33" s="32">
        <f>SUMIF(RAW_RECOVERED!$B:$B,Tabelle289[[#This Row],[Country/Region]],RAW_RECOVERED!AL:AL)</f>
        <v>15</v>
      </c>
      <c r="AL33" s="32">
        <f>SUMIF(RAW_RECOVERED!$B:$B,Tabelle289[[#This Row],[Country/Region]],RAW_RECOVERED!AM:AM)</f>
        <v>16</v>
      </c>
      <c r="AM33" s="32">
        <f>SUMIF(RAW_RECOVERED!$B:$B,Tabelle289[[#This Row],[Country/Region]],RAW_RECOVERED!AN:AN)</f>
        <v>16</v>
      </c>
      <c r="AN33" s="32">
        <f>SUMIF(RAW_RECOVERED!$B:$B,Tabelle289[[#This Row],[Country/Region]],RAW_RECOVERED!AO:AO)</f>
        <v>16</v>
      </c>
      <c r="AO33" s="32">
        <f>SUMIF(RAW_RECOVERED!$B:$B,Tabelle289[[#This Row],[Country/Region]],RAW_RECOVERED!AP:AP)</f>
        <v>16</v>
      </c>
      <c r="AP33" s="32">
        <f>SUMIF(RAW_RECOVERED!$B:$B,Tabelle289[[#This Row],[Country/Region]],RAW_RECOVERED!AQ:AQ)</f>
        <v>16</v>
      </c>
      <c r="AQ33" s="32">
        <f>SUMIF(RAW_RECOVERED!$B:$B,Tabelle289[[#This Row],[Country/Region]],RAW_RECOVERED!AR:AR)</f>
        <v>16</v>
      </c>
      <c r="AR33" s="32">
        <f>SUMIF(RAW_RECOVERED!$B:$B,Tabelle289[[#This Row],[Country/Region]],RAW_RECOVERED!AS:AS)</f>
        <v>16</v>
      </c>
      <c r="AS33" s="32">
        <f>SUMIF(RAW_RECOVERED!$B:$B,Tabelle289[[#This Row],[Country/Region]],RAW_RECOVERED!AT:AT)</f>
        <v>16</v>
      </c>
      <c r="AT33" s="32">
        <f>SUMIF(RAW_RECOVERED!$B:$B,Tabelle289[[#This Row],[Country/Region]],RAW_RECOVERED!AU:AU)</f>
        <v>17</v>
      </c>
      <c r="AU33" s="32">
        <f>SUMIF(RAW_RECOVERED!$B:$B,Tabelle289[[#This Row],[Country/Region]],RAW_RECOVERED!AV:AV)</f>
        <v>18</v>
      </c>
      <c r="AV33" s="32">
        <f>SUMIF(RAW_RECOVERED!$B:$B,Tabelle289[[#This Row],[Country/Region]],RAW_RECOVERED!AW:AW)</f>
        <v>18</v>
      </c>
      <c r="AW33" s="32">
        <f>SUMIF(RAW_RECOVERED!$B:$B,Tabelle289[[#This Row],[Country/Region]],RAW_RECOVERED!AX:AX)</f>
        <v>18</v>
      </c>
      <c r="AX33" s="32">
        <f>SUMIF(RAW_RECOVERED!$B:$B,Tabelle289[[#This Row],[Country/Region]],RAW_RECOVERED!AY:AY)</f>
        <v>18</v>
      </c>
      <c r="AY33" s="32">
        <f>SUMIF(RAW_RECOVERED!$B:$B,Tabelle289[[#This Row],[Country/Region]],RAW_RECOVERED!AZ:AZ)</f>
        <v>25</v>
      </c>
      <c r="AZ33" s="32">
        <f>SUMIF(RAW_RECOVERED!$B:$B,Tabelle289[[#This Row],[Country/Region]],RAW_RECOVERED!BA:BA)</f>
        <v>25</v>
      </c>
      <c r="BA33" s="32">
        <f>SUMIF(RAW_RECOVERED!$B:$B,Tabelle289[[#This Row],[Country/Region]],RAW_RECOVERED!BB:BB)</f>
        <v>46</v>
      </c>
      <c r="BB33" s="32">
        <f>SUMIF(RAW_RECOVERED!$B:$B,Tabelle289[[#This Row],[Country/Region]],RAW_RECOVERED!BC:BC)</f>
        <v>46</v>
      </c>
      <c r="BC33" s="32">
        <f>SUMIF(RAW_RECOVERED!$B:$B,Tabelle289[[#This Row],[Country/Region]],RAW_RECOVERED!BD:BD)</f>
        <v>46</v>
      </c>
      <c r="BD33" s="32">
        <f>SUMIF(RAW_RECOVERED!$B:$B,Tabelle289[[#This Row],[Country/Region]],RAW_RECOVERED!BE:BE)</f>
        <v>67</v>
      </c>
      <c r="BE33" s="32">
        <f>SUMIF(RAW_RECOVERED!$B:$B,Tabelle289[[#This Row],[Country/Region]],RAW_RECOVERED!BF:BF)</f>
        <v>67</v>
      </c>
      <c r="BF33" s="32">
        <f>SUMIF(RAW_RECOVERED!$B:$B,Tabelle289[[#This Row],[Country/Region]],RAW_RECOVERED!BG:BG)</f>
        <v>105</v>
      </c>
      <c r="BG33" s="32">
        <f>SUMIF(RAW_RECOVERED!$B:$B,Tabelle289[[#This Row],[Country/Region]],RAW_RECOVERED!BH:BH)</f>
        <v>113</v>
      </c>
      <c r="BH33" s="32">
        <f>SUMIF(RAW_RECOVERED!$B:$B,Tabelle289[[#This Row],[Country/Region]],RAW_RECOVERED!BI:BI)</f>
        <v>180</v>
      </c>
      <c r="BI33" s="32">
        <f>SUMIF(RAW_RECOVERED!$B:$B,Tabelle289[[#This Row],[Country/Region]],RAW_RECOVERED!BJ:BJ)</f>
        <v>233</v>
      </c>
      <c r="BJ33" s="32">
        <f>SUMIF(RAW_RECOVERED!$B:$B,Tabelle289[[#This Row],[Country/Region]],RAW_RECOVERED!BK:BK)</f>
        <v>266</v>
      </c>
      <c r="BK33" s="32">
        <f>SUMIF(RAW_RECOVERED!$B:$B,Tabelle289[[#This Row],[Country/Region]],RAW_RECOVERED!BL:BL)</f>
        <v>0</v>
      </c>
      <c r="BL33" s="32">
        <f>SUMIF(RAW_RECOVERED!$B:$B,Tabelle289[[#This Row],[Country/Region]],RAW_RECOVERED!BM:BM)</f>
        <v>0</v>
      </c>
      <c r="BM33" s="32">
        <f>SUMIF(RAW_RECOVERED!$B:$B,Tabelle289[[#This Row],[Country/Region]],RAW_RECOVERED!BN:BN)</f>
        <v>0</v>
      </c>
      <c r="BN33" s="32">
        <f>SUMIF(RAW_RECOVERED!$B:$B,Tabelle289[[#This Row],[Country/Region]],RAW_RECOVERED!BO:BO)</f>
        <v>0</v>
      </c>
      <c r="BO33" s="32">
        <f>SUMIF(RAW_RECOVERED!$B:$B,Tabelle289[[#This Row],[Country/Region]],RAW_RECOVERED!BP:BP)</f>
        <v>0</v>
      </c>
      <c r="BP33" s="32">
        <f>SUMIF(RAW_RECOVERED!$B:$B,Tabelle289[[#This Row],[Country/Region]],RAW_RECOVERED!BQ:BQ)</f>
        <v>0</v>
      </c>
      <c r="BQ33" s="32">
        <f>SUMIF(RAW_RECOVERED!$B:$B,Tabelle289[[#This Row],[Country/Region]],RAW_RECOVERED!BR:BR)</f>
        <v>0</v>
      </c>
      <c r="BR33" s="32">
        <f>SUMIF(RAW_RECOVERED!$B:$B,Tabelle289[[#This Row],[Country/Region]],RAW_RECOVERED!BS:BS)</f>
        <v>0</v>
      </c>
      <c r="BS33" s="32">
        <f>SUMIF(RAW_RECOVERED!$B:$B,Tabelle289[[#This Row],[Country/Region]],RAW_RECOVERED!BT:BT)</f>
        <v>0</v>
      </c>
      <c r="BT33" s="32">
        <f>SUMIF(RAW_RECOVERED!$B:$B,Tabelle289[[#This Row],[Country/Region]],RAW_RECOVERED!BU:BU)</f>
        <v>0</v>
      </c>
      <c r="BU33" s="32">
        <f>SUMIF(RAW_RECOVERED!$B:$B,Tabelle289[[#This Row],[Country/Region]],RAW_RECOVERED!BV:BV)</f>
        <v>0</v>
      </c>
      <c r="BV33" s="32">
        <f>SUMIF(RAW_RECOVERED!$B:$B,Tabelle289[[#This Row],[Country/Region]],RAW_RECOVERED!BW:BW)</f>
        <v>0</v>
      </c>
      <c r="BW33" s="32">
        <f>SUMIF(RAW_RECOVERED!$B:$B,Tabelle289[[#This Row],[Country/Region]],RAW_RECOVERED!BX:BX)</f>
        <v>0</v>
      </c>
      <c r="BX33" s="32">
        <f>SUMIF(RAW_RECOVERED!$B:$B,Tabelle289[[#This Row],[Country/Region]],RAW_RECOVERED!BY:BY)</f>
        <v>0</v>
      </c>
      <c r="BY33" s="32">
        <f>SUMIF(RAW_RECOVERED!$B:$B,Tabelle289[[#This Row],[Country/Region]],RAW_RECOVERED!BZ:BZ)</f>
        <v>0</v>
      </c>
      <c r="BZ33" s="32">
        <f>SUMIF(RAW_RECOVERED!$B:$B,Tabelle289[[#This Row],[Country/Region]],RAW_RECOVERED!CA:CA)</f>
        <v>0</v>
      </c>
      <c r="CA33" s="32">
        <f>SUMIF(RAW_RECOVERED!$B:$B,Tabelle289[[#This Row],[Country/Region]],RAW_RECOVERED!CB:CB)</f>
        <v>0</v>
      </c>
      <c r="CB33" s="32">
        <f>SUMIF(RAW_RECOVERED!$B:$B,Tabelle289[[#This Row],[Country/Region]],RAW_RECOVERED!CC:CC)</f>
        <v>0</v>
      </c>
      <c r="CC33" s="32">
        <f>SUMIF(RAW_RECOVERED!$B:$B,Tabelle289[[#This Row],[Country/Region]],RAW_RECOVERED!CD:CD)</f>
        <v>0</v>
      </c>
      <c r="CD33" s="32">
        <f>SUMIF(RAW_RECOVERED!$B:$B,Tabelle289[[#This Row],[Country/Region]],RAW_RECOVERED!CE:CE)</f>
        <v>0</v>
      </c>
      <c r="CE33" s="32">
        <f>SUMIF(RAW_RECOVERED!$B:$B,Tabelle289[[#This Row],[Country/Region]],RAW_RECOVERED!CF:CF)</f>
        <v>0</v>
      </c>
    </row>
    <row r="34" spans="1:83" s="15" customFormat="1" ht="12.75" x14ac:dyDescent="0.2">
      <c r="A34" s="31" t="str">
        <f t="shared" si="4"/>
        <v>US</v>
      </c>
      <c r="B34" s="32">
        <f>SUMIF(RAW_RECOVERED!$B:$B,Tabelle289[[#This Row],[Country/Region]],RAW_RECOVERED!C:C)</f>
        <v>0</v>
      </c>
      <c r="C34" s="32">
        <f>SUMIF(RAW_RECOVERED!$B:$B,Tabelle289[[#This Row],[Country/Region]],RAW_RECOVERED!D:D)</f>
        <v>0</v>
      </c>
      <c r="D34" s="32">
        <f>SUMIF(RAW_RECOVERED!$B:$B,Tabelle289[[#This Row],[Country/Region]],RAW_RECOVERED!E:E)</f>
        <v>0</v>
      </c>
      <c r="E34" s="32">
        <f>SUMIF(RAW_RECOVERED!$B:$B,Tabelle289[[#This Row],[Country/Region]],RAW_RECOVERED!F:F)</f>
        <v>0</v>
      </c>
      <c r="F34" s="32">
        <f>SUMIF(RAW_RECOVERED!$B:$B,Tabelle289[[#This Row],[Country/Region]],RAW_RECOVERED!G:G)</f>
        <v>0</v>
      </c>
      <c r="G34" s="32">
        <f>SUMIF(RAW_RECOVERED!$B:$B,Tabelle289[[#This Row],[Country/Region]],RAW_RECOVERED!H:H)</f>
        <v>0</v>
      </c>
      <c r="H34" s="32">
        <f>SUMIF(RAW_RECOVERED!$B:$B,Tabelle289[[#This Row],[Country/Region]],RAW_RECOVERED!I:I)</f>
        <v>0</v>
      </c>
      <c r="I34" s="32">
        <f>SUMIF(RAW_RECOVERED!$B:$B,Tabelle289[[#This Row],[Country/Region]],RAW_RECOVERED!J:J)</f>
        <v>0</v>
      </c>
      <c r="J34" s="32">
        <f>SUMIF(RAW_RECOVERED!$B:$B,Tabelle289[[#This Row],[Country/Region]],RAW_RECOVERED!K:K)</f>
        <v>0</v>
      </c>
      <c r="K34" s="32">
        <f>SUMIF(RAW_RECOVERED!$B:$B,Tabelle289[[#This Row],[Country/Region]],RAW_RECOVERED!L:L)</f>
        <v>0</v>
      </c>
      <c r="L34" s="32">
        <f>SUMIF(RAW_RECOVERED!$B:$B,Tabelle289[[#This Row],[Country/Region]],RAW_RECOVERED!M:M)</f>
        <v>0</v>
      </c>
      <c r="M34" s="32">
        <f>SUMIF(RAW_RECOVERED!$B:$B,Tabelle289[[#This Row],[Country/Region]],RAW_RECOVERED!N:N)</f>
        <v>0</v>
      </c>
      <c r="N34" s="32">
        <f>SUMIF(RAW_RECOVERED!$B:$B,Tabelle289[[#This Row],[Country/Region]],RAW_RECOVERED!O:O)</f>
        <v>0</v>
      </c>
      <c r="O34" s="32">
        <f>SUMIF(RAW_RECOVERED!$B:$B,Tabelle289[[#This Row],[Country/Region]],RAW_RECOVERED!P:P)</f>
        <v>0</v>
      </c>
      <c r="P34" s="32">
        <f>SUMIF(RAW_RECOVERED!$B:$B,Tabelle289[[#This Row],[Country/Region]],RAW_RECOVERED!Q:Q)</f>
        <v>0</v>
      </c>
      <c r="Q34" s="32">
        <f>SUMIF(RAW_RECOVERED!$B:$B,Tabelle289[[#This Row],[Country/Region]],RAW_RECOVERED!R:R)</f>
        <v>0</v>
      </c>
      <c r="R34" s="32">
        <f>SUMIF(RAW_RECOVERED!$B:$B,Tabelle289[[#This Row],[Country/Region]],RAW_RECOVERED!S:S)</f>
        <v>0</v>
      </c>
      <c r="S34" s="32">
        <f>SUMIF(RAW_RECOVERED!$B:$B,Tabelle289[[#This Row],[Country/Region]],RAW_RECOVERED!T:T)</f>
        <v>0</v>
      </c>
      <c r="T34" s="32">
        <f>SUMIF(RAW_RECOVERED!$B:$B,Tabelle289[[#This Row],[Country/Region]],RAW_RECOVERED!U:U)</f>
        <v>3</v>
      </c>
      <c r="U34" s="32">
        <f>SUMIF(RAW_RECOVERED!$B:$B,Tabelle289[[#This Row],[Country/Region]],RAW_RECOVERED!V:V)</f>
        <v>3</v>
      </c>
      <c r="V34" s="32">
        <f>SUMIF(RAW_RECOVERED!$B:$B,Tabelle289[[#This Row],[Country/Region]],RAW_RECOVERED!W:W)</f>
        <v>3</v>
      </c>
      <c r="W34" s="32">
        <f>SUMIF(RAW_RECOVERED!$B:$B,Tabelle289[[#This Row],[Country/Region]],RAW_RECOVERED!X:X)</f>
        <v>3</v>
      </c>
      <c r="X34" s="32">
        <f>SUMIF(RAW_RECOVERED!$B:$B,Tabelle289[[#This Row],[Country/Region]],RAW_RECOVERED!Y:Y)</f>
        <v>3</v>
      </c>
      <c r="Y34" s="32">
        <f>SUMIF(RAW_RECOVERED!$B:$B,Tabelle289[[#This Row],[Country/Region]],RAW_RECOVERED!Z:Z)</f>
        <v>3</v>
      </c>
      <c r="Z34" s="32">
        <f>SUMIF(RAW_RECOVERED!$B:$B,Tabelle289[[#This Row],[Country/Region]],RAW_RECOVERED!AA:AA)</f>
        <v>3</v>
      </c>
      <c r="AA34" s="32">
        <f>SUMIF(RAW_RECOVERED!$B:$B,Tabelle289[[#This Row],[Country/Region]],RAW_RECOVERED!AB:AB)</f>
        <v>3</v>
      </c>
      <c r="AB34" s="32">
        <f>SUMIF(RAW_RECOVERED!$B:$B,Tabelle289[[#This Row],[Country/Region]],RAW_RECOVERED!AC:AC)</f>
        <v>3</v>
      </c>
      <c r="AC34" s="32">
        <f>SUMIF(RAW_RECOVERED!$B:$B,Tabelle289[[#This Row],[Country/Region]],RAW_RECOVERED!AD:AD)</f>
        <v>3</v>
      </c>
      <c r="AD34" s="32">
        <f>SUMIF(RAW_RECOVERED!$B:$B,Tabelle289[[#This Row],[Country/Region]],RAW_RECOVERED!AE:AE)</f>
        <v>3</v>
      </c>
      <c r="AE34" s="32">
        <f>SUMIF(RAW_RECOVERED!$B:$B,Tabelle289[[#This Row],[Country/Region]],RAW_RECOVERED!AF:AF)</f>
        <v>3</v>
      </c>
      <c r="AF34" s="32">
        <f>SUMIF(RAW_RECOVERED!$B:$B,Tabelle289[[#This Row],[Country/Region]],RAW_RECOVERED!AG:AG)</f>
        <v>5</v>
      </c>
      <c r="AG34" s="32">
        <f>SUMIF(RAW_RECOVERED!$B:$B,Tabelle289[[#This Row],[Country/Region]],RAW_RECOVERED!AH:AH)</f>
        <v>5</v>
      </c>
      <c r="AH34" s="32">
        <f>SUMIF(RAW_RECOVERED!$B:$B,Tabelle289[[#This Row],[Country/Region]],RAW_RECOVERED!AI:AI)</f>
        <v>5</v>
      </c>
      <c r="AI34" s="32">
        <f>SUMIF(RAW_RECOVERED!$B:$B,Tabelle289[[#This Row],[Country/Region]],RAW_RECOVERED!AJ:AJ)</f>
        <v>5</v>
      </c>
      <c r="AJ34" s="32">
        <f>SUMIF(RAW_RECOVERED!$B:$B,Tabelle289[[#This Row],[Country/Region]],RAW_RECOVERED!AK:AK)</f>
        <v>6</v>
      </c>
      <c r="AK34" s="32">
        <f>SUMIF(RAW_RECOVERED!$B:$B,Tabelle289[[#This Row],[Country/Region]],RAW_RECOVERED!AL:AL)</f>
        <v>6</v>
      </c>
      <c r="AL34" s="32">
        <f>SUMIF(RAW_RECOVERED!$B:$B,Tabelle289[[#This Row],[Country/Region]],RAW_RECOVERED!AM:AM)</f>
        <v>6</v>
      </c>
      <c r="AM34" s="32">
        <f>SUMIF(RAW_RECOVERED!$B:$B,Tabelle289[[#This Row],[Country/Region]],RAW_RECOVERED!AN:AN)</f>
        <v>7</v>
      </c>
      <c r="AN34" s="32">
        <f>SUMIF(RAW_RECOVERED!$B:$B,Tabelle289[[#This Row],[Country/Region]],RAW_RECOVERED!AO:AO)</f>
        <v>7</v>
      </c>
      <c r="AO34" s="32">
        <f>SUMIF(RAW_RECOVERED!$B:$B,Tabelle289[[#This Row],[Country/Region]],RAW_RECOVERED!AP:AP)</f>
        <v>7</v>
      </c>
      <c r="AP34" s="32">
        <f>SUMIF(RAW_RECOVERED!$B:$B,Tabelle289[[#This Row],[Country/Region]],RAW_RECOVERED!AQ:AQ)</f>
        <v>7</v>
      </c>
      <c r="AQ34" s="32">
        <f>SUMIF(RAW_RECOVERED!$B:$B,Tabelle289[[#This Row],[Country/Region]],RAW_RECOVERED!AR:AR)</f>
        <v>7</v>
      </c>
      <c r="AR34" s="32">
        <f>SUMIF(RAW_RECOVERED!$B:$B,Tabelle289[[#This Row],[Country/Region]],RAW_RECOVERED!AS:AS)</f>
        <v>7</v>
      </c>
      <c r="AS34" s="32">
        <f>SUMIF(RAW_RECOVERED!$B:$B,Tabelle289[[#This Row],[Country/Region]],RAW_RECOVERED!AT:AT)</f>
        <v>7</v>
      </c>
      <c r="AT34" s="32">
        <f>SUMIF(RAW_RECOVERED!$B:$B,Tabelle289[[#This Row],[Country/Region]],RAW_RECOVERED!AU:AU)</f>
        <v>7</v>
      </c>
      <c r="AU34" s="32">
        <f>SUMIF(RAW_RECOVERED!$B:$B,Tabelle289[[#This Row],[Country/Region]],RAW_RECOVERED!AV:AV)</f>
        <v>7</v>
      </c>
      <c r="AV34" s="32">
        <f>SUMIF(RAW_RECOVERED!$B:$B,Tabelle289[[#This Row],[Country/Region]],RAW_RECOVERED!AW:AW)</f>
        <v>7</v>
      </c>
      <c r="AW34" s="32">
        <f>SUMIF(RAW_RECOVERED!$B:$B,Tabelle289[[#This Row],[Country/Region]],RAW_RECOVERED!AX:AX)</f>
        <v>7</v>
      </c>
      <c r="AX34" s="32">
        <f>SUMIF(RAW_RECOVERED!$B:$B,Tabelle289[[#This Row],[Country/Region]],RAW_RECOVERED!AY:AY)</f>
        <v>8</v>
      </c>
      <c r="AY34" s="32">
        <f>SUMIF(RAW_RECOVERED!$B:$B,Tabelle289[[#This Row],[Country/Region]],RAW_RECOVERED!AZ:AZ)</f>
        <v>8</v>
      </c>
      <c r="AZ34" s="32">
        <f>SUMIF(RAW_RECOVERED!$B:$B,Tabelle289[[#This Row],[Country/Region]],RAW_RECOVERED!BA:BA)</f>
        <v>12</v>
      </c>
      <c r="BA34" s="32">
        <f>SUMIF(RAW_RECOVERED!$B:$B,Tabelle289[[#This Row],[Country/Region]],RAW_RECOVERED!BB:BB)</f>
        <v>12</v>
      </c>
      <c r="BB34" s="32">
        <f>SUMIF(RAW_RECOVERED!$B:$B,Tabelle289[[#This Row],[Country/Region]],RAW_RECOVERED!BC:BC)</f>
        <v>12</v>
      </c>
      <c r="BC34" s="32">
        <f>SUMIF(RAW_RECOVERED!$B:$B,Tabelle289[[#This Row],[Country/Region]],RAW_RECOVERED!BD:BD)</f>
        <v>12</v>
      </c>
      <c r="BD34" s="32">
        <f>SUMIF(RAW_RECOVERED!$B:$B,Tabelle289[[#This Row],[Country/Region]],RAW_RECOVERED!BE:BE)</f>
        <v>17</v>
      </c>
      <c r="BE34" s="32">
        <f>SUMIF(RAW_RECOVERED!$B:$B,Tabelle289[[#This Row],[Country/Region]],RAW_RECOVERED!BF:BF)</f>
        <v>17</v>
      </c>
      <c r="BF34" s="32">
        <f>SUMIF(RAW_RECOVERED!$B:$B,Tabelle289[[#This Row],[Country/Region]],RAW_RECOVERED!BG:BG)</f>
        <v>0</v>
      </c>
      <c r="BG34" s="32">
        <f>SUMIF(RAW_RECOVERED!$B:$B,Tabelle289[[#This Row],[Country/Region]],RAW_RECOVERED!BH:BH)</f>
        <v>0</v>
      </c>
      <c r="BH34" s="32">
        <f>SUMIF(RAW_RECOVERED!$B:$B,Tabelle289[[#This Row],[Country/Region]],RAW_RECOVERED!BI:BI)</f>
        <v>0</v>
      </c>
      <c r="BI34" s="32">
        <f>SUMIF(RAW_RECOVERED!$B:$B,Tabelle289[[#This Row],[Country/Region]],RAW_RECOVERED!BJ:BJ)</f>
        <v>0</v>
      </c>
      <c r="BJ34" s="32">
        <f>SUMIF(RAW_RECOVERED!$B:$B,Tabelle289[[#This Row],[Country/Region]],RAW_RECOVERED!BK:BK)</f>
        <v>0</v>
      </c>
      <c r="BK34" s="32">
        <f>SUMIF(RAW_RECOVERED!$B:$B,Tabelle289[[#This Row],[Country/Region]],RAW_RECOVERED!BL:BL)</f>
        <v>0</v>
      </c>
      <c r="BL34" s="32">
        <f>SUMIF(RAW_RECOVERED!$B:$B,Tabelle289[[#This Row],[Country/Region]],RAW_RECOVERED!BM:BM)</f>
        <v>0</v>
      </c>
      <c r="BM34" s="32">
        <f>SUMIF(RAW_RECOVERED!$B:$B,Tabelle289[[#This Row],[Country/Region]],RAW_RECOVERED!BN:BN)</f>
        <v>0</v>
      </c>
      <c r="BN34" s="32">
        <f>SUMIF(RAW_RECOVERED!$B:$B,Tabelle289[[#This Row],[Country/Region]],RAW_RECOVERED!BO:BO)</f>
        <v>0</v>
      </c>
      <c r="BO34" s="32">
        <f>SUMIF(RAW_RECOVERED!$B:$B,Tabelle289[[#This Row],[Country/Region]],RAW_RECOVERED!BP:BP)</f>
        <v>0</v>
      </c>
      <c r="BP34" s="32">
        <f>SUMIF(RAW_RECOVERED!$B:$B,Tabelle289[[#This Row],[Country/Region]],RAW_RECOVERED!BQ:BQ)</f>
        <v>0</v>
      </c>
      <c r="BQ34" s="32">
        <f>SUMIF(RAW_RECOVERED!$B:$B,Tabelle289[[#This Row],[Country/Region]],RAW_RECOVERED!BR:BR)</f>
        <v>0</v>
      </c>
      <c r="BR34" s="32">
        <f>SUMIF(RAW_RECOVERED!$B:$B,Tabelle289[[#This Row],[Country/Region]],RAW_RECOVERED!BS:BS)</f>
        <v>0</v>
      </c>
      <c r="BS34" s="32">
        <f>SUMIF(RAW_RECOVERED!$B:$B,Tabelle289[[#This Row],[Country/Region]],RAW_RECOVERED!BT:BT)</f>
        <v>0</v>
      </c>
      <c r="BT34" s="32">
        <f>SUMIF(RAW_RECOVERED!$B:$B,Tabelle289[[#This Row],[Country/Region]],RAW_RECOVERED!BU:BU)</f>
        <v>0</v>
      </c>
      <c r="BU34" s="32">
        <f>SUMIF(RAW_RECOVERED!$B:$B,Tabelle289[[#This Row],[Country/Region]],RAW_RECOVERED!BV:BV)</f>
        <v>0</v>
      </c>
      <c r="BV34" s="32">
        <f>SUMIF(RAW_RECOVERED!$B:$B,Tabelle289[[#This Row],[Country/Region]],RAW_RECOVERED!BW:BW)</f>
        <v>0</v>
      </c>
      <c r="BW34" s="32">
        <f>SUMIF(RAW_RECOVERED!$B:$B,Tabelle289[[#This Row],[Country/Region]],RAW_RECOVERED!BX:BX)</f>
        <v>0</v>
      </c>
      <c r="BX34" s="32">
        <f>SUMIF(RAW_RECOVERED!$B:$B,Tabelle289[[#This Row],[Country/Region]],RAW_RECOVERED!BY:BY)</f>
        <v>0</v>
      </c>
      <c r="BY34" s="32">
        <f>SUMIF(RAW_RECOVERED!$B:$B,Tabelle289[[#This Row],[Country/Region]],RAW_RECOVERED!BZ:BZ)</f>
        <v>0</v>
      </c>
      <c r="BZ34" s="32">
        <f>SUMIF(RAW_RECOVERED!$B:$B,Tabelle289[[#This Row],[Country/Region]],RAW_RECOVERED!CA:CA)</f>
        <v>0</v>
      </c>
      <c r="CA34" s="32">
        <f>SUMIF(RAW_RECOVERED!$B:$B,Tabelle289[[#This Row],[Country/Region]],RAW_RECOVERED!CB:CB)</f>
        <v>0</v>
      </c>
      <c r="CB34" s="32">
        <f>SUMIF(RAW_RECOVERED!$B:$B,Tabelle289[[#This Row],[Country/Region]],RAW_RECOVERED!CC:CC)</f>
        <v>0</v>
      </c>
      <c r="CC34" s="32">
        <f>SUMIF(RAW_RECOVERED!$B:$B,Tabelle289[[#This Row],[Country/Region]],RAW_RECOVERED!CD:CD)</f>
        <v>0</v>
      </c>
      <c r="CD34" s="32">
        <f>SUMIF(RAW_RECOVERED!$B:$B,Tabelle289[[#This Row],[Country/Region]],RAW_RECOVERED!CE:CE)</f>
        <v>0</v>
      </c>
      <c r="CE34" s="32">
        <f>SUMIF(RAW_RECOVERED!$B:$B,Tabelle289[[#This Row],[Country/Region]],RAW_RECOVERED!CF:CF)</f>
        <v>0</v>
      </c>
    </row>
    <row r="35" spans="1:83" s="15" customFormat="1" ht="12.75" x14ac:dyDescent="0.2">
      <c r="A35" s="31" t="str">
        <f t="shared" si="4"/>
        <v>Italy</v>
      </c>
      <c r="B35" s="32">
        <f>SUMIF(RAW_RECOVERED!$B:$B,Tabelle289[[#This Row],[Country/Region]],RAW_RECOVERED!C:C)</f>
        <v>0</v>
      </c>
      <c r="C35" s="32">
        <f>SUMIF(RAW_RECOVERED!$B:$B,Tabelle289[[#This Row],[Country/Region]],RAW_RECOVERED!D:D)</f>
        <v>0</v>
      </c>
      <c r="D35" s="32">
        <f>SUMIF(RAW_RECOVERED!$B:$B,Tabelle289[[#This Row],[Country/Region]],RAW_RECOVERED!E:E)</f>
        <v>0</v>
      </c>
      <c r="E35" s="32">
        <f>SUMIF(RAW_RECOVERED!$B:$B,Tabelle289[[#This Row],[Country/Region]],RAW_RECOVERED!F:F)</f>
        <v>0</v>
      </c>
      <c r="F35" s="32">
        <f>SUMIF(RAW_RECOVERED!$B:$B,Tabelle289[[#This Row],[Country/Region]],RAW_RECOVERED!G:G)</f>
        <v>0</v>
      </c>
      <c r="G35" s="32">
        <f>SUMIF(RAW_RECOVERED!$B:$B,Tabelle289[[#This Row],[Country/Region]],RAW_RECOVERED!H:H)</f>
        <v>0</v>
      </c>
      <c r="H35" s="32">
        <f>SUMIF(RAW_RECOVERED!$B:$B,Tabelle289[[#This Row],[Country/Region]],RAW_RECOVERED!I:I)</f>
        <v>0</v>
      </c>
      <c r="I35" s="32">
        <f>SUMIF(RAW_RECOVERED!$B:$B,Tabelle289[[#This Row],[Country/Region]],RAW_RECOVERED!J:J)</f>
        <v>0</v>
      </c>
      <c r="J35" s="32">
        <f>SUMIF(RAW_RECOVERED!$B:$B,Tabelle289[[#This Row],[Country/Region]],RAW_RECOVERED!K:K)</f>
        <v>0</v>
      </c>
      <c r="K35" s="32">
        <f>SUMIF(RAW_RECOVERED!$B:$B,Tabelle289[[#This Row],[Country/Region]],RAW_RECOVERED!L:L)</f>
        <v>0</v>
      </c>
      <c r="L35" s="32">
        <f>SUMIF(RAW_RECOVERED!$B:$B,Tabelle289[[#This Row],[Country/Region]],RAW_RECOVERED!M:M)</f>
        <v>0</v>
      </c>
      <c r="M35" s="32">
        <f>SUMIF(RAW_RECOVERED!$B:$B,Tabelle289[[#This Row],[Country/Region]],RAW_RECOVERED!N:N)</f>
        <v>0</v>
      </c>
      <c r="N35" s="32">
        <f>SUMIF(RAW_RECOVERED!$B:$B,Tabelle289[[#This Row],[Country/Region]],RAW_RECOVERED!O:O)</f>
        <v>0</v>
      </c>
      <c r="O35" s="32">
        <f>SUMIF(RAW_RECOVERED!$B:$B,Tabelle289[[#This Row],[Country/Region]],RAW_RECOVERED!P:P)</f>
        <v>0</v>
      </c>
      <c r="P35" s="32">
        <f>SUMIF(RAW_RECOVERED!$B:$B,Tabelle289[[#This Row],[Country/Region]],RAW_RECOVERED!Q:Q)</f>
        <v>0</v>
      </c>
      <c r="Q35" s="32">
        <f>SUMIF(RAW_RECOVERED!$B:$B,Tabelle289[[#This Row],[Country/Region]],RAW_RECOVERED!R:R)</f>
        <v>0</v>
      </c>
      <c r="R35" s="32">
        <f>SUMIF(RAW_RECOVERED!$B:$B,Tabelle289[[#This Row],[Country/Region]],RAW_RECOVERED!S:S)</f>
        <v>0</v>
      </c>
      <c r="S35" s="32">
        <f>SUMIF(RAW_RECOVERED!$B:$B,Tabelle289[[#This Row],[Country/Region]],RAW_RECOVERED!T:T)</f>
        <v>0</v>
      </c>
      <c r="T35" s="32">
        <f>SUMIF(RAW_RECOVERED!$B:$B,Tabelle289[[#This Row],[Country/Region]],RAW_RECOVERED!U:U)</f>
        <v>0</v>
      </c>
      <c r="U35" s="32">
        <f>SUMIF(RAW_RECOVERED!$B:$B,Tabelle289[[#This Row],[Country/Region]],RAW_RECOVERED!V:V)</f>
        <v>0</v>
      </c>
      <c r="V35" s="32">
        <f>SUMIF(RAW_RECOVERED!$B:$B,Tabelle289[[#This Row],[Country/Region]],RAW_RECOVERED!W:W)</f>
        <v>0</v>
      </c>
      <c r="W35" s="32">
        <f>SUMIF(RAW_RECOVERED!$B:$B,Tabelle289[[#This Row],[Country/Region]],RAW_RECOVERED!X:X)</f>
        <v>0</v>
      </c>
      <c r="X35" s="32">
        <f>SUMIF(RAW_RECOVERED!$B:$B,Tabelle289[[#This Row],[Country/Region]],RAW_RECOVERED!Y:Y)</f>
        <v>0</v>
      </c>
      <c r="Y35" s="32">
        <f>SUMIF(RAW_RECOVERED!$B:$B,Tabelle289[[#This Row],[Country/Region]],RAW_RECOVERED!Z:Z)</f>
        <v>0</v>
      </c>
      <c r="Z35" s="32">
        <f>SUMIF(RAW_RECOVERED!$B:$B,Tabelle289[[#This Row],[Country/Region]],RAW_RECOVERED!AA:AA)</f>
        <v>0</v>
      </c>
      <c r="AA35" s="32">
        <f>SUMIF(RAW_RECOVERED!$B:$B,Tabelle289[[#This Row],[Country/Region]],RAW_RECOVERED!AB:AB)</f>
        <v>0</v>
      </c>
      <c r="AB35" s="32">
        <f>SUMIF(RAW_RECOVERED!$B:$B,Tabelle289[[#This Row],[Country/Region]],RAW_RECOVERED!AC:AC)</f>
        <v>0</v>
      </c>
      <c r="AC35" s="32">
        <f>SUMIF(RAW_RECOVERED!$B:$B,Tabelle289[[#This Row],[Country/Region]],RAW_RECOVERED!AD:AD)</f>
        <v>0</v>
      </c>
      <c r="AD35" s="32">
        <f>SUMIF(RAW_RECOVERED!$B:$B,Tabelle289[[#This Row],[Country/Region]],RAW_RECOVERED!AE:AE)</f>
        <v>0</v>
      </c>
      <c r="AE35" s="32">
        <f>SUMIF(RAW_RECOVERED!$B:$B,Tabelle289[[#This Row],[Country/Region]],RAW_RECOVERED!AF:AF)</f>
        <v>0</v>
      </c>
      <c r="AF35" s="32">
        <f>SUMIF(RAW_RECOVERED!$B:$B,Tabelle289[[#This Row],[Country/Region]],RAW_RECOVERED!AG:AG)</f>
        <v>0</v>
      </c>
      <c r="AG35" s="32">
        <f>SUMIF(RAW_RECOVERED!$B:$B,Tabelle289[[#This Row],[Country/Region]],RAW_RECOVERED!AH:AH)</f>
        <v>1</v>
      </c>
      <c r="AH35" s="32">
        <f>SUMIF(RAW_RECOVERED!$B:$B,Tabelle289[[#This Row],[Country/Region]],RAW_RECOVERED!AI:AI)</f>
        <v>2</v>
      </c>
      <c r="AI35" s="32">
        <f>SUMIF(RAW_RECOVERED!$B:$B,Tabelle289[[#This Row],[Country/Region]],RAW_RECOVERED!AJ:AJ)</f>
        <v>1</v>
      </c>
      <c r="AJ35" s="32">
        <f>SUMIF(RAW_RECOVERED!$B:$B,Tabelle289[[#This Row],[Country/Region]],RAW_RECOVERED!AK:AK)</f>
        <v>1</v>
      </c>
      <c r="AK35" s="32">
        <f>SUMIF(RAW_RECOVERED!$B:$B,Tabelle289[[#This Row],[Country/Region]],RAW_RECOVERED!AL:AL)</f>
        <v>3</v>
      </c>
      <c r="AL35" s="32">
        <f>SUMIF(RAW_RECOVERED!$B:$B,Tabelle289[[#This Row],[Country/Region]],RAW_RECOVERED!AM:AM)</f>
        <v>45</v>
      </c>
      <c r="AM35" s="32">
        <f>SUMIF(RAW_RECOVERED!$B:$B,Tabelle289[[#This Row],[Country/Region]],RAW_RECOVERED!AN:AN)</f>
        <v>46</v>
      </c>
      <c r="AN35" s="32">
        <f>SUMIF(RAW_RECOVERED!$B:$B,Tabelle289[[#This Row],[Country/Region]],RAW_RECOVERED!AO:AO)</f>
        <v>46</v>
      </c>
      <c r="AO35" s="32">
        <f>SUMIF(RAW_RECOVERED!$B:$B,Tabelle289[[#This Row],[Country/Region]],RAW_RECOVERED!AP:AP)</f>
        <v>83</v>
      </c>
      <c r="AP35" s="32">
        <f>SUMIF(RAW_RECOVERED!$B:$B,Tabelle289[[#This Row],[Country/Region]],RAW_RECOVERED!AQ:AQ)</f>
        <v>149</v>
      </c>
      <c r="AQ35" s="32">
        <f>SUMIF(RAW_RECOVERED!$B:$B,Tabelle289[[#This Row],[Country/Region]],RAW_RECOVERED!AR:AR)</f>
        <v>160</v>
      </c>
      <c r="AR35" s="32">
        <f>SUMIF(RAW_RECOVERED!$B:$B,Tabelle289[[#This Row],[Country/Region]],RAW_RECOVERED!AS:AS)</f>
        <v>276</v>
      </c>
      <c r="AS35" s="32">
        <f>SUMIF(RAW_RECOVERED!$B:$B,Tabelle289[[#This Row],[Country/Region]],RAW_RECOVERED!AT:AT)</f>
        <v>414</v>
      </c>
      <c r="AT35" s="32">
        <f>SUMIF(RAW_RECOVERED!$B:$B,Tabelle289[[#This Row],[Country/Region]],RAW_RECOVERED!AU:AU)</f>
        <v>523</v>
      </c>
      <c r="AU35" s="32">
        <f>SUMIF(RAW_RECOVERED!$B:$B,Tabelle289[[#This Row],[Country/Region]],RAW_RECOVERED!AV:AV)</f>
        <v>589</v>
      </c>
      <c r="AV35" s="32">
        <f>SUMIF(RAW_RECOVERED!$B:$B,Tabelle289[[#This Row],[Country/Region]],RAW_RECOVERED!AW:AW)</f>
        <v>622</v>
      </c>
      <c r="AW35" s="32">
        <f>SUMIF(RAW_RECOVERED!$B:$B,Tabelle289[[#This Row],[Country/Region]],RAW_RECOVERED!AX:AX)</f>
        <v>724</v>
      </c>
      <c r="AX35" s="32">
        <f>SUMIF(RAW_RECOVERED!$B:$B,Tabelle289[[#This Row],[Country/Region]],RAW_RECOVERED!AY:AY)</f>
        <v>724</v>
      </c>
      <c r="AY35" s="32">
        <f>SUMIF(RAW_RECOVERED!$B:$B,Tabelle289[[#This Row],[Country/Region]],RAW_RECOVERED!AZ:AZ)</f>
        <v>1045</v>
      </c>
      <c r="AZ35" s="32">
        <f>SUMIF(RAW_RECOVERED!$B:$B,Tabelle289[[#This Row],[Country/Region]],RAW_RECOVERED!BA:BA)</f>
        <v>1045</v>
      </c>
      <c r="BA35" s="32">
        <f>SUMIF(RAW_RECOVERED!$B:$B,Tabelle289[[#This Row],[Country/Region]],RAW_RECOVERED!BB:BB)</f>
        <v>1439</v>
      </c>
      <c r="BB35" s="32">
        <f>SUMIF(RAW_RECOVERED!$B:$B,Tabelle289[[#This Row],[Country/Region]],RAW_RECOVERED!BC:BC)</f>
        <v>1966</v>
      </c>
      <c r="BC35" s="32">
        <f>SUMIF(RAW_RECOVERED!$B:$B,Tabelle289[[#This Row],[Country/Region]],RAW_RECOVERED!BD:BD)</f>
        <v>2335</v>
      </c>
      <c r="BD35" s="32">
        <f>SUMIF(RAW_RECOVERED!$B:$B,Tabelle289[[#This Row],[Country/Region]],RAW_RECOVERED!BE:BE)</f>
        <v>2749</v>
      </c>
      <c r="BE35" s="32">
        <f>SUMIF(RAW_RECOVERED!$B:$B,Tabelle289[[#This Row],[Country/Region]],RAW_RECOVERED!BF:BF)</f>
        <v>2941</v>
      </c>
      <c r="BF35" s="32">
        <f>SUMIF(RAW_RECOVERED!$B:$B,Tabelle289[[#This Row],[Country/Region]],RAW_RECOVERED!BG:BG)</f>
        <v>4025</v>
      </c>
      <c r="BG35" s="32">
        <f>SUMIF(RAW_RECOVERED!$B:$B,Tabelle289[[#This Row],[Country/Region]],RAW_RECOVERED!BH:BH)</f>
        <v>4440</v>
      </c>
      <c r="BH35" s="32">
        <f>SUMIF(RAW_RECOVERED!$B:$B,Tabelle289[[#This Row],[Country/Region]],RAW_RECOVERED!BI:BI)</f>
        <v>4440</v>
      </c>
      <c r="BI35" s="32">
        <f>SUMIF(RAW_RECOVERED!$B:$B,Tabelle289[[#This Row],[Country/Region]],RAW_RECOVERED!BJ:BJ)</f>
        <v>6072</v>
      </c>
      <c r="BJ35" s="32">
        <f>SUMIF(RAW_RECOVERED!$B:$B,Tabelle289[[#This Row],[Country/Region]],RAW_RECOVERED!BK:BK)</f>
        <v>7024</v>
      </c>
      <c r="BK35" s="32">
        <f>SUMIF(RAW_RECOVERED!$B:$B,Tabelle289[[#This Row],[Country/Region]],RAW_RECOVERED!BL:BL)</f>
        <v>0</v>
      </c>
      <c r="BL35" s="32">
        <f>SUMIF(RAW_RECOVERED!$B:$B,Tabelle289[[#This Row],[Country/Region]],RAW_RECOVERED!BM:BM)</f>
        <v>0</v>
      </c>
      <c r="BM35" s="32">
        <f>SUMIF(RAW_RECOVERED!$B:$B,Tabelle289[[#This Row],[Country/Region]],RAW_RECOVERED!BN:BN)</f>
        <v>0</v>
      </c>
      <c r="BN35" s="32">
        <f>SUMIF(RAW_RECOVERED!$B:$B,Tabelle289[[#This Row],[Country/Region]],RAW_RECOVERED!BO:BO)</f>
        <v>0</v>
      </c>
      <c r="BO35" s="32">
        <f>SUMIF(RAW_RECOVERED!$B:$B,Tabelle289[[#This Row],[Country/Region]],RAW_RECOVERED!BP:BP)</f>
        <v>0</v>
      </c>
      <c r="BP35" s="32">
        <f>SUMIF(RAW_RECOVERED!$B:$B,Tabelle289[[#This Row],[Country/Region]],RAW_RECOVERED!BQ:BQ)</f>
        <v>0</v>
      </c>
      <c r="BQ35" s="32">
        <f>SUMIF(RAW_RECOVERED!$B:$B,Tabelle289[[#This Row],[Country/Region]],RAW_RECOVERED!BR:BR)</f>
        <v>0</v>
      </c>
      <c r="BR35" s="32">
        <f>SUMIF(RAW_RECOVERED!$B:$B,Tabelle289[[#This Row],[Country/Region]],RAW_RECOVERED!BS:BS)</f>
        <v>0</v>
      </c>
      <c r="BS35" s="32">
        <f>SUMIF(RAW_RECOVERED!$B:$B,Tabelle289[[#This Row],[Country/Region]],RAW_RECOVERED!BT:BT)</f>
        <v>0</v>
      </c>
      <c r="BT35" s="32">
        <f>SUMIF(RAW_RECOVERED!$B:$B,Tabelle289[[#This Row],[Country/Region]],RAW_RECOVERED!BU:BU)</f>
        <v>0</v>
      </c>
      <c r="BU35" s="32">
        <f>SUMIF(RAW_RECOVERED!$B:$B,Tabelle289[[#This Row],[Country/Region]],RAW_RECOVERED!BV:BV)</f>
        <v>0</v>
      </c>
      <c r="BV35" s="32">
        <f>SUMIF(RAW_RECOVERED!$B:$B,Tabelle289[[#This Row],[Country/Region]],RAW_RECOVERED!BW:BW)</f>
        <v>0</v>
      </c>
      <c r="BW35" s="32">
        <f>SUMIF(RAW_RECOVERED!$B:$B,Tabelle289[[#This Row],[Country/Region]],RAW_RECOVERED!BX:BX)</f>
        <v>0</v>
      </c>
      <c r="BX35" s="32">
        <f>SUMIF(RAW_RECOVERED!$B:$B,Tabelle289[[#This Row],[Country/Region]],RAW_RECOVERED!BY:BY)</f>
        <v>0</v>
      </c>
      <c r="BY35" s="32">
        <f>SUMIF(RAW_RECOVERED!$B:$B,Tabelle289[[#This Row],[Country/Region]],RAW_RECOVERED!BZ:BZ)</f>
        <v>0</v>
      </c>
      <c r="BZ35" s="32">
        <f>SUMIF(RAW_RECOVERED!$B:$B,Tabelle289[[#This Row],[Country/Region]],RAW_RECOVERED!CA:CA)</f>
        <v>0</v>
      </c>
      <c r="CA35" s="32">
        <f>SUMIF(RAW_RECOVERED!$B:$B,Tabelle289[[#This Row],[Country/Region]],RAW_RECOVERED!CB:CB)</f>
        <v>0</v>
      </c>
      <c r="CB35" s="32">
        <f>SUMIF(RAW_RECOVERED!$B:$B,Tabelle289[[#This Row],[Country/Region]],RAW_RECOVERED!CC:CC)</f>
        <v>0</v>
      </c>
      <c r="CC35" s="32">
        <f>SUMIF(RAW_RECOVERED!$B:$B,Tabelle289[[#This Row],[Country/Region]],RAW_RECOVERED!CD:CD)</f>
        <v>0</v>
      </c>
      <c r="CD35" s="32">
        <f>SUMIF(RAW_RECOVERED!$B:$B,Tabelle289[[#This Row],[Country/Region]],RAW_RECOVERED!CE:CE)</f>
        <v>0</v>
      </c>
      <c r="CE35" s="32">
        <f>SUMIF(RAW_RECOVERED!$B:$B,Tabelle289[[#This Row],[Country/Region]],RAW_RECOVERED!CF:CF)</f>
        <v>0</v>
      </c>
    </row>
    <row r="36" spans="1:83" s="15" customFormat="1" ht="12.75" x14ac:dyDescent="0.2">
      <c r="A36" s="31" t="str">
        <f t="shared" si="4"/>
        <v>Australia</v>
      </c>
      <c r="B36" s="32">
        <f>SUMIF(RAW_RECOVERED!$B:$B,Tabelle289[[#This Row],[Country/Region]],RAW_RECOVERED!C:C)</f>
        <v>0</v>
      </c>
      <c r="C36" s="32">
        <f>SUMIF(RAW_RECOVERED!$B:$B,Tabelle289[[#This Row],[Country/Region]],RAW_RECOVERED!D:D)</f>
        <v>0</v>
      </c>
      <c r="D36" s="32">
        <f>SUMIF(RAW_RECOVERED!$B:$B,Tabelle289[[#This Row],[Country/Region]],RAW_RECOVERED!E:E)</f>
        <v>0</v>
      </c>
      <c r="E36" s="32">
        <f>SUMIF(RAW_RECOVERED!$B:$B,Tabelle289[[#This Row],[Country/Region]],RAW_RECOVERED!F:F)</f>
        <v>0</v>
      </c>
      <c r="F36" s="32">
        <f>SUMIF(RAW_RECOVERED!$B:$B,Tabelle289[[#This Row],[Country/Region]],RAW_RECOVERED!G:G)</f>
        <v>0</v>
      </c>
      <c r="G36" s="32">
        <f>SUMIF(RAW_RECOVERED!$B:$B,Tabelle289[[#This Row],[Country/Region]],RAW_RECOVERED!H:H)</f>
        <v>0</v>
      </c>
      <c r="H36" s="32">
        <f>SUMIF(RAW_RECOVERED!$B:$B,Tabelle289[[#This Row],[Country/Region]],RAW_RECOVERED!I:I)</f>
        <v>0</v>
      </c>
      <c r="I36" s="32">
        <f>SUMIF(RAW_RECOVERED!$B:$B,Tabelle289[[#This Row],[Country/Region]],RAW_RECOVERED!J:J)</f>
        <v>0</v>
      </c>
      <c r="J36" s="32">
        <f>SUMIF(RAW_RECOVERED!$B:$B,Tabelle289[[#This Row],[Country/Region]],RAW_RECOVERED!K:K)</f>
        <v>2</v>
      </c>
      <c r="K36" s="32">
        <f>SUMIF(RAW_RECOVERED!$B:$B,Tabelle289[[#This Row],[Country/Region]],RAW_RECOVERED!L:L)</f>
        <v>2</v>
      </c>
      <c r="L36" s="32">
        <f>SUMIF(RAW_RECOVERED!$B:$B,Tabelle289[[#This Row],[Country/Region]],RAW_RECOVERED!M:M)</f>
        <v>2</v>
      </c>
      <c r="M36" s="32">
        <f>SUMIF(RAW_RECOVERED!$B:$B,Tabelle289[[#This Row],[Country/Region]],RAW_RECOVERED!N:N)</f>
        <v>2</v>
      </c>
      <c r="N36" s="32">
        <f>SUMIF(RAW_RECOVERED!$B:$B,Tabelle289[[#This Row],[Country/Region]],RAW_RECOVERED!O:O)</f>
        <v>2</v>
      </c>
      <c r="O36" s="32">
        <f>SUMIF(RAW_RECOVERED!$B:$B,Tabelle289[[#This Row],[Country/Region]],RAW_RECOVERED!P:P)</f>
        <v>2</v>
      </c>
      <c r="P36" s="32">
        <f>SUMIF(RAW_RECOVERED!$B:$B,Tabelle289[[#This Row],[Country/Region]],RAW_RECOVERED!Q:Q)</f>
        <v>2</v>
      </c>
      <c r="Q36" s="32">
        <f>SUMIF(RAW_RECOVERED!$B:$B,Tabelle289[[#This Row],[Country/Region]],RAW_RECOVERED!R:R)</f>
        <v>2</v>
      </c>
      <c r="R36" s="32">
        <f>SUMIF(RAW_RECOVERED!$B:$B,Tabelle289[[#This Row],[Country/Region]],RAW_RECOVERED!S:S)</f>
        <v>2</v>
      </c>
      <c r="S36" s="32">
        <f>SUMIF(RAW_RECOVERED!$B:$B,Tabelle289[[#This Row],[Country/Region]],RAW_RECOVERED!T:T)</f>
        <v>2</v>
      </c>
      <c r="T36" s="32">
        <f>SUMIF(RAW_RECOVERED!$B:$B,Tabelle289[[#This Row],[Country/Region]],RAW_RECOVERED!U:U)</f>
        <v>2</v>
      </c>
      <c r="U36" s="32">
        <f>SUMIF(RAW_RECOVERED!$B:$B,Tabelle289[[#This Row],[Country/Region]],RAW_RECOVERED!V:V)</f>
        <v>2</v>
      </c>
      <c r="V36" s="32">
        <f>SUMIF(RAW_RECOVERED!$B:$B,Tabelle289[[#This Row],[Country/Region]],RAW_RECOVERED!W:W)</f>
        <v>2</v>
      </c>
      <c r="W36" s="32">
        <f>SUMIF(RAW_RECOVERED!$B:$B,Tabelle289[[#This Row],[Country/Region]],RAW_RECOVERED!X:X)</f>
        <v>2</v>
      </c>
      <c r="X36" s="32">
        <f>SUMIF(RAW_RECOVERED!$B:$B,Tabelle289[[#This Row],[Country/Region]],RAW_RECOVERED!Y:Y)</f>
        <v>8</v>
      </c>
      <c r="Y36" s="32">
        <f>SUMIF(RAW_RECOVERED!$B:$B,Tabelle289[[#This Row],[Country/Region]],RAW_RECOVERED!Z:Z)</f>
        <v>8</v>
      </c>
      <c r="Z36" s="32">
        <f>SUMIF(RAW_RECOVERED!$B:$B,Tabelle289[[#This Row],[Country/Region]],RAW_RECOVERED!AA:AA)</f>
        <v>8</v>
      </c>
      <c r="AA36" s="32">
        <f>SUMIF(RAW_RECOVERED!$B:$B,Tabelle289[[#This Row],[Country/Region]],RAW_RECOVERED!AB:AB)</f>
        <v>8</v>
      </c>
      <c r="AB36" s="32">
        <f>SUMIF(RAW_RECOVERED!$B:$B,Tabelle289[[#This Row],[Country/Region]],RAW_RECOVERED!AC:AC)</f>
        <v>10</v>
      </c>
      <c r="AC36" s="32">
        <f>SUMIF(RAW_RECOVERED!$B:$B,Tabelle289[[#This Row],[Country/Region]],RAW_RECOVERED!AD:AD)</f>
        <v>10</v>
      </c>
      <c r="AD36" s="32">
        <f>SUMIF(RAW_RECOVERED!$B:$B,Tabelle289[[#This Row],[Country/Region]],RAW_RECOVERED!AE:AE)</f>
        <v>10</v>
      </c>
      <c r="AE36" s="32">
        <f>SUMIF(RAW_RECOVERED!$B:$B,Tabelle289[[#This Row],[Country/Region]],RAW_RECOVERED!AF:AF)</f>
        <v>10</v>
      </c>
      <c r="AF36" s="32">
        <f>SUMIF(RAW_RECOVERED!$B:$B,Tabelle289[[#This Row],[Country/Region]],RAW_RECOVERED!AG:AG)</f>
        <v>11</v>
      </c>
      <c r="AG36" s="32">
        <f>SUMIF(RAW_RECOVERED!$B:$B,Tabelle289[[#This Row],[Country/Region]],RAW_RECOVERED!AH:AH)</f>
        <v>11</v>
      </c>
      <c r="AH36" s="32">
        <f>SUMIF(RAW_RECOVERED!$B:$B,Tabelle289[[#This Row],[Country/Region]],RAW_RECOVERED!AI:AI)</f>
        <v>11</v>
      </c>
      <c r="AI36" s="32">
        <f>SUMIF(RAW_RECOVERED!$B:$B,Tabelle289[[#This Row],[Country/Region]],RAW_RECOVERED!AJ:AJ)</f>
        <v>11</v>
      </c>
      <c r="AJ36" s="32">
        <f>SUMIF(RAW_RECOVERED!$B:$B,Tabelle289[[#This Row],[Country/Region]],RAW_RECOVERED!AK:AK)</f>
        <v>11</v>
      </c>
      <c r="AK36" s="32">
        <f>SUMIF(RAW_RECOVERED!$B:$B,Tabelle289[[#This Row],[Country/Region]],RAW_RECOVERED!AL:AL)</f>
        <v>11</v>
      </c>
      <c r="AL36" s="32">
        <f>SUMIF(RAW_RECOVERED!$B:$B,Tabelle289[[#This Row],[Country/Region]],RAW_RECOVERED!AM:AM)</f>
        <v>11</v>
      </c>
      <c r="AM36" s="32">
        <f>SUMIF(RAW_RECOVERED!$B:$B,Tabelle289[[#This Row],[Country/Region]],RAW_RECOVERED!AN:AN)</f>
        <v>11</v>
      </c>
      <c r="AN36" s="32">
        <f>SUMIF(RAW_RECOVERED!$B:$B,Tabelle289[[#This Row],[Country/Region]],RAW_RECOVERED!AO:AO)</f>
        <v>11</v>
      </c>
      <c r="AO36" s="32">
        <f>SUMIF(RAW_RECOVERED!$B:$B,Tabelle289[[#This Row],[Country/Region]],RAW_RECOVERED!AP:AP)</f>
        <v>11</v>
      </c>
      <c r="AP36" s="32">
        <f>SUMIF(RAW_RECOVERED!$B:$B,Tabelle289[[#This Row],[Country/Region]],RAW_RECOVERED!AQ:AQ)</f>
        <v>11</v>
      </c>
      <c r="AQ36" s="32">
        <f>SUMIF(RAW_RECOVERED!$B:$B,Tabelle289[[#This Row],[Country/Region]],RAW_RECOVERED!AR:AR)</f>
        <v>11</v>
      </c>
      <c r="AR36" s="32">
        <f>SUMIF(RAW_RECOVERED!$B:$B,Tabelle289[[#This Row],[Country/Region]],RAW_RECOVERED!AS:AS)</f>
        <v>11</v>
      </c>
      <c r="AS36" s="32">
        <f>SUMIF(RAW_RECOVERED!$B:$B,Tabelle289[[#This Row],[Country/Region]],RAW_RECOVERED!AT:AT)</f>
        <v>21</v>
      </c>
      <c r="AT36" s="32">
        <f>SUMIF(RAW_RECOVERED!$B:$B,Tabelle289[[#This Row],[Country/Region]],RAW_RECOVERED!AU:AU)</f>
        <v>21</v>
      </c>
      <c r="AU36" s="32">
        <f>SUMIF(RAW_RECOVERED!$B:$B,Tabelle289[[#This Row],[Country/Region]],RAW_RECOVERED!AV:AV)</f>
        <v>21</v>
      </c>
      <c r="AV36" s="32">
        <f>SUMIF(RAW_RECOVERED!$B:$B,Tabelle289[[#This Row],[Country/Region]],RAW_RECOVERED!AW:AW)</f>
        <v>21</v>
      </c>
      <c r="AW36" s="32">
        <f>SUMIF(RAW_RECOVERED!$B:$B,Tabelle289[[#This Row],[Country/Region]],RAW_RECOVERED!AX:AX)</f>
        <v>21</v>
      </c>
      <c r="AX36" s="32">
        <f>SUMIF(RAW_RECOVERED!$B:$B,Tabelle289[[#This Row],[Country/Region]],RAW_RECOVERED!AY:AY)</f>
        <v>21</v>
      </c>
      <c r="AY36" s="32">
        <f>SUMIF(RAW_RECOVERED!$B:$B,Tabelle289[[#This Row],[Country/Region]],RAW_RECOVERED!AZ:AZ)</f>
        <v>21</v>
      </c>
      <c r="AZ36" s="32">
        <f>SUMIF(RAW_RECOVERED!$B:$B,Tabelle289[[#This Row],[Country/Region]],RAW_RECOVERED!BA:BA)</f>
        <v>21</v>
      </c>
      <c r="BA36" s="32">
        <f>SUMIF(RAW_RECOVERED!$B:$B,Tabelle289[[#This Row],[Country/Region]],RAW_RECOVERED!BB:BB)</f>
        <v>23</v>
      </c>
      <c r="BB36" s="32">
        <f>SUMIF(RAW_RECOVERED!$B:$B,Tabelle289[[#This Row],[Country/Region]],RAW_RECOVERED!BC:BC)</f>
        <v>23</v>
      </c>
      <c r="BC36" s="32">
        <f>SUMIF(RAW_RECOVERED!$B:$B,Tabelle289[[#This Row],[Country/Region]],RAW_RECOVERED!BD:BD)</f>
        <v>23</v>
      </c>
      <c r="BD36" s="32">
        <f>SUMIF(RAW_RECOVERED!$B:$B,Tabelle289[[#This Row],[Country/Region]],RAW_RECOVERED!BE:BE)</f>
        <v>23</v>
      </c>
      <c r="BE36" s="32">
        <f>SUMIF(RAW_RECOVERED!$B:$B,Tabelle289[[#This Row],[Country/Region]],RAW_RECOVERED!BF:BF)</f>
        <v>23</v>
      </c>
      <c r="BF36" s="32">
        <f>SUMIF(RAW_RECOVERED!$B:$B,Tabelle289[[#This Row],[Country/Region]],RAW_RECOVERED!BG:BG)</f>
        <v>23</v>
      </c>
      <c r="BG36" s="32">
        <f>SUMIF(RAW_RECOVERED!$B:$B,Tabelle289[[#This Row],[Country/Region]],RAW_RECOVERED!BH:BH)</f>
        <v>26</v>
      </c>
      <c r="BH36" s="32">
        <f>SUMIF(RAW_RECOVERED!$B:$B,Tabelle289[[#This Row],[Country/Region]],RAW_RECOVERED!BI:BI)</f>
        <v>26</v>
      </c>
      <c r="BI36" s="32">
        <f>SUMIF(RAW_RECOVERED!$B:$B,Tabelle289[[#This Row],[Country/Region]],RAW_RECOVERED!BJ:BJ)</f>
        <v>26</v>
      </c>
      <c r="BJ36" s="32">
        <f>SUMIF(RAW_RECOVERED!$B:$B,Tabelle289[[#This Row],[Country/Region]],RAW_RECOVERED!BK:BK)</f>
        <v>88</v>
      </c>
      <c r="BK36" s="32">
        <f>SUMIF(RAW_RECOVERED!$B:$B,Tabelle289[[#This Row],[Country/Region]],RAW_RECOVERED!BL:BL)</f>
        <v>0</v>
      </c>
      <c r="BL36" s="32">
        <f>SUMIF(RAW_RECOVERED!$B:$B,Tabelle289[[#This Row],[Country/Region]],RAW_RECOVERED!BM:BM)</f>
        <v>0</v>
      </c>
      <c r="BM36" s="32">
        <f>SUMIF(RAW_RECOVERED!$B:$B,Tabelle289[[#This Row],[Country/Region]],RAW_RECOVERED!BN:BN)</f>
        <v>0</v>
      </c>
      <c r="BN36" s="32">
        <f>SUMIF(RAW_RECOVERED!$B:$B,Tabelle289[[#This Row],[Country/Region]],RAW_RECOVERED!BO:BO)</f>
        <v>0</v>
      </c>
      <c r="BO36" s="32">
        <f>SUMIF(RAW_RECOVERED!$B:$B,Tabelle289[[#This Row],[Country/Region]],RAW_RECOVERED!BP:BP)</f>
        <v>0</v>
      </c>
      <c r="BP36" s="32">
        <f>SUMIF(RAW_RECOVERED!$B:$B,Tabelle289[[#This Row],[Country/Region]],RAW_RECOVERED!BQ:BQ)</f>
        <v>0</v>
      </c>
      <c r="BQ36" s="32">
        <f>SUMIF(RAW_RECOVERED!$B:$B,Tabelle289[[#This Row],[Country/Region]],RAW_RECOVERED!BR:BR)</f>
        <v>0</v>
      </c>
      <c r="BR36" s="32">
        <f>SUMIF(RAW_RECOVERED!$B:$B,Tabelle289[[#This Row],[Country/Region]],RAW_RECOVERED!BS:BS)</f>
        <v>0</v>
      </c>
      <c r="BS36" s="32">
        <f>SUMIF(RAW_RECOVERED!$B:$B,Tabelle289[[#This Row],[Country/Region]],RAW_RECOVERED!BT:BT)</f>
        <v>0</v>
      </c>
      <c r="BT36" s="32">
        <f>SUMIF(RAW_RECOVERED!$B:$B,Tabelle289[[#This Row],[Country/Region]],RAW_RECOVERED!BU:BU)</f>
        <v>0</v>
      </c>
      <c r="BU36" s="32">
        <f>SUMIF(RAW_RECOVERED!$B:$B,Tabelle289[[#This Row],[Country/Region]],RAW_RECOVERED!BV:BV)</f>
        <v>0</v>
      </c>
      <c r="BV36" s="32">
        <f>SUMIF(RAW_RECOVERED!$B:$B,Tabelle289[[#This Row],[Country/Region]],RAW_RECOVERED!BW:BW)</f>
        <v>0</v>
      </c>
      <c r="BW36" s="32">
        <f>SUMIF(RAW_RECOVERED!$B:$B,Tabelle289[[#This Row],[Country/Region]],RAW_RECOVERED!BX:BX)</f>
        <v>0</v>
      </c>
      <c r="BX36" s="32">
        <f>SUMIF(RAW_RECOVERED!$B:$B,Tabelle289[[#This Row],[Country/Region]],RAW_RECOVERED!BY:BY)</f>
        <v>0</v>
      </c>
      <c r="BY36" s="32">
        <f>SUMIF(RAW_RECOVERED!$B:$B,Tabelle289[[#This Row],[Country/Region]],RAW_RECOVERED!BZ:BZ)</f>
        <v>0</v>
      </c>
      <c r="BZ36" s="32">
        <f>SUMIF(RAW_RECOVERED!$B:$B,Tabelle289[[#This Row],[Country/Region]],RAW_RECOVERED!CA:CA)</f>
        <v>0</v>
      </c>
      <c r="CA36" s="32">
        <f>SUMIF(RAW_RECOVERED!$B:$B,Tabelle289[[#This Row],[Country/Region]],RAW_RECOVERED!CB:CB)</f>
        <v>0</v>
      </c>
      <c r="CB36" s="32">
        <f>SUMIF(RAW_RECOVERED!$B:$B,Tabelle289[[#This Row],[Country/Region]],RAW_RECOVERED!CC:CC)</f>
        <v>0</v>
      </c>
      <c r="CC36" s="32">
        <f>SUMIF(RAW_RECOVERED!$B:$B,Tabelle289[[#This Row],[Country/Region]],RAW_RECOVERED!CD:CD)</f>
        <v>0</v>
      </c>
      <c r="CD36" s="32">
        <f>SUMIF(RAW_RECOVERED!$B:$B,Tabelle289[[#This Row],[Country/Region]],RAW_RECOVERED!CE:CE)</f>
        <v>0</v>
      </c>
      <c r="CE36" s="32">
        <f>SUMIF(RAW_RECOVERED!$B:$B,Tabelle289[[#This Row],[Country/Region]],RAW_RECOVERED!CF:CF)</f>
        <v>0</v>
      </c>
    </row>
    <row r="37" spans="1:83" s="15" customFormat="1" ht="12.75" x14ac:dyDescent="0.2">
      <c r="A37" s="31" t="str">
        <f t="shared" si="4"/>
        <v>Korea, South</v>
      </c>
      <c r="B37" s="32">
        <f>SUMIF(RAW_RECOVERED!$B:$B,Tabelle289[[#This Row],[Country/Region]],RAW_RECOVERED!C:C)</f>
        <v>0</v>
      </c>
      <c r="C37" s="32">
        <f>SUMIF(RAW_RECOVERED!$B:$B,Tabelle289[[#This Row],[Country/Region]],RAW_RECOVERED!D:D)</f>
        <v>0</v>
      </c>
      <c r="D37" s="32">
        <f>SUMIF(RAW_RECOVERED!$B:$B,Tabelle289[[#This Row],[Country/Region]],RAW_RECOVERED!E:E)</f>
        <v>0</v>
      </c>
      <c r="E37" s="32">
        <f>SUMIF(RAW_RECOVERED!$B:$B,Tabelle289[[#This Row],[Country/Region]],RAW_RECOVERED!F:F)</f>
        <v>0</v>
      </c>
      <c r="F37" s="32">
        <f>SUMIF(RAW_RECOVERED!$B:$B,Tabelle289[[#This Row],[Country/Region]],RAW_RECOVERED!G:G)</f>
        <v>0</v>
      </c>
      <c r="G37" s="32">
        <f>SUMIF(RAW_RECOVERED!$B:$B,Tabelle289[[#This Row],[Country/Region]],RAW_RECOVERED!H:H)</f>
        <v>0</v>
      </c>
      <c r="H37" s="32">
        <f>SUMIF(RAW_RECOVERED!$B:$B,Tabelle289[[#This Row],[Country/Region]],RAW_RECOVERED!I:I)</f>
        <v>0</v>
      </c>
      <c r="I37" s="32">
        <f>SUMIF(RAW_RECOVERED!$B:$B,Tabelle289[[#This Row],[Country/Region]],RAW_RECOVERED!J:J)</f>
        <v>0</v>
      </c>
      <c r="J37" s="32">
        <f>SUMIF(RAW_RECOVERED!$B:$B,Tabelle289[[#This Row],[Country/Region]],RAW_RECOVERED!K:K)</f>
        <v>0</v>
      </c>
      <c r="K37" s="32">
        <f>SUMIF(RAW_RECOVERED!$B:$B,Tabelle289[[#This Row],[Country/Region]],RAW_RECOVERED!L:L)</f>
        <v>0</v>
      </c>
      <c r="L37" s="32">
        <f>SUMIF(RAW_RECOVERED!$B:$B,Tabelle289[[#This Row],[Country/Region]],RAW_RECOVERED!M:M)</f>
        <v>0</v>
      </c>
      <c r="M37" s="32">
        <f>SUMIF(RAW_RECOVERED!$B:$B,Tabelle289[[#This Row],[Country/Region]],RAW_RECOVERED!N:N)</f>
        <v>0</v>
      </c>
      <c r="N37" s="32">
        <f>SUMIF(RAW_RECOVERED!$B:$B,Tabelle289[[#This Row],[Country/Region]],RAW_RECOVERED!O:O)</f>
        <v>0</v>
      </c>
      <c r="O37" s="32">
        <f>SUMIF(RAW_RECOVERED!$B:$B,Tabelle289[[#This Row],[Country/Region]],RAW_RECOVERED!P:P)</f>
        <v>0</v>
      </c>
      <c r="P37" s="32">
        <f>SUMIF(RAW_RECOVERED!$B:$B,Tabelle289[[#This Row],[Country/Region]],RAW_RECOVERED!Q:Q)</f>
        <v>0</v>
      </c>
      <c r="Q37" s="32">
        <f>SUMIF(RAW_RECOVERED!$B:$B,Tabelle289[[#This Row],[Country/Region]],RAW_RECOVERED!R:R)</f>
        <v>0</v>
      </c>
      <c r="R37" s="32">
        <f>SUMIF(RAW_RECOVERED!$B:$B,Tabelle289[[#This Row],[Country/Region]],RAW_RECOVERED!S:S)</f>
        <v>1</v>
      </c>
      <c r="S37" s="32">
        <f>SUMIF(RAW_RECOVERED!$B:$B,Tabelle289[[#This Row],[Country/Region]],RAW_RECOVERED!T:T)</f>
        <v>1</v>
      </c>
      <c r="T37" s="32">
        <f>SUMIF(RAW_RECOVERED!$B:$B,Tabelle289[[#This Row],[Country/Region]],RAW_RECOVERED!U:U)</f>
        <v>3</v>
      </c>
      <c r="U37" s="32">
        <f>SUMIF(RAW_RECOVERED!$B:$B,Tabelle289[[#This Row],[Country/Region]],RAW_RECOVERED!V:V)</f>
        <v>3</v>
      </c>
      <c r="V37" s="32">
        <f>SUMIF(RAW_RECOVERED!$B:$B,Tabelle289[[#This Row],[Country/Region]],RAW_RECOVERED!W:W)</f>
        <v>3</v>
      </c>
      <c r="W37" s="32">
        <f>SUMIF(RAW_RECOVERED!$B:$B,Tabelle289[[#This Row],[Country/Region]],RAW_RECOVERED!X:X)</f>
        <v>7</v>
      </c>
      <c r="X37" s="32">
        <f>SUMIF(RAW_RECOVERED!$B:$B,Tabelle289[[#This Row],[Country/Region]],RAW_RECOVERED!Y:Y)</f>
        <v>7</v>
      </c>
      <c r="Y37" s="32">
        <f>SUMIF(RAW_RECOVERED!$B:$B,Tabelle289[[#This Row],[Country/Region]],RAW_RECOVERED!Z:Z)</f>
        <v>7</v>
      </c>
      <c r="Z37" s="32">
        <f>SUMIF(RAW_RECOVERED!$B:$B,Tabelle289[[#This Row],[Country/Region]],RAW_RECOVERED!AA:AA)</f>
        <v>9</v>
      </c>
      <c r="AA37" s="32">
        <f>SUMIF(RAW_RECOVERED!$B:$B,Tabelle289[[#This Row],[Country/Region]],RAW_RECOVERED!AB:AB)</f>
        <v>9</v>
      </c>
      <c r="AB37" s="32">
        <f>SUMIF(RAW_RECOVERED!$B:$B,Tabelle289[[#This Row],[Country/Region]],RAW_RECOVERED!AC:AC)</f>
        <v>10</v>
      </c>
      <c r="AC37" s="32">
        <f>SUMIF(RAW_RECOVERED!$B:$B,Tabelle289[[#This Row],[Country/Region]],RAW_RECOVERED!AD:AD)</f>
        <v>12</v>
      </c>
      <c r="AD37" s="32">
        <f>SUMIF(RAW_RECOVERED!$B:$B,Tabelle289[[#This Row],[Country/Region]],RAW_RECOVERED!AE:AE)</f>
        <v>12</v>
      </c>
      <c r="AE37" s="32">
        <f>SUMIF(RAW_RECOVERED!$B:$B,Tabelle289[[#This Row],[Country/Region]],RAW_RECOVERED!AF:AF)</f>
        <v>16</v>
      </c>
      <c r="AF37" s="32">
        <f>SUMIF(RAW_RECOVERED!$B:$B,Tabelle289[[#This Row],[Country/Region]],RAW_RECOVERED!AG:AG)</f>
        <v>16</v>
      </c>
      <c r="AG37" s="32">
        <f>SUMIF(RAW_RECOVERED!$B:$B,Tabelle289[[#This Row],[Country/Region]],RAW_RECOVERED!AH:AH)</f>
        <v>16</v>
      </c>
      <c r="AH37" s="32">
        <f>SUMIF(RAW_RECOVERED!$B:$B,Tabelle289[[#This Row],[Country/Region]],RAW_RECOVERED!AI:AI)</f>
        <v>18</v>
      </c>
      <c r="AI37" s="32">
        <f>SUMIF(RAW_RECOVERED!$B:$B,Tabelle289[[#This Row],[Country/Region]],RAW_RECOVERED!AJ:AJ)</f>
        <v>18</v>
      </c>
      <c r="AJ37" s="32">
        <f>SUMIF(RAW_RECOVERED!$B:$B,Tabelle289[[#This Row],[Country/Region]],RAW_RECOVERED!AK:AK)</f>
        <v>22</v>
      </c>
      <c r="AK37" s="32">
        <f>SUMIF(RAW_RECOVERED!$B:$B,Tabelle289[[#This Row],[Country/Region]],RAW_RECOVERED!AL:AL)</f>
        <v>22</v>
      </c>
      <c r="AL37" s="32">
        <f>SUMIF(RAW_RECOVERED!$B:$B,Tabelle289[[#This Row],[Country/Region]],RAW_RECOVERED!AM:AM)</f>
        <v>22</v>
      </c>
      <c r="AM37" s="32">
        <f>SUMIF(RAW_RECOVERED!$B:$B,Tabelle289[[#This Row],[Country/Region]],RAW_RECOVERED!AN:AN)</f>
        <v>22</v>
      </c>
      <c r="AN37" s="32">
        <f>SUMIF(RAW_RECOVERED!$B:$B,Tabelle289[[#This Row],[Country/Region]],RAW_RECOVERED!AO:AO)</f>
        <v>27</v>
      </c>
      <c r="AO37" s="32">
        <f>SUMIF(RAW_RECOVERED!$B:$B,Tabelle289[[#This Row],[Country/Region]],RAW_RECOVERED!AP:AP)</f>
        <v>30</v>
      </c>
      <c r="AP37" s="32">
        <f>SUMIF(RAW_RECOVERED!$B:$B,Tabelle289[[#This Row],[Country/Region]],RAW_RECOVERED!AQ:AQ)</f>
        <v>30</v>
      </c>
      <c r="AQ37" s="32">
        <f>SUMIF(RAW_RECOVERED!$B:$B,Tabelle289[[#This Row],[Country/Region]],RAW_RECOVERED!AR:AR)</f>
        <v>30</v>
      </c>
      <c r="AR37" s="32">
        <f>SUMIF(RAW_RECOVERED!$B:$B,Tabelle289[[#This Row],[Country/Region]],RAW_RECOVERED!AS:AS)</f>
        <v>41</v>
      </c>
      <c r="AS37" s="32">
        <f>SUMIF(RAW_RECOVERED!$B:$B,Tabelle289[[#This Row],[Country/Region]],RAW_RECOVERED!AT:AT)</f>
        <v>41</v>
      </c>
      <c r="AT37" s="32">
        <f>SUMIF(RAW_RECOVERED!$B:$B,Tabelle289[[#This Row],[Country/Region]],RAW_RECOVERED!AU:AU)</f>
        <v>135</v>
      </c>
      <c r="AU37" s="32">
        <f>SUMIF(RAW_RECOVERED!$B:$B,Tabelle289[[#This Row],[Country/Region]],RAW_RECOVERED!AV:AV)</f>
        <v>135</v>
      </c>
      <c r="AV37" s="32">
        <f>SUMIF(RAW_RECOVERED!$B:$B,Tabelle289[[#This Row],[Country/Region]],RAW_RECOVERED!AW:AW)</f>
        <v>118</v>
      </c>
      <c r="AW37" s="32">
        <f>SUMIF(RAW_RECOVERED!$B:$B,Tabelle289[[#This Row],[Country/Region]],RAW_RECOVERED!AX:AX)</f>
        <v>118</v>
      </c>
      <c r="AX37" s="32">
        <f>SUMIF(RAW_RECOVERED!$B:$B,Tabelle289[[#This Row],[Country/Region]],RAW_RECOVERED!AY:AY)</f>
        <v>247</v>
      </c>
      <c r="AY37" s="32">
        <f>SUMIF(RAW_RECOVERED!$B:$B,Tabelle289[[#This Row],[Country/Region]],RAW_RECOVERED!AZ:AZ)</f>
        <v>288</v>
      </c>
      <c r="AZ37" s="32">
        <f>SUMIF(RAW_RECOVERED!$B:$B,Tabelle289[[#This Row],[Country/Region]],RAW_RECOVERED!BA:BA)</f>
        <v>333</v>
      </c>
      <c r="BA37" s="32">
        <f>SUMIF(RAW_RECOVERED!$B:$B,Tabelle289[[#This Row],[Country/Region]],RAW_RECOVERED!BB:BB)</f>
        <v>510</v>
      </c>
      <c r="BB37" s="32">
        <f>SUMIF(RAW_RECOVERED!$B:$B,Tabelle289[[#This Row],[Country/Region]],RAW_RECOVERED!BC:BC)</f>
        <v>510</v>
      </c>
      <c r="BC37" s="32">
        <f>SUMIF(RAW_RECOVERED!$B:$B,Tabelle289[[#This Row],[Country/Region]],RAW_RECOVERED!BD:BD)</f>
        <v>510</v>
      </c>
      <c r="BD37" s="32">
        <f>SUMIF(RAW_RECOVERED!$B:$B,Tabelle289[[#This Row],[Country/Region]],RAW_RECOVERED!BE:BE)</f>
        <v>1137</v>
      </c>
      <c r="BE37" s="32">
        <f>SUMIF(RAW_RECOVERED!$B:$B,Tabelle289[[#This Row],[Country/Region]],RAW_RECOVERED!BF:BF)</f>
        <v>1407</v>
      </c>
      <c r="BF37" s="32">
        <f>SUMIF(RAW_RECOVERED!$B:$B,Tabelle289[[#This Row],[Country/Region]],RAW_RECOVERED!BG:BG)</f>
        <v>1540</v>
      </c>
      <c r="BG37" s="32">
        <f>SUMIF(RAW_RECOVERED!$B:$B,Tabelle289[[#This Row],[Country/Region]],RAW_RECOVERED!BH:BH)</f>
        <v>1540</v>
      </c>
      <c r="BH37" s="32">
        <f>SUMIF(RAW_RECOVERED!$B:$B,Tabelle289[[#This Row],[Country/Region]],RAW_RECOVERED!BI:BI)</f>
        <v>1540</v>
      </c>
      <c r="BI37" s="32">
        <f>SUMIF(RAW_RECOVERED!$B:$B,Tabelle289[[#This Row],[Country/Region]],RAW_RECOVERED!BJ:BJ)</f>
        <v>1540</v>
      </c>
      <c r="BJ37" s="32">
        <f>SUMIF(RAW_RECOVERED!$B:$B,Tabelle289[[#This Row],[Country/Region]],RAW_RECOVERED!BK:BK)</f>
        <v>2909</v>
      </c>
      <c r="BK37" s="32">
        <f>SUMIF(RAW_RECOVERED!$B:$B,Tabelle289[[#This Row],[Country/Region]],RAW_RECOVERED!BL:BL)</f>
        <v>0</v>
      </c>
      <c r="BL37" s="32">
        <f>SUMIF(RAW_RECOVERED!$B:$B,Tabelle289[[#This Row],[Country/Region]],RAW_RECOVERED!BM:BM)</f>
        <v>0</v>
      </c>
      <c r="BM37" s="32">
        <f>SUMIF(RAW_RECOVERED!$B:$B,Tabelle289[[#This Row],[Country/Region]],RAW_RECOVERED!BN:BN)</f>
        <v>0</v>
      </c>
      <c r="BN37" s="32">
        <f>SUMIF(RAW_RECOVERED!$B:$B,Tabelle289[[#This Row],[Country/Region]],RAW_RECOVERED!BO:BO)</f>
        <v>0</v>
      </c>
      <c r="BO37" s="32">
        <f>SUMIF(RAW_RECOVERED!$B:$B,Tabelle289[[#This Row],[Country/Region]],RAW_RECOVERED!BP:BP)</f>
        <v>0</v>
      </c>
      <c r="BP37" s="32">
        <f>SUMIF(RAW_RECOVERED!$B:$B,Tabelle289[[#This Row],[Country/Region]],RAW_RECOVERED!BQ:BQ)</f>
        <v>0</v>
      </c>
      <c r="BQ37" s="32">
        <f>SUMIF(RAW_RECOVERED!$B:$B,Tabelle289[[#This Row],[Country/Region]],RAW_RECOVERED!BR:BR)</f>
        <v>0</v>
      </c>
      <c r="BR37" s="32">
        <f>SUMIF(RAW_RECOVERED!$B:$B,Tabelle289[[#This Row],[Country/Region]],RAW_RECOVERED!BS:BS)</f>
        <v>0</v>
      </c>
      <c r="BS37" s="32">
        <f>SUMIF(RAW_RECOVERED!$B:$B,Tabelle289[[#This Row],[Country/Region]],RAW_RECOVERED!BT:BT)</f>
        <v>0</v>
      </c>
      <c r="BT37" s="32">
        <f>SUMIF(RAW_RECOVERED!$B:$B,Tabelle289[[#This Row],[Country/Region]],RAW_RECOVERED!BU:BU)</f>
        <v>0</v>
      </c>
      <c r="BU37" s="32">
        <f>SUMIF(RAW_RECOVERED!$B:$B,Tabelle289[[#This Row],[Country/Region]],RAW_RECOVERED!BV:BV)</f>
        <v>0</v>
      </c>
      <c r="BV37" s="32">
        <f>SUMIF(RAW_RECOVERED!$B:$B,Tabelle289[[#This Row],[Country/Region]],RAW_RECOVERED!BW:BW)</f>
        <v>0</v>
      </c>
      <c r="BW37" s="32">
        <f>SUMIF(RAW_RECOVERED!$B:$B,Tabelle289[[#This Row],[Country/Region]],RAW_RECOVERED!BX:BX)</f>
        <v>0</v>
      </c>
      <c r="BX37" s="32">
        <f>SUMIF(RAW_RECOVERED!$B:$B,Tabelle289[[#This Row],[Country/Region]],RAW_RECOVERED!BY:BY)</f>
        <v>0</v>
      </c>
      <c r="BY37" s="32">
        <f>SUMIF(RAW_RECOVERED!$B:$B,Tabelle289[[#This Row],[Country/Region]],RAW_RECOVERED!BZ:BZ)</f>
        <v>0</v>
      </c>
      <c r="BZ37" s="32">
        <f>SUMIF(RAW_RECOVERED!$B:$B,Tabelle289[[#This Row],[Country/Region]],RAW_RECOVERED!CA:CA)</f>
        <v>0</v>
      </c>
      <c r="CA37" s="32">
        <f>SUMIF(RAW_RECOVERED!$B:$B,Tabelle289[[#This Row],[Country/Region]],RAW_RECOVERED!CB:CB)</f>
        <v>0</v>
      </c>
      <c r="CB37" s="32">
        <f>SUMIF(RAW_RECOVERED!$B:$B,Tabelle289[[#This Row],[Country/Region]],RAW_RECOVERED!CC:CC)</f>
        <v>0</v>
      </c>
      <c r="CC37" s="32">
        <f>SUMIF(RAW_RECOVERED!$B:$B,Tabelle289[[#This Row],[Country/Region]],RAW_RECOVERED!CD:CD)</f>
        <v>0</v>
      </c>
      <c r="CD37" s="32">
        <f>SUMIF(RAW_RECOVERED!$B:$B,Tabelle289[[#This Row],[Country/Region]],RAW_RECOVERED!CE:CE)</f>
        <v>0</v>
      </c>
      <c r="CE37" s="32">
        <f>SUMIF(RAW_RECOVERED!$B:$B,Tabelle289[[#This Row],[Country/Region]],RAW_RECOVERED!CF:CF)</f>
        <v>0</v>
      </c>
    </row>
    <row r="38" spans="1:83" s="15" customFormat="1" ht="12.75" x14ac:dyDescent="0.2">
      <c r="A38" s="31" t="str">
        <f t="shared" si="4"/>
        <v>Switzerland</v>
      </c>
      <c r="B38" s="32">
        <f>SUMIF(RAW_RECOVERED!$B:$B,Tabelle289[[#This Row],[Country/Region]],RAW_RECOVERED!C:C)</f>
        <v>0</v>
      </c>
      <c r="C38" s="32">
        <f>SUMIF(RAW_RECOVERED!$B:$B,Tabelle289[[#This Row],[Country/Region]],RAW_RECOVERED!D:D)</f>
        <v>0</v>
      </c>
      <c r="D38" s="32">
        <f>SUMIF(RAW_RECOVERED!$B:$B,Tabelle289[[#This Row],[Country/Region]],RAW_RECOVERED!E:E)</f>
        <v>0</v>
      </c>
      <c r="E38" s="32">
        <f>SUMIF(RAW_RECOVERED!$B:$B,Tabelle289[[#This Row],[Country/Region]],RAW_RECOVERED!F:F)</f>
        <v>0</v>
      </c>
      <c r="F38" s="32">
        <f>SUMIF(RAW_RECOVERED!$B:$B,Tabelle289[[#This Row],[Country/Region]],RAW_RECOVERED!G:G)</f>
        <v>0</v>
      </c>
      <c r="G38" s="32">
        <f>SUMIF(RAW_RECOVERED!$B:$B,Tabelle289[[#This Row],[Country/Region]],RAW_RECOVERED!H:H)</f>
        <v>0</v>
      </c>
      <c r="H38" s="32">
        <f>SUMIF(RAW_RECOVERED!$B:$B,Tabelle289[[#This Row],[Country/Region]],RAW_RECOVERED!I:I)</f>
        <v>0</v>
      </c>
      <c r="I38" s="32">
        <f>SUMIF(RAW_RECOVERED!$B:$B,Tabelle289[[#This Row],[Country/Region]],RAW_RECOVERED!J:J)</f>
        <v>0</v>
      </c>
      <c r="J38" s="32">
        <f>SUMIF(RAW_RECOVERED!$B:$B,Tabelle289[[#This Row],[Country/Region]],RAW_RECOVERED!K:K)</f>
        <v>0</v>
      </c>
      <c r="K38" s="32">
        <f>SUMIF(RAW_RECOVERED!$B:$B,Tabelle289[[#This Row],[Country/Region]],RAW_RECOVERED!L:L)</f>
        <v>0</v>
      </c>
      <c r="L38" s="32">
        <f>SUMIF(RAW_RECOVERED!$B:$B,Tabelle289[[#This Row],[Country/Region]],RAW_RECOVERED!M:M)</f>
        <v>0</v>
      </c>
      <c r="M38" s="32">
        <f>SUMIF(RAW_RECOVERED!$B:$B,Tabelle289[[#This Row],[Country/Region]],RAW_RECOVERED!N:N)</f>
        <v>0</v>
      </c>
      <c r="N38" s="32">
        <f>SUMIF(RAW_RECOVERED!$B:$B,Tabelle289[[#This Row],[Country/Region]],RAW_RECOVERED!O:O)</f>
        <v>0</v>
      </c>
      <c r="O38" s="32">
        <f>SUMIF(RAW_RECOVERED!$B:$B,Tabelle289[[#This Row],[Country/Region]],RAW_RECOVERED!P:P)</f>
        <v>0</v>
      </c>
      <c r="P38" s="32">
        <f>SUMIF(RAW_RECOVERED!$B:$B,Tabelle289[[#This Row],[Country/Region]],RAW_RECOVERED!Q:Q)</f>
        <v>0</v>
      </c>
      <c r="Q38" s="32">
        <f>SUMIF(RAW_RECOVERED!$B:$B,Tabelle289[[#This Row],[Country/Region]],RAW_RECOVERED!R:R)</f>
        <v>0</v>
      </c>
      <c r="R38" s="32">
        <f>SUMIF(RAW_RECOVERED!$B:$B,Tabelle289[[#This Row],[Country/Region]],RAW_RECOVERED!S:S)</f>
        <v>0</v>
      </c>
      <c r="S38" s="32">
        <f>SUMIF(RAW_RECOVERED!$B:$B,Tabelle289[[#This Row],[Country/Region]],RAW_RECOVERED!T:T)</f>
        <v>0</v>
      </c>
      <c r="T38" s="32">
        <f>SUMIF(RAW_RECOVERED!$B:$B,Tabelle289[[#This Row],[Country/Region]],RAW_RECOVERED!U:U)</f>
        <v>0</v>
      </c>
      <c r="U38" s="32">
        <f>SUMIF(RAW_RECOVERED!$B:$B,Tabelle289[[#This Row],[Country/Region]],RAW_RECOVERED!V:V)</f>
        <v>0</v>
      </c>
      <c r="V38" s="32">
        <f>SUMIF(RAW_RECOVERED!$B:$B,Tabelle289[[#This Row],[Country/Region]],RAW_RECOVERED!W:W)</f>
        <v>0</v>
      </c>
      <c r="W38" s="32">
        <f>SUMIF(RAW_RECOVERED!$B:$B,Tabelle289[[#This Row],[Country/Region]],RAW_RECOVERED!X:X)</f>
        <v>0</v>
      </c>
      <c r="X38" s="32">
        <f>SUMIF(RAW_RECOVERED!$B:$B,Tabelle289[[#This Row],[Country/Region]],RAW_RECOVERED!Y:Y)</f>
        <v>0</v>
      </c>
      <c r="Y38" s="32">
        <f>SUMIF(RAW_RECOVERED!$B:$B,Tabelle289[[#This Row],[Country/Region]],RAW_RECOVERED!Z:Z)</f>
        <v>0</v>
      </c>
      <c r="Z38" s="32">
        <f>SUMIF(RAW_RECOVERED!$B:$B,Tabelle289[[#This Row],[Country/Region]],RAW_RECOVERED!AA:AA)</f>
        <v>0</v>
      </c>
      <c r="AA38" s="32">
        <f>SUMIF(RAW_RECOVERED!$B:$B,Tabelle289[[#This Row],[Country/Region]],RAW_RECOVERED!AB:AB)</f>
        <v>0</v>
      </c>
      <c r="AB38" s="32">
        <f>SUMIF(RAW_RECOVERED!$B:$B,Tabelle289[[#This Row],[Country/Region]],RAW_RECOVERED!AC:AC)</f>
        <v>0</v>
      </c>
      <c r="AC38" s="32">
        <f>SUMIF(RAW_RECOVERED!$B:$B,Tabelle289[[#This Row],[Country/Region]],RAW_RECOVERED!AD:AD)</f>
        <v>0</v>
      </c>
      <c r="AD38" s="32">
        <f>SUMIF(RAW_RECOVERED!$B:$B,Tabelle289[[#This Row],[Country/Region]],RAW_RECOVERED!AE:AE)</f>
        <v>0</v>
      </c>
      <c r="AE38" s="32">
        <f>SUMIF(RAW_RECOVERED!$B:$B,Tabelle289[[#This Row],[Country/Region]],RAW_RECOVERED!AF:AF)</f>
        <v>0</v>
      </c>
      <c r="AF38" s="32">
        <f>SUMIF(RAW_RECOVERED!$B:$B,Tabelle289[[#This Row],[Country/Region]],RAW_RECOVERED!AG:AG)</f>
        <v>0</v>
      </c>
      <c r="AG38" s="32">
        <f>SUMIF(RAW_RECOVERED!$B:$B,Tabelle289[[#This Row],[Country/Region]],RAW_RECOVERED!AH:AH)</f>
        <v>0</v>
      </c>
      <c r="AH38" s="32">
        <f>SUMIF(RAW_RECOVERED!$B:$B,Tabelle289[[#This Row],[Country/Region]],RAW_RECOVERED!AI:AI)</f>
        <v>0</v>
      </c>
      <c r="AI38" s="32">
        <f>SUMIF(RAW_RECOVERED!$B:$B,Tabelle289[[#This Row],[Country/Region]],RAW_RECOVERED!AJ:AJ)</f>
        <v>0</v>
      </c>
      <c r="AJ38" s="32">
        <f>SUMIF(RAW_RECOVERED!$B:$B,Tabelle289[[#This Row],[Country/Region]],RAW_RECOVERED!AK:AK)</f>
        <v>0</v>
      </c>
      <c r="AK38" s="32">
        <f>SUMIF(RAW_RECOVERED!$B:$B,Tabelle289[[#This Row],[Country/Region]],RAW_RECOVERED!AL:AL)</f>
        <v>0</v>
      </c>
      <c r="AL38" s="32">
        <f>SUMIF(RAW_RECOVERED!$B:$B,Tabelle289[[#This Row],[Country/Region]],RAW_RECOVERED!AM:AM)</f>
        <v>0</v>
      </c>
      <c r="AM38" s="32">
        <f>SUMIF(RAW_RECOVERED!$B:$B,Tabelle289[[#This Row],[Country/Region]],RAW_RECOVERED!AN:AN)</f>
        <v>0</v>
      </c>
      <c r="AN38" s="32">
        <f>SUMIF(RAW_RECOVERED!$B:$B,Tabelle289[[#This Row],[Country/Region]],RAW_RECOVERED!AO:AO)</f>
        <v>0</v>
      </c>
      <c r="AO38" s="32">
        <f>SUMIF(RAW_RECOVERED!$B:$B,Tabelle289[[#This Row],[Country/Region]],RAW_RECOVERED!AP:AP)</f>
        <v>0</v>
      </c>
      <c r="AP38" s="32">
        <f>SUMIF(RAW_RECOVERED!$B:$B,Tabelle289[[#This Row],[Country/Region]],RAW_RECOVERED!AQ:AQ)</f>
        <v>0</v>
      </c>
      <c r="AQ38" s="32">
        <f>SUMIF(RAW_RECOVERED!$B:$B,Tabelle289[[#This Row],[Country/Region]],RAW_RECOVERED!AR:AR)</f>
        <v>2</v>
      </c>
      <c r="AR38" s="32">
        <f>SUMIF(RAW_RECOVERED!$B:$B,Tabelle289[[#This Row],[Country/Region]],RAW_RECOVERED!AS:AS)</f>
        <v>3</v>
      </c>
      <c r="AS38" s="32">
        <f>SUMIF(RAW_RECOVERED!$B:$B,Tabelle289[[#This Row],[Country/Region]],RAW_RECOVERED!AT:AT)</f>
        <v>3</v>
      </c>
      <c r="AT38" s="32">
        <f>SUMIF(RAW_RECOVERED!$B:$B,Tabelle289[[#This Row],[Country/Region]],RAW_RECOVERED!AU:AU)</f>
        <v>3</v>
      </c>
      <c r="AU38" s="32">
        <f>SUMIF(RAW_RECOVERED!$B:$B,Tabelle289[[#This Row],[Country/Region]],RAW_RECOVERED!AV:AV)</f>
        <v>3</v>
      </c>
      <c r="AV38" s="32">
        <f>SUMIF(RAW_RECOVERED!$B:$B,Tabelle289[[#This Row],[Country/Region]],RAW_RECOVERED!AW:AW)</f>
        <v>3</v>
      </c>
      <c r="AW38" s="32">
        <f>SUMIF(RAW_RECOVERED!$B:$B,Tabelle289[[#This Row],[Country/Region]],RAW_RECOVERED!AX:AX)</f>
        <v>3</v>
      </c>
      <c r="AX38" s="32">
        <f>SUMIF(RAW_RECOVERED!$B:$B,Tabelle289[[#This Row],[Country/Region]],RAW_RECOVERED!AY:AY)</f>
        <v>3</v>
      </c>
      <c r="AY38" s="32">
        <f>SUMIF(RAW_RECOVERED!$B:$B,Tabelle289[[#This Row],[Country/Region]],RAW_RECOVERED!AZ:AZ)</f>
        <v>4</v>
      </c>
      <c r="AZ38" s="32">
        <f>SUMIF(RAW_RECOVERED!$B:$B,Tabelle289[[#This Row],[Country/Region]],RAW_RECOVERED!BA:BA)</f>
        <v>4</v>
      </c>
      <c r="BA38" s="32">
        <f>SUMIF(RAW_RECOVERED!$B:$B,Tabelle289[[#This Row],[Country/Region]],RAW_RECOVERED!BB:BB)</f>
        <v>4</v>
      </c>
      <c r="BB38" s="32">
        <f>SUMIF(RAW_RECOVERED!$B:$B,Tabelle289[[#This Row],[Country/Region]],RAW_RECOVERED!BC:BC)</f>
        <v>4</v>
      </c>
      <c r="BC38" s="32">
        <f>SUMIF(RAW_RECOVERED!$B:$B,Tabelle289[[#This Row],[Country/Region]],RAW_RECOVERED!BD:BD)</f>
        <v>4</v>
      </c>
      <c r="BD38" s="32">
        <f>SUMIF(RAW_RECOVERED!$B:$B,Tabelle289[[#This Row],[Country/Region]],RAW_RECOVERED!BE:BE)</f>
        <v>4</v>
      </c>
      <c r="BE38" s="32">
        <f>SUMIF(RAW_RECOVERED!$B:$B,Tabelle289[[#This Row],[Country/Region]],RAW_RECOVERED!BF:BF)</f>
        <v>4</v>
      </c>
      <c r="BF38" s="32">
        <f>SUMIF(RAW_RECOVERED!$B:$B,Tabelle289[[#This Row],[Country/Region]],RAW_RECOVERED!BG:BG)</f>
        <v>15</v>
      </c>
      <c r="BG38" s="32">
        <f>SUMIF(RAW_RECOVERED!$B:$B,Tabelle289[[#This Row],[Country/Region]],RAW_RECOVERED!BH:BH)</f>
        <v>15</v>
      </c>
      <c r="BH38" s="32">
        <f>SUMIF(RAW_RECOVERED!$B:$B,Tabelle289[[#This Row],[Country/Region]],RAW_RECOVERED!BI:BI)</f>
        <v>15</v>
      </c>
      <c r="BI38" s="32">
        <f>SUMIF(RAW_RECOVERED!$B:$B,Tabelle289[[#This Row],[Country/Region]],RAW_RECOVERED!BJ:BJ)</f>
        <v>15</v>
      </c>
      <c r="BJ38" s="32">
        <f>SUMIF(RAW_RECOVERED!$B:$B,Tabelle289[[#This Row],[Country/Region]],RAW_RECOVERED!BK:BK)</f>
        <v>131</v>
      </c>
      <c r="BK38" s="32">
        <f>SUMIF(RAW_RECOVERED!$B:$B,Tabelle289[[#This Row],[Country/Region]],RAW_RECOVERED!BL:BL)</f>
        <v>0</v>
      </c>
      <c r="BL38" s="32">
        <f>SUMIF(RAW_RECOVERED!$B:$B,Tabelle289[[#This Row],[Country/Region]],RAW_RECOVERED!BM:BM)</f>
        <v>0</v>
      </c>
      <c r="BM38" s="32">
        <f>SUMIF(RAW_RECOVERED!$B:$B,Tabelle289[[#This Row],[Country/Region]],RAW_RECOVERED!BN:BN)</f>
        <v>0</v>
      </c>
      <c r="BN38" s="32">
        <f>SUMIF(RAW_RECOVERED!$B:$B,Tabelle289[[#This Row],[Country/Region]],RAW_RECOVERED!BO:BO)</f>
        <v>0</v>
      </c>
      <c r="BO38" s="32">
        <f>SUMIF(RAW_RECOVERED!$B:$B,Tabelle289[[#This Row],[Country/Region]],RAW_RECOVERED!BP:BP)</f>
        <v>0</v>
      </c>
      <c r="BP38" s="32">
        <f>SUMIF(RAW_RECOVERED!$B:$B,Tabelle289[[#This Row],[Country/Region]],RAW_RECOVERED!BQ:BQ)</f>
        <v>0</v>
      </c>
      <c r="BQ38" s="32">
        <f>SUMIF(RAW_RECOVERED!$B:$B,Tabelle289[[#This Row],[Country/Region]],RAW_RECOVERED!BR:BR)</f>
        <v>0</v>
      </c>
      <c r="BR38" s="32">
        <f>SUMIF(RAW_RECOVERED!$B:$B,Tabelle289[[#This Row],[Country/Region]],RAW_RECOVERED!BS:BS)</f>
        <v>0</v>
      </c>
      <c r="BS38" s="32">
        <f>SUMIF(RAW_RECOVERED!$B:$B,Tabelle289[[#This Row],[Country/Region]],RAW_RECOVERED!BT:BT)</f>
        <v>0</v>
      </c>
      <c r="BT38" s="32">
        <f>SUMIF(RAW_RECOVERED!$B:$B,Tabelle289[[#This Row],[Country/Region]],RAW_RECOVERED!BU:BU)</f>
        <v>0</v>
      </c>
      <c r="BU38" s="32">
        <f>SUMIF(RAW_RECOVERED!$B:$B,Tabelle289[[#This Row],[Country/Region]],RAW_RECOVERED!BV:BV)</f>
        <v>0</v>
      </c>
      <c r="BV38" s="32">
        <f>SUMIF(RAW_RECOVERED!$B:$B,Tabelle289[[#This Row],[Country/Region]],RAW_RECOVERED!BW:BW)</f>
        <v>0</v>
      </c>
      <c r="BW38" s="32">
        <f>SUMIF(RAW_RECOVERED!$B:$B,Tabelle289[[#This Row],[Country/Region]],RAW_RECOVERED!BX:BX)</f>
        <v>0</v>
      </c>
      <c r="BX38" s="32">
        <f>SUMIF(RAW_RECOVERED!$B:$B,Tabelle289[[#This Row],[Country/Region]],RAW_RECOVERED!BY:BY)</f>
        <v>0</v>
      </c>
      <c r="BY38" s="32">
        <f>SUMIF(RAW_RECOVERED!$B:$B,Tabelle289[[#This Row],[Country/Region]],RAW_RECOVERED!BZ:BZ)</f>
        <v>0</v>
      </c>
      <c r="BZ38" s="32">
        <f>SUMIF(RAW_RECOVERED!$B:$B,Tabelle289[[#This Row],[Country/Region]],RAW_RECOVERED!CA:CA)</f>
        <v>0</v>
      </c>
      <c r="CA38" s="32">
        <f>SUMIF(RAW_RECOVERED!$B:$B,Tabelle289[[#This Row],[Country/Region]],RAW_RECOVERED!CB:CB)</f>
        <v>0</v>
      </c>
      <c r="CB38" s="32">
        <f>SUMIF(RAW_RECOVERED!$B:$B,Tabelle289[[#This Row],[Country/Region]],RAW_RECOVERED!CC:CC)</f>
        <v>0</v>
      </c>
      <c r="CC38" s="32">
        <f>SUMIF(RAW_RECOVERED!$B:$B,Tabelle289[[#This Row],[Country/Region]],RAW_RECOVERED!CD:CD)</f>
        <v>0</v>
      </c>
      <c r="CD38" s="32">
        <f>SUMIF(RAW_RECOVERED!$B:$B,Tabelle289[[#This Row],[Country/Region]],RAW_RECOVERED!CE:CE)</f>
        <v>0</v>
      </c>
      <c r="CE38" s="32">
        <f>SUMIF(RAW_RECOVERED!$B:$B,Tabelle289[[#This Row],[Country/Region]],RAW_RECOVERED!CF:CF)</f>
        <v>0</v>
      </c>
    </row>
    <row r="39" spans="1:83" s="15" customFormat="1" ht="12.75" x14ac:dyDescent="0.2">
      <c r="A39" s="31" t="str">
        <f t="shared" si="4"/>
        <v/>
      </c>
      <c r="B39" s="32">
        <f>SUMIF(RAW_RECOVERED!$B:$B,Tabelle289[[#This Row],[Country/Region]],RAW_RECOVERED!C:C)</f>
        <v>0</v>
      </c>
      <c r="C39" s="32">
        <f>SUMIF(RAW_RECOVERED!$B:$B,Tabelle289[[#This Row],[Country/Region]],RAW_RECOVERED!D:D)</f>
        <v>0</v>
      </c>
      <c r="D39" s="32">
        <f>SUMIF(RAW_RECOVERED!$B:$B,Tabelle289[[#This Row],[Country/Region]],RAW_RECOVERED!E:E)</f>
        <v>0</v>
      </c>
      <c r="E39" s="32">
        <f>SUMIF(RAW_RECOVERED!$B:$B,Tabelle289[[#This Row],[Country/Region]],RAW_RECOVERED!F:F)</f>
        <v>0</v>
      </c>
      <c r="F39" s="32">
        <f>SUMIF(RAW_RECOVERED!$B:$B,Tabelle289[[#This Row],[Country/Region]],RAW_RECOVERED!G:G)</f>
        <v>0</v>
      </c>
      <c r="G39" s="32">
        <f>SUMIF(RAW_RECOVERED!$B:$B,Tabelle289[[#This Row],[Country/Region]],RAW_RECOVERED!H:H)</f>
        <v>0</v>
      </c>
      <c r="H39" s="32">
        <f>SUMIF(RAW_RECOVERED!$B:$B,Tabelle289[[#This Row],[Country/Region]],RAW_RECOVERED!I:I)</f>
        <v>0</v>
      </c>
      <c r="I39" s="32">
        <f>SUMIF(RAW_RECOVERED!$B:$B,Tabelle289[[#This Row],[Country/Region]],RAW_RECOVERED!J:J)</f>
        <v>0</v>
      </c>
      <c r="J39" s="32">
        <f>SUMIF(RAW_RECOVERED!$B:$B,Tabelle289[[#This Row],[Country/Region]],RAW_RECOVERED!K:K)</f>
        <v>0</v>
      </c>
      <c r="K39" s="32">
        <f>SUMIF(RAW_RECOVERED!$B:$B,Tabelle289[[#This Row],[Country/Region]],RAW_RECOVERED!L:L)</f>
        <v>0</v>
      </c>
      <c r="L39" s="32">
        <f>SUMIF(RAW_RECOVERED!$B:$B,Tabelle289[[#This Row],[Country/Region]],RAW_RECOVERED!M:M)</f>
        <v>0</v>
      </c>
      <c r="M39" s="32">
        <f>SUMIF(RAW_RECOVERED!$B:$B,Tabelle289[[#This Row],[Country/Region]],RAW_RECOVERED!N:N)</f>
        <v>0</v>
      </c>
      <c r="N39" s="32">
        <f>SUMIF(RAW_RECOVERED!$B:$B,Tabelle289[[#This Row],[Country/Region]],RAW_RECOVERED!O:O)</f>
        <v>0</v>
      </c>
      <c r="O39" s="32">
        <f>SUMIF(RAW_RECOVERED!$B:$B,Tabelle289[[#This Row],[Country/Region]],RAW_RECOVERED!P:P)</f>
        <v>0</v>
      </c>
      <c r="P39" s="32">
        <f>SUMIF(RAW_RECOVERED!$B:$B,Tabelle289[[#This Row],[Country/Region]],RAW_RECOVERED!Q:Q)</f>
        <v>0</v>
      </c>
      <c r="Q39" s="32">
        <f>SUMIF(RAW_RECOVERED!$B:$B,Tabelle289[[#This Row],[Country/Region]],RAW_RECOVERED!R:R)</f>
        <v>0</v>
      </c>
      <c r="R39" s="32">
        <f>SUMIF(RAW_RECOVERED!$B:$B,Tabelle289[[#This Row],[Country/Region]],RAW_RECOVERED!S:S)</f>
        <v>0</v>
      </c>
      <c r="S39" s="32">
        <f>SUMIF(RAW_RECOVERED!$B:$B,Tabelle289[[#This Row],[Country/Region]],RAW_RECOVERED!T:T)</f>
        <v>0</v>
      </c>
      <c r="T39" s="32">
        <f>SUMIF(RAW_RECOVERED!$B:$B,Tabelle289[[#This Row],[Country/Region]],RAW_RECOVERED!U:U)</f>
        <v>0</v>
      </c>
      <c r="U39" s="32">
        <f>SUMIF(RAW_RECOVERED!$B:$B,Tabelle289[[#This Row],[Country/Region]],RAW_RECOVERED!V:V)</f>
        <v>0</v>
      </c>
      <c r="V39" s="32">
        <f>SUMIF(RAW_RECOVERED!$B:$B,Tabelle289[[#This Row],[Country/Region]],RAW_RECOVERED!W:W)</f>
        <v>0</v>
      </c>
      <c r="W39" s="32">
        <f>SUMIF(RAW_RECOVERED!$B:$B,Tabelle289[[#This Row],[Country/Region]],RAW_RECOVERED!X:X)</f>
        <v>0</v>
      </c>
      <c r="X39" s="32">
        <f>SUMIF(RAW_RECOVERED!$B:$B,Tabelle289[[#This Row],[Country/Region]],RAW_RECOVERED!Y:Y)</f>
        <v>0</v>
      </c>
      <c r="Y39" s="32">
        <f>SUMIF(RAW_RECOVERED!$B:$B,Tabelle289[[#This Row],[Country/Region]],RAW_RECOVERED!Z:Z)</f>
        <v>0</v>
      </c>
      <c r="Z39" s="32">
        <f>SUMIF(RAW_RECOVERED!$B:$B,Tabelle289[[#This Row],[Country/Region]],RAW_RECOVERED!AA:AA)</f>
        <v>0</v>
      </c>
      <c r="AA39" s="32">
        <f>SUMIF(RAW_RECOVERED!$B:$B,Tabelle289[[#This Row],[Country/Region]],RAW_RECOVERED!AB:AB)</f>
        <v>0</v>
      </c>
      <c r="AB39" s="32">
        <f>SUMIF(RAW_RECOVERED!$B:$B,Tabelle289[[#This Row],[Country/Region]],RAW_RECOVERED!AC:AC)</f>
        <v>0</v>
      </c>
      <c r="AC39" s="32">
        <f>SUMIF(RAW_RECOVERED!$B:$B,Tabelle289[[#This Row],[Country/Region]],RAW_RECOVERED!AD:AD)</f>
        <v>0</v>
      </c>
      <c r="AD39" s="32">
        <f>SUMIF(RAW_RECOVERED!$B:$B,Tabelle289[[#This Row],[Country/Region]],RAW_RECOVERED!AE:AE)</f>
        <v>0</v>
      </c>
      <c r="AE39" s="32">
        <f>SUMIF(RAW_RECOVERED!$B:$B,Tabelle289[[#This Row],[Country/Region]],RAW_RECOVERED!AF:AF)</f>
        <v>0</v>
      </c>
      <c r="AF39" s="32">
        <f>SUMIF(RAW_RECOVERED!$B:$B,Tabelle289[[#This Row],[Country/Region]],RAW_RECOVERED!AG:AG)</f>
        <v>0</v>
      </c>
      <c r="AG39" s="32">
        <f>SUMIF(RAW_RECOVERED!$B:$B,Tabelle289[[#This Row],[Country/Region]],RAW_RECOVERED!AH:AH)</f>
        <v>0</v>
      </c>
      <c r="AH39" s="32">
        <f>SUMIF(RAW_RECOVERED!$B:$B,Tabelle289[[#This Row],[Country/Region]],RAW_RECOVERED!AI:AI)</f>
        <v>0</v>
      </c>
      <c r="AI39" s="32">
        <f>SUMIF(RAW_RECOVERED!$B:$B,Tabelle289[[#This Row],[Country/Region]],RAW_RECOVERED!AJ:AJ)</f>
        <v>0</v>
      </c>
      <c r="AJ39" s="32">
        <f>SUMIF(RAW_RECOVERED!$B:$B,Tabelle289[[#This Row],[Country/Region]],RAW_RECOVERED!AK:AK)</f>
        <v>0</v>
      </c>
      <c r="AK39" s="32">
        <f>SUMIF(RAW_RECOVERED!$B:$B,Tabelle289[[#This Row],[Country/Region]],RAW_RECOVERED!AL:AL)</f>
        <v>0</v>
      </c>
      <c r="AL39" s="32">
        <f>SUMIF(RAW_RECOVERED!$B:$B,Tabelle289[[#This Row],[Country/Region]],RAW_RECOVERED!AM:AM)</f>
        <v>0</v>
      </c>
      <c r="AM39" s="32">
        <f>SUMIF(RAW_RECOVERED!$B:$B,Tabelle289[[#This Row],[Country/Region]],RAW_RECOVERED!AN:AN)</f>
        <v>0</v>
      </c>
      <c r="AN39" s="32">
        <f>SUMIF(RAW_RECOVERED!$B:$B,Tabelle289[[#This Row],[Country/Region]],RAW_RECOVERED!AO:AO)</f>
        <v>0</v>
      </c>
      <c r="AO39" s="32">
        <f>SUMIF(RAW_RECOVERED!$B:$B,Tabelle289[[#This Row],[Country/Region]],RAW_RECOVERED!AP:AP)</f>
        <v>0</v>
      </c>
      <c r="AP39" s="32">
        <f>SUMIF(RAW_RECOVERED!$B:$B,Tabelle289[[#This Row],[Country/Region]],RAW_RECOVERED!AQ:AQ)</f>
        <v>0</v>
      </c>
      <c r="AQ39" s="32">
        <f>SUMIF(RAW_RECOVERED!$B:$B,Tabelle289[[#This Row],[Country/Region]],RAW_RECOVERED!AR:AR)</f>
        <v>0</v>
      </c>
      <c r="AR39" s="32">
        <f>SUMIF(RAW_RECOVERED!$B:$B,Tabelle289[[#This Row],[Country/Region]],RAW_RECOVERED!AS:AS)</f>
        <v>0</v>
      </c>
      <c r="AS39" s="32">
        <f>SUMIF(RAW_RECOVERED!$B:$B,Tabelle289[[#This Row],[Country/Region]],RAW_RECOVERED!AT:AT)</f>
        <v>0</v>
      </c>
      <c r="AT39" s="32">
        <f>SUMIF(RAW_RECOVERED!$B:$B,Tabelle289[[#This Row],[Country/Region]],RAW_RECOVERED!AU:AU)</f>
        <v>0</v>
      </c>
      <c r="AU39" s="32">
        <f>SUMIF(RAW_RECOVERED!$B:$B,Tabelle289[[#This Row],[Country/Region]],RAW_RECOVERED!AV:AV)</f>
        <v>0</v>
      </c>
      <c r="AV39" s="32">
        <f>SUMIF(RAW_RECOVERED!$B:$B,Tabelle289[[#This Row],[Country/Region]],RAW_RECOVERED!AW:AW)</f>
        <v>0</v>
      </c>
      <c r="AW39" s="32">
        <f>SUMIF(RAW_RECOVERED!$B:$B,Tabelle289[[#This Row],[Country/Region]],RAW_RECOVERED!AX:AX)</f>
        <v>0</v>
      </c>
      <c r="AX39" s="32">
        <f>SUMIF(RAW_RECOVERED!$B:$B,Tabelle289[[#This Row],[Country/Region]],RAW_RECOVERED!AY:AY)</f>
        <v>0</v>
      </c>
      <c r="AY39" s="32">
        <f>SUMIF(RAW_RECOVERED!$B:$B,Tabelle289[[#This Row],[Country/Region]],RAW_RECOVERED!AZ:AZ)</f>
        <v>0</v>
      </c>
      <c r="AZ39" s="32">
        <f>SUMIF(RAW_RECOVERED!$B:$B,Tabelle289[[#This Row],[Country/Region]],RAW_RECOVERED!BA:BA)</f>
        <v>0</v>
      </c>
      <c r="BA39" s="32">
        <f>SUMIF(RAW_RECOVERED!$B:$B,Tabelle289[[#This Row],[Country/Region]],RAW_RECOVERED!BB:BB)</f>
        <v>0</v>
      </c>
      <c r="BB39" s="32">
        <f>SUMIF(RAW_RECOVERED!$B:$B,Tabelle289[[#This Row],[Country/Region]],RAW_RECOVERED!BC:BC)</f>
        <v>0</v>
      </c>
      <c r="BC39" s="32">
        <f>SUMIF(RAW_RECOVERED!$B:$B,Tabelle289[[#This Row],[Country/Region]],RAW_RECOVERED!BD:BD)</f>
        <v>0</v>
      </c>
      <c r="BD39" s="32">
        <f>SUMIF(RAW_RECOVERED!$B:$B,Tabelle289[[#This Row],[Country/Region]],RAW_RECOVERED!BE:BE)</f>
        <v>0</v>
      </c>
      <c r="BE39" s="32">
        <f>SUMIF(RAW_RECOVERED!$B:$B,Tabelle289[[#This Row],[Country/Region]],RAW_RECOVERED!BF:BF)</f>
        <v>0</v>
      </c>
      <c r="BF39" s="32">
        <f>SUMIF(RAW_RECOVERED!$B:$B,Tabelle289[[#This Row],[Country/Region]],RAW_RECOVERED!BG:BG)</f>
        <v>0</v>
      </c>
      <c r="BG39" s="32">
        <f>SUMIF(RAW_RECOVERED!$B:$B,Tabelle289[[#This Row],[Country/Region]],RAW_RECOVERED!BH:BH)</f>
        <v>0</v>
      </c>
      <c r="BH39" s="32">
        <f>SUMIF(RAW_RECOVERED!$B:$B,Tabelle289[[#This Row],[Country/Region]],RAW_RECOVERED!BI:BI)</f>
        <v>0</v>
      </c>
      <c r="BI39" s="32">
        <f>SUMIF(RAW_RECOVERED!$B:$B,Tabelle289[[#This Row],[Country/Region]],RAW_RECOVERED!BJ:BJ)</f>
        <v>0</v>
      </c>
      <c r="BJ39" s="32">
        <f>SUMIF(RAW_RECOVERED!$B:$B,Tabelle289[[#This Row],[Country/Region]],RAW_RECOVERED!BK:BK)</f>
        <v>0</v>
      </c>
      <c r="BK39" s="32">
        <f>SUMIF(RAW_RECOVERED!$B:$B,Tabelle289[[#This Row],[Country/Region]],RAW_RECOVERED!BL:BL)</f>
        <v>0</v>
      </c>
      <c r="BL39" s="32">
        <f>SUMIF(RAW_RECOVERED!$B:$B,Tabelle289[[#This Row],[Country/Region]],RAW_RECOVERED!BM:BM)</f>
        <v>0</v>
      </c>
      <c r="BM39" s="32">
        <f>SUMIF(RAW_RECOVERED!$B:$B,Tabelle289[[#This Row],[Country/Region]],RAW_RECOVERED!BN:BN)</f>
        <v>0</v>
      </c>
      <c r="BN39" s="32">
        <f>SUMIF(RAW_RECOVERED!$B:$B,Tabelle289[[#This Row],[Country/Region]],RAW_RECOVERED!BO:BO)</f>
        <v>0</v>
      </c>
      <c r="BO39" s="32">
        <f>SUMIF(RAW_RECOVERED!$B:$B,Tabelle289[[#This Row],[Country/Region]],RAW_RECOVERED!BP:BP)</f>
        <v>0</v>
      </c>
      <c r="BP39" s="32">
        <f>SUMIF(RAW_RECOVERED!$B:$B,Tabelle289[[#This Row],[Country/Region]],RAW_RECOVERED!BQ:BQ)</f>
        <v>0</v>
      </c>
      <c r="BQ39" s="32">
        <f>SUMIF(RAW_RECOVERED!$B:$B,Tabelle289[[#This Row],[Country/Region]],RAW_RECOVERED!BR:BR)</f>
        <v>0</v>
      </c>
      <c r="BR39" s="32">
        <f>SUMIF(RAW_RECOVERED!$B:$B,Tabelle289[[#This Row],[Country/Region]],RAW_RECOVERED!BS:BS)</f>
        <v>0</v>
      </c>
      <c r="BS39" s="32">
        <f>SUMIF(RAW_RECOVERED!$B:$B,Tabelle289[[#This Row],[Country/Region]],RAW_RECOVERED!BT:BT)</f>
        <v>0</v>
      </c>
      <c r="BT39" s="32">
        <f>SUMIF(RAW_RECOVERED!$B:$B,Tabelle289[[#This Row],[Country/Region]],RAW_RECOVERED!BU:BU)</f>
        <v>0</v>
      </c>
      <c r="BU39" s="32">
        <f>SUMIF(RAW_RECOVERED!$B:$B,Tabelle289[[#This Row],[Country/Region]],RAW_RECOVERED!BV:BV)</f>
        <v>0</v>
      </c>
      <c r="BV39" s="32">
        <f>SUMIF(RAW_RECOVERED!$B:$B,Tabelle289[[#This Row],[Country/Region]],RAW_RECOVERED!BW:BW)</f>
        <v>0</v>
      </c>
      <c r="BW39" s="32">
        <f>SUMIF(RAW_RECOVERED!$B:$B,Tabelle289[[#This Row],[Country/Region]],RAW_RECOVERED!BX:BX)</f>
        <v>0</v>
      </c>
      <c r="BX39" s="32">
        <f>SUMIF(RAW_RECOVERED!$B:$B,Tabelle289[[#This Row],[Country/Region]],RAW_RECOVERED!BY:BY)</f>
        <v>0</v>
      </c>
      <c r="BY39" s="32">
        <f>SUMIF(RAW_RECOVERED!$B:$B,Tabelle289[[#This Row],[Country/Region]],RAW_RECOVERED!BZ:BZ)</f>
        <v>0</v>
      </c>
      <c r="BZ39" s="32">
        <f>SUMIF(RAW_RECOVERED!$B:$B,Tabelle289[[#This Row],[Country/Region]],RAW_RECOVERED!CA:CA)</f>
        <v>0</v>
      </c>
      <c r="CA39" s="32">
        <f>SUMIF(RAW_RECOVERED!$B:$B,Tabelle289[[#This Row],[Country/Region]],RAW_RECOVERED!CB:CB)</f>
        <v>0</v>
      </c>
      <c r="CB39" s="32">
        <f>SUMIF(RAW_RECOVERED!$B:$B,Tabelle289[[#This Row],[Country/Region]],RAW_RECOVERED!CC:CC)</f>
        <v>0</v>
      </c>
      <c r="CC39" s="32">
        <f>SUMIF(RAW_RECOVERED!$B:$B,Tabelle289[[#This Row],[Country/Region]],RAW_RECOVERED!CD:CD)</f>
        <v>0</v>
      </c>
      <c r="CD39" s="32">
        <f>SUMIF(RAW_RECOVERED!$B:$B,Tabelle289[[#This Row],[Country/Region]],RAW_RECOVERED!CE:CE)</f>
        <v>0</v>
      </c>
      <c r="CE39" s="32">
        <f>SUMIF(RAW_RECOVERED!$B:$B,Tabelle289[[#This Row],[Country/Region]],RAW_RECOVERED!CF:CF)</f>
        <v>0</v>
      </c>
    </row>
    <row r="40" spans="1:83" s="7" customFormat="1" ht="12.75" x14ac:dyDescent="0.2">
      <c r="A40" s="7" t="s">
        <v>553</v>
      </c>
      <c r="B40" s="12">
        <f>SUM(RAW_Cases!C:C)</f>
        <v>555</v>
      </c>
      <c r="C40" s="13">
        <f>SUM(RAW_Cases!D:D)</f>
        <v>654</v>
      </c>
      <c r="D40" s="13">
        <f>SUM(RAW_Cases!E:E)</f>
        <v>941</v>
      </c>
      <c r="E40" s="13">
        <f>SUM(RAW_Cases!F:F)</f>
        <v>1434</v>
      </c>
      <c r="F40" s="13">
        <f>SUM(RAW_Cases!G:G)</f>
        <v>2118</v>
      </c>
      <c r="G40" s="13">
        <f>SUM(RAW_Cases!H:H)</f>
        <v>2927</v>
      </c>
      <c r="H40" s="13">
        <f>SUM(RAW_Cases!I:I)</f>
        <v>5578</v>
      </c>
      <c r="I40" s="13">
        <f>SUM(RAW_Cases!J:J)</f>
        <v>6166</v>
      </c>
      <c r="J40" s="13">
        <f>SUM(RAW_Cases!K:K)</f>
        <v>8234</v>
      </c>
      <c r="K40" s="13">
        <f>SUM(RAW_Cases!L:L)</f>
        <v>9927</v>
      </c>
      <c r="L40" s="13">
        <f>SUM(RAW_Cases!M:M)</f>
        <v>12038</v>
      </c>
      <c r="M40" s="13">
        <f>SUM(RAW_Cases!N:N)</f>
        <v>16787</v>
      </c>
      <c r="N40" s="13">
        <f>SUM(RAW_Cases!O:O)</f>
        <v>19881</v>
      </c>
      <c r="O40" s="13">
        <f>SUM(RAW_Cases!P:P)</f>
        <v>23892</v>
      </c>
      <c r="P40" s="13">
        <f>SUM(RAW_Cases!Q:Q)</f>
        <v>27635</v>
      </c>
      <c r="Q40" s="13">
        <f>SUM(RAW_Cases!R:R)</f>
        <v>30794</v>
      </c>
      <c r="R40" s="13">
        <f>SUM(RAW_Cases!S:S)</f>
        <v>34391</v>
      </c>
      <c r="S40" s="13">
        <f>SUM(RAW_Cases!T:T)</f>
        <v>37120</v>
      </c>
      <c r="T40" s="13">
        <f>SUM(RAW_Cases!U:U)</f>
        <v>40150</v>
      </c>
      <c r="U40" s="13">
        <f>SUM(RAW_Cases!V:V)</f>
        <v>42762</v>
      </c>
      <c r="V40" s="13">
        <f>SUM(RAW_Cases!W:W)</f>
        <v>44802</v>
      </c>
      <c r="W40" s="13">
        <f>SUM(RAW_Cases!X:X)</f>
        <v>45221</v>
      </c>
      <c r="X40" s="13">
        <f>SUM(RAW_Cases!Y:Y)</f>
        <v>60368</v>
      </c>
      <c r="Y40" s="13">
        <f>SUM(RAW_Cases!Z:Z)</f>
        <v>66885</v>
      </c>
      <c r="Z40" s="13">
        <f>SUM(RAW_Cases!AA:AA)</f>
        <v>69030</v>
      </c>
      <c r="AA40" s="13">
        <f>SUM(RAW_Cases!AB:AB)</f>
        <v>71224</v>
      </c>
      <c r="AB40" s="13">
        <f>SUM(RAW_Cases!AC:AC)</f>
        <v>73258</v>
      </c>
      <c r="AC40" s="13">
        <f>SUM(RAW_Cases!AD:AD)</f>
        <v>75136</v>
      </c>
      <c r="AD40" s="13">
        <f>SUM(RAW_Cases!AE:AE)</f>
        <v>75639</v>
      </c>
      <c r="AE40" s="13">
        <f>SUM(RAW_Cases!AF:AF)</f>
        <v>76197</v>
      </c>
      <c r="AF40" s="13">
        <f>SUM(RAW_Cases!AG:AG)</f>
        <v>76819</v>
      </c>
      <c r="AG40" s="13">
        <f>SUM(RAW_Cases!AH:AH)</f>
        <v>78572</v>
      </c>
      <c r="AH40" s="13">
        <f>SUM(RAW_Cases!AI:AI)</f>
        <v>78958</v>
      </c>
      <c r="AI40" s="13">
        <f>SUM(RAW_Cases!AJ:AJ)</f>
        <v>79561</v>
      </c>
      <c r="AJ40" s="13">
        <f>SUM(RAW_Cases!AK:AK)</f>
        <v>80406</v>
      </c>
      <c r="AK40" s="13">
        <f>SUM(RAW_Cases!AL:AL)</f>
        <v>81388</v>
      </c>
      <c r="AL40" s="13">
        <f>SUM(RAW_Cases!AM:AM)</f>
        <v>82746</v>
      </c>
      <c r="AM40" s="13">
        <f>SUM(RAW_Cases!AN:AN)</f>
        <v>84112</v>
      </c>
      <c r="AN40" s="13">
        <f>SUM(RAW_Cases!AO:AO)</f>
        <v>86011</v>
      </c>
      <c r="AO40" s="13">
        <f>SUM(RAW_Cases!AP:AP)</f>
        <v>88369</v>
      </c>
      <c r="AP40" s="13">
        <f>SUM(RAW_Cases!AQ:AQ)</f>
        <v>90306</v>
      </c>
      <c r="AQ40" s="13">
        <f>SUM(RAW_Cases!AR:AR)</f>
        <v>92840</v>
      </c>
      <c r="AR40" s="13">
        <f>SUM(RAW_Cases!AS:AS)</f>
        <v>95120</v>
      </c>
      <c r="AS40" s="13">
        <f>SUM(RAW_Cases!AT:AT)</f>
        <v>97882</v>
      </c>
      <c r="AT40" s="13">
        <f>SUM(RAW_Cases!AU:AU)</f>
        <v>101794</v>
      </c>
      <c r="AU40" s="13">
        <f>SUM(RAW_Cases!AV:AV)</f>
        <v>105831</v>
      </c>
      <c r="AV40" s="13">
        <f>SUM(RAW_Cases!AW:AW)</f>
        <v>109805</v>
      </c>
      <c r="AW40" s="13">
        <f>SUM(RAW_Cases!AX:AX)</f>
        <v>113571</v>
      </c>
      <c r="AX40" s="13">
        <f>SUM(RAW_Cases!AY:AY)</f>
        <v>118602</v>
      </c>
      <c r="AY40" s="13">
        <f>SUM(RAW_Cases!AZ:AZ)</f>
        <v>125875</v>
      </c>
      <c r="AZ40" s="13">
        <f>SUM(RAW_Cases!BA:BA)</f>
        <v>128353</v>
      </c>
      <c r="BA40" s="13">
        <f>SUM(RAW_Cases!BB:BB)</f>
        <v>145209</v>
      </c>
      <c r="BB40" s="13">
        <f>SUM(RAW_Cases!BC:BC)</f>
        <v>156104</v>
      </c>
      <c r="BC40" s="13">
        <f>SUM(RAW_Cases!BD:BD)</f>
        <v>167454</v>
      </c>
      <c r="BD40" s="13">
        <f>SUM(RAW_Cases!BE:BE)</f>
        <v>181573</v>
      </c>
      <c r="BE40" s="13">
        <f>SUM(RAW_Cases!BF:BF)</f>
        <v>197150</v>
      </c>
      <c r="BF40" s="13">
        <f>SUM(RAW_Cases!BG:BG)</f>
        <v>214909</v>
      </c>
      <c r="BG40" s="13">
        <f>SUM(RAW_Cases!BH:BH)</f>
        <v>242706</v>
      </c>
      <c r="BH40" s="13">
        <f>SUM(RAW_Cases!BI:BI)</f>
        <v>272164</v>
      </c>
      <c r="BI40" s="13">
        <f>SUM(RAW_Cases!BJ:BJ)</f>
        <v>304519</v>
      </c>
      <c r="BJ40" s="13">
        <f>SUM(RAW_Cases!BK:BK)</f>
        <v>337089</v>
      </c>
      <c r="BK40" s="14">
        <f>SUM(RAW_Cases!GQ:GQ)</f>
        <v>0</v>
      </c>
      <c r="BL40" s="14">
        <f>SUM(RAW_Cases!GR:GR)</f>
        <v>0</v>
      </c>
      <c r="BM40" s="14">
        <f>SUM(RAW_Cases!GS:GS)</f>
        <v>0</v>
      </c>
    </row>
  </sheetData>
  <phoneticPr fontId="1" type="noConversion"/>
  <conditionalFormatting sqref="C7:BK7">
    <cfRule type="colorScale" priority="2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conditionalFormatting sqref="BL7:CE7">
    <cfRule type="colorScale" priority="1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dataValidations count="1">
    <dataValidation type="list" allowBlank="1" showInputMessage="1" showErrorMessage="1" sqref="A3" xr:uid="{5630CC40-A925-4325-9C5B-54FFF1992765}">
      <formula1>$A$11:$A$17</formula1>
    </dataValidation>
  </dataValidations>
  <pageMargins left="0.7" right="0.7" top="0.78740157499999996" bottom="0.78740157499999996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C309E-78D2-4A53-8D6C-6D00B8080D2E}">
  <sheetPr codeName="Tabelle2"/>
  <dimension ref="A1:BL239"/>
  <sheetViews>
    <sheetView workbookViewId="0">
      <selection sqref="A1:GP239"/>
    </sheetView>
  </sheetViews>
  <sheetFormatPr baseColWidth="10" defaultRowHeight="15" x14ac:dyDescent="0.25"/>
  <cols>
    <col min="1" max="1" width="26.5703125" bestFit="1" customWidth="1"/>
    <col min="2" max="2" width="30.85546875" bestFit="1" customWidth="1"/>
    <col min="3" max="12" width="10" bestFit="1" customWidth="1"/>
    <col min="13" max="21" width="9" bestFit="1" customWidth="1"/>
    <col min="22" max="41" width="10" bestFit="1" customWidth="1"/>
    <col min="42" max="50" width="9" bestFit="1" customWidth="1"/>
    <col min="51" max="61" width="10" bestFit="1" customWidth="1"/>
    <col min="62" max="64" width="10" customWidth="1"/>
    <col min="65" max="65" width="11.140625" bestFit="1" customWidth="1"/>
    <col min="66" max="74" width="5.28515625" bestFit="1" customWidth="1"/>
    <col min="75" max="164" width="6.28515625" bestFit="1" customWidth="1"/>
    <col min="165" max="198" width="7.28515625" bestFit="1" customWidth="1"/>
  </cols>
  <sheetData>
    <row r="1" spans="1:64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t="s">
        <v>61</v>
      </c>
      <c r="BK1" t="s">
        <v>62</v>
      </c>
      <c r="BL1" t="s">
        <v>648</v>
      </c>
    </row>
    <row r="2" spans="1:64" x14ac:dyDescent="0.25">
      <c r="A2" s="1" t="s">
        <v>64</v>
      </c>
      <c r="B2" s="1" t="s">
        <v>92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1</v>
      </c>
      <c r="AK2" s="1">
        <v>1</v>
      </c>
      <c r="AL2" s="1">
        <v>1</v>
      </c>
      <c r="AM2" s="1">
        <v>1</v>
      </c>
      <c r="AN2" s="1">
        <v>1</v>
      </c>
      <c r="AO2" s="1">
        <v>1</v>
      </c>
      <c r="AP2" s="1">
        <v>1</v>
      </c>
      <c r="AQ2" s="1">
        <v>1</v>
      </c>
      <c r="AR2" s="1">
        <v>1</v>
      </c>
      <c r="AS2" s="1">
        <v>1</v>
      </c>
      <c r="AT2" s="1">
        <v>1</v>
      </c>
      <c r="AU2" s="1">
        <v>1</v>
      </c>
      <c r="AV2" s="1">
        <v>1</v>
      </c>
      <c r="AW2" s="1">
        <v>4</v>
      </c>
      <c r="AX2" s="1">
        <v>4</v>
      </c>
      <c r="AY2" s="1">
        <v>5</v>
      </c>
      <c r="AZ2" s="1">
        <v>7</v>
      </c>
      <c r="BA2" s="1">
        <v>7</v>
      </c>
      <c r="BB2" s="1">
        <v>7</v>
      </c>
      <c r="BC2" s="1">
        <v>11</v>
      </c>
      <c r="BD2" s="1">
        <v>16</v>
      </c>
      <c r="BE2" s="1">
        <v>21</v>
      </c>
      <c r="BF2" s="1">
        <v>22</v>
      </c>
      <c r="BG2" s="1">
        <v>22</v>
      </c>
      <c r="BH2" s="1">
        <v>22</v>
      </c>
      <c r="BI2" s="1">
        <v>24</v>
      </c>
      <c r="BJ2" s="1">
        <v>24</v>
      </c>
      <c r="BK2" s="1">
        <v>40</v>
      </c>
      <c r="BL2" s="1">
        <v>40</v>
      </c>
    </row>
    <row r="3" spans="1:64" x14ac:dyDescent="0.25">
      <c r="A3" s="1" t="s">
        <v>64</v>
      </c>
      <c r="B3" s="1" t="s">
        <v>161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2</v>
      </c>
      <c r="AY3" s="1">
        <v>10</v>
      </c>
      <c r="AZ3" s="1">
        <v>12</v>
      </c>
      <c r="BA3" s="1">
        <v>23</v>
      </c>
      <c r="BB3" s="1">
        <v>33</v>
      </c>
      <c r="BC3" s="1">
        <v>38</v>
      </c>
      <c r="BD3" s="1">
        <v>42</v>
      </c>
      <c r="BE3" s="1">
        <v>51</v>
      </c>
      <c r="BF3" s="1">
        <v>55</v>
      </c>
      <c r="BG3" s="1">
        <v>59</v>
      </c>
      <c r="BH3" s="1">
        <v>64</v>
      </c>
      <c r="BI3" s="1">
        <v>70</v>
      </c>
      <c r="BJ3" s="1">
        <v>76</v>
      </c>
      <c r="BK3" s="1">
        <v>89</v>
      </c>
      <c r="BL3" s="1">
        <v>104</v>
      </c>
    </row>
    <row r="4" spans="1:64" x14ac:dyDescent="0.25">
      <c r="A4" s="1" t="s">
        <v>64</v>
      </c>
      <c r="B4" s="1" t="s">
        <v>95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1</v>
      </c>
      <c r="AL4" s="1">
        <v>1</v>
      </c>
      <c r="AM4" s="1">
        <v>1</v>
      </c>
      <c r="AN4" s="1">
        <v>1</v>
      </c>
      <c r="AO4" s="1">
        <v>1</v>
      </c>
      <c r="AP4" s="1">
        <v>1</v>
      </c>
      <c r="AQ4" s="1">
        <v>3</v>
      </c>
      <c r="AR4" s="1">
        <v>5</v>
      </c>
      <c r="AS4" s="1">
        <v>12</v>
      </c>
      <c r="AT4" s="1">
        <v>12</v>
      </c>
      <c r="AU4" s="1">
        <v>17</v>
      </c>
      <c r="AV4" s="1">
        <v>17</v>
      </c>
      <c r="AW4" s="1">
        <v>19</v>
      </c>
      <c r="AX4" s="1">
        <v>20</v>
      </c>
      <c r="AY4" s="1">
        <v>20</v>
      </c>
      <c r="AZ4" s="1">
        <v>20</v>
      </c>
      <c r="BA4" s="1">
        <v>24</v>
      </c>
      <c r="BB4" s="1">
        <v>26</v>
      </c>
      <c r="BC4" s="1">
        <v>37</v>
      </c>
      <c r="BD4" s="1">
        <v>48</v>
      </c>
      <c r="BE4" s="1">
        <v>54</v>
      </c>
      <c r="BF4" s="1">
        <v>60</v>
      </c>
      <c r="BG4" s="1">
        <v>74</v>
      </c>
      <c r="BH4" s="1">
        <v>87</v>
      </c>
      <c r="BI4" s="1">
        <v>90</v>
      </c>
      <c r="BJ4" s="1">
        <v>139</v>
      </c>
      <c r="BK4" s="1">
        <v>201</v>
      </c>
      <c r="BL4" s="1">
        <v>230</v>
      </c>
    </row>
    <row r="5" spans="1:64" x14ac:dyDescent="0.25">
      <c r="A5" s="1" t="s">
        <v>64</v>
      </c>
      <c r="B5" s="1" t="s">
        <v>126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1</v>
      </c>
      <c r="AR5" s="1">
        <v>1</v>
      </c>
      <c r="AS5" s="1">
        <v>1</v>
      </c>
      <c r="AT5" s="1">
        <v>1</v>
      </c>
      <c r="AU5" s="1">
        <v>1</v>
      </c>
      <c r="AV5" s="1">
        <v>1</v>
      </c>
      <c r="AW5" s="1">
        <v>1</v>
      </c>
      <c r="AX5" s="1">
        <v>1</v>
      </c>
      <c r="AY5" s="1">
        <v>1</v>
      </c>
      <c r="AZ5" s="1">
        <v>1</v>
      </c>
      <c r="BA5" s="1">
        <v>1</v>
      </c>
      <c r="BB5" s="1">
        <v>1</v>
      </c>
      <c r="BC5" s="1">
        <v>1</v>
      </c>
      <c r="BD5" s="1">
        <v>1</v>
      </c>
      <c r="BE5" s="1">
        <v>2</v>
      </c>
      <c r="BF5" s="1">
        <v>39</v>
      </c>
      <c r="BG5" s="1">
        <v>39</v>
      </c>
      <c r="BH5" s="1">
        <v>53</v>
      </c>
      <c r="BI5" s="1">
        <v>75</v>
      </c>
      <c r="BJ5" s="1">
        <v>88</v>
      </c>
      <c r="BK5" s="1">
        <v>113</v>
      </c>
      <c r="BL5" s="1">
        <v>133</v>
      </c>
    </row>
    <row r="6" spans="1:64" x14ac:dyDescent="0.25">
      <c r="A6" s="1" t="s">
        <v>64</v>
      </c>
      <c r="B6" s="1" t="s">
        <v>536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1</v>
      </c>
      <c r="BJ6" s="1">
        <v>2</v>
      </c>
      <c r="BK6" s="1">
        <v>2</v>
      </c>
      <c r="BL6" s="1">
        <v>3</v>
      </c>
    </row>
    <row r="7" spans="1:64" x14ac:dyDescent="0.25">
      <c r="A7" s="1" t="s">
        <v>64</v>
      </c>
      <c r="B7" s="1" t="s">
        <v>479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1</v>
      </c>
      <c r="BC7" s="1">
        <v>1</v>
      </c>
      <c r="BD7" s="1">
        <v>1</v>
      </c>
      <c r="BE7" s="1">
        <v>1</v>
      </c>
      <c r="BF7" s="1">
        <v>1</v>
      </c>
      <c r="BG7" s="1">
        <v>1</v>
      </c>
      <c r="BH7" s="1">
        <v>1</v>
      </c>
      <c r="BI7" s="1">
        <v>1</v>
      </c>
      <c r="BJ7" s="1">
        <v>1</v>
      </c>
      <c r="BK7" s="1">
        <v>1</v>
      </c>
      <c r="BL7" s="1">
        <v>3</v>
      </c>
    </row>
    <row r="8" spans="1:64" x14ac:dyDescent="0.25">
      <c r="A8" s="1" t="s">
        <v>64</v>
      </c>
      <c r="B8" s="1" t="s">
        <v>132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1</v>
      </c>
      <c r="AS8" s="1">
        <v>1</v>
      </c>
      <c r="AT8" s="1">
        <v>1</v>
      </c>
      <c r="AU8" s="1">
        <v>2</v>
      </c>
      <c r="AV8" s="1">
        <v>8</v>
      </c>
      <c r="AW8" s="1">
        <v>12</v>
      </c>
      <c r="AX8" s="1">
        <v>12</v>
      </c>
      <c r="AY8" s="1">
        <v>17</v>
      </c>
      <c r="AZ8" s="1">
        <v>19</v>
      </c>
      <c r="BA8" s="1">
        <v>19</v>
      </c>
      <c r="BB8" s="1">
        <v>31</v>
      </c>
      <c r="BC8" s="1">
        <v>34</v>
      </c>
      <c r="BD8" s="1">
        <v>45</v>
      </c>
      <c r="BE8" s="1">
        <v>56</v>
      </c>
      <c r="BF8" s="1">
        <v>68</v>
      </c>
      <c r="BG8" s="1">
        <v>79</v>
      </c>
      <c r="BH8" s="1">
        <v>97</v>
      </c>
      <c r="BI8" s="1">
        <v>128</v>
      </c>
      <c r="BJ8" s="1">
        <v>158</v>
      </c>
      <c r="BK8" s="1">
        <v>266</v>
      </c>
      <c r="BL8" s="1">
        <v>301</v>
      </c>
    </row>
    <row r="9" spans="1:64" x14ac:dyDescent="0.25">
      <c r="A9" s="1" t="s">
        <v>64</v>
      </c>
      <c r="B9" s="1" t="s">
        <v>122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1</v>
      </c>
      <c r="AQ9" s="1">
        <v>1</v>
      </c>
      <c r="AR9" s="1">
        <v>1</v>
      </c>
      <c r="AS9" s="1">
        <v>1</v>
      </c>
      <c r="AT9" s="1">
        <v>1</v>
      </c>
      <c r="AU9" s="1">
        <v>1</v>
      </c>
      <c r="AV9" s="1">
        <v>1</v>
      </c>
      <c r="AW9" s="1">
        <v>1</v>
      </c>
      <c r="AX9" s="1">
        <v>1</v>
      </c>
      <c r="AY9" s="1">
        <v>1</v>
      </c>
      <c r="AZ9" s="1">
        <v>1</v>
      </c>
      <c r="BA9" s="1">
        <v>4</v>
      </c>
      <c r="BB9" s="1">
        <v>8</v>
      </c>
      <c r="BC9" s="1">
        <v>18</v>
      </c>
      <c r="BD9" s="1">
        <v>26</v>
      </c>
      <c r="BE9" s="1">
        <v>52</v>
      </c>
      <c r="BF9" s="1">
        <v>78</v>
      </c>
      <c r="BG9" s="1">
        <v>84</v>
      </c>
      <c r="BH9" s="1">
        <v>115</v>
      </c>
      <c r="BI9" s="1">
        <v>136</v>
      </c>
      <c r="BJ9" s="1">
        <v>160</v>
      </c>
      <c r="BK9" s="1">
        <v>194</v>
      </c>
      <c r="BL9" s="1">
        <v>235</v>
      </c>
    </row>
    <row r="10" spans="1:64" x14ac:dyDescent="0.25">
      <c r="A10" s="1" t="s">
        <v>470</v>
      </c>
      <c r="B10" s="1" t="s">
        <v>72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1</v>
      </c>
      <c r="BC10" s="1">
        <v>1</v>
      </c>
      <c r="BD10" s="1">
        <v>1</v>
      </c>
      <c r="BE10" s="1">
        <v>2</v>
      </c>
      <c r="BF10" s="1">
        <v>2</v>
      </c>
      <c r="BG10" s="1">
        <v>3</v>
      </c>
      <c r="BH10" s="1">
        <v>4</v>
      </c>
      <c r="BI10" s="1">
        <v>6</v>
      </c>
      <c r="BJ10" s="1">
        <v>9</v>
      </c>
      <c r="BK10" s="1">
        <v>19</v>
      </c>
      <c r="BL10" s="1">
        <v>32</v>
      </c>
    </row>
    <row r="11" spans="1:64" x14ac:dyDescent="0.25">
      <c r="A11" s="1" t="s">
        <v>71</v>
      </c>
      <c r="B11" s="1" t="s">
        <v>72</v>
      </c>
      <c r="C11" s="1">
        <v>0</v>
      </c>
      <c r="D11" s="1">
        <v>0</v>
      </c>
      <c r="E11" s="1">
        <v>0</v>
      </c>
      <c r="F11" s="1">
        <v>0</v>
      </c>
      <c r="G11" s="1">
        <v>3</v>
      </c>
      <c r="H11" s="1">
        <v>4</v>
      </c>
      <c r="I11" s="1">
        <v>4</v>
      </c>
      <c r="J11" s="1">
        <v>4</v>
      </c>
      <c r="K11" s="1">
        <v>4</v>
      </c>
      <c r="L11" s="1">
        <v>4</v>
      </c>
      <c r="M11" s="1">
        <v>4</v>
      </c>
      <c r="N11" s="1">
        <v>4</v>
      </c>
      <c r="O11" s="1">
        <v>4</v>
      </c>
      <c r="P11" s="1">
        <v>4</v>
      </c>
      <c r="Q11" s="1">
        <v>4</v>
      </c>
      <c r="R11" s="1">
        <v>4</v>
      </c>
      <c r="S11" s="1">
        <v>4</v>
      </c>
      <c r="T11" s="1">
        <v>4</v>
      </c>
      <c r="U11" s="1">
        <v>4</v>
      </c>
      <c r="V11" s="1">
        <v>4</v>
      </c>
      <c r="W11" s="1">
        <v>4</v>
      </c>
      <c r="X11" s="1">
        <v>4</v>
      </c>
      <c r="Y11" s="1">
        <v>4</v>
      </c>
      <c r="Z11" s="1">
        <v>4</v>
      </c>
      <c r="AA11" s="1">
        <v>4</v>
      </c>
      <c r="AB11" s="1">
        <v>4</v>
      </c>
      <c r="AC11" s="1">
        <v>4</v>
      </c>
      <c r="AD11" s="1">
        <v>4</v>
      </c>
      <c r="AE11" s="1">
        <v>4</v>
      </c>
      <c r="AF11" s="1">
        <v>4</v>
      </c>
      <c r="AG11" s="1">
        <v>4</v>
      </c>
      <c r="AH11" s="1">
        <v>4</v>
      </c>
      <c r="AI11" s="1">
        <v>4</v>
      </c>
      <c r="AJ11" s="1">
        <v>4</v>
      </c>
      <c r="AK11" s="1">
        <v>4</v>
      </c>
      <c r="AL11" s="1">
        <v>4</v>
      </c>
      <c r="AM11" s="1">
        <v>4</v>
      </c>
      <c r="AN11" s="1">
        <v>4</v>
      </c>
      <c r="AO11" s="1">
        <v>4</v>
      </c>
      <c r="AP11" s="1">
        <v>6</v>
      </c>
      <c r="AQ11" s="1">
        <v>6</v>
      </c>
      <c r="AR11" s="1">
        <v>13</v>
      </c>
      <c r="AS11" s="1">
        <v>22</v>
      </c>
      <c r="AT11" s="1">
        <v>22</v>
      </c>
      <c r="AU11" s="1">
        <v>26</v>
      </c>
      <c r="AV11" s="1">
        <v>28</v>
      </c>
      <c r="AW11" s="1">
        <v>38</v>
      </c>
      <c r="AX11" s="1">
        <v>48</v>
      </c>
      <c r="AY11" s="1">
        <v>55</v>
      </c>
      <c r="AZ11" s="1">
        <v>65</v>
      </c>
      <c r="BA11" s="1">
        <v>65</v>
      </c>
      <c r="BB11" s="1">
        <v>92</v>
      </c>
      <c r="BC11" s="1">
        <v>112</v>
      </c>
      <c r="BD11" s="1">
        <v>134</v>
      </c>
      <c r="BE11" s="1">
        <v>171</v>
      </c>
      <c r="BF11" s="1">
        <v>210</v>
      </c>
      <c r="BG11" s="1">
        <v>267</v>
      </c>
      <c r="BH11" s="1">
        <v>307</v>
      </c>
      <c r="BI11" s="1">
        <v>353</v>
      </c>
      <c r="BJ11" s="1">
        <v>436</v>
      </c>
      <c r="BK11" s="1">
        <v>669</v>
      </c>
      <c r="BL11" s="1">
        <v>669</v>
      </c>
    </row>
    <row r="12" spans="1:64" x14ac:dyDescent="0.25">
      <c r="A12" s="1" t="s">
        <v>137</v>
      </c>
      <c r="B12" s="1" t="s">
        <v>72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1</v>
      </c>
      <c r="AT12" s="1">
        <v>1</v>
      </c>
      <c r="AU12" s="1">
        <v>0</v>
      </c>
      <c r="AV12" s="1">
        <v>0</v>
      </c>
      <c r="AW12" s="1">
        <v>0</v>
      </c>
      <c r="AX12" s="1">
        <v>0</v>
      </c>
      <c r="AY12" s="1">
        <v>1</v>
      </c>
      <c r="AZ12" s="1">
        <v>1</v>
      </c>
      <c r="BA12" s="1">
        <v>1</v>
      </c>
      <c r="BB12" s="1">
        <v>1</v>
      </c>
      <c r="BC12" s="1">
        <v>1</v>
      </c>
      <c r="BD12" s="1">
        <v>1</v>
      </c>
      <c r="BE12" s="1">
        <v>1</v>
      </c>
      <c r="BF12" s="1">
        <v>1</v>
      </c>
      <c r="BG12" s="1">
        <v>1</v>
      </c>
      <c r="BH12" s="1">
        <v>1</v>
      </c>
      <c r="BI12" s="1">
        <v>3</v>
      </c>
      <c r="BJ12" s="1">
        <v>3</v>
      </c>
      <c r="BK12" s="1">
        <v>5</v>
      </c>
      <c r="BL12" s="1">
        <v>5</v>
      </c>
    </row>
    <row r="13" spans="1:64" x14ac:dyDescent="0.25">
      <c r="A13" s="1" t="s">
        <v>74</v>
      </c>
      <c r="B13" s="1" t="s">
        <v>72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1</v>
      </c>
      <c r="K13" s="1">
        <v>3</v>
      </c>
      <c r="L13" s="1">
        <v>2</v>
      </c>
      <c r="M13" s="1">
        <v>3</v>
      </c>
      <c r="N13" s="1">
        <v>2</v>
      </c>
      <c r="O13" s="1">
        <v>2</v>
      </c>
      <c r="P13" s="1">
        <v>3</v>
      </c>
      <c r="Q13" s="1">
        <v>3</v>
      </c>
      <c r="R13" s="1">
        <v>4</v>
      </c>
      <c r="S13" s="1">
        <v>5</v>
      </c>
      <c r="T13" s="1">
        <v>5</v>
      </c>
      <c r="U13" s="1">
        <v>5</v>
      </c>
      <c r="V13" s="1">
        <v>5</v>
      </c>
      <c r="W13" s="1">
        <v>5</v>
      </c>
      <c r="X13" s="1">
        <v>5</v>
      </c>
      <c r="Y13" s="1">
        <v>5</v>
      </c>
      <c r="Z13" s="1">
        <v>5</v>
      </c>
      <c r="AA13" s="1">
        <v>5</v>
      </c>
      <c r="AB13" s="1">
        <v>5</v>
      </c>
      <c r="AC13" s="1">
        <v>5</v>
      </c>
      <c r="AD13" s="1">
        <v>5</v>
      </c>
      <c r="AE13" s="1">
        <v>5</v>
      </c>
      <c r="AF13" s="1">
        <v>5</v>
      </c>
      <c r="AG13" s="1">
        <v>5</v>
      </c>
      <c r="AH13" s="1">
        <v>5</v>
      </c>
      <c r="AI13" s="1">
        <v>5</v>
      </c>
      <c r="AJ13" s="1">
        <v>5</v>
      </c>
      <c r="AK13" s="1">
        <v>5</v>
      </c>
      <c r="AL13" s="1">
        <v>5</v>
      </c>
      <c r="AM13" s="1">
        <v>5</v>
      </c>
      <c r="AN13" s="1">
        <v>5</v>
      </c>
      <c r="AO13" s="1">
        <v>9</v>
      </c>
      <c r="AP13" s="1">
        <v>9</v>
      </c>
      <c r="AQ13" s="1">
        <v>9</v>
      </c>
      <c r="AR13" s="1">
        <v>11</v>
      </c>
      <c r="AS13" s="1">
        <v>11</v>
      </c>
      <c r="AT13" s="1">
        <v>13</v>
      </c>
      <c r="AU13" s="1">
        <v>13</v>
      </c>
      <c r="AV13" s="1">
        <v>13</v>
      </c>
      <c r="AW13" s="1">
        <v>15</v>
      </c>
      <c r="AX13" s="1">
        <v>15</v>
      </c>
      <c r="AY13" s="1">
        <v>18</v>
      </c>
      <c r="AZ13" s="1">
        <v>20</v>
      </c>
      <c r="BA13" s="1">
        <v>20</v>
      </c>
      <c r="BB13" s="1">
        <v>35</v>
      </c>
      <c r="BC13" s="1">
        <v>46</v>
      </c>
      <c r="BD13" s="1">
        <v>61</v>
      </c>
      <c r="BE13" s="1">
        <v>68</v>
      </c>
      <c r="BF13" s="1">
        <v>78</v>
      </c>
      <c r="BG13" s="1">
        <v>94</v>
      </c>
      <c r="BH13" s="1">
        <v>144</v>
      </c>
      <c r="BI13" s="1">
        <v>184</v>
      </c>
      <c r="BJ13" s="1">
        <v>221</v>
      </c>
      <c r="BK13" s="1">
        <v>259</v>
      </c>
      <c r="BL13" s="1">
        <v>319</v>
      </c>
    </row>
    <row r="14" spans="1:64" x14ac:dyDescent="0.25">
      <c r="A14" s="1" t="s">
        <v>85</v>
      </c>
      <c r="B14" s="1" t="s">
        <v>72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1</v>
      </c>
      <c r="N14" s="1">
        <v>2</v>
      </c>
      <c r="O14" s="1">
        <v>2</v>
      </c>
      <c r="P14" s="1">
        <v>2</v>
      </c>
      <c r="Q14" s="1">
        <v>2</v>
      </c>
      <c r="R14" s="1">
        <v>2</v>
      </c>
      <c r="S14" s="1">
        <v>2</v>
      </c>
      <c r="T14" s="1">
        <v>2</v>
      </c>
      <c r="U14" s="1">
        <v>2</v>
      </c>
      <c r="V14" s="1">
        <v>2</v>
      </c>
      <c r="W14" s="1">
        <v>2</v>
      </c>
      <c r="X14" s="1">
        <v>2</v>
      </c>
      <c r="Y14" s="1">
        <v>2</v>
      </c>
      <c r="Z14" s="1">
        <v>2</v>
      </c>
      <c r="AA14" s="1">
        <v>2</v>
      </c>
      <c r="AB14" s="1">
        <v>2</v>
      </c>
      <c r="AC14" s="1">
        <v>2</v>
      </c>
      <c r="AD14" s="1">
        <v>2</v>
      </c>
      <c r="AE14" s="1">
        <v>2</v>
      </c>
      <c r="AF14" s="1">
        <v>2</v>
      </c>
      <c r="AG14" s="1">
        <v>2</v>
      </c>
      <c r="AH14" s="1">
        <v>2</v>
      </c>
      <c r="AI14" s="1">
        <v>2</v>
      </c>
      <c r="AJ14" s="1">
        <v>2</v>
      </c>
      <c r="AK14" s="1">
        <v>2</v>
      </c>
      <c r="AL14" s="1">
        <v>2</v>
      </c>
      <c r="AM14" s="1">
        <v>2</v>
      </c>
      <c r="AN14" s="1">
        <v>2</v>
      </c>
      <c r="AO14" s="1">
        <v>3</v>
      </c>
      <c r="AP14" s="1">
        <v>3</v>
      </c>
      <c r="AQ14" s="1">
        <v>3</v>
      </c>
      <c r="AR14" s="1">
        <v>3</v>
      </c>
      <c r="AS14" s="1">
        <v>5</v>
      </c>
      <c r="AT14" s="1">
        <v>5</v>
      </c>
      <c r="AU14" s="1">
        <v>7</v>
      </c>
      <c r="AV14" s="1">
        <v>7</v>
      </c>
      <c r="AW14" s="1">
        <v>7</v>
      </c>
      <c r="AX14" s="1">
        <v>7</v>
      </c>
      <c r="AY14" s="1">
        <v>7</v>
      </c>
      <c r="AZ14" s="1">
        <v>9</v>
      </c>
      <c r="BA14" s="1">
        <v>9</v>
      </c>
      <c r="BB14" s="1">
        <v>16</v>
      </c>
      <c r="BC14" s="1">
        <v>19</v>
      </c>
      <c r="BD14" s="1">
        <v>20</v>
      </c>
      <c r="BE14" s="1">
        <v>29</v>
      </c>
      <c r="BF14" s="1">
        <v>29</v>
      </c>
      <c r="BG14" s="1">
        <v>37</v>
      </c>
      <c r="BH14" s="1">
        <v>42</v>
      </c>
      <c r="BI14" s="1">
        <v>50</v>
      </c>
      <c r="BJ14" s="1">
        <v>67</v>
      </c>
      <c r="BK14" s="1">
        <v>100</v>
      </c>
      <c r="BL14" s="1">
        <v>134</v>
      </c>
    </row>
    <row r="15" spans="1:64" x14ac:dyDescent="0.25">
      <c r="A15" s="1" t="s">
        <v>127</v>
      </c>
      <c r="B15" s="1" t="s">
        <v>72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>
        <v>1</v>
      </c>
      <c r="AS15" s="1">
        <v>1</v>
      </c>
      <c r="AT15" s="1">
        <v>1</v>
      </c>
      <c r="AU15" s="1">
        <v>1</v>
      </c>
      <c r="AV15" s="1">
        <v>1</v>
      </c>
      <c r="AW15" s="1">
        <v>2</v>
      </c>
      <c r="AX15" s="1">
        <v>2</v>
      </c>
      <c r="AY15" s="1">
        <v>2</v>
      </c>
      <c r="AZ15" s="1">
        <v>3</v>
      </c>
      <c r="BA15" s="1">
        <v>3</v>
      </c>
      <c r="BB15" s="1">
        <v>5</v>
      </c>
      <c r="BC15" s="1">
        <v>5</v>
      </c>
      <c r="BD15" s="1">
        <v>6</v>
      </c>
      <c r="BE15" s="1">
        <v>7</v>
      </c>
      <c r="BF15" s="1">
        <v>7</v>
      </c>
      <c r="BG15" s="1">
        <v>10</v>
      </c>
      <c r="BH15" s="1">
        <v>10</v>
      </c>
      <c r="BI15" s="1">
        <v>10</v>
      </c>
      <c r="BJ15" s="1">
        <v>16</v>
      </c>
      <c r="BK15" s="1">
        <v>22</v>
      </c>
      <c r="BL15" s="1">
        <v>28</v>
      </c>
    </row>
    <row r="16" spans="1:64" x14ac:dyDescent="0.25">
      <c r="A16" s="1" t="s">
        <v>73</v>
      </c>
      <c r="B16" s="1" t="s">
        <v>72</v>
      </c>
      <c r="C16" s="1">
        <v>0</v>
      </c>
      <c r="D16" s="1">
        <v>0</v>
      </c>
      <c r="E16" s="1">
        <v>0</v>
      </c>
      <c r="F16" s="1">
        <v>0</v>
      </c>
      <c r="G16" s="1">
        <v>1</v>
      </c>
      <c r="H16" s="1">
        <v>1</v>
      </c>
      <c r="I16" s="1">
        <v>1</v>
      </c>
      <c r="J16" s="1">
        <v>1</v>
      </c>
      <c r="K16" s="1">
        <v>2</v>
      </c>
      <c r="L16" s="1">
        <v>3</v>
      </c>
      <c r="M16" s="1">
        <v>4</v>
      </c>
      <c r="N16" s="1">
        <v>4</v>
      </c>
      <c r="O16" s="1">
        <v>4</v>
      </c>
      <c r="P16" s="1">
        <v>4</v>
      </c>
      <c r="Q16" s="1">
        <v>4</v>
      </c>
      <c r="R16" s="1">
        <v>4</v>
      </c>
      <c r="S16" s="1">
        <v>4</v>
      </c>
      <c r="T16" s="1">
        <v>4</v>
      </c>
      <c r="U16" s="1">
        <v>4</v>
      </c>
      <c r="V16" s="1">
        <v>4</v>
      </c>
      <c r="W16" s="1">
        <v>4</v>
      </c>
      <c r="X16" s="1">
        <v>4</v>
      </c>
      <c r="Y16" s="1">
        <v>4</v>
      </c>
      <c r="Z16" s="1">
        <v>4</v>
      </c>
      <c r="AA16" s="1">
        <v>4</v>
      </c>
      <c r="AB16" s="1">
        <v>4</v>
      </c>
      <c r="AC16" s="1">
        <v>4</v>
      </c>
      <c r="AD16" s="1">
        <v>4</v>
      </c>
      <c r="AE16" s="1">
        <v>4</v>
      </c>
      <c r="AF16" s="1">
        <v>4</v>
      </c>
      <c r="AG16" s="1">
        <v>4</v>
      </c>
      <c r="AH16" s="1">
        <v>4</v>
      </c>
      <c r="AI16" s="1">
        <v>4</v>
      </c>
      <c r="AJ16" s="1">
        <v>4</v>
      </c>
      <c r="AK16" s="1">
        <v>4</v>
      </c>
      <c r="AL16" s="1">
        <v>4</v>
      </c>
      <c r="AM16" s="1">
        <v>4</v>
      </c>
      <c r="AN16" s="1">
        <v>4</v>
      </c>
      <c r="AO16" s="1">
        <v>7</v>
      </c>
      <c r="AP16" s="1">
        <v>7</v>
      </c>
      <c r="AQ16" s="1">
        <v>9</v>
      </c>
      <c r="AR16" s="1">
        <v>9</v>
      </c>
      <c r="AS16" s="1">
        <v>10</v>
      </c>
      <c r="AT16" s="1">
        <v>10</v>
      </c>
      <c r="AU16" s="1">
        <v>10</v>
      </c>
      <c r="AV16" s="1">
        <v>11</v>
      </c>
      <c r="AW16" s="1">
        <v>11</v>
      </c>
      <c r="AX16" s="1">
        <v>15</v>
      </c>
      <c r="AY16" s="1">
        <v>18</v>
      </c>
      <c r="AZ16" s="1">
        <v>21</v>
      </c>
      <c r="BA16" s="1">
        <v>21</v>
      </c>
      <c r="BB16" s="1">
        <v>36</v>
      </c>
      <c r="BC16" s="1">
        <v>49</v>
      </c>
      <c r="BD16" s="1">
        <v>57</v>
      </c>
      <c r="BE16" s="1">
        <v>71</v>
      </c>
      <c r="BF16" s="1">
        <v>94</v>
      </c>
      <c r="BG16" s="1">
        <v>121</v>
      </c>
      <c r="BH16" s="1">
        <v>121</v>
      </c>
      <c r="BI16" s="1">
        <v>121</v>
      </c>
      <c r="BJ16" s="1">
        <v>229</v>
      </c>
      <c r="BK16" s="1">
        <v>355</v>
      </c>
      <c r="BL16" s="1">
        <v>355</v>
      </c>
    </row>
    <row r="17" spans="1:64" x14ac:dyDescent="0.25">
      <c r="A17" s="1" t="s">
        <v>115</v>
      </c>
      <c r="B17" s="1" t="s">
        <v>72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2</v>
      </c>
      <c r="AP17" s="1">
        <v>2</v>
      </c>
      <c r="AQ17" s="1">
        <v>2</v>
      </c>
      <c r="AR17" s="1">
        <v>2</v>
      </c>
      <c r="AS17" s="1">
        <v>2</v>
      </c>
      <c r="AT17" s="1">
        <v>3</v>
      </c>
      <c r="AU17" s="1">
        <v>3</v>
      </c>
      <c r="AV17" s="1">
        <v>3</v>
      </c>
      <c r="AW17" s="1">
        <v>3</v>
      </c>
      <c r="AX17" s="1">
        <v>4</v>
      </c>
      <c r="AY17" s="1">
        <v>6</v>
      </c>
      <c r="AZ17" s="1">
        <v>9</v>
      </c>
      <c r="BA17" s="1">
        <v>9</v>
      </c>
      <c r="BB17" s="1">
        <v>14</v>
      </c>
      <c r="BC17" s="1">
        <v>17</v>
      </c>
      <c r="BD17" s="1">
        <v>17</v>
      </c>
      <c r="BE17" s="1">
        <v>28</v>
      </c>
      <c r="BF17" s="1">
        <v>31</v>
      </c>
      <c r="BG17" s="1">
        <v>35</v>
      </c>
      <c r="BH17" s="1">
        <v>52</v>
      </c>
      <c r="BI17" s="1">
        <v>64</v>
      </c>
      <c r="BJ17" s="1">
        <v>90</v>
      </c>
      <c r="BK17" s="1">
        <v>120</v>
      </c>
      <c r="BL17" s="1">
        <v>140</v>
      </c>
    </row>
    <row r="18" spans="1:64" x14ac:dyDescent="0.25">
      <c r="A18" s="1" t="s">
        <v>64</v>
      </c>
      <c r="B18" s="1" t="s">
        <v>98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2</v>
      </c>
      <c r="AL18" s="1">
        <v>2</v>
      </c>
      <c r="AM18" s="1">
        <v>3</v>
      </c>
      <c r="AN18" s="1">
        <v>3</v>
      </c>
      <c r="AO18" s="1">
        <v>9</v>
      </c>
      <c r="AP18" s="1">
        <v>14</v>
      </c>
      <c r="AQ18" s="1">
        <v>18</v>
      </c>
      <c r="AR18" s="1">
        <v>21</v>
      </c>
      <c r="AS18" s="1">
        <v>29</v>
      </c>
      <c r="AT18" s="1">
        <v>41</v>
      </c>
      <c r="AU18" s="1">
        <v>55</v>
      </c>
      <c r="AV18" s="1">
        <v>79</v>
      </c>
      <c r="AW18" s="1">
        <v>104</v>
      </c>
      <c r="AX18" s="1">
        <v>131</v>
      </c>
      <c r="AY18" s="1">
        <v>182</v>
      </c>
      <c r="AZ18" s="1">
        <v>246</v>
      </c>
      <c r="BA18" s="1">
        <v>302</v>
      </c>
      <c r="BB18" s="1">
        <v>504</v>
      </c>
      <c r="BC18" s="1">
        <v>655</v>
      </c>
      <c r="BD18" s="1">
        <v>860</v>
      </c>
      <c r="BE18" s="1">
        <v>1018</v>
      </c>
      <c r="BF18" s="1">
        <v>1332</v>
      </c>
      <c r="BG18" s="1">
        <v>1646</v>
      </c>
      <c r="BH18" s="1">
        <v>2013</v>
      </c>
      <c r="BI18" s="1">
        <v>2388</v>
      </c>
      <c r="BJ18" s="1">
        <v>2814</v>
      </c>
      <c r="BK18" s="1">
        <v>3582</v>
      </c>
      <c r="BL18" s="1">
        <v>4474</v>
      </c>
    </row>
    <row r="19" spans="1:64" x14ac:dyDescent="0.25">
      <c r="A19" s="1" t="s">
        <v>64</v>
      </c>
      <c r="B19" s="1" t="s">
        <v>121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3</v>
      </c>
      <c r="AQ19" s="1">
        <v>3</v>
      </c>
      <c r="AR19" s="1">
        <v>3</v>
      </c>
      <c r="AS19" s="1">
        <v>3</v>
      </c>
      <c r="AT19" s="1">
        <v>6</v>
      </c>
      <c r="AU19" s="1">
        <v>6</v>
      </c>
      <c r="AV19" s="1">
        <v>9</v>
      </c>
      <c r="AW19" s="1">
        <v>9</v>
      </c>
      <c r="AX19" s="1">
        <v>9</v>
      </c>
      <c r="AY19" s="1">
        <v>11</v>
      </c>
      <c r="AZ19" s="1">
        <v>11</v>
      </c>
      <c r="BA19" s="1">
        <v>11</v>
      </c>
      <c r="BB19" s="1">
        <v>15</v>
      </c>
      <c r="BC19" s="1">
        <v>15</v>
      </c>
      <c r="BD19" s="1">
        <v>23</v>
      </c>
      <c r="BE19" s="1">
        <v>28</v>
      </c>
      <c r="BF19" s="1">
        <v>28</v>
      </c>
      <c r="BG19" s="1">
        <v>28</v>
      </c>
      <c r="BH19" s="1">
        <v>44</v>
      </c>
      <c r="BI19" s="1">
        <v>44</v>
      </c>
      <c r="BJ19" s="1">
        <v>53</v>
      </c>
      <c r="BK19" s="1">
        <v>65</v>
      </c>
      <c r="BL19" s="1">
        <v>72</v>
      </c>
    </row>
    <row r="20" spans="1:64" x14ac:dyDescent="0.25">
      <c r="A20" s="1" t="s">
        <v>64</v>
      </c>
      <c r="B20" s="1" t="s">
        <v>649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1</v>
      </c>
      <c r="BF20" s="1">
        <v>1</v>
      </c>
      <c r="BG20" s="1">
        <v>1</v>
      </c>
      <c r="BH20" s="1">
        <v>3</v>
      </c>
      <c r="BI20" s="1">
        <v>3</v>
      </c>
      <c r="BJ20" s="1">
        <v>4</v>
      </c>
      <c r="BK20" s="1">
        <v>4</v>
      </c>
      <c r="BL20" s="1">
        <v>4</v>
      </c>
    </row>
    <row r="21" spans="1:64" x14ac:dyDescent="0.25">
      <c r="A21" s="1" t="s">
        <v>64</v>
      </c>
      <c r="B21" s="1" t="s">
        <v>93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1</v>
      </c>
      <c r="AK21" s="1">
        <v>23</v>
      </c>
      <c r="AL21" s="1">
        <v>33</v>
      </c>
      <c r="AM21" s="1">
        <v>33</v>
      </c>
      <c r="AN21" s="1">
        <v>36</v>
      </c>
      <c r="AO21" s="1">
        <v>41</v>
      </c>
      <c r="AP21" s="1">
        <v>47</v>
      </c>
      <c r="AQ21" s="1">
        <v>49</v>
      </c>
      <c r="AR21" s="1">
        <v>49</v>
      </c>
      <c r="AS21" s="1">
        <v>52</v>
      </c>
      <c r="AT21" s="1">
        <v>55</v>
      </c>
      <c r="AU21" s="1">
        <v>60</v>
      </c>
      <c r="AV21" s="1">
        <v>85</v>
      </c>
      <c r="AW21" s="1">
        <v>85</v>
      </c>
      <c r="AX21" s="1">
        <v>95</v>
      </c>
      <c r="AY21" s="1">
        <v>110</v>
      </c>
      <c r="AZ21" s="1">
        <v>195</v>
      </c>
      <c r="BA21" s="1">
        <v>195</v>
      </c>
      <c r="BB21" s="1">
        <v>195</v>
      </c>
      <c r="BC21" s="1">
        <v>210</v>
      </c>
      <c r="BD21" s="1">
        <v>214</v>
      </c>
      <c r="BE21" s="1">
        <v>214</v>
      </c>
      <c r="BF21" s="1">
        <v>228</v>
      </c>
      <c r="BG21" s="1">
        <v>256</v>
      </c>
      <c r="BH21" s="1">
        <v>278</v>
      </c>
      <c r="BI21" s="1">
        <v>285</v>
      </c>
      <c r="BJ21" s="1">
        <v>305</v>
      </c>
      <c r="BK21" s="1">
        <v>334</v>
      </c>
      <c r="BL21" s="1">
        <v>377</v>
      </c>
    </row>
    <row r="22" spans="1:64" x14ac:dyDescent="0.25">
      <c r="A22" s="1" t="s">
        <v>64</v>
      </c>
      <c r="B22" s="1" t="s">
        <v>156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3</v>
      </c>
      <c r="AX22" s="1">
        <v>3</v>
      </c>
      <c r="AY22" s="1">
        <v>3</v>
      </c>
      <c r="AZ22" s="1">
        <v>3</v>
      </c>
      <c r="BA22" s="1">
        <v>3</v>
      </c>
      <c r="BB22" s="1">
        <v>3</v>
      </c>
      <c r="BC22" s="1">
        <v>3</v>
      </c>
      <c r="BD22" s="1">
        <v>5</v>
      </c>
      <c r="BE22" s="1">
        <v>8</v>
      </c>
      <c r="BF22" s="1">
        <v>10</v>
      </c>
      <c r="BG22" s="1">
        <v>14</v>
      </c>
      <c r="BH22" s="1">
        <v>17</v>
      </c>
      <c r="BI22" s="1">
        <v>20</v>
      </c>
      <c r="BJ22" s="1">
        <v>25</v>
      </c>
      <c r="BK22" s="1">
        <v>27</v>
      </c>
      <c r="BL22" s="1">
        <v>33</v>
      </c>
    </row>
    <row r="23" spans="1:64" x14ac:dyDescent="0.25">
      <c r="A23" s="1" t="s">
        <v>64</v>
      </c>
      <c r="B23" s="1" t="s">
        <v>517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2</v>
      </c>
      <c r="BG23" s="1">
        <v>2</v>
      </c>
      <c r="BH23" s="1">
        <v>5</v>
      </c>
      <c r="BI23" s="1">
        <v>5</v>
      </c>
      <c r="BJ23" s="1">
        <v>6</v>
      </c>
      <c r="BK23" s="1">
        <v>14</v>
      </c>
      <c r="BL23" s="1">
        <v>17</v>
      </c>
    </row>
    <row r="24" spans="1:64" x14ac:dyDescent="0.25">
      <c r="A24" s="1" t="s">
        <v>64</v>
      </c>
      <c r="B24" s="1" t="s">
        <v>109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1</v>
      </c>
      <c r="AO24" s="1">
        <v>1</v>
      </c>
      <c r="AP24" s="1">
        <v>1</v>
      </c>
      <c r="AQ24" s="1">
        <v>1</v>
      </c>
      <c r="AR24" s="1">
        <v>1</v>
      </c>
      <c r="AS24" s="1">
        <v>6</v>
      </c>
      <c r="AT24" s="1">
        <v>6</v>
      </c>
      <c r="AU24" s="1">
        <v>6</v>
      </c>
      <c r="AV24" s="1">
        <v>6</v>
      </c>
      <c r="AW24" s="1">
        <v>6</v>
      </c>
      <c r="AX24" s="1">
        <v>6</v>
      </c>
      <c r="AY24" s="1">
        <v>9</v>
      </c>
      <c r="AZ24" s="1">
        <v>9</v>
      </c>
      <c r="BA24" s="1">
        <v>12</v>
      </c>
      <c r="BB24" s="1">
        <v>27</v>
      </c>
      <c r="BC24" s="1">
        <v>27</v>
      </c>
      <c r="BD24" s="1">
        <v>27</v>
      </c>
      <c r="BE24" s="1">
        <v>36</v>
      </c>
      <c r="BF24" s="1">
        <v>36</v>
      </c>
      <c r="BG24" s="1">
        <v>51</v>
      </c>
      <c r="BH24" s="1">
        <v>51</v>
      </c>
      <c r="BI24" s="1">
        <v>69</v>
      </c>
      <c r="BJ24" s="1">
        <v>76</v>
      </c>
      <c r="BK24" s="1">
        <v>76</v>
      </c>
      <c r="BL24" s="1">
        <v>81</v>
      </c>
    </row>
    <row r="25" spans="1:64" x14ac:dyDescent="0.25">
      <c r="A25" s="1" t="s">
        <v>64</v>
      </c>
      <c r="B25" s="1" t="s">
        <v>86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1</v>
      </c>
      <c r="Q25" s="1">
        <v>1</v>
      </c>
      <c r="R25" s="1">
        <v>1</v>
      </c>
      <c r="S25" s="1">
        <v>1</v>
      </c>
      <c r="T25" s="1">
        <v>1</v>
      </c>
      <c r="U25" s="1">
        <v>1</v>
      </c>
      <c r="V25" s="1">
        <v>1</v>
      </c>
      <c r="W25" s="1">
        <v>1</v>
      </c>
      <c r="X25" s="1">
        <v>1</v>
      </c>
      <c r="Y25" s="1">
        <v>1</v>
      </c>
      <c r="Z25" s="1">
        <v>1</v>
      </c>
      <c r="AA25" s="1">
        <v>1</v>
      </c>
      <c r="AB25" s="1">
        <v>1</v>
      </c>
      <c r="AC25" s="1">
        <v>1</v>
      </c>
      <c r="AD25" s="1">
        <v>1</v>
      </c>
      <c r="AE25" s="1">
        <v>1</v>
      </c>
      <c r="AF25" s="1">
        <v>1</v>
      </c>
      <c r="AG25" s="1">
        <v>1</v>
      </c>
      <c r="AH25" s="1">
        <v>1</v>
      </c>
      <c r="AI25" s="1">
        <v>1</v>
      </c>
      <c r="AJ25" s="1">
        <v>1</v>
      </c>
      <c r="AK25" s="1">
        <v>1</v>
      </c>
      <c r="AL25" s="1">
        <v>1</v>
      </c>
      <c r="AM25" s="1">
        <v>1</v>
      </c>
      <c r="AN25" s="1">
        <v>1</v>
      </c>
      <c r="AO25" s="1">
        <v>1</v>
      </c>
      <c r="AP25" s="1">
        <v>2</v>
      </c>
      <c r="AQ25" s="1">
        <v>8</v>
      </c>
      <c r="AR25" s="1">
        <v>13</v>
      </c>
      <c r="AS25" s="1">
        <v>23</v>
      </c>
      <c r="AT25" s="1">
        <v>50</v>
      </c>
      <c r="AU25" s="1">
        <v>109</v>
      </c>
      <c r="AV25" s="1">
        <v>169</v>
      </c>
      <c r="AW25" s="1">
        <v>200</v>
      </c>
      <c r="AX25" s="1">
        <v>239</v>
      </c>
      <c r="AY25" s="1">
        <v>267</v>
      </c>
      <c r="AZ25" s="1">
        <v>314</v>
      </c>
      <c r="BA25" s="1">
        <v>314</v>
      </c>
      <c r="BB25" s="1">
        <v>559</v>
      </c>
      <c r="BC25" s="1">
        <v>689</v>
      </c>
      <c r="BD25" s="1">
        <v>886</v>
      </c>
      <c r="BE25" s="1">
        <v>1058</v>
      </c>
      <c r="BF25" s="1">
        <v>1243</v>
      </c>
      <c r="BG25" s="1">
        <v>1486</v>
      </c>
      <c r="BH25" s="1">
        <v>1795</v>
      </c>
      <c r="BI25" s="1">
        <v>2257</v>
      </c>
      <c r="BJ25" s="1">
        <v>2815</v>
      </c>
      <c r="BK25" s="1">
        <v>3401</v>
      </c>
      <c r="BL25" s="1">
        <v>3743</v>
      </c>
    </row>
    <row r="26" spans="1:64" x14ac:dyDescent="0.25">
      <c r="A26" s="1" t="s">
        <v>64</v>
      </c>
      <c r="B26" s="1" t="s">
        <v>509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1</v>
      </c>
      <c r="BF26" s="1">
        <v>1</v>
      </c>
      <c r="BG26" s="1">
        <v>2</v>
      </c>
      <c r="BH26" s="1">
        <v>2</v>
      </c>
      <c r="BI26" s="1">
        <v>2</v>
      </c>
      <c r="BJ26" s="1">
        <v>2</v>
      </c>
      <c r="BK26" s="1">
        <v>2</v>
      </c>
      <c r="BL26" s="1">
        <v>5</v>
      </c>
    </row>
    <row r="27" spans="1:64" x14ac:dyDescent="0.25">
      <c r="A27" s="1" t="s">
        <v>64</v>
      </c>
      <c r="B27" s="1" t="s">
        <v>144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1</v>
      </c>
      <c r="AV27" s="1">
        <v>1</v>
      </c>
      <c r="AW27" s="1">
        <v>1</v>
      </c>
      <c r="AX27" s="1">
        <v>1</v>
      </c>
      <c r="AY27" s="1">
        <v>1</v>
      </c>
      <c r="AZ27" s="1">
        <v>1</v>
      </c>
      <c r="BA27" s="1">
        <v>1</v>
      </c>
      <c r="BB27" s="1">
        <v>1</v>
      </c>
      <c r="BC27" s="1">
        <v>1</v>
      </c>
      <c r="BD27" s="1">
        <v>1</v>
      </c>
      <c r="BE27" s="1">
        <v>1</v>
      </c>
      <c r="BF27" s="1">
        <v>1</v>
      </c>
      <c r="BG27" s="1">
        <v>1</v>
      </c>
      <c r="BH27" s="1">
        <v>1</v>
      </c>
      <c r="BI27" s="1">
        <v>2</v>
      </c>
      <c r="BJ27" s="1">
        <v>2</v>
      </c>
      <c r="BK27" s="1">
        <v>2</v>
      </c>
      <c r="BL27" s="1">
        <v>2</v>
      </c>
    </row>
    <row r="28" spans="1:64" x14ac:dyDescent="0.25">
      <c r="A28" s="1" t="s">
        <v>64</v>
      </c>
      <c r="B28" s="1" t="s">
        <v>263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2</v>
      </c>
      <c r="BA28" s="1">
        <v>2</v>
      </c>
      <c r="BB28" s="1">
        <v>3</v>
      </c>
      <c r="BC28" s="1">
        <v>10</v>
      </c>
      <c r="BD28" s="1">
        <v>10</v>
      </c>
      <c r="BE28" s="1">
        <v>11</v>
      </c>
      <c r="BF28" s="1">
        <v>11</v>
      </c>
      <c r="BG28" s="1">
        <v>12</v>
      </c>
      <c r="BH28" s="1">
        <v>12</v>
      </c>
      <c r="BI28" s="1">
        <v>15</v>
      </c>
      <c r="BJ28" s="1">
        <v>19</v>
      </c>
      <c r="BK28" s="1">
        <v>24</v>
      </c>
      <c r="BL28" s="1">
        <v>27</v>
      </c>
    </row>
    <row r="29" spans="1:64" x14ac:dyDescent="0.25">
      <c r="A29" s="1" t="s">
        <v>64</v>
      </c>
      <c r="B29" s="1" t="s">
        <v>141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2</v>
      </c>
      <c r="AU29" s="1">
        <v>2</v>
      </c>
      <c r="AV29" s="1">
        <v>3</v>
      </c>
      <c r="AW29" s="1">
        <v>3</v>
      </c>
      <c r="AX29" s="1">
        <v>3</v>
      </c>
      <c r="AY29" s="1">
        <v>5</v>
      </c>
      <c r="AZ29" s="1">
        <v>7</v>
      </c>
      <c r="BA29" s="1">
        <v>11</v>
      </c>
      <c r="BB29" s="1">
        <v>13</v>
      </c>
      <c r="BC29" s="1">
        <v>18</v>
      </c>
      <c r="BD29" s="1">
        <v>24</v>
      </c>
      <c r="BE29" s="1">
        <v>25</v>
      </c>
      <c r="BF29" s="1">
        <v>26</v>
      </c>
      <c r="BG29" s="1">
        <v>38</v>
      </c>
      <c r="BH29" s="1">
        <v>63</v>
      </c>
      <c r="BI29" s="1">
        <v>89</v>
      </c>
      <c r="BJ29" s="1">
        <v>93</v>
      </c>
      <c r="BK29" s="1">
        <v>126</v>
      </c>
      <c r="BL29" s="1">
        <v>136</v>
      </c>
    </row>
    <row r="30" spans="1:64" x14ac:dyDescent="0.25">
      <c r="A30" s="1" t="s">
        <v>64</v>
      </c>
      <c r="B30" s="1" t="s">
        <v>101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1</v>
      </c>
      <c r="AM30" s="1">
        <v>1</v>
      </c>
      <c r="AN30" s="1">
        <v>1</v>
      </c>
      <c r="AO30" s="1">
        <v>2</v>
      </c>
      <c r="AP30" s="1">
        <v>2</v>
      </c>
      <c r="AQ30" s="1">
        <v>2</v>
      </c>
      <c r="AR30" s="1">
        <v>2</v>
      </c>
      <c r="AS30" s="1">
        <v>4</v>
      </c>
      <c r="AT30" s="1">
        <v>4</v>
      </c>
      <c r="AU30" s="1">
        <v>13</v>
      </c>
      <c r="AV30" s="1">
        <v>13</v>
      </c>
      <c r="AW30" s="1">
        <v>20</v>
      </c>
      <c r="AX30" s="1">
        <v>25</v>
      </c>
      <c r="AY30" s="1">
        <v>31</v>
      </c>
      <c r="AZ30" s="1">
        <v>38</v>
      </c>
      <c r="BA30" s="1">
        <v>52</v>
      </c>
      <c r="BB30" s="1">
        <v>151</v>
      </c>
      <c r="BC30" s="1">
        <v>151</v>
      </c>
      <c r="BD30" s="1">
        <v>162</v>
      </c>
      <c r="BE30" s="1">
        <v>200</v>
      </c>
      <c r="BF30" s="1">
        <v>321</v>
      </c>
      <c r="BG30" s="1">
        <v>372</v>
      </c>
      <c r="BH30" s="1">
        <v>621</v>
      </c>
      <c r="BI30" s="1">
        <v>793</v>
      </c>
      <c r="BJ30" s="1">
        <v>1021</v>
      </c>
      <c r="BK30" s="1">
        <v>1546</v>
      </c>
      <c r="BL30" s="1">
        <v>1924</v>
      </c>
    </row>
    <row r="31" spans="1:64" x14ac:dyDescent="0.25">
      <c r="A31" s="1" t="s">
        <v>64</v>
      </c>
      <c r="B31" s="1" t="s">
        <v>163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1</v>
      </c>
      <c r="AY31" s="1">
        <v>1</v>
      </c>
      <c r="AZ31" s="1">
        <v>11</v>
      </c>
      <c r="BA31" s="1">
        <v>11</v>
      </c>
      <c r="BB31" s="1">
        <v>37</v>
      </c>
      <c r="BC31" s="1">
        <v>40</v>
      </c>
      <c r="BD31" s="1">
        <v>50</v>
      </c>
      <c r="BE31" s="1">
        <v>54</v>
      </c>
      <c r="BF31" s="1">
        <v>56</v>
      </c>
      <c r="BG31" s="1">
        <v>68</v>
      </c>
      <c r="BH31" s="1">
        <v>75</v>
      </c>
      <c r="BI31" s="1">
        <v>78</v>
      </c>
      <c r="BJ31" s="1">
        <v>83</v>
      </c>
      <c r="BK31" s="1">
        <v>88</v>
      </c>
      <c r="BL31" s="1">
        <v>91</v>
      </c>
    </row>
    <row r="32" spans="1:64" x14ac:dyDescent="0.25">
      <c r="A32" s="1" t="s">
        <v>64</v>
      </c>
      <c r="B32" s="1" t="s">
        <v>154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4</v>
      </c>
      <c r="AX32" s="1">
        <v>4</v>
      </c>
      <c r="AY32" s="1">
        <v>4</v>
      </c>
      <c r="AZ32" s="1">
        <v>7</v>
      </c>
      <c r="BA32" s="1">
        <v>7</v>
      </c>
      <c r="BB32" s="1">
        <v>23</v>
      </c>
      <c r="BC32" s="1">
        <v>41</v>
      </c>
      <c r="BD32" s="1">
        <v>51</v>
      </c>
      <c r="BE32" s="1">
        <v>52</v>
      </c>
      <c r="BF32" s="1">
        <v>67</v>
      </c>
      <c r="BG32" s="1">
        <v>92</v>
      </c>
      <c r="BH32" s="1">
        <v>94</v>
      </c>
      <c r="BI32" s="1">
        <v>127</v>
      </c>
      <c r="BJ32" s="1">
        <v>163</v>
      </c>
      <c r="BK32" s="1">
        <v>187</v>
      </c>
      <c r="BL32" s="1">
        <v>201</v>
      </c>
    </row>
    <row r="33" spans="1:64" x14ac:dyDescent="0.25">
      <c r="A33" s="1" t="s">
        <v>64</v>
      </c>
      <c r="B33" s="1" t="s">
        <v>199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1</v>
      </c>
      <c r="AZ33" s="1">
        <v>2</v>
      </c>
      <c r="BA33" s="1">
        <v>2</v>
      </c>
      <c r="BB33" s="1">
        <v>2</v>
      </c>
      <c r="BC33" s="1">
        <v>2</v>
      </c>
      <c r="BD33" s="1">
        <v>3</v>
      </c>
      <c r="BE33" s="1">
        <v>15</v>
      </c>
      <c r="BF33" s="1">
        <v>15</v>
      </c>
      <c r="BG33" s="1">
        <v>20</v>
      </c>
      <c r="BH33" s="1">
        <v>33</v>
      </c>
      <c r="BI33" s="1">
        <v>40</v>
      </c>
      <c r="BJ33" s="1">
        <v>64</v>
      </c>
      <c r="BK33" s="1">
        <v>75</v>
      </c>
      <c r="BL33" s="1">
        <v>99</v>
      </c>
    </row>
    <row r="34" spans="1:64" x14ac:dyDescent="0.25">
      <c r="A34" s="1" t="s">
        <v>64</v>
      </c>
      <c r="B34" s="1" t="s">
        <v>537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0</v>
      </c>
      <c r="BA34" s="1">
        <v>0</v>
      </c>
      <c r="BB34" s="1">
        <v>0</v>
      </c>
      <c r="BC34" s="1">
        <v>0</v>
      </c>
      <c r="BD34" s="1">
        <v>0</v>
      </c>
      <c r="BE34" s="1">
        <v>0</v>
      </c>
      <c r="BF34" s="1">
        <v>0</v>
      </c>
      <c r="BG34" s="1">
        <v>0</v>
      </c>
      <c r="BH34" s="1">
        <v>0</v>
      </c>
      <c r="BI34" s="1">
        <v>1</v>
      </c>
      <c r="BJ34" s="1">
        <v>3</v>
      </c>
      <c r="BK34" s="1">
        <v>3</v>
      </c>
      <c r="BL34" s="1">
        <v>3</v>
      </c>
    </row>
    <row r="35" spans="1:64" x14ac:dyDescent="0.25">
      <c r="A35" s="1" t="s">
        <v>64</v>
      </c>
      <c r="B35" s="1" t="s">
        <v>75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1</v>
      </c>
      <c r="I35" s="1">
        <v>1</v>
      </c>
      <c r="J35" s="1">
        <v>1</v>
      </c>
      <c r="K35" s="1">
        <v>1</v>
      </c>
      <c r="L35" s="1">
        <v>1</v>
      </c>
      <c r="M35" s="1">
        <v>1</v>
      </c>
      <c r="N35" s="1">
        <v>1</v>
      </c>
      <c r="O35" s="1">
        <v>1</v>
      </c>
      <c r="P35" s="1">
        <v>1</v>
      </c>
      <c r="Q35" s="1">
        <v>1</v>
      </c>
      <c r="R35" s="1">
        <v>1</v>
      </c>
      <c r="S35" s="1">
        <v>1</v>
      </c>
      <c r="T35" s="1">
        <v>1</v>
      </c>
      <c r="U35" s="1">
        <v>1</v>
      </c>
      <c r="V35" s="1">
        <v>1</v>
      </c>
      <c r="W35" s="1">
        <v>1</v>
      </c>
      <c r="X35" s="1">
        <v>1</v>
      </c>
      <c r="Y35" s="1">
        <v>1</v>
      </c>
      <c r="Z35" s="1">
        <v>1</v>
      </c>
      <c r="AA35" s="1">
        <v>1</v>
      </c>
      <c r="AB35" s="1">
        <v>1</v>
      </c>
      <c r="AC35" s="1">
        <v>1</v>
      </c>
      <c r="AD35" s="1">
        <v>1</v>
      </c>
      <c r="AE35" s="1">
        <v>1</v>
      </c>
      <c r="AF35" s="1">
        <v>1</v>
      </c>
      <c r="AG35" s="1">
        <v>1</v>
      </c>
      <c r="AH35" s="1">
        <v>1</v>
      </c>
      <c r="AI35" s="1">
        <v>1</v>
      </c>
      <c r="AJ35" s="1">
        <v>1</v>
      </c>
      <c r="AK35" s="1">
        <v>1</v>
      </c>
      <c r="AL35" s="1">
        <v>1</v>
      </c>
      <c r="AM35" s="1">
        <v>1</v>
      </c>
      <c r="AN35" s="1">
        <v>1</v>
      </c>
      <c r="AO35" s="1">
        <v>1</v>
      </c>
      <c r="AP35" s="1">
        <v>1</v>
      </c>
      <c r="AQ35" s="1">
        <v>1</v>
      </c>
      <c r="AR35" s="1">
        <v>1</v>
      </c>
      <c r="AS35" s="1">
        <v>1</v>
      </c>
      <c r="AT35" s="1">
        <v>1</v>
      </c>
      <c r="AU35" s="1">
        <v>1</v>
      </c>
      <c r="AV35" s="1">
        <v>1</v>
      </c>
      <c r="AW35" s="1">
        <v>2</v>
      </c>
      <c r="AX35" s="1">
        <v>2</v>
      </c>
      <c r="AY35" s="1">
        <v>2</v>
      </c>
      <c r="AZ35" s="1">
        <v>3</v>
      </c>
      <c r="BA35" s="1">
        <v>3</v>
      </c>
      <c r="BB35" s="1">
        <v>5</v>
      </c>
      <c r="BC35" s="1">
        <v>7</v>
      </c>
      <c r="BD35" s="1">
        <v>7</v>
      </c>
      <c r="BE35" s="1">
        <v>7</v>
      </c>
      <c r="BF35" s="1">
        <v>33</v>
      </c>
      <c r="BG35" s="1">
        <v>35</v>
      </c>
      <c r="BH35" s="1">
        <v>37</v>
      </c>
      <c r="BI35" s="1">
        <v>51</v>
      </c>
      <c r="BJ35" s="1">
        <v>53</v>
      </c>
      <c r="BK35" s="1">
        <v>84</v>
      </c>
      <c r="BL35" s="1">
        <v>87</v>
      </c>
    </row>
    <row r="36" spans="1:64" x14ac:dyDescent="0.25">
      <c r="A36" s="1" t="s">
        <v>64</v>
      </c>
      <c r="B36" s="1" t="s">
        <v>145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1</v>
      </c>
      <c r="AV36" s="1">
        <v>1</v>
      </c>
      <c r="AW36" s="1">
        <v>2</v>
      </c>
      <c r="AX36" s="1">
        <v>2</v>
      </c>
      <c r="AY36" s="1">
        <v>2</v>
      </c>
      <c r="AZ36" s="1">
        <v>2</v>
      </c>
      <c r="BA36" s="1">
        <v>2</v>
      </c>
      <c r="BB36" s="1">
        <v>2</v>
      </c>
      <c r="BC36" s="1">
        <v>2</v>
      </c>
      <c r="BD36" s="1">
        <v>2</v>
      </c>
      <c r="BE36" s="1">
        <v>4</v>
      </c>
      <c r="BF36" s="1">
        <v>10</v>
      </c>
      <c r="BG36" s="1">
        <v>10</v>
      </c>
      <c r="BH36" s="1">
        <v>13</v>
      </c>
      <c r="BI36" s="1">
        <v>20</v>
      </c>
      <c r="BJ36" s="1">
        <v>27</v>
      </c>
      <c r="BK36" s="1">
        <v>40</v>
      </c>
      <c r="BL36" s="1">
        <v>56</v>
      </c>
    </row>
    <row r="37" spans="1:64" x14ac:dyDescent="0.25">
      <c r="A37" s="1" t="s">
        <v>159</v>
      </c>
      <c r="B37" s="1" t="s">
        <v>70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1</v>
      </c>
      <c r="AV37" s="1">
        <v>2</v>
      </c>
      <c r="AW37" s="1">
        <v>4</v>
      </c>
      <c r="AX37" s="1">
        <v>7</v>
      </c>
      <c r="AY37" s="1">
        <v>7</v>
      </c>
      <c r="AZ37" s="1">
        <v>19</v>
      </c>
      <c r="BA37" s="1">
        <v>19</v>
      </c>
      <c r="BB37" s="1">
        <v>29</v>
      </c>
      <c r="BC37" s="1">
        <v>29</v>
      </c>
      <c r="BD37" s="1">
        <v>39</v>
      </c>
      <c r="BE37" s="1">
        <v>56</v>
      </c>
      <c r="BF37" s="1">
        <v>74</v>
      </c>
      <c r="BG37" s="1">
        <v>97</v>
      </c>
      <c r="BH37" s="1">
        <v>119</v>
      </c>
      <c r="BI37" s="1">
        <v>146</v>
      </c>
      <c r="BJ37" s="1">
        <v>195</v>
      </c>
      <c r="BK37" s="1">
        <v>259</v>
      </c>
      <c r="BL37" s="1">
        <v>301</v>
      </c>
    </row>
    <row r="38" spans="1:64" x14ac:dyDescent="0.25">
      <c r="A38" s="1" t="s">
        <v>69</v>
      </c>
      <c r="B38" s="1" t="s">
        <v>70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1</v>
      </c>
      <c r="J38" s="1">
        <v>1</v>
      </c>
      <c r="K38" s="1">
        <v>1</v>
      </c>
      <c r="L38" s="1">
        <v>1</v>
      </c>
      <c r="M38" s="1">
        <v>1</v>
      </c>
      <c r="N38" s="1">
        <v>1</v>
      </c>
      <c r="O38" s="1">
        <v>1</v>
      </c>
      <c r="P38" s="1">
        <v>1</v>
      </c>
      <c r="Q38" s="1">
        <v>2</v>
      </c>
      <c r="R38" s="1">
        <v>2</v>
      </c>
      <c r="S38" s="1">
        <v>4</v>
      </c>
      <c r="T38" s="1">
        <v>4</v>
      </c>
      <c r="U38" s="1">
        <v>4</v>
      </c>
      <c r="V38" s="1">
        <v>4</v>
      </c>
      <c r="W38" s="1">
        <v>4</v>
      </c>
      <c r="X38" s="1">
        <v>4</v>
      </c>
      <c r="Y38" s="1">
        <v>4</v>
      </c>
      <c r="Z38" s="1">
        <v>4</v>
      </c>
      <c r="AA38" s="1">
        <v>4</v>
      </c>
      <c r="AB38" s="1">
        <v>4</v>
      </c>
      <c r="AC38" s="1">
        <v>5</v>
      </c>
      <c r="AD38" s="1">
        <v>5</v>
      </c>
      <c r="AE38" s="1">
        <v>5</v>
      </c>
      <c r="AF38" s="1">
        <v>5</v>
      </c>
      <c r="AG38" s="1">
        <v>6</v>
      </c>
      <c r="AH38" s="1">
        <v>6</v>
      </c>
      <c r="AI38" s="1">
        <v>6</v>
      </c>
      <c r="AJ38" s="1">
        <v>6</v>
      </c>
      <c r="AK38" s="1">
        <v>7</v>
      </c>
      <c r="AL38" s="1">
        <v>7</v>
      </c>
      <c r="AM38" s="1">
        <v>7</v>
      </c>
      <c r="AN38" s="1">
        <v>7</v>
      </c>
      <c r="AO38" s="1">
        <v>8</v>
      </c>
      <c r="AP38" s="1">
        <v>8</v>
      </c>
      <c r="AQ38" s="1">
        <v>8</v>
      </c>
      <c r="AR38" s="1">
        <v>9</v>
      </c>
      <c r="AS38" s="1">
        <v>12</v>
      </c>
      <c r="AT38" s="1">
        <v>13</v>
      </c>
      <c r="AU38" s="1">
        <v>21</v>
      </c>
      <c r="AV38" s="1">
        <v>21</v>
      </c>
      <c r="AW38" s="1">
        <v>27</v>
      </c>
      <c r="AX38" s="1">
        <v>32</v>
      </c>
      <c r="AY38" s="1">
        <v>32</v>
      </c>
      <c r="AZ38" s="1">
        <v>39</v>
      </c>
      <c r="BA38" s="1">
        <v>46</v>
      </c>
      <c r="BB38" s="1">
        <v>64</v>
      </c>
      <c r="BC38" s="1">
        <v>64</v>
      </c>
      <c r="BD38" s="1">
        <v>73</v>
      </c>
      <c r="BE38" s="1">
        <v>103</v>
      </c>
      <c r="BF38" s="1">
        <v>103</v>
      </c>
      <c r="BG38" s="1">
        <v>186</v>
      </c>
      <c r="BH38" s="1">
        <v>231</v>
      </c>
      <c r="BI38" s="1">
        <v>271</v>
      </c>
      <c r="BJ38" s="1">
        <v>424</v>
      </c>
      <c r="BK38" s="1">
        <v>424</v>
      </c>
      <c r="BL38" s="1">
        <v>472</v>
      </c>
    </row>
    <row r="39" spans="1:64" x14ac:dyDescent="0.25">
      <c r="A39" s="1" t="s">
        <v>170</v>
      </c>
      <c r="B39" s="1" t="s">
        <v>70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2</v>
      </c>
      <c r="BC39" s="1">
        <v>2</v>
      </c>
      <c r="BD39" s="1">
        <v>2</v>
      </c>
      <c r="BE39" s="1">
        <v>2</v>
      </c>
      <c r="BF39" s="1">
        <v>8</v>
      </c>
      <c r="BG39" s="1">
        <v>9</v>
      </c>
      <c r="BH39" s="1">
        <v>9</v>
      </c>
      <c r="BI39" s="1">
        <v>10</v>
      </c>
      <c r="BJ39" s="1">
        <v>10</v>
      </c>
      <c r="BK39" s="1">
        <v>13</v>
      </c>
      <c r="BL39" s="1">
        <v>13</v>
      </c>
    </row>
    <row r="40" spans="1:64" x14ac:dyDescent="0.25">
      <c r="A40" s="1" t="s">
        <v>473</v>
      </c>
      <c r="B40" s="1" t="s">
        <v>70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4</v>
      </c>
      <c r="BC40" s="1">
        <v>4</v>
      </c>
      <c r="BD40" s="1">
        <v>4</v>
      </c>
      <c r="BE40" s="1">
        <v>7</v>
      </c>
      <c r="BF40" s="1">
        <v>8</v>
      </c>
      <c r="BG40" s="1">
        <v>15</v>
      </c>
      <c r="BH40" s="1">
        <v>17</v>
      </c>
      <c r="BI40" s="1">
        <v>17</v>
      </c>
      <c r="BJ40" s="1">
        <v>18</v>
      </c>
      <c r="BK40" s="1">
        <v>20</v>
      </c>
      <c r="BL40" s="1">
        <v>20</v>
      </c>
    </row>
    <row r="41" spans="1:64" x14ac:dyDescent="0.25">
      <c r="A41" s="1" t="s">
        <v>269</v>
      </c>
      <c r="B41" s="1" t="s">
        <v>70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1</v>
      </c>
      <c r="BA41" s="1">
        <v>1</v>
      </c>
      <c r="BB41" s="1">
        <v>1</v>
      </c>
      <c r="BC41" s="1">
        <v>1</v>
      </c>
      <c r="BD41" s="1">
        <v>2</v>
      </c>
      <c r="BE41" s="1">
        <v>6</v>
      </c>
      <c r="BF41" s="1">
        <v>8</v>
      </c>
      <c r="BG41" s="1">
        <v>11</v>
      </c>
      <c r="BH41" s="1">
        <v>11</v>
      </c>
      <c r="BI41" s="1">
        <v>11</v>
      </c>
      <c r="BJ41" s="1">
        <v>17</v>
      </c>
      <c r="BK41" s="1">
        <v>17</v>
      </c>
      <c r="BL41" s="1">
        <v>17</v>
      </c>
    </row>
    <row r="42" spans="1:64" x14ac:dyDescent="0.25">
      <c r="A42" s="1" t="s">
        <v>499</v>
      </c>
      <c r="B42" s="1" t="s">
        <v>70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1</v>
      </c>
      <c r="BE42" s="1">
        <v>1</v>
      </c>
      <c r="BF42" s="1">
        <v>3</v>
      </c>
      <c r="BG42" s="1">
        <v>3</v>
      </c>
      <c r="BH42" s="1">
        <v>3</v>
      </c>
      <c r="BI42" s="1">
        <v>4</v>
      </c>
      <c r="BJ42" s="1">
        <v>6</v>
      </c>
      <c r="BK42" s="1">
        <v>9</v>
      </c>
      <c r="BL42" s="1">
        <v>24</v>
      </c>
    </row>
    <row r="43" spans="1:64" x14ac:dyDescent="0.25">
      <c r="A43" s="1" t="s">
        <v>507</v>
      </c>
      <c r="B43" s="1" t="s">
        <v>70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5</v>
      </c>
      <c r="BF43" s="1">
        <v>7</v>
      </c>
      <c r="BG43" s="1">
        <v>12</v>
      </c>
      <c r="BH43" s="1">
        <v>14</v>
      </c>
      <c r="BI43" s="1">
        <v>15</v>
      </c>
      <c r="BJ43" s="1">
        <v>21</v>
      </c>
      <c r="BK43" s="1">
        <v>28</v>
      </c>
      <c r="BL43" s="1">
        <v>41</v>
      </c>
    </row>
    <row r="44" spans="1:64" x14ac:dyDescent="0.25">
      <c r="A44" s="1" t="s">
        <v>158</v>
      </c>
      <c r="B44" s="1" t="s">
        <v>70</v>
      </c>
      <c r="C44" s="1">
        <v>0</v>
      </c>
      <c r="D44" s="1">
        <v>0</v>
      </c>
      <c r="E44" s="1">
        <v>0</v>
      </c>
      <c r="F44" s="1">
        <v>0</v>
      </c>
      <c r="G44" s="1">
        <v>1</v>
      </c>
      <c r="H44" s="1">
        <v>1</v>
      </c>
      <c r="I44" s="1">
        <v>1</v>
      </c>
      <c r="J44" s="1">
        <v>1</v>
      </c>
      <c r="K44" s="1">
        <v>1</v>
      </c>
      <c r="L44" s="1">
        <v>3</v>
      </c>
      <c r="M44" s="1">
        <v>3</v>
      </c>
      <c r="N44" s="1">
        <v>3</v>
      </c>
      <c r="O44" s="1">
        <v>3</v>
      </c>
      <c r="P44" s="1">
        <v>3</v>
      </c>
      <c r="Q44" s="1">
        <v>3</v>
      </c>
      <c r="R44" s="1">
        <v>3</v>
      </c>
      <c r="S44" s="1">
        <v>3</v>
      </c>
      <c r="T44" s="1">
        <v>3</v>
      </c>
      <c r="U44" s="1">
        <v>3</v>
      </c>
      <c r="V44" s="1">
        <v>3</v>
      </c>
      <c r="W44" s="1">
        <v>3</v>
      </c>
      <c r="X44" s="1">
        <v>3</v>
      </c>
      <c r="Y44" s="1">
        <v>3</v>
      </c>
      <c r="Z44" s="1">
        <v>3</v>
      </c>
      <c r="AA44" s="1">
        <v>3</v>
      </c>
      <c r="AB44" s="1">
        <v>3</v>
      </c>
      <c r="AC44" s="1">
        <v>3</v>
      </c>
      <c r="AD44" s="1">
        <v>3</v>
      </c>
      <c r="AE44" s="1">
        <v>3</v>
      </c>
      <c r="AF44" s="1">
        <v>3</v>
      </c>
      <c r="AG44" s="1">
        <v>3</v>
      </c>
      <c r="AH44" s="1">
        <v>3</v>
      </c>
      <c r="AI44" s="1">
        <v>3</v>
      </c>
      <c r="AJ44" s="1">
        <v>4</v>
      </c>
      <c r="AK44" s="1">
        <v>4</v>
      </c>
      <c r="AL44" s="1">
        <v>4</v>
      </c>
      <c r="AM44" s="1">
        <v>6</v>
      </c>
      <c r="AN44" s="1">
        <v>6</v>
      </c>
      <c r="AO44" s="1">
        <v>11</v>
      </c>
      <c r="AP44" s="1">
        <v>15</v>
      </c>
      <c r="AQ44" s="1">
        <v>18</v>
      </c>
      <c r="AR44" s="1">
        <v>20</v>
      </c>
      <c r="AS44" s="1">
        <v>20</v>
      </c>
      <c r="AT44" s="1">
        <v>22</v>
      </c>
      <c r="AU44" s="1">
        <v>25</v>
      </c>
      <c r="AV44" s="1">
        <v>28</v>
      </c>
      <c r="AW44" s="1">
        <v>29</v>
      </c>
      <c r="AX44" s="1">
        <v>34</v>
      </c>
      <c r="AY44" s="1">
        <v>36</v>
      </c>
      <c r="AZ44" s="1">
        <v>41</v>
      </c>
      <c r="BA44" s="1">
        <v>42</v>
      </c>
      <c r="BB44" s="1">
        <v>74</v>
      </c>
      <c r="BC44" s="1">
        <v>79</v>
      </c>
      <c r="BD44" s="1">
        <v>104</v>
      </c>
      <c r="BE44" s="1">
        <v>177</v>
      </c>
      <c r="BF44" s="1">
        <v>185</v>
      </c>
      <c r="BG44" s="1">
        <v>221</v>
      </c>
      <c r="BH44" s="1">
        <v>257</v>
      </c>
      <c r="BI44" s="1">
        <v>308</v>
      </c>
      <c r="BJ44" s="1">
        <v>377</v>
      </c>
      <c r="BK44" s="1">
        <v>425</v>
      </c>
      <c r="BL44" s="1">
        <v>503</v>
      </c>
    </row>
    <row r="45" spans="1:64" x14ac:dyDescent="0.25">
      <c r="A45" s="1" t="s">
        <v>500</v>
      </c>
      <c r="B45" s="1" t="s">
        <v>70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1</v>
      </c>
      <c r="BE45" s="1">
        <v>1</v>
      </c>
      <c r="BF45" s="1">
        <v>1</v>
      </c>
      <c r="BG45" s="1">
        <v>1</v>
      </c>
      <c r="BH45" s="1">
        <v>2</v>
      </c>
      <c r="BI45" s="1">
        <v>2</v>
      </c>
      <c r="BJ45" s="1">
        <v>2</v>
      </c>
      <c r="BK45" s="1">
        <v>3</v>
      </c>
      <c r="BL45" s="1">
        <v>3</v>
      </c>
    </row>
    <row r="46" spans="1:64" x14ac:dyDescent="0.25">
      <c r="A46" s="1" t="s">
        <v>160</v>
      </c>
      <c r="B46" s="1" t="s">
        <v>70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1</v>
      </c>
      <c r="AO46" s="1">
        <v>1</v>
      </c>
      <c r="AP46" s="1">
        <v>1</v>
      </c>
      <c r="AQ46" s="1">
        <v>1</v>
      </c>
      <c r="AR46" s="1">
        <v>1</v>
      </c>
      <c r="AS46" s="1">
        <v>1</v>
      </c>
      <c r="AT46" s="1">
        <v>2</v>
      </c>
      <c r="AU46" s="1">
        <v>2</v>
      </c>
      <c r="AV46" s="1">
        <v>3</v>
      </c>
      <c r="AW46" s="1">
        <v>4</v>
      </c>
      <c r="AX46" s="1">
        <v>4</v>
      </c>
      <c r="AY46" s="1">
        <v>4</v>
      </c>
      <c r="AZ46" s="1">
        <v>8</v>
      </c>
      <c r="BA46" s="1">
        <v>9</v>
      </c>
      <c r="BB46" s="1">
        <v>17</v>
      </c>
      <c r="BC46" s="1">
        <v>17</v>
      </c>
      <c r="BD46" s="1">
        <v>24</v>
      </c>
      <c r="BE46" s="1">
        <v>50</v>
      </c>
      <c r="BF46" s="1">
        <v>74</v>
      </c>
      <c r="BG46" s="1">
        <v>94</v>
      </c>
      <c r="BH46" s="1">
        <v>121</v>
      </c>
      <c r="BI46" s="1">
        <v>139</v>
      </c>
      <c r="BJ46" s="1">
        <v>181</v>
      </c>
      <c r="BK46" s="1">
        <v>219</v>
      </c>
      <c r="BL46" s="1">
        <v>628</v>
      </c>
    </row>
    <row r="47" spans="1:64" x14ac:dyDescent="0.25">
      <c r="A47" s="1" t="s">
        <v>474</v>
      </c>
      <c r="B47" s="1" t="s">
        <v>70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2</v>
      </c>
      <c r="BC47" s="1">
        <v>2</v>
      </c>
      <c r="BD47" s="1">
        <v>2</v>
      </c>
      <c r="BE47" s="1">
        <v>7</v>
      </c>
      <c r="BF47" s="1">
        <v>7</v>
      </c>
      <c r="BG47" s="1">
        <v>8</v>
      </c>
      <c r="BH47" s="1">
        <v>16</v>
      </c>
      <c r="BI47" s="1">
        <v>20</v>
      </c>
      <c r="BJ47" s="1">
        <v>26</v>
      </c>
      <c r="BK47" s="1">
        <v>52</v>
      </c>
      <c r="BL47" s="1">
        <v>66</v>
      </c>
    </row>
    <row r="48" spans="1:64" x14ac:dyDescent="0.25">
      <c r="A48" s="1" t="s">
        <v>64</v>
      </c>
      <c r="B48" s="1" t="s">
        <v>501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1</v>
      </c>
      <c r="BE48" s="1">
        <v>1</v>
      </c>
      <c r="BF48" s="1">
        <v>1</v>
      </c>
      <c r="BG48" s="1">
        <v>1</v>
      </c>
      <c r="BH48" s="1">
        <v>1</v>
      </c>
      <c r="BI48" s="1">
        <v>3</v>
      </c>
      <c r="BJ48" s="1">
        <v>3</v>
      </c>
      <c r="BK48" s="1">
        <v>3</v>
      </c>
      <c r="BL48" s="1">
        <v>3</v>
      </c>
    </row>
    <row r="49" spans="1:64" x14ac:dyDescent="0.25">
      <c r="A49" s="1" t="s">
        <v>64</v>
      </c>
      <c r="B49" s="1" t="s">
        <v>530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 s="1">
        <v>1</v>
      </c>
      <c r="BI49" s="1">
        <v>1</v>
      </c>
      <c r="BJ49" s="1">
        <v>1</v>
      </c>
      <c r="BK49" s="1">
        <v>1</v>
      </c>
      <c r="BL49" s="1">
        <v>1</v>
      </c>
    </row>
    <row r="50" spans="1:64" x14ac:dyDescent="0.25">
      <c r="A50" s="1" t="s">
        <v>64</v>
      </c>
      <c r="B50" s="1" t="s">
        <v>133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1</v>
      </c>
      <c r="AS50" s="1">
        <v>1</v>
      </c>
      <c r="AT50" s="1">
        <v>4</v>
      </c>
      <c r="AU50" s="1">
        <v>4</v>
      </c>
      <c r="AV50" s="1">
        <v>4</v>
      </c>
      <c r="AW50" s="1">
        <v>8</v>
      </c>
      <c r="AX50" s="1">
        <v>8</v>
      </c>
      <c r="AY50" s="1">
        <v>13</v>
      </c>
      <c r="AZ50" s="1">
        <v>23</v>
      </c>
      <c r="BA50" s="1">
        <v>23</v>
      </c>
      <c r="BB50" s="1">
        <v>43</v>
      </c>
      <c r="BC50" s="1">
        <v>61</v>
      </c>
      <c r="BD50" s="1">
        <v>74</v>
      </c>
      <c r="BE50" s="1">
        <v>155</v>
      </c>
      <c r="BF50" s="1">
        <v>201</v>
      </c>
      <c r="BG50" s="1">
        <v>238</v>
      </c>
      <c r="BH50" s="1">
        <v>238</v>
      </c>
      <c r="BI50" s="1">
        <v>434</v>
      </c>
      <c r="BJ50" s="1">
        <v>537</v>
      </c>
      <c r="BK50" s="1">
        <v>632</v>
      </c>
      <c r="BL50" s="1">
        <v>746</v>
      </c>
    </row>
    <row r="51" spans="1:64" x14ac:dyDescent="0.25">
      <c r="A51" s="1" t="s">
        <v>229</v>
      </c>
      <c r="B51" s="1" t="s">
        <v>221</v>
      </c>
      <c r="C51" s="1">
        <v>1</v>
      </c>
      <c r="D51" s="1">
        <v>9</v>
      </c>
      <c r="E51" s="1">
        <v>15</v>
      </c>
      <c r="F51" s="1">
        <v>39</v>
      </c>
      <c r="G51" s="1">
        <v>60</v>
      </c>
      <c r="H51" s="1">
        <v>70</v>
      </c>
      <c r="I51" s="1">
        <v>106</v>
      </c>
      <c r="J51" s="1">
        <v>152</v>
      </c>
      <c r="K51" s="1">
        <v>200</v>
      </c>
      <c r="L51" s="1">
        <v>237</v>
      </c>
      <c r="M51" s="1">
        <v>297</v>
      </c>
      <c r="N51" s="1">
        <v>340</v>
      </c>
      <c r="O51" s="1">
        <v>408</v>
      </c>
      <c r="P51" s="1">
        <v>480</v>
      </c>
      <c r="Q51" s="1">
        <v>530</v>
      </c>
      <c r="R51" s="1">
        <v>591</v>
      </c>
      <c r="S51" s="1">
        <v>665</v>
      </c>
      <c r="T51" s="1">
        <v>733</v>
      </c>
      <c r="U51" s="1">
        <v>779</v>
      </c>
      <c r="V51" s="1">
        <v>830</v>
      </c>
      <c r="W51" s="1">
        <v>860</v>
      </c>
      <c r="X51" s="1">
        <v>889</v>
      </c>
      <c r="Y51" s="1">
        <v>910</v>
      </c>
      <c r="Z51" s="1">
        <v>934</v>
      </c>
      <c r="AA51" s="1">
        <v>950</v>
      </c>
      <c r="AB51" s="1">
        <v>962</v>
      </c>
      <c r="AC51" s="1">
        <v>973</v>
      </c>
      <c r="AD51" s="1">
        <v>982</v>
      </c>
      <c r="AE51" s="1">
        <v>986</v>
      </c>
      <c r="AF51" s="1">
        <v>987</v>
      </c>
      <c r="AG51" s="1">
        <v>988</v>
      </c>
      <c r="AH51" s="1">
        <v>989</v>
      </c>
      <c r="AI51" s="1">
        <v>989</v>
      </c>
      <c r="AJ51" s="1">
        <v>989</v>
      </c>
      <c r="AK51" s="1">
        <v>989</v>
      </c>
      <c r="AL51" s="1">
        <v>989</v>
      </c>
      <c r="AM51" s="1">
        <v>989</v>
      </c>
      <c r="AN51" s="1">
        <v>990</v>
      </c>
      <c r="AO51" s="1">
        <v>990</v>
      </c>
      <c r="AP51" s="1">
        <v>990</v>
      </c>
      <c r="AQ51" s="1">
        <v>990</v>
      </c>
      <c r="AR51" s="1">
        <v>990</v>
      </c>
      <c r="AS51" s="1">
        <v>990</v>
      </c>
      <c r="AT51" s="1">
        <v>990</v>
      </c>
      <c r="AU51" s="1">
        <v>990</v>
      </c>
      <c r="AV51" s="1">
        <v>990</v>
      </c>
      <c r="AW51" s="1">
        <v>990</v>
      </c>
      <c r="AX51" s="1">
        <v>990</v>
      </c>
      <c r="AY51" s="1">
        <v>990</v>
      </c>
      <c r="AZ51" s="1">
        <v>990</v>
      </c>
      <c r="BA51" s="1">
        <v>990</v>
      </c>
      <c r="BB51" s="1">
        <v>990</v>
      </c>
      <c r="BC51" s="1">
        <v>990</v>
      </c>
      <c r="BD51" s="1">
        <v>990</v>
      </c>
      <c r="BE51" s="1">
        <v>990</v>
      </c>
      <c r="BF51" s="1">
        <v>990</v>
      </c>
      <c r="BG51" s="1">
        <v>990</v>
      </c>
      <c r="BH51" s="1">
        <v>990</v>
      </c>
      <c r="BI51" s="1">
        <v>990</v>
      </c>
      <c r="BJ51" s="1">
        <v>990</v>
      </c>
      <c r="BK51" s="1">
        <v>990</v>
      </c>
      <c r="BL51" s="1">
        <v>990</v>
      </c>
    </row>
    <row r="52" spans="1:64" x14ac:dyDescent="0.25">
      <c r="A52" s="1" t="s">
        <v>238</v>
      </c>
      <c r="B52" s="1" t="s">
        <v>221</v>
      </c>
      <c r="C52" s="1">
        <v>14</v>
      </c>
      <c r="D52" s="1">
        <v>22</v>
      </c>
      <c r="E52" s="1">
        <v>36</v>
      </c>
      <c r="F52" s="1">
        <v>41</v>
      </c>
      <c r="G52" s="1">
        <v>68</v>
      </c>
      <c r="H52" s="1">
        <v>80</v>
      </c>
      <c r="I52" s="1">
        <v>91</v>
      </c>
      <c r="J52" s="1">
        <v>111</v>
      </c>
      <c r="K52" s="1">
        <v>114</v>
      </c>
      <c r="L52" s="1">
        <v>139</v>
      </c>
      <c r="M52" s="1">
        <v>168</v>
      </c>
      <c r="N52" s="1">
        <v>191</v>
      </c>
      <c r="O52" s="1">
        <v>212</v>
      </c>
      <c r="P52" s="1">
        <v>228</v>
      </c>
      <c r="Q52" s="1">
        <v>253</v>
      </c>
      <c r="R52" s="1">
        <v>274</v>
      </c>
      <c r="S52" s="1">
        <v>297</v>
      </c>
      <c r="T52" s="1">
        <v>315</v>
      </c>
      <c r="U52" s="1">
        <v>326</v>
      </c>
      <c r="V52" s="1">
        <v>337</v>
      </c>
      <c r="W52" s="1">
        <v>342</v>
      </c>
      <c r="X52" s="1">
        <v>352</v>
      </c>
      <c r="Y52" s="1">
        <v>366</v>
      </c>
      <c r="Z52" s="1">
        <v>372</v>
      </c>
      <c r="AA52" s="1">
        <v>375</v>
      </c>
      <c r="AB52" s="1">
        <v>380</v>
      </c>
      <c r="AC52" s="1">
        <v>381</v>
      </c>
      <c r="AD52" s="1">
        <v>387</v>
      </c>
      <c r="AE52" s="1">
        <v>393</v>
      </c>
      <c r="AF52" s="1">
        <v>395</v>
      </c>
      <c r="AG52" s="1">
        <v>396</v>
      </c>
      <c r="AH52" s="1">
        <v>399</v>
      </c>
      <c r="AI52" s="1">
        <v>399</v>
      </c>
      <c r="AJ52" s="1">
        <v>399</v>
      </c>
      <c r="AK52" s="1">
        <v>400</v>
      </c>
      <c r="AL52" s="1">
        <v>400</v>
      </c>
      <c r="AM52" s="1">
        <v>410</v>
      </c>
      <c r="AN52" s="1">
        <v>410</v>
      </c>
      <c r="AO52" s="1">
        <v>411</v>
      </c>
      <c r="AP52" s="1">
        <v>413</v>
      </c>
      <c r="AQ52" s="1">
        <v>414</v>
      </c>
      <c r="AR52" s="1">
        <v>414</v>
      </c>
      <c r="AS52" s="1">
        <v>418</v>
      </c>
      <c r="AT52" s="1">
        <v>418</v>
      </c>
      <c r="AU52" s="1">
        <v>422</v>
      </c>
      <c r="AV52" s="1">
        <v>426</v>
      </c>
      <c r="AW52" s="1">
        <v>428</v>
      </c>
      <c r="AX52" s="1">
        <v>428</v>
      </c>
      <c r="AY52" s="1">
        <v>429</v>
      </c>
      <c r="AZ52" s="1">
        <v>435</v>
      </c>
      <c r="BA52" s="1">
        <v>435</v>
      </c>
      <c r="BB52" s="1">
        <v>436</v>
      </c>
      <c r="BC52" s="1">
        <v>437</v>
      </c>
      <c r="BD52" s="1">
        <v>442</v>
      </c>
      <c r="BE52" s="1">
        <v>452</v>
      </c>
      <c r="BF52" s="1">
        <v>456</v>
      </c>
      <c r="BG52" s="1">
        <v>469</v>
      </c>
      <c r="BH52" s="1">
        <v>480</v>
      </c>
      <c r="BI52" s="1">
        <v>491</v>
      </c>
      <c r="BJ52" s="1">
        <v>504</v>
      </c>
      <c r="BK52" s="1">
        <v>522</v>
      </c>
      <c r="BL52" s="1">
        <v>537</v>
      </c>
    </row>
    <row r="53" spans="1:64" x14ac:dyDescent="0.25">
      <c r="A53" s="1" t="s">
        <v>234</v>
      </c>
      <c r="B53" s="1" t="s">
        <v>221</v>
      </c>
      <c r="C53" s="1">
        <v>6</v>
      </c>
      <c r="D53" s="1">
        <v>9</v>
      </c>
      <c r="E53" s="1">
        <v>27</v>
      </c>
      <c r="F53" s="1">
        <v>57</v>
      </c>
      <c r="G53" s="1">
        <v>75</v>
      </c>
      <c r="H53" s="1">
        <v>110</v>
      </c>
      <c r="I53" s="1">
        <v>132</v>
      </c>
      <c r="J53" s="1">
        <v>147</v>
      </c>
      <c r="K53" s="1">
        <v>182</v>
      </c>
      <c r="L53" s="1">
        <v>211</v>
      </c>
      <c r="M53" s="1">
        <v>247</v>
      </c>
      <c r="N53" s="1">
        <v>300</v>
      </c>
      <c r="O53" s="1">
        <v>337</v>
      </c>
      <c r="P53" s="1">
        <v>366</v>
      </c>
      <c r="Q53" s="1">
        <v>389</v>
      </c>
      <c r="R53" s="1">
        <v>411</v>
      </c>
      <c r="S53" s="1">
        <v>426</v>
      </c>
      <c r="T53" s="1">
        <v>428</v>
      </c>
      <c r="U53" s="1">
        <v>468</v>
      </c>
      <c r="V53" s="1">
        <v>486</v>
      </c>
      <c r="W53" s="1">
        <v>505</v>
      </c>
      <c r="X53" s="1">
        <v>518</v>
      </c>
      <c r="Y53" s="1">
        <v>529</v>
      </c>
      <c r="Z53" s="1">
        <v>537</v>
      </c>
      <c r="AA53" s="1">
        <v>544</v>
      </c>
      <c r="AB53" s="1">
        <v>551</v>
      </c>
      <c r="AC53" s="1">
        <v>553</v>
      </c>
      <c r="AD53" s="1">
        <v>555</v>
      </c>
      <c r="AE53" s="1">
        <v>560</v>
      </c>
      <c r="AF53" s="1">
        <v>567</v>
      </c>
      <c r="AG53" s="1">
        <v>572</v>
      </c>
      <c r="AH53" s="1">
        <v>573</v>
      </c>
      <c r="AI53" s="1">
        <v>575</v>
      </c>
      <c r="AJ53" s="1">
        <v>576</v>
      </c>
      <c r="AK53" s="1">
        <v>576</v>
      </c>
      <c r="AL53" s="1">
        <v>576</v>
      </c>
      <c r="AM53" s="1">
        <v>576</v>
      </c>
      <c r="AN53" s="1">
        <v>576</v>
      </c>
      <c r="AO53" s="1">
        <v>576</v>
      </c>
      <c r="AP53" s="1">
        <v>576</v>
      </c>
      <c r="AQ53" s="1">
        <v>576</v>
      </c>
      <c r="AR53" s="1">
        <v>576</v>
      </c>
      <c r="AS53" s="1">
        <v>576</v>
      </c>
      <c r="AT53" s="1">
        <v>576</v>
      </c>
      <c r="AU53" s="1">
        <v>576</v>
      </c>
      <c r="AV53" s="1">
        <v>576</v>
      </c>
      <c r="AW53" s="1">
        <v>576</v>
      </c>
      <c r="AX53" s="1">
        <v>576</v>
      </c>
      <c r="AY53" s="1">
        <v>576</v>
      </c>
      <c r="AZ53" s="1">
        <v>576</v>
      </c>
      <c r="BA53" s="1">
        <v>576</v>
      </c>
      <c r="BB53" s="1">
        <v>576</v>
      </c>
      <c r="BC53" s="1">
        <v>576</v>
      </c>
      <c r="BD53" s="1">
        <v>576</v>
      </c>
      <c r="BE53" s="1">
        <v>576</v>
      </c>
      <c r="BF53" s="1">
        <v>576</v>
      </c>
      <c r="BG53" s="1">
        <v>576</v>
      </c>
      <c r="BH53" s="1">
        <v>576</v>
      </c>
      <c r="BI53" s="1">
        <v>576</v>
      </c>
      <c r="BJ53" s="1">
        <v>576</v>
      </c>
      <c r="BK53" s="1">
        <v>577</v>
      </c>
      <c r="BL53" s="1">
        <v>578</v>
      </c>
    </row>
    <row r="54" spans="1:64" x14ac:dyDescent="0.25">
      <c r="A54" s="1" t="s">
        <v>241</v>
      </c>
      <c r="B54" s="1" t="s">
        <v>221</v>
      </c>
      <c r="C54" s="1">
        <v>1</v>
      </c>
      <c r="D54" s="1">
        <v>5</v>
      </c>
      <c r="E54" s="1">
        <v>10</v>
      </c>
      <c r="F54" s="1">
        <v>18</v>
      </c>
      <c r="G54" s="1">
        <v>35</v>
      </c>
      <c r="H54" s="1">
        <v>59</v>
      </c>
      <c r="I54" s="1">
        <v>80</v>
      </c>
      <c r="J54" s="1">
        <v>84</v>
      </c>
      <c r="K54" s="1">
        <v>101</v>
      </c>
      <c r="L54" s="1">
        <v>120</v>
      </c>
      <c r="M54" s="1">
        <v>144</v>
      </c>
      <c r="N54" s="1">
        <v>159</v>
      </c>
      <c r="O54" s="1">
        <v>179</v>
      </c>
      <c r="P54" s="1">
        <v>194</v>
      </c>
      <c r="Q54" s="1">
        <v>205</v>
      </c>
      <c r="R54" s="1">
        <v>215</v>
      </c>
      <c r="S54" s="1">
        <v>224</v>
      </c>
      <c r="T54" s="1">
        <v>239</v>
      </c>
      <c r="U54" s="1">
        <v>250</v>
      </c>
      <c r="V54" s="1">
        <v>261</v>
      </c>
      <c r="W54" s="1">
        <v>267</v>
      </c>
      <c r="X54" s="1">
        <v>272</v>
      </c>
      <c r="Y54" s="1">
        <v>279</v>
      </c>
      <c r="Z54" s="1">
        <v>281</v>
      </c>
      <c r="AA54" s="1">
        <v>285</v>
      </c>
      <c r="AB54" s="1">
        <v>287</v>
      </c>
      <c r="AC54" s="1">
        <v>290</v>
      </c>
      <c r="AD54" s="1">
        <v>292</v>
      </c>
      <c r="AE54" s="1">
        <v>293</v>
      </c>
      <c r="AF54" s="1">
        <v>293</v>
      </c>
      <c r="AG54" s="1">
        <v>293</v>
      </c>
      <c r="AH54" s="1">
        <v>293</v>
      </c>
      <c r="AI54" s="1">
        <v>293</v>
      </c>
      <c r="AJ54" s="1">
        <v>293</v>
      </c>
      <c r="AK54" s="1">
        <v>294</v>
      </c>
      <c r="AL54" s="1">
        <v>294</v>
      </c>
      <c r="AM54" s="1">
        <v>296</v>
      </c>
      <c r="AN54" s="1">
        <v>296</v>
      </c>
      <c r="AO54" s="1">
        <v>296</v>
      </c>
      <c r="AP54" s="1">
        <v>296</v>
      </c>
      <c r="AQ54" s="1">
        <v>296</v>
      </c>
      <c r="AR54" s="1">
        <v>296</v>
      </c>
      <c r="AS54" s="1">
        <v>296</v>
      </c>
      <c r="AT54" s="1">
        <v>296</v>
      </c>
      <c r="AU54" s="1">
        <v>296</v>
      </c>
      <c r="AV54" s="1">
        <v>296</v>
      </c>
      <c r="AW54" s="1">
        <v>296</v>
      </c>
      <c r="AX54" s="1">
        <v>296</v>
      </c>
      <c r="AY54" s="1">
        <v>296</v>
      </c>
      <c r="AZ54" s="1">
        <v>296</v>
      </c>
      <c r="BA54" s="1">
        <v>296</v>
      </c>
      <c r="BB54" s="1">
        <v>296</v>
      </c>
      <c r="BC54" s="1">
        <v>296</v>
      </c>
      <c r="BD54" s="1">
        <v>296</v>
      </c>
      <c r="BE54" s="1">
        <v>296</v>
      </c>
      <c r="BF54" s="1">
        <v>296</v>
      </c>
      <c r="BG54" s="1">
        <v>296</v>
      </c>
      <c r="BH54" s="1">
        <v>296</v>
      </c>
      <c r="BI54" s="1">
        <v>299</v>
      </c>
      <c r="BJ54" s="1">
        <v>303</v>
      </c>
      <c r="BK54" s="1">
        <v>313</v>
      </c>
      <c r="BL54" s="1">
        <v>313</v>
      </c>
    </row>
    <row r="55" spans="1:64" x14ac:dyDescent="0.25">
      <c r="A55" s="1" t="s">
        <v>249</v>
      </c>
      <c r="B55" s="1" t="s">
        <v>221</v>
      </c>
      <c r="C55" s="1">
        <v>0</v>
      </c>
      <c r="D55" s="1">
        <v>2</v>
      </c>
      <c r="E55" s="1">
        <v>2</v>
      </c>
      <c r="F55" s="1">
        <v>4</v>
      </c>
      <c r="G55" s="1">
        <v>7</v>
      </c>
      <c r="H55" s="1">
        <v>14</v>
      </c>
      <c r="I55" s="1">
        <v>19</v>
      </c>
      <c r="J55" s="1">
        <v>24</v>
      </c>
      <c r="K55" s="1">
        <v>26</v>
      </c>
      <c r="L55" s="1">
        <v>29</v>
      </c>
      <c r="M55" s="1">
        <v>40</v>
      </c>
      <c r="N55" s="1">
        <v>51</v>
      </c>
      <c r="O55" s="1">
        <v>55</v>
      </c>
      <c r="P55" s="1">
        <v>57</v>
      </c>
      <c r="Q55" s="1">
        <v>62</v>
      </c>
      <c r="R55" s="1">
        <v>62</v>
      </c>
      <c r="S55" s="1">
        <v>67</v>
      </c>
      <c r="T55" s="1">
        <v>79</v>
      </c>
      <c r="U55" s="1">
        <v>83</v>
      </c>
      <c r="V55" s="1">
        <v>83</v>
      </c>
      <c r="W55" s="1">
        <v>86</v>
      </c>
      <c r="X55" s="1">
        <v>87</v>
      </c>
      <c r="Y55" s="1">
        <v>90</v>
      </c>
      <c r="Z55" s="1">
        <v>90</v>
      </c>
      <c r="AA55" s="1">
        <v>90</v>
      </c>
      <c r="AB55" s="1">
        <v>90</v>
      </c>
      <c r="AC55" s="1">
        <v>91</v>
      </c>
      <c r="AD55" s="1">
        <v>91</v>
      </c>
      <c r="AE55" s="1">
        <v>91</v>
      </c>
      <c r="AF55" s="1">
        <v>91</v>
      </c>
      <c r="AG55" s="1">
        <v>91</v>
      </c>
      <c r="AH55" s="1">
        <v>91</v>
      </c>
      <c r="AI55" s="1">
        <v>91</v>
      </c>
      <c r="AJ55" s="1">
        <v>91</v>
      </c>
      <c r="AK55" s="1">
        <v>91</v>
      </c>
      <c r="AL55" s="1">
        <v>91</v>
      </c>
      <c r="AM55" s="1">
        <v>91</v>
      </c>
      <c r="AN55" s="1">
        <v>91</v>
      </c>
      <c r="AO55" s="1">
        <v>91</v>
      </c>
      <c r="AP55" s="1">
        <v>91</v>
      </c>
      <c r="AQ55" s="1">
        <v>91</v>
      </c>
      <c r="AR55" s="1">
        <v>91</v>
      </c>
      <c r="AS55" s="1">
        <v>91</v>
      </c>
      <c r="AT55" s="1">
        <v>102</v>
      </c>
      <c r="AU55" s="1">
        <v>119</v>
      </c>
      <c r="AV55" s="1">
        <v>120</v>
      </c>
      <c r="AW55" s="1">
        <v>124</v>
      </c>
      <c r="AX55" s="1">
        <v>124</v>
      </c>
      <c r="AY55" s="1">
        <v>125</v>
      </c>
      <c r="AZ55" s="1">
        <v>127</v>
      </c>
      <c r="BA55" s="1">
        <v>127</v>
      </c>
      <c r="BB55" s="1">
        <v>127</v>
      </c>
      <c r="BC55" s="1">
        <v>129</v>
      </c>
      <c r="BD55" s="1">
        <v>133</v>
      </c>
      <c r="BE55" s="1">
        <v>133</v>
      </c>
      <c r="BF55" s="1">
        <v>133</v>
      </c>
      <c r="BG55" s="1">
        <v>133</v>
      </c>
      <c r="BH55" s="1">
        <v>134</v>
      </c>
      <c r="BI55" s="1">
        <v>134</v>
      </c>
      <c r="BJ55" s="1">
        <v>134</v>
      </c>
      <c r="BK55" s="1">
        <v>136</v>
      </c>
      <c r="BL55" s="1">
        <v>136</v>
      </c>
    </row>
    <row r="56" spans="1:64" x14ac:dyDescent="0.25">
      <c r="A56" s="1" t="s">
        <v>225</v>
      </c>
      <c r="B56" s="1" t="s">
        <v>221</v>
      </c>
      <c r="C56" s="1">
        <v>26</v>
      </c>
      <c r="D56" s="1">
        <v>32</v>
      </c>
      <c r="E56" s="1">
        <v>53</v>
      </c>
      <c r="F56" s="1">
        <v>78</v>
      </c>
      <c r="G56" s="1">
        <v>111</v>
      </c>
      <c r="H56" s="1">
        <v>151</v>
      </c>
      <c r="I56" s="1">
        <v>207</v>
      </c>
      <c r="J56" s="1">
        <v>277</v>
      </c>
      <c r="K56" s="1">
        <v>354</v>
      </c>
      <c r="L56" s="1">
        <v>436</v>
      </c>
      <c r="M56" s="1">
        <v>535</v>
      </c>
      <c r="N56" s="1">
        <v>632</v>
      </c>
      <c r="O56" s="1">
        <v>725</v>
      </c>
      <c r="P56" s="1">
        <v>813</v>
      </c>
      <c r="Q56" s="1">
        <v>895</v>
      </c>
      <c r="R56" s="1">
        <v>970</v>
      </c>
      <c r="S56" s="1">
        <v>1034</v>
      </c>
      <c r="T56" s="1">
        <v>1095</v>
      </c>
      <c r="U56" s="1">
        <v>1131</v>
      </c>
      <c r="V56" s="1">
        <v>1159</v>
      </c>
      <c r="W56" s="1">
        <v>1177</v>
      </c>
      <c r="X56" s="1">
        <v>1219</v>
      </c>
      <c r="Y56" s="1">
        <v>1241</v>
      </c>
      <c r="Z56" s="1">
        <v>1261</v>
      </c>
      <c r="AA56" s="1">
        <v>1294</v>
      </c>
      <c r="AB56" s="1">
        <v>1316</v>
      </c>
      <c r="AC56" s="1">
        <v>1322</v>
      </c>
      <c r="AD56" s="1">
        <v>1328</v>
      </c>
      <c r="AE56" s="1">
        <v>1331</v>
      </c>
      <c r="AF56" s="1">
        <v>1332</v>
      </c>
      <c r="AG56" s="1">
        <v>1333</v>
      </c>
      <c r="AH56" s="1">
        <v>1339</v>
      </c>
      <c r="AI56" s="1">
        <v>1342</v>
      </c>
      <c r="AJ56" s="1">
        <v>1345</v>
      </c>
      <c r="AK56" s="1">
        <v>1347</v>
      </c>
      <c r="AL56" s="1">
        <v>1347</v>
      </c>
      <c r="AM56" s="1">
        <v>1347</v>
      </c>
      <c r="AN56" s="1">
        <v>1348</v>
      </c>
      <c r="AO56" s="1">
        <v>1349</v>
      </c>
      <c r="AP56" s="1">
        <v>1349</v>
      </c>
      <c r="AQ56" s="1">
        <v>1350</v>
      </c>
      <c r="AR56" s="1">
        <v>1350</v>
      </c>
      <c r="AS56" s="1">
        <v>1350</v>
      </c>
      <c r="AT56" s="1">
        <v>1351</v>
      </c>
      <c r="AU56" s="1">
        <v>1352</v>
      </c>
      <c r="AV56" s="1">
        <v>1352</v>
      </c>
      <c r="AW56" s="1">
        <v>1352</v>
      </c>
      <c r="AX56" s="1">
        <v>1352</v>
      </c>
      <c r="AY56" s="1">
        <v>1353</v>
      </c>
      <c r="AZ56" s="1">
        <v>1356</v>
      </c>
      <c r="BA56" s="1">
        <v>1356</v>
      </c>
      <c r="BB56" s="1">
        <v>1356</v>
      </c>
      <c r="BC56" s="1">
        <v>1356</v>
      </c>
      <c r="BD56" s="1">
        <v>1360</v>
      </c>
      <c r="BE56" s="1">
        <v>1361</v>
      </c>
      <c r="BF56" s="1">
        <v>1364</v>
      </c>
      <c r="BG56" s="1">
        <v>1370</v>
      </c>
      <c r="BH56" s="1">
        <v>1378</v>
      </c>
      <c r="BI56" s="1">
        <v>1395</v>
      </c>
      <c r="BJ56" s="1">
        <v>1400</v>
      </c>
      <c r="BK56" s="1">
        <v>1413</v>
      </c>
      <c r="BL56" s="1">
        <v>1415</v>
      </c>
    </row>
    <row r="57" spans="1:64" x14ac:dyDescent="0.25">
      <c r="A57" s="1" t="s">
        <v>242</v>
      </c>
      <c r="B57" s="1" t="s">
        <v>221</v>
      </c>
      <c r="C57" s="1">
        <v>2</v>
      </c>
      <c r="D57" s="1">
        <v>5</v>
      </c>
      <c r="E57" s="1">
        <v>23</v>
      </c>
      <c r="F57" s="1">
        <v>23</v>
      </c>
      <c r="G57" s="1">
        <v>36</v>
      </c>
      <c r="H57" s="1">
        <v>46</v>
      </c>
      <c r="I57" s="1">
        <v>51</v>
      </c>
      <c r="J57" s="1">
        <v>58</v>
      </c>
      <c r="K57" s="1">
        <v>78</v>
      </c>
      <c r="L57" s="1">
        <v>87</v>
      </c>
      <c r="M57" s="1">
        <v>100</v>
      </c>
      <c r="N57" s="1">
        <v>111</v>
      </c>
      <c r="O57" s="1">
        <v>127</v>
      </c>
      <c r="P57" s="1">
        <v>139</v>
      </c>
      <c r="Q57" s="1">
        <v>150</v>
      </c>
      <c r="R57" s="1">
        <v>168</v>
      </c>
      <c r="S57" s="1">
        <v>172</v>
      </c>
      <c r="T57" s="1">
        <v>183</v>
      </c>
      <c r="U57" s="1">
        <v>195</v>
      </c>
      <c r="V57" s="1">
        <v>210</v>
      </c>
      <c r="W57" s="1">
        <v>215</v>
      </c>
      <c r="X57" s="1">
        <v>222</v>
      </c>
      <c r="Y57" s="1">
        <v>222</v>
      </c>
      <c r="Z57" s="1">
        <v>226</v>
      </c>
      <c r="AA57" s="1">
        <v>235</v>
      </c>
      <c r="AB57" s="1">
        <v>237</v>
      </c>
      <c r="AC57" s="1">
        <v>238</v>
      </c>
      <c r="AD57" s="1">
        <v>242</v>
      </c>
      <c r="AE57" s="1">
        <v>244</v>
      </c>
      <c r="AF57" s="1">
        <v>245</v>
      </c>
      <c r="AG57" s="1">
        <v>246</v>
      </c>
      <c r="AH57" s="1">
        <v>249</v>
      </c>
      <c r="AI57" s="1">
        <v>249</v>
      </c>
      <c r="AJ57" s="1">
        <v>251</v>
      </c>
      <c r="AK57" s="1">
        <v>252</v>
      </c>
      <c r="AL57" s="1">
        <v>252</v>
      </c>
      <c r="AM57" s="1">
        <v>252</v>
      </c>
      <c r="AN57" s="1">
        <v>252</v>
      </c>
      <c r="AO57" s="1">
        <v>252</v>
      </c>
      <c r="AP57" s="1">
        <v>252</v>
      </c>
      <c r="AQ57" s="1">
        <v>252</v>
      </c>
      <c r="AR57" s="1">
        <v>252</v>
      </c>
      <c r="AS57" s="1">
        <v>252</v>
      </c>
      <c r="AT57" s="1">
        <v>252</v>
      </c>
      <c r="AU57" s="1">
        <v>252</v>
      </c>
      <c r="AV57" s="1">
        <v>252</v>
      </c>
      <c r="AW57" s="1">
        <v>252</v>
      </c>
      <c r="AX57" s="1">
        <v>252</v>
      </c>
      <c r="AY57" s="1">
        <v>252</v>
      </c>
      <c r="AZ57" s="1">
        <v>252</v>
      </c>
      <c r="BA57" s="1">
        <v>252</v>
      </c>
      <c r="BB57" s="1">
        <v>252</v>
      </c>
      <c r="BC57" s="1">
        <v>252</v>
      </c>
      <c r="BD57" s="1">
        <v>252</v>
      </c>
      <c r="BE57" s="1">
        <v>252</v>
      </c>
      <c r="BF57" s="1">
        <v>253</v>
      </c>
      <c r="BG57" s="1">
        <v>253</v>
      </c>
      <c r="BH57" s="1">
        <v>253</v>
      </c>
      <c r="BI57" s="1">
        <v>254</v>
      </c>
      <c r="BJ57" s="1">
        <v>254</v>
      </c>
      <c r="BK57" s="1">
        <v>254</v>
      </c>
      <c r="BL57" s="1">
        <v>254</v>
      </c>
    </row>
    <row r="58" spans="1:64" x14ac:dyDescent="0.25">
      <c r="A58" s="1" t="s">
        <v>246</v>
      </c>
      <c r="B58" s="1" t="s">
        <v>221</v>
      </c>
      <c r="C58" s="1">
        <v>1</v>
      </c>
      <c r="D58" s="1">
        <v>3</v>
      </c>
      <c r="E58" s="1">
        <v>3</v>
      </c>
      <c r="F58" s="1">
        <v>4</v>
      </c>
      <c r="G58" s="1">
        <v>5</v>
      </c>
      <c r="H58" s="1">
        <v>7</v>
      </c>
      <c r="I58" s="1">
        <v>9</v>
      </c>
      <c r="J58" s="1">
        <v>9</v>
      </c>
      <c r="K58" s="1">
        <v>12</v>
      </c>
      <c r="L58" s="1">
        <v>29</v>
      </c>
      <c r="M58" s="1">
        <v>29</v>
      </c>
      <c r="N58" s="1">
        <v>38</v>
      </c>
      <c r="O58" s="1">
        <v>46</v>
      </c>
      <c r="P58" s="1">
        <v>58</v>
      </c>
      <c r="Q58" s="1">
        <v>64</v>
      </c>
      <c r="R58" s="1">
        <v>71</v>
      </c>
      <c r="S58" s="1">
        <v>81</v>
      </c>
      <c r="T58" s="1">
        <v>89</v>
      </c>
      <c r="U58" s="1">
        <v>99</v>
      </c>
      <c r="V58" s="1">
        <v>109</v>
      </c>
      <c r="W58" s="1">
        <v>127</v>
      </c>
      <c r="X58" s="1">
        <v>133</v>
      </c>
      <c r="Y58" s="1">
        <v>135</v>
      </c>
      <c r="Z58" s="1">
        <v>140</v>
      </c>
      <c r="AA58" s="1">
        <v>143</v>
      </c>
      <c r="AB58" s="1">
        <v>144</v>
      </c>
      <c r="AC58" s="1">
        <v>146</v>
      </c>
      <c r="AD58" s="1">
        <v>146</v>
      </c>
      <c r="AE58" s="1">
        <v>146</v>
      </c>
      <c r="AF58" s="1">
        <v>146</v>
      </c>
      <c r="AG58" s="1">
        <v>146</v>
      </c>
      <c r="AH58" s="1">
        <v>146</v>
      </c>
      <c r="AI58" s="1">
        <v>146</v>
      </c>
      <c r="AJ58" s="1">
        <v>146</v>
      </c>
      <c r="AK58" s="1">
        <v>146</v>
      </c>
      <c r="AL58" s="1">
        <v>146</v>
      </c>
      <c r="AM58" s="1">
        <v>146</v>
      </c>
      <c r="AN58" s="1">
        <v>146</v>
      </c>
      <c r="AO58" s="1">
        <v>146</v>
      </c>
      <c r="AP58" s="1">
        <v>146</v>
      </c>
      <c r="AQ58" s="1">
        <v>146</v>
      </c>
      <c r="AR58" s="1">
        <v>146</v>
      </c>
      <c r="AS58" s="1">
        <v>146</v>
      </c>
      <c r="AT58" s="1">
        <v>146</v>
      </c>
      <c r="AU58" s="1">
        <v>146</v>
      </c>
      <c r="AV58" s="1">
        <v>146</v>
      </c>
      <c r="AW58" s="1">
        <v>146</v>
      </c>
      <c r="AX58" s="1">
        <v>146</v>
      </c>
      <c r="AY58" s="1">
        <v>146</v>
      </c>
      <c r="AZ58" s="1">
        <v>146</v>
      </c>
      <c r="BA58" s="1">
        <v>146</v>
      </c>
      <c r="BB58" s="1">
        <v>146</v>
      </c>
      <c r="BC58" s="1">
        <v>146</v>
      </c>
      <c r="BD58" s="1">
        <v>146</v>
      </c>
      <c r="BE58" s="1">
        <v>146</v>
      </c>
      <c r="BF58" s="1">
        <v>147</v>
      </c>
      <c r="BG58" s="1">
        <v>146</v>
      </c>
      <c r="BH58" s="1">
        <v>146</v>
      </c>
      <c r="BI58" s="1">
        <v>146</v>
      </c>
      <c r="BJ58" s="1">
        <v>146</v>
      </c>
      <c r="BK58" s="1">
        <v>146</v>
      </c>
      <c r="BL58" s="1">
        <v>146</v>
      </c>
    </row>
    <row r="59" spans="1:64" x14ac:dyDescent="0.25">
      <c r="A59" s="1" t="s">
        <v>245</v>
      </c>
      <c r="B59" s="1" t="s">
        <v>221</v>
      </c>
      <c r="C59" s="1">
        <v>4</v>
      </c>
      <c r="D59" s="1">
        <v>5</v>
      </c>
      <c r="E59" s="1">
        <v>8</v>
      </c>
      <c r="F59" s="1">
        <v>19</v>
      </c>
      <c r="G59" s="1">
        <v>22</v>
      </c>
      <c r="H59" s="1">
        <v>33</v>
      </c>
      <c r="I59" s="1">
        <v>40</v>
      </c>
      <c r="J59" s="1">
        <v>43</v>
      </c>
      <c r="K59" s="1">
        <v>46</v>
      </c>
      <c r="L59" s="1">
        <v>52</v>
      </c>
      <c r="M59" s="1">
        <v>62</v>
      </c>
      <c r="N59" s="1">
        <v>64</v>
      </c>
      <c r="O59" s="1">
        <v>72</v>
      </c>
      <c r="P59" s="1">
        <v>80</v>
      </c>
      <c r="Q59" s="1">
        <v>99</v>
      </c>
      <c r="R59" s="1">
        <v>106</v>
      </c>
      <c r="S59" s="1">
        <v>117</v>
      </c>
      <c r="T59" s="1">
        <v>124</v>
      </c>
      <c r="U59" s="1">
        <v>131</v>
      </c>
      <c r="V59" s="1">
        <v>138</v>
      </c>
      <c r="W59" s="1">
        <v>144</v>
      </c>
      <c r="X59" s="1">
        <v>157</v>
      </c>
      <c r="Y59" s="1">
        <v>157</v>
      </c>
      <c r="Z59" s="1">
        <v>159</v>
      </c>
      <c r="AA59" s="1">
        <v>162</v>
      </c>
      <c r="AB59" s="1">
        <v>162</v>
      </c>
      <c r="AC59" s="1">
        <v>163</v>
      </c>
      <c r="AD59" s="1">
        <v>163</v>
      </c>
      <c r="AE59" s="1">
        <v>168</v>
      </c>
      <c r="AF59" s="1">
        <v>168</v>
      </c>
      <c r="AG59" s="1">
        <v>168</v>
      </c>
      <c r="AH59" s="1">
        <v>168</v>
      </c>
      <c r="AI59" s="1">
        <v>168</v>
      </c>
      <c r="AJ59" s="1">
        <v>168</v>
      </c>
      <c r="AK59" s="1">
        <v>168</v>
      </c>
      <c r="AL59" s="1">
        <v>168</v>
      </c>
      <c r="AM59" s="1">
        <v>168</v>
      </c>
      <c r="AN59" s="1">
        <v>168</v>
      </c>
      <c r="AO59" s="1">
        <v>168</v>
      </c>
      <c r="AP59" s="1">
        <v>168</v>
      </c>
      <c r="AQ59" s="1">
        <v>168</v>
      </c>
      <c r="AR59" s="1">
        <v>168</v>
      </c>
      <c r="AS59" s="1">
        <v>168</v>
      </c>
      <c r="AT59" s="1">
        <v>168</v>
      </c>
      <c r="AU59" s="1">
        <v>168</v>
      </c>
      <c r="AV59" s="1">
        <v>168</v>
      </c>
      <c r="AW59" s="1">
        <v>168</v>
      </c>
      <c r="AX59" s="1">
        <v>168</v>
      </c>
      <c r="AY59" s="1">
        <v>168</v>
      </c>
      <c r="AZ59" s="1">
        <v>168</v>
      </c>
      <c r="BA59" s="1">
        <v>168</v>
      </c>
      <c r="BB59" s="1">
        <v>168</v>
      </c>
      <c r="BC59" s="1">
        <v>168</v>
      </c>
      <c r="BD59" s="1">
        <v>168</v>
      </c>
      <c r="BE59" s="1">
        <v>168</v>
      </c>
      <c r="BF59" s="1">
        <v>168</v>
      </c>
      <c r="BG59" s="1">
        <v>168</v>
      </c>
      <c r="BH59" s="1">
        <v>168</v>
      </c>
      <c r="BI59" s="1">
        <v>168</v>
      </c>
      <c r="BJ59" s="1">
        <v>168</v>
      </c>
      <c r="BK59" s="1">
        <v>168</v>
      </c>
      <c r="BL59" s="1">
        <v>168</v>
      </c>
    </row>
    <row r="60" spans="1:64" x14ac:dyDescent="0.25">
      <c r="A60" s="1" t="s">
        <v>240</v>
      </c>
      <c r="B60" s="1" t="s">
        <v>221</v>
      </c>
      <c r="C60" s="1">
        <v>1</v>
      </c>
      <c r="D60" s="1">
        <v>1</v>
      </c>
      <c r="E60" s="1">
        <v>2</v>
      </c>
      <c r="F60" s="1">
        <v>8</v>
      </c>
      <c r="G60" s="1">
        <v>13</v>
      </c>
      <c r="H60" s="1">
        <v>18</v>
      </c>
      <c r="I60" s="1">
        <v>33</v>
      </c>
      <c r="J60" s="1">
        <v>48</v>
      </c>
      <c r="K60" s="1">
        <v>65</v>
      </c>
      <c r="L60" s="1">
        <v>82</v>
      </c>
      <c r="M60" s="1">
        <v>96</v>
      </c>
      <c r="N60" s="1">
        <v>104</v>
      </c>
      <c r="O60" s="1">
        <v>113</v>
      </c>
      <c r="P60" s="1">
        <v>126</v>
      </c>
      <c r="Q60" s="1">
        <v>135</v>
      </c>
      <c r="R60" s="1">
        <v>157</v>
      </c>
      <c r="S60" s="1">
        <v>172</v>
      </c>
      <c r="T60" s="1">
        <v>195</v>
      </c>
      <c r="U60" s="1">
        <v>206</v>
      </c>
      <c r="V60" s="1">
        <v>218</v>
      </c>
      <c r="W60" s="1">
        <v>239</v>
      </c>
      <c r="X60" s="1">
        <v>251</v>
      </c>
      <c r="Y60" s="1">
        <v>265</v>
      </c>
      <c r="Z60" s="1">
        <v>283</v>
      </c>
      <c r="AA60" s="1">
        <v>291</v>
      </c>
      <c r="AB60" s="1">
        <v>300</v>
      </c>
      <c r="AC60" s="1">
        <v>301</v>
      </c>
      <c r="AD60" s="1">
        <v>306</v>
      </c>
      <c r="AE60" s="1">
        <v>306</v>
      </c>
      <c r="AF60" s="1">
        <v>307</v>
      </c>
      <c r="AG60" s="1">
        <v>308</v>
      </c>
      <c r="AH60" s="1">
        <v>309</v>
      </c>
      <c r="AI60" s="1">
        <v>311</v>
      </c>
      <c r="AJ60" s="1">
        <v>311</v>
      </c>
      <c r="AK60" s="1">
        <v>311</v>
      </c>
      <c r="AL60" s="1">
        <v>312</v>
      </c>
      <c r="AM60" s="1">
        <v>317</v>
      </c>
      <c r="AN60" s="1">
        <v>318</v>
      </c>
      <c r="AO60" s="1">
        <v>318</v>
      </c>
      <c r="AP60" s="1">
        <v>318</v>
      </c>
      <c r="AQ60" s="1">
        <v>318</v>
      </c>
      <c r="AR60" s="1">
        <v>318</v>
      </c>
      <c r="AS60" s="1">
        <v>318</v>
      </c>
      <c r="AT60" s="1">
        <v>318</v>
      </c>
      <c r="AU60" s="1">
        <v>318</v>
      </c>
      <c r="AV60" s="1">
        <v>318</v>
      </c>
      <c r="AW60" s="1">
        <v>318</v>
      </c>
      <c r="AX60" s="1">
        <v>318</v>
      </c>
      <c r="AY60" s="1">
        <v>318</v>
      </c>
      <c r="AZ60" s="1">
        <v>318</v>
      </c>
      <c r="BA60" s="1">
        <v>318</v>
      </c>
      <c r="BB60" s="1">
        <v>318</v>
      </c>
      <c r="BC60" s="1">
        <v>318</v>
      </c>
      <c r="BD60" s="1">
        <v>318</v>
      </c>
      <c r="BE60" s="1">
        <v>318</v>
      </c>
      <c r="BF60" s="1">
        <v>318</v>
      </c>
      <c r="BG60" s="1">
        <v>318</v>
      </c>
      <c r="BH60" s="1">
        <v>318</v>
      </c>
      <c r="BI60" s="1">
        <v>318</v>
      </c>
      <c r="BJ60" s="1">
        <v>318</v>
      </c>
      <c r="BK60" s="1">
        <v>319</v>
      </c>
      <c r="BL60" s="1">
        <v>319</v>
      </c>
    </row>
    <row r="61" spans="1:64" x14ac:dyDescent="0.25">
      <c r="A61" s="1" t="s">
        <v>236</v>
      </c>
      <c r="B61" s="1" t="s">
        <v>221</v>
      </c>
      <c r="C61" s="1">
        <v>0</v>
      </c>
      <c r="D61" s="1">
        <v>2</v>
      </c>
      <c r="E61" s="1">
        <v>4</v>
      </c>
      <c r="F61" s="1">
        <v>9</v>
      </c>
      <c r="G61" s="1">
        <v>15</v>
      </c>
      <c r="H61" s="1">
        <v>21</v>
      </c>
      <c r="I61" s="1">
        <v>33</v>
      </c>
      <c r="J61" s="1">
        <v>38</v>
      </c>
      <c r="K61" s="1">
        <v>44</v>
      </c>
      <c r="L61" s="1">
        <v>59</v>
      </c>
      <c r="M61" s="1">
        <v>80</v>
      </c>
      <c r="N61" s="1">
        <v>95</v>
      </c>
      <c r="O61" s="1">
        <v>121</v>
      </c>
      <c r="P61" s="1">
        <v>155</v>
      </c>
      <c r="Q61" s="1">
        <v>190</v>
      </c>
      <c r="R61" s="1">
        <v>227</v>
      </c>
      <c r="S61" s="1">
        <v>277</v>
      </c>
      <c r="T61" s="1">
        <v>295</v>
      </c>
      <c r="U61" s="1">
        <v>307</v>
      </c>
      <c r="V61" s="1">
        <v>331</v>
      </c>
      <c r="W61" s="1">
        <v>360</v>
      </c>
      <c r="X61" s="1">
        <v>378</v>
      </c>
      <c r="Y61" s="1">
        <v>395</v>
      </c>
      <c r="Z61" s="1">
        <v>419</v>
      </c>
      <c r="AA61" s="1">
        <v>425</v>
      </c>
      <c r="AB61" s="1">
        <v>445</v>
      </c>
      <c r="AC61" s="1">
        <v>457</v>
      </c>
      <c r="AD61" s="1">
        <v>464</v>
      </c>
      <c r="AE61" s="1">
        <v>470</v>
      </c>
      <c r="AF61" s="1">
        <v>476</v>
      </c>
      <c r="AG61" s="1">
        <v>479</v>
      </c>
      <c r="AH61" s="1">
        <v>479</v>
      </c>
      <c r="AI61" s="1">
        <v>480</v>
      </c>
      <c r="AJ61" s="1">
        <v>480</v>
      </c>
      <c r="AK61" s="1">
        <v>480</v>
      </c>
      <c r="AL61" s="1">
        <v>480</v>
      </c>
      <c r="AM61" s="1">
        <v>480</v>
      </c>
      <c r="AN61" s="1">
        <v>480</v>
      </c>
      <c r="AO61" s="1">
        <v>480</v>
      </c>
      <c r="AP61" s="1">
        <v>480</v>
      </c>
      <c r="AQ61" s="1">
        <v>480</v>
      </c>
      <c r="AR61" s="1">
        <v>480</v>
      </c>
      <c r="AS61" s="1">
        <v>480</v>
      </c>
      <c r="AT61" s="1">
        <v>481</v>
      </c>
      <c r="AU61" s="1">
        <v>481</v>
      </c>
      <c r="AV61" s="1">
        <v>481</v>
      </c>
      <c r="AW61" s="1">
        <v>481</v>
      </c>
      <c r="AX61" s="1">
        <v>481</v>
      </c>
      <c r="AY61" s="1">
        <v>481</v>
      </c>
      <c r="AZ61" s="1">
        <v>482</v>
      </c>
      <c r="BA61" s="1">
        <v>482</v>
      </c>
      <c r="BB61" s="1">
        <v>482</v>
      </c>
      <c r="BC61" s="1">
        <v>482</v>
      </c>
      <c r="BD61" s="1">
        <v>482</v>
      </c>
      <c r="BE61" s="1">
        <v>482</v>
      </c>
      <c r="BF61" s="1">
        <v>482</v>
      </c>
      <c r="BG61" s="1">
        <v>482</v>
      </c>
      <c r="BH61" s="1">
        <v>483</v>
      </c>
      <c r="BI61" s="1">
        <v>484</v>
      </c>
      <c r="BJ61" s="1">
        <v>484</v>
      </c>
      <c r="BK61" s="1">
        <v>484</v>
      </c>
      <c r="BL61" s="1">
        <v>484</v>
      </c>
    </row>
    <row r="62" spans="1:64" x14ac:dyDescent="0.25">
      <c r="A62" s="1" t="s">
        <v>226</v>
      </c>
      <c r="B62" s="1" t="s">
        <v>221</v>
      </c>
      <c r="C62" s="1">
        <v>5</v>
      </c>
      <c r="D62" s="1">
        <v>5</v>
      </c>
      <c r="E62" s="1">
        <v>9</v>
      </c>
      <c r="F62" s="1">
        <v>32</v>
      </c>
      <c r="G62" s="1">
        <v>83</v>
      </c>
      <c r="H62" s="1">
        <v>128</v>
      </c>
      <c r="I62" s="1">
        <v>168</v>
      </c>
      <c r="J62" s="1">
        <v>206</v>
      </c>
      <c r="K62" s="1">
        <v>278</v>
      </c>
      <c r="L62" s="1">
        <v>352</v>
      </c>
      <c r="M62" s="1">
        <v>422</v>
      </c>
      <c r="N62" s="1">
        <v>493</v>
      </c>
      <c r="O62" s="1">
        <v>566</v>
      </c>
      <c r="P62" s="1">
        <v>675</v>
      </c>
      <c r="Q62" s="1">
        <v>764</v>
      </c>
      <c r="R62" s="1">
        <v>851</v>
      </c>
      <c r="S62" s="1">
        <v>914</v>
      </c>
      <c r="T62" s="1">
        <v>981</v>
      </c>
      <c r="U62" s="1">
        <v>1033</v>
      </c>
      <c r="V62" s="1">
        <v>1073</v>
      </c>
      <c r="W62" s="1">
        <v>1105</v>
      </c>
      <c r="X62" s="1">
        <v>1135</v>
      </c>
      <c r="Y62" s="1">
        <v>1169</v>
      </c>
      <c r="Z62" s="1">
        <v>1184</v>
      </c>
      <c r="AA62" s="1">
        <v>1212</v>
      </c>
      <c r="AB62" s="1">
        <v>1231</v>
      </c>
      <c r="AC62" s="1">
        <v>1246</v>
      </c>
      <c r="AD62" s="1">
        <v>1257</v>
      </c>
      <c r="AE62" s="1">
        <v>1262</v>
      </c>
      <c r="AF62" s="1">
        <v>1265</v>
      </c>
      <c r="AG62" s="1">
        <v>1267</v>
      </c>
      <c r="AH62" s="1">
        <v>1270</v>
      </c>
      <c r="AI62" s="1">
        <v>1271</v>
      </c>
      <c r="AJ62" s="1">
        <v>1271</v>
      </c>
      <c r="AK62" s="1">
        <v>1271</v>
      </c>
      <c r="AL62" s="1">
        <v>1271</v>
      </c>
      <c r="AM62" s="1">
        <v>1272</v>
      </c>
      <c r="AN62" s="1">
        <v>1272</v>
      </c>
      <c r="AO62" s="1">
        <v>1272</v>
      </c>
      <c r="AP62" s="1">
        <v>1272</v>
      </c>
      <c r="AQ62" s="1">
        <v>1272</v>
      </c>
      <c r="AR62" s="1">
        <v>1272</v>
      </c>
      <c r="AS62" s="1">
        <v>1272</v>
      </c>
      <c r="AT62" s="1">
        <v>1272</v>
      </c>
      <c r="AU62" s="1">
        <v>1272</v>
      </c>
      <c r="AV62" s="1">
        <v>1272</v>
      </c>
      <c r="AW62" s="1">
        <v>1272</v>
      </c>
      <c r="AX62" s="1">
        <v>1272</v>
      </c>
      <c r="AY62" s="1">
        <v>1272</v>
      </c>
      <c r="AZ62" s="1">
        <v>1273</v>
      </c>
      <c r="BA62" s="1">
        <v>1273</v>
      </c>
      <c r="BB62" s="1">
        <v>1273</v>
      </c>
      <c r="BC62" s="1">
        <v>1273</v>
      </c>
      <c r="BD62" s="1">
        <v>1273</v>
      </c>
      <c r="BE62" s="1">
        <v>1273</v>
      </c>
      <c r="BF62" s="1">
        <v>1273</v>
      </c>
      <c r="BG62" s="1">
        <v>1273</v>
      </c>
      <c r="BH62" s="1">
        <v>1273</v>
      </c>
      <c r="BI62" s="1">
        <v>1273</v>
      </c>
      <c r="BJ62" s="1">
        <v>1273</v>
      </c>
      <c r="BK62" s="1">
        <v>1274</v>
      </c>
      <c r="BL62" s="1">
        <v>1274</v>
      </c>
    </row>
    <row r="63" spans="1:64" x14ac:dyDescent="0.25">
      <c r="A63" s="1" t="s">
        <v>250</v>
      </c>
      <c r="B63" s="1" t="s">
        <v>221</v>
      </c>
      <c r="C63" s="1">
        <v>0</v>
      </c>
      <c r="D63" s="1">
        <v>2</v>
      </c>
      <c r="E63" s="1">
        <v>2</v>
      </c>
      <c r="F63" s="1">
        <v>5</v>
      </c>
      <c r="G63" s="1">
        <v>8</v>
      </c>
      <c r="H63" s="1">
        <v>8</v>
      </c>
      <c r="I63" s="1">
        <v>8</v>
      </c>
      <c r="J63" s="1">
        <v>10</v>
      </c>
      <c r="K63" s="1">
        <v>10</v>
      </c>
      <c r="L63" s="1">
        <v>12</v>
      </c>
      <c r="M63" s="1">
        <v>13</v>
      </c>
      <c r="N63" s="1">
        <v>15</v>
      </c>
      <c r="O63" s="1">
        <v>15</v>
      </c>
      <c r="P63" s="1">
        <v>17</v>
      </c>
      <c r="Q63" s="1">
        <v>21</v>
      </c>
      <c r="R63" s="1">
        <v>24</v>
      </c>
      <c r="S63" s="1">
        <v>25</v>
      </c>
      <c r="T63" s="1">
        <v>26</v>
      </c>
      <c r="U63" s="1">
        <v>29</v>
      </c>
      <c r="V63" s="1">
        <v>38</v>
      </c>
      <c r="W63" s="1">
        <v>49</v>
      </c>
      <c r="X63" s="1">
        <v>50</v>
      </c>
      <c r="Y63" s="1">
        <v>53</v>
      </c>
      <c r="Z63" s="1">
        <v>56</v>
      </c>
      <c r="AA63" s="1">
        <v>56</v>
      </c>
      <c r="AB63" s="1">
        <v>57</v>
      </c>
      <c r="AC63" s="1">
        <v>60</v>
      </c>
      <c r="AD63" s="1">
        <v>62</v>
      </c>
      <c r="AE63" s="1">
        <v>63</v>
      </c>
      <c r="AF63" s="1">
        <v>68</v>
      </c>
      <c r="AG63" s="1">
        <v>68</v>
      </c>
      <c r="AH63" s="1">
        <v>69</v>
      </c>
      <c r="AI63" s="1">
        <v>74</v>
      </c>
      <c r="AJ63" s="1">
        <v>79</v>
      </c>
      <c r="AK63" s="1">
        <v>84</v>
      </c>
      <c r="AL63" s="1">
        <v>91</v>
      </c>
      <c r="AM63" s="1">
        <v>92</v>
      </c>
      <c r="AN63" s="1">
        <v>94</v>
      </c>
      <c r="AO63" s="1">
        <v>95</v>
      </c>
      <c r="AP63" s="1">
        <v>96</v>
      </c>
      <c r="AQ63" s="1">
        <v>100</v>
      </c>
      <c r="AR63" s="1">
        <v>100</v>
      </c>
      <c r="AS63" s="1">
        <v>105</v>
      </c>
      <c r="AT63" s="1">
        <v>105</v>
      </c>
      <c r="AU63" s="1">
        <v>107</v>
      </c>
      <c r="AV63" s="1">
        <v>108</v>
      </c>
      <c r="AW63" s="1">
        <v>114</v>
      </c>
      <c r="AX63" s="1">
        <v>115</v>
      </c>
      <c r="AY63" s="1">
        <v>120</v>
      </c>
      <c r="AZ63" s="1">
        <v>126</v>
      </c>
      <c r="BA63" s="1">
        <v>129</v>
      </c>
      <c r="BB63" s="1">
        <v>134</v>
      </c>
      <c r="BC63" s="1">
        <v>140</v>
      </c>
      <c r="BD63" s="1">
        <v>145</v>
      </c>
      <c r="BE63" s="1">
        <v>155</v>
      </c>
      <c r="BF63" s="1">
        <v>162</v>
      </c>
      <c r="BG63" s="1">
        <v>181</v>
      </c>
      <c r="BH63" s="1">
        <v>208</v>
      </c>
      <c r="BI63" s="1">
        <v>256</v>
      </c>
      <c r="BJ63" s="1">
        <v>273</v>
      </c>
      <c r="BK63" s="1">
        <v>317</v>
      </c>
      <c r="BL63" s="1">
        <v>356</v>
      </c>
    </row>
    <row r="64" spans="1:64" x14ac:dyDescent="0.25">
      <c r="A64" s="1" t="s">
        <v>220</v>
      </c>
      <c r="B64" s="1" t="s">
        <v>221</v>
      </c>
      <c r="C64" s="1">
        <v>444</v>
      </c>
      <c r="D64" s="1">
        <v>444</v>
      </c>
      <c r="E64" s="1">
        <v>549</v>
      </c>
      <c r="F64" s="1">
        <v>761</v>
      </c>
      <c r="G64" s="1">
        <v>1058</v>
      </c>
      <c r="H64" s="1">
        <v>1423</v>
      </c>
      <c r="I64" s="1">
        <v>3554</v>
      </c>
      <c r="J64" s="1">
        <v>3554</v>
      </c>
      <c r="K64" s="1">
        <v>4903</v>
      </c>
      <c r="L64" s="1">
        <v>5806</v>
      </c>
      <c r="M64" s="1">
        <v>7153</v>
      </c>
      <c r="N64" s="1">
        <v>11177</v>
      </c>
      <c r="O64" s="1">
        <v>13522</v>
      </c>
      <c r="P64" s="1">
        <v>16678</v>
      </c>
      <c r="Q64" s="1">
        <v>19665</v>
      </c>
      <c r="R64" s="1">
        <v>22112</v>
      </c>
      <c r="S64" s="1">
        <v>24953</v>
      </c>
      <c r="T64" s="1">
        <v>27100</v>
      </c>
      <c r="U64" s="1">
        <v>29631</v>
      </c>
      <c r="V64" s="1">
        <v>31728</v>
      </c>
      <c r="W64" s="1">
        <v>33366</v>
      </c>
      <c r="X64" s="1">
        <v>33366</v>
      </c>
      <c r="Y64" s="1">
        <v>48206</v>
      </c>
      <c r="Z64" s="1">
        <v>54406</v>
      </c>
      <c r="AA64" s="1">
        <v>56249</v>
      </c>
      <c r="AB64" s="1">
        <v>58182</v>
      </c>
      <c r="AC64" s="1">
        <v>59989</v>
      </c>
      <c r="AD64" s="1">
        <v>61682</v>
      </c>
      <c r="AE64" s="1">
        <v>62031</v>
      </c>
      <c r="AF64" s="1">
        <v>62442</v>
      </c>
      <c r="AG64" s="1">
        <v>62662</v>
      </c>
      <c r="AH64" s="1">
        <v>64084</v>
      </c>
      <c r="AI64" s="1">
        <v>64084</v>
      </c>
      <c r="AJ64" s="1">
        <v>64287</v>
      </c>
      <c r="AK64" s="1">
        <v>64786</v>
      </c>
      <c r="AL64" s="1">
        <v>65187</v>
      </c>
      <c r="AM64" s="1">
        <v>65596</v>
      </c>
      <c r="AN64" s="1">
        <v>65914</v>
      </c>
      <c r="AO64" s="1">
        <v>66337</v>
      </c>
      <c r="AP64" s="1">
        <v>66907</v>
      </c>
      <c r="AQ64" s="1">
        <v>67103</v>
      </c>
      <c r="AR64" s="1">
        <v>67217</v>
      </c>
      <c r="AS64" s="1">
        <v>67332</v>
      </c>
      <c r="AT64" s="1">
        <v>67466</v>
      </c>
      <c r="AU64" s="1">
        <v>67592</v>
      </c>
      <c r="AV64" s="1">
        <v>67666</v>
      </c>
      <c r="AW64" s="1">
        <v>67707</v>
      </c>
      <c r="AX64" s="1">
        <v>67743</v>
      </c>
      <c r="AY64" s="1">
        <v>67760</v>
      </c>
      <c r="AZ64" s="1">
        <v>67773</v>
      </c>
      <c r="BA64" s="1">
        <v>67781</v>
      </c>
      <c r="BB64" s="1">
        <v>67786</v>
      </c>
      <c r="BC64" s="1">
        <v>67790</v>
      </c>
      <c r="BD64" s="1">
        <v>67794</v>
      </c>
      <c r="BE64" s="1">
        <v>67798</v>
      </c>
      <c r="BF64" s="1">
        <v>67799</v>
      </c>
      <c r="BG64" s="1">
        <v>67800</v>
      </c>
      <c r="BH64" s="1">
        <v>67800</v>
      </c>
      <c r="BI64" s="1">
        <v>67800</v>
      </c>
      <c r="BJ64" s="1">
        <v>67800</v>
      </c>
      <c r="BK64" s="1">
        <v>67800</v>
      </c>
      <c r="BL64" s="1">
        <v>67800</v>
      </c>
    </row>
    <row r="65" spans="1:64" x14ac:dyDescent="0.25">
      <c r="A65" s="1" t="s">
        <v>228</v>
      </c>
      <c r="B65" s="1" t="s">
        <v>221</v>
      </c>
      <c r="C65" s="1">
        <v>4</v>
      </c>
      <c r="D65" s="1">
        <v>9</v>
      </c>
      <c r="E65" s="1">
        <v>24</v>
      </c>
      <c r="F65" s="1">
        <v>43</v>
      </c>
      <c r="G65" s="1">
        <v>69</v>
      </c>
      <c r="H65" s="1">
        <v>100</v>
      </c>
      <c r="I65" s="1">
        <v>143</v>
      </c>
      <c r="J65" s="1">
        <v>221</v>
      </c>
      <c r="K65" s="1">
        <v>277</v>
      </c>
      <c r="L65" s="1">
        <v>332</v>
      </c>
      <c r="M65" s="1">
        <v>389</v>
      </c>
      <c r="N65" s="1">
        <v>463</v>
      </c>
      <c r="O65" s="1">
        <v>521</v>
      </c>
      <c r="P65" s="1">
        <v>593</v>
      </c>
      <c r="Q65" s="1">
        <v>661</v>
      </c>
      <c r="R65" s="1">
        <v>711</v>
      </c>
      <c r="S65" s="1">
        <v>772</v>
      </c>
      <c r="T65" s="1">
        <v>803</v>
      </c>
      <c r="U65" s="1">
        <v>838</v>
      </c>
      <c r="V65" s="1">
        <v>879</v>
      </c>
      <c r="W65" s="1">
        <v>912</v>
      </c>
      <c r="X65" s="1">
        <v>946</v>
      </c>
      <c r="Y65" s="1">
        <v>968</v>
      </c>
      <c r="Z65" s="1">
        <v>988</v>
      </c>
      <c r="AA65" s="1">
        <v>1001</v>
      </c>
      <c r="AB65" s="1">
        <v>1004</v>
      </c>
      <c r="AC65" s="1">
        <v>1006</v>
      </c>
      <c r="AD65" s="1">
        <v>1007</v>
      </c>
      <c r="AE65" s="1">
        <v>1008</v>
      </c>
      <c r="AF65" s="1">
        <v>1010</v>
      </c>
      <c r="AG65" s="1">
        <v>1011</v>
      </c>
      <c r="AH65" s="1">
        <v>1013</v>
      </c>
      <c r="AI65" s="1">
        <v>1016</v>
      </c>
      <c r="AJ65" s="1">
        <v>1016</v>
      </c>
      <c r="AK65" s="1">
        <v>1016</v>
      </c>
      <c r="AL65" s="1">
        <v>1016</v>
      </c>
      <c r="AM65" s="1">
        <v>1017</v>
      </c>
      <c r="AN65" s="1">
        <v>1017</v>
      </c>
      <c r="AO65" s="1">
        <v>1018</v>
      </c>
      <c r="AP65" s="1">
        <v>1018</v>
      </c>
      <c r="AQ65" s="1">
        <v>1018</v>
      </c>
      <c r="AR65" s="1">
        <v>1018</v>
      </c>
      <c r="AS65" s="1">
        <v>1018</v>
      </c>
      <c r="AT65" s="1">
        <v>1018</v>
      </c>
      <c r="AU65" s="1">
        <v>1018</v>
      </c>
      <c r="AV65" s="1">
        <v>1018</v>
      </c>
      <c r="AW65" s="1">
        <v>1018</v>
      </c>
      <c r="AX65" s="1">
        <v>1018</v>
      </c>
      <c r="AY65" s="1">
        <v>1018</v>
      </c>
      <c r="AZ65" s="1">
        <v>1018</v>
      </c>
      <c r="BA65" s="1">
        <v>1018</v>
      </c>
      <c r="BB65" s="1">
        <v>1018</v>
      </c>
      <c r="BC65" s="1">
        <v>1018</v>
      </c>
      <c r="BD65" s="1">
        <v>1018</v>
      </c>
      <c r="BE65" s="1">
        <v>1018</v>
      </c>
      <c r="BF65" s="1">
        <v>1018</v>
      </c>
      <c r="BG65" s="1">
        <v>1018</v>
      </c>
      <c r="BH65" s="1">
        <v>1018</v>
      </c>
      <c r="BI65" s="1">
        <v>1018</v>
      </c>
      <c r="BJ65" s="1">
        <v>1018</v>
      </c>
      <c r="BK65" s="1">
        <v>1018</v>
      </c>
      <c r="BL65" s="1">
        <v>1018</v>
      </c>
    </row>
    <row r="66" spans="1:64" x14ac:dyDescent="0.25">
      <c r="A66" s="1" t="s">
        <v>255</v>
      </c>
      <c r="B66" s="1" t="s">
        <v>221</v>
      </c>
      <c r="C66" s="1">
        <v>0</v>
      </c>
      <c r="D66" s="1">
        <v>0</v>
      </c>
      <c r="E66" s="1">
        <v>1</v>
      </c>
      <c r="F66" s="1">
        <v>7</v>
      </c>
      <c r="G66" s="1">
        <v>7</v>
      </c>
      <c r="H66" s="1">
        <v>11</v>
      </c>
      <c r="I66" s="1">
        <v>15</v>
      </c>
      <c r="J66" s="1">
        <v>16</v>
      </c>
      <c r="K66" s="1">
        <v>19</v>
      </c>
      <c r="L66" s="1">
        <v>20</v>
      </c>
      <c r="M66" s="1">
        <v>23</v>
      </c>
      <c r="N66" s="1">
        <v>27</v>
      </c>
      <c r="O66" s="1">
        <v>34</v>
      </c>
      <c r="P66" s="1">
        <v>35</v>
      </c>
      <c r="Q66" s="1">
        <v>42</v>
      </c>
      <c r="R66" s="1">
        <v>46</v>
      </c>
      <c r="S66" s="1">
        <v>50</v>
      </c>
      <c r="T66" s="1">
        <v>52</v>
      </c>
      <c r="U66" s="1">
        <v>54</v>
      </c>
      <c r="V66" s="1">
        <v>58</v>
      </c>
      <c r="W66" s="1">
        <v>58</v>
      </c>
      <c r="X66" s="1">
        <v>60</v>
      </c>
      <c r="Y66" s="1">
        <v>61</v>
      </c>
      <c r="Z66" s="1">
        <v>65</v>
      </c>
      <c r="AA66" s="1">
        <v>68</v>
      </c>
      <c r="AB66" s="1">
        <v>70</v>
      </c>
      <c r="AC66" s="1">
        <v>72</v>
      </c>
      <c r="AD66" s="1">
        <v>73</v>
      </c>
      <c r="AE66" s="1">
        <v>75</v>
      </c>
      <c r="AF66" s="1">
        <v>75</v>
      </c>
      <c r="AG66" s="1">
        <v>75</v>
      </c>
      <c r="AH66" s="1">
        <v>75</v>
      </c>
      <c r="AI66" s="1">
        <v>75</v>
      </c>
      <c r="AJ66" s="1">
        <v>75</v>
      </c>
      <c r="AK66" s="1">
        <v>75</v>
      </c>
      <c r="AL66" s="1">
        <v>75</v>
      </c>
      <c r="AM66" s="1">
        <v>75</v>
      </c>
      <c r="AN66" s="1">
        <v>75</v>
      </c>
      <c r="AO66" s="1">
        <v>75</v>
      </c>
      <c r="AP66" s="1">
        <v>75</v>
      </c>
      <c r="AQ66" s="1">
        <v>75</v>
      </c>
      <c r="AR66" s="1">
        <v>75</v>
      </c>
      <c r="AS66" s="1">
        <v>75</v>
      </c>
      <c r="AT66" s="1">
        <v>75</v>
      </c>
      <c r="AU66" s="1">
        <v>75</v>
      </c>
      <c r="AV66" s="1">
        <v>75</v>
      </c>
      <c r="AW66" s="1">
        <v>75</v>
      </c>
      <c r="AX66" s="1">
        <v>75</v>
      </c>
      <c r="AY66" s="1">
        <v>75</v>
      </c>
      <c r="AZ66" s="1">
        <v>75</v>
      </c>
      <c r="BA66" s="1">
        <v>75</v>
      </c>
      <c r="BB66" s="1">
        <v>75</v>
      </c>
      <c r="BC66" s="1">
        <v>75</v>
      </c>
      <c r="BD66" s="1">
        <v>75</v>
      </c>
      <c r="BE66" s="1">
        <v>75</v>
      </c>
      <c r="BF66" s="1">
        <v>75</v>
      </c>
      <c r="BG66" s="1">
        <v>75</v>
      </c>
      <c r="BH66" s="1">
        <v>75</v>
      </c>
      <c r="BI66" s="1">
        <v>75</v>
      </c>
      <c r="BJ66" s="1">
        <v>75</v>
      </c>
      <c r="BK66" s="1">
        <v>75</v>
      </c>
      <c r="BL66" s="1">
        <v>75</v>
      </c>
    </row>
    <row r="67" spans="1:64" x14ac:dyDescent="0.25">
      <c r="A67" s="1" t="s">
        <v>233</v>
      </c>
      <c r="B67" s="1" t="s">
        <v>221</v>
      </c>
      <c r="C67" s="1">
        <v>1</v>
      </c>
      <c r="D67" s="1">
        <v>5</v>
      </c>
      <c r="E67" s="1">
        <v>9</v>
      </c>
      <c r="F67" s="1">
        <v>18</v>
      </c>
      <c r="G67" s="1">
        <v>33</v>
      </c>
      <c r="H67" s="1">
        <v>47</v>
      </c>
      <c r="I67" s="1">
        <v>70</v>
      </c>
      <c r="J67" s="1">
        <v>99</v>
      </c>
      <c r="K67" s="1">
        <v>129</v>
      </c>
      <c r="L67" s="1">
        <v>168</v>
      </c>
      <c r="M67" s="1">
        <v>202</v>
      </c>
      <c r="N67" s="1">
        <v>236</v>
      </c>
      <c r="O67" s="1">
        <v>271</v>
      </c>
      <c r="P67" s="1">
        <v>308</v>
      </c>
      <c r="Q67" s="1">
        <v>341</v>
      </c>
      <c r="R67" s="1">
        <v>373</v>
      </c>
      <c r="S67" s="1">
        <v>408</v>
      </c>
      <c r="T67" s="1">
        <v>439</v>
      </c>
      <c r="U67" s="1">
        <v>468</v>
      </c>
      <c r="V67" s="1">
        <v>492</v>
      </c>
      <c r="W67" s="1">
        <v>515</v>
      </c>
      <c r="X67" s="1">
        <v>543</v>
      </c>
      <c r="Y67" s="1">
        <v>570</v>
      </c>
      <c r="Z67" s="1">
        <v>593</v>
      </c>
      <c r="AA67" s="1">
        <v>604</v>
      </c>
      <c r="AB67" s="1">
        <v>617</v>
      </c>
      <c r="AC67" s="1">
        <v>626</v>
      </c>
      <c r="AD67" s="1">
        <v>629</v>
      </c>
      <c r="AE67" s="1">
        <v>631</v>
      </c>
      <c r="AF67" s="1">
        <v>631</v>
      </c>
      <c r="AG67" s="1">
        <v>631</v>
      </c>
      <c r="AH67" s="1">
        <v>631</v>
      </c>
      <c r="AI67" s="1">
        <v>631</v>
      </c>
      <c r="AJ67" s="1">
        <v>631</v>
      </c>
      <c r="AK67" s="1">
        <v>631</v>
      </c>
      <c r="AL67" s="1">
        <v>631</v>
      </c>
      <c r="AM67" s="1">
        <v>631</v>
      </c>
      <c r="AN67" s="1">
        <v>631</v>
      </c>
      <c r="AO67" s="1">
        <v>631</v>
      </c>
      <c r="AP67" s="1">
        <v>631</v>
      </c>
      <c r="AQ67" s="1">
        <v>631</v>
      </c>
      <c r="AR67" s="1">
        <v>631</v>
      </c>
      <c r="AS67" s="1">
        <v>631</v>
      </c>
      <c r="AT67" s="1">
        <v>631</v>
      </c>
      <c r="AU67" s="1">
        <v>631</v>
      </c>
      <c r="AV67" s="1">
        <v>631</v>
      </c>
      <c r="AW67" s="1">
        <v>631</v>
      </c>
      <c r="AX67" s="1">
        <v>631</v>
      </c>
      <c r="AY67" s="1">
        <v>631</v>
      </c>
      <c r="AZ67" s="1">
        <v>631</v>
      </c>
      <c r="BA67" s="1">
        <v>631</v>
      </c>
      <c r="BB67" s="1">
        <v>631</v>
      </c>
      <c r="BC67" s="1">
        <v>631</v>
      </c>
      <c r="BD67" s="1">
        <v>631</v>
      </c>
      <c r="BE67" s="1">
        <v>631</v>
      </c>
      <c r="BF67" s="1">
        <v>631</v>
      </c>
      <c r="BG67" s="1">
        <v>631</v>
      </c>
      <c r="BH67" s="1">
        <v>631</v>
      </c>
      <c r="BI67" s="1">
        <v>631</v>
      </c>
      <c r="BJ67" s="1">
        <v>631</v>
      </c>
      <c r="BK67" s="1">
        <v>633</v>
      </c>
      <c r="BL67" s="1">
        <v>633</v>
      </c>
    </row>
    <row r="68" spans="1:64" x14ac:dyDescent="0.25">
      <c r="A68" s="1" t="s">
        <v>230</v>
      </c>
      <c r="B68" s="1" t="s">
        <v>221</v>
      </c>
      <c r="C68" s="1">
        <v>2</v>
      </c>
      <c r="D68" s="1">
        <v>7</v>
      </c>
      <c r="E68" s="1">
        <v>18</v>
      </c>
      <c r="F68" s="1">
        <v>18</v>
      </c>
      <c r="G68" s="1">
        <v>36</v>
      </c>
      <c r="H68" s="1">
        <v>72</v>
      </c>
      <c r="I68" s="1">
        <v>109</v>
      </c>
      <c r="J68" s="1">
        <v>109</v>
      </c>
      <c r="K68" s="1">
        <v>162</v>
      </c>
      <c r="L68" s="1">
        <v>240</v>
      </c>
      <c r="M68" s="1">
        <v>286</v>
      </c>
      <c r="N68" s="1">
        <v>333</v>
      </c>
      <c r="O68" s="1">
        <v>391</v>
      </c>
      <c r="P68" s="1">
        <v>476</v>
      </c>
      <c r="Q68" s="1">
        <v>548</v>
      </c>
      <c r="R68" s="1">
        <v>600</v>
      </c>
      <c r="S68" s="1">
        <v>661</v>
      </c>
      <c r="T68" s="1">
        <v>698</v>
      </c>
      <c r="U68" s="1">
        <v>740</v>
      </c>
      <c r="V68" s="1">
        <v>771</v>
      </c>
      <c r="W68" s="1">
        <v>804</v>
      </c>
      <c r="X68" s="1">
        <v>844</v>
      </c>
      <c r="Y68" s="1">
        <v>872</v>
      </c>
      <c r="Z68" s="1">
        <v>900</v>
      </c>
      <c r="AA68" s="1">
        <v>913</v>
      </c>
      <c r="AB68" s="1">
        <v>925</v>
      </c>
      <c r="AC68" s="1">
        <v>930</v>
      </c>
      <c r="AD68" s="1">
        <v>933</v>
      </c>
      <c r="AE68" s="1">
        <v>934</v>
      </c>
      <c r="AF68" s="1">
        <v>934</v>
      </c>
      <c r="AG68" s="1">
        <v>934</v>
      </c>
      <c r="AH68" s="1">
        <v>934</v>
      </c>
      <c r="AI68" s="1">
        <v>934</v>
      </c>
      <c r="AJ68" s="1">
        <v>934</v>
      </c>
      <c r="AK68" s="1">
        <v>934</v>
      </c>
      <c r="AL68" s="1">
        <v>934</v>
      </c>
      <c r="AM68" s="1">
        <v>934</v>
      </c>
      <c r="AN68" s="1">
        <v>935</v>
      </c>
      <c r="AO68" s="1">
        <v>935</v>
      </c>
      <c r="AP68" s="1">
        <v>935</v>
      </c>
      <c r="AQ68" s="1">
        <v>935</v>
      </c>
      <c r="AR68" s="1">
        <v>935</v>
      </c>
      <c r="AS68" s="1">
        <v>935</v>
      </c>
      <c r="AT68" s="1">
        <v>935</v>
      </c>
      <c r="AU68" s="1">
        <v>935</v>
      </c>
      <c r="AV68" s="1">
        <v>935</v>
      </c>
      <c r="AW68" s="1">
        <v>935</v>
      </c>
      <c r="AX68" s="1">
        <v>935</v>
      </c>
      <c r="AY68" s="1">
        <v>935</v>
      </c>
      <c r="AZ68" s="1">
        <v>935</v>
      </c>
      <c r="BA68" s="1">
        <v>935</v>
      </c>
      <c r="BB68" s="1">
        <v>935</v>
      </c>
      <c r="BC68" s="1">
        <v>935</v>
      </c>
      <c r="BD68" s="1">
        <v>935</v>
      </c>
      <c r="BE68" s="1">
        <v>935</v>
      </c>
      <c r="BF68" s="1">
        <v>935</v>
      </c>
      <c r="BG68" s="1">
        <v>935</v>
      </c>
      <c r="BH68" s="1">
        <v>935</v>
      </c>
      <c r="BI68" s="1">
        <v>935</v>
      </c>
      <c r="BJ68" s="1">
        <v>935</v>
      </c>
      <c r="BK68" s="1">
        <v>936</v>
      </c>
      <c r="BL68" s="1">
        <v>936</v>
      </c>
    </row>
    <row r="69" spans="1:64" x14ac:dyDescent="0.25">
      <c r="A69" s="1" t="s">
        <v>252</v>
      </c>
      <c r="B69" s="1" t="s">
        <v>221</v>
      </c>
      <c r="C69" s="1">
        <v>0</v>
      </c>
      <c r="D69" s="1">
        <v>1</v>
      </c>
      <c r="E69" s="1">
        <v>3</v>
      </c>
      <c r="F69" s="1">
        <v>4</v>
      </c>
      <c r="G69" s="1">
        <v>4</v>
      </c>
      <c r="H69" s="1">
        <v>6</v>
      </c>
      <c r="I69" s="1">
        <v>8</v>
      </c>
      <c r="J69" s="1">
        <v>9</v>
      </c>
      <c r="K69" s="1">
        <v>14</v>
      </c>
      <c r="L69" s="1">
        <v>14</v>
      </c>
      <c r="M69" s="1">
        <v>17</v>
      </c>
      <c r="N69" s="1">
        <v>23</v>
      </c>
      <c r="O69" s="1">
        <v>31</v>
      </c>
      <c r="P69" s="1">
        <v>42</v>
      </c>
      <c r="Q69" s="1">
        <v>54</v>
      </c>
      <c r="R69" s="1">
        <v>59</v>
      </c>
      <c r="S69" s="1">
        <v>65</v>
      </c>
      <c r="T69" s="1">
        <v>69</v>
      </c>
      <c r="U69" s="1">
        <v>78</v>
      </c>
      <c r="V69" s="1">
        <v>80</v>
      </c>
      <c r="W69" s="1">
        <v>81</v>
      </c>
      <c r="X69" s="1">
        <v>83</v>
      </c>
      <c r="Y69" s="1">
        <v>84</v>
      </c>
      <c r="Z69" s="1">
        <v>86</v>
      </c>
      <c r="AA69" s="1">
        <v>88</v>
      </c>
      <c r="AB69" s="1">
        <v>89</v>
      </c>
      <c r="AC69" s="1">
        <v>89</v>
      </c>
      <c r="AD69" s="1">
        <v>89</v>
      </c>
      <c r="AE69" s="1">
        <v>90</v>
      </c>
      <c r="AF69" s="1">
        <v>91</v>
      </c>
      <c r="AG69" s="1">
        <v>91</v>
      </c>
      <c r="AH69" s="1">
        <v>91</v>
      </c>
      <c r="AI69" s="1">
        <v>91</v>
      </c>
      <c r="AJ69" s="1">
        <v>93</v>
      </c>
      <c r="AK69" s="1">
        <v>93</v>
      </c>
      <c r="AL69" s="1">
        <v>93</v>
      </c>
      <c r="AM69" s="1">
        <v>93</v>
      </c>
      <c r="AN69" s="1">
        <v>93</v>
      </c>
      <c r="AO69" s="1">
        <v>93</v>
      </c>
      <c r="AP69" s="1">
        <v>93</v>
      </c>
      <c r="AQ69" s="1">
        <v>93</v>
      </c>
      <c r="AR69" s="1">
        <v>93</v>
      </c>
      <c r="AS69" s="1">
        <v>93</v>
      </c>
      <c r="AT69" s="1">
        <v>93</v>
      </c>
      <c r="AU69" s="1">
        <v>93</v>
      </c>
      <c r="AV69" s="1">
        <v>93</v>
      </c>
      <c r="AW69" s="1">
        <v>93</v>
      </c>
      <c r="AX69" s="1">
        <v>93</v>
      </c>
      <c r="AY69" s="1">
        <v>93</v>
      </c>
      <c r="AZ69" s="1">
        <v>93</v>
      </c>
      <c r="BA69" s="1">
        <v>93</v>
      </c>
      <c r="BB69" s="1">
        <v>93</v>
      </c>
      <c r="BC69" s="1">
        <v>93</v>
      </c>
      <c r="BD69" s="1">
        <v>93</v>
      </c>
      <c r="BE69" s="1">
        <v>93</v>
      </c>
      <c r="BF69" s="1">
        <v>93</v>
      </c>
      <c r="BG69" s="1">
        <v>93</v>
      </c>
      <c r="BH69" s="1">
        <v>93</v>
      </c>
      <c r="BI69" s="1">
        <v>93</v>
      </c>
      <c r="BJ69" s="1">
        <v>93</v>
      </c>
      <c r="BK69" s="1">
        <v>93</v>
      </c>
      <c r="BL69" s="1">
        <v>93</v>
      </c>
    </row>
    <row r="70" spans="1:64" x14ac:dyDescent="0.25">
      <c r="A70" s="1" t="s">
        <v>251</v>
      </c>
      <c r="B70" s="1" t="s">
        <v>221</v>
      </c>
      <c r="C70" s="1">
        <v>2</v>
      </c>
      <c r="D70" s="1">
        <v>3</v>
      </c>
      <c r="E70" s="1">
        <v>4</v>
      </c>
      <c r="F70" s="1">
        <v>17</v>
      </c>
      <c r="G70" s="1">
        <v>21</v>
      </c>
      <c r="H70" s="1">
        <v>27</v>
      </c>
      <c r="I70" s="1">
        <v>34</v>
      </c>
      <c r="J70" s="1">
        <v>39</v>
      </c>
      <c r="K70" s="1">
        <v>41</v>
      </c>
      <c r="L70" s="1">
        <v>48</v>
      </c>
      <c r="M70" s="1">
        <v>64</v>
      </c>
      <c r="N70" s="1">
        <v>70</v>
      </c>
      <c r="O70" s="1">
        <v>74</v>
      </c>
      <c r="P70" s="1">
        <v>81</v>
      </c>
      <c r="Q70" s="1">
        <v>89</v>
      </c>
      <c r="R70" s="1">
        <v>94</v>
      </c>
      <c r="S70" s="1">
        <v>99</v>
      </c>
      <c r="T70" s="1">
        <v>105</v>
      </c>
      <c r="U70" s="1">
        <v>107</v>
      </c>
      <c r="V70" s="1">
        <v>108</v>
      </c>
      <c r="W70" s="1">
        <v>111</v>
      </c>
      <c r="X70" s="1">
        <v>116</v>
      </c>
      <c r="Y70" s="1">
        <v>117</v>
      </c>
      <c r="Z70" s="1">
        <v>119</v>
      </c>
      <c r="AA70" s="1">
        <v>119</v>
      </c>
      <c r="AB70" s="1">
        <v>121</v>
      </c>
      <c r="AC70" s="1">
        <v>121</v>
      </c>
      <c r="AD70" s="1">
        <v>121</v>
      </c>
      <c r="AE70" s="1">
        <v>121</v>
      </c>
      <c r="AF70" s="1">
        <v>121</v>
      </c>
      <c r="AG70" s="1">
        <v>121</v>
      </c>
      <c r="AH70" s="1">
        <v>121</v>
      </c>
      <c r="AI70" s="1">
        <v>121</v>
      </c>
      <c r="AJ70" s="1">
        <v>121</v>
      </c>
      <c r="AK70" s="1">
        <v>121</v>
      </c>
      <c r="AL70" s="1">
        <v>121</v>
      </c>
      <c r="AM70" s="1">
        <v>121</v>
      </c>
      <c r="AN70" s="1">
        <v>121</v>
      </c>
      <c r="AO70" s="1">
        <v>121</v>
      </c>
      <c r="AP70" s="1">
        <v>122</v>
      </c>
      <c r="AQ70" s="1">
        <v>122</v>
      </c>
      <c r="AR70" s="1">
        <v>125</v>
      </c>
      <c r="AS70" s="1">
        <v>125</v>
      </c>
      <c r="AT70" s="1">
        <v>125</v>
      </c>
      <c r="AU70" s="1">
        <v>125</v>
      </c>
      <c r="AV70" s="1">
        <v>125</v>
      </c>
      <c r="AW70" s="1">
        <v>125</v>
      </c>
      <c r="AX70" s="1">
        <v>125</v>
      </c>
      <c r="AY70" s="1">
        <v>125</v>
      </c>
      <c r="AZ70" s="1">
        <v>125</v>
      </c>
      <c r="BA70" s="1">
        <v>125</v>
      </c>
      <c r="BB70" s="1">
        <v>125</v>
      </c>
      <c r="BC70" s="1">
        <v>125</v>
      </c>
      <c r="BD70" s="1">
        <v>125</v>
      </c>
      <c r="BE70" s="1">
        <v>125</v>
      </c>
      <c r="BF70" s="1">
        <v>125</v>
      </c>
      <c r="BG70" s="1">
        <v>125</v>
      </c>
      <c r="BH70" s="1">
        <v>125</v>
      </c>
      <c r="BI70" s="1">
        <v>126</v>
      </c>
      <c r="BJ70" s="1">
        <v>126</v>
      </c>
      <c r="BK70" s="1">
        <v>127</v>
      </c>
      <c r="BL70" s="1">
        <v>127</v>
      </c>
    </row>
    <row r="71" spans="1:64" x14ac:dyDescent="0.25">
      <c r="A71" s="1" t="s">
        <v>261</v>
      </c>
      <c r="B71" s="1" t="s">
        <v>221</v>
      </c>
      <c r="C71" s="1">
        <v>1</v>
      </c>
      <c r="D71" s="1">
        <v>2</v>
      </c>
      <c r="E71" s="1">
        <v>2</v>
      </c>
      <c r="F71" s="1">
        <v>2</v>
      </c>
      <c r="G71" s="1">
        <v>5</v>
      </c>
      <c r="H71" s="1">
        <v>6</v>
      </c>
      <c r="I71" s="1">
        <v>7</v>
      </c>
      <c r="J71" s="1">
        <v>7</v>
      </c>
      <c r="K71" s="1">
        <v>7</v>
      </c>
      <c r="L71" s="1">
        <v>7</v>
      </c>
      <c r="M71" s="1">
        <v>7</v>
      </c>
      <c r="N71" s="1">
        <v>8</v>
      </c>
      <c r="O71" s="1">
        <v>8</v>
      </c>
      <c r="P71" s="1">
        <v>10</v>
      </c>
      <c r="Q71" s="1">
        <v>10</v>
      </c>
      <c r="R71" s="1">
        <v>10</v>
      </c>
      <c r="S71" s="1">
        <v>10</v>
      </c>
      <c r="T71" s="1">
        <v>10</v>
      </c>
      <c r="U71" s="1">
        <v>10</v>
      </c>
      <c r="V71" s="1">
        <v>10</v>
      </c>
      <c r="W71" s="1">
        <v>10</v>
      </c>
      <c r="X71" s="1">
        <v>10</v>
      </c>
      <c r="Y71" s="1">
        <v>10</v>
      </c>
      <c r="Z71" s="1">
        <v>10</v>
      </c>
      <c r="AA71" s="1">
        <v>10</v>
      </c>
      <c r="AB71" s="1">
        <v>10</v>
      </c>
      <c r="AC71" s="1">
        <v>10</v>
      </c>
      <c r="AD71" s="1">
        <v>10</v>
      </c>
      <c r="AE71" s="1">
        <v>10</v>
      </c>
      <c r="AF71" s="1">
        <v>10</v>
      </c>
      <c r="AG71" s="1">
        <v>10</v>
      </c>
      <c r="AH71" s="1">
        <v>10</v>
      </c>
      <c r="AI71" s="1">
        <v>10</v>
      </c>
      <c r="AJ71" s="1">
        <v>10</v>
      </c>
      <c r="AK71" s="1">
        <v>10</v>
      </c>
      <c r="AL71" s="1">
        <v>10</v>
      </c>
      <c r="AM71" s="1">
        <v>10</v>
      </c>
      <c r="AN71" s="1">
        <v>10</v>
      </c>
      <c r="AO71" s="1">
        <v>10</v>
      </c>
      <c r="AP71" s="1">
        <v>10</v>
      </c>
      <c r="AQ71" s="1">
        <v>10</v>
      </c>
      <c r="AR71" s="1">
        <v>10</v>
      </c>
      <c r="AS71" s="1">
        <v>10</v>
      </c>
      <c r="AT71" s="1">
        <v>10</v>
      </c>
      <c r="AU71" s="1">
        <v>10</v>
      </c>
      <c r="AV71" s="1">
        <v>10</v>
      </c>
      <c r="AW71" s="1">
        <v>10</v>
      </c>
      <c r="AX71" s="1">
        <v>10</v>
      </c>
      <c r="AY71" s="1">
        <v>10</v>
      </c>
      <c r="AZ71" s="1">
        <v>10</v>
      </c>
      <c r="BA71" s="1">
        <v>10</v>
      </c>
      <c r="BB71" s="1">
        <v>10</v>
      </c>
      <c r="BC71" s="1">
        <v>10</v>
      </c>
      <c r="BD71" s="1">
        <v>10</v>
      </c>
      <c r="BE71" s="1">
        <v>11</v>
      </c>
      <c r="BF71" s="1">
        <v>12</v>
      </c>
      <c r="BG71" s="1">
        <v>15</v>
      </c>
      <c r="BH71" s="1">
        <v>17</v>
      </c>
      <c r="BI71" s="1">
        <v>17</v>
      </c>
      <c r="BJ71" s="1">
        <v>18</v>
      </c>
      <c r="BK71" s="1">
        <v>24</v>
      </c>
      <c r="BL71" s="1">
        <v>24</v>
      </c>
    </row>
    <row r="72" spans="1:64" x14ac:dyDescent="0.25">
      <c r="A72" s="1" t="s">
        <v>256</v>
      </c>
      <c r="B72" s="1" t="s">
        <v>221</v>
      </c>
      <c r="C72" s="1">
        <v>1</v>
      </c>
      <c r="D72" s="1">
        <v>1</v>
      </c>
      <c r="E72" s="1">
        <v>2</v>
      </c>
      <c r="F72" s="1">
        <v>3</v>
      </c>
      <c r="G72" s="1">
        <v>4</v>
      </c>
      <c r="H72" s="1">
        <v>7</v>
      </c>
      <c r="I72" s="1">
        <v>11</v>
      </c>
      <c r="J72" s="1">
        <v>12</v>
      </c>
      <c r="K72" s="1">
        <v>17</v>
      </c>
      <c r="L72" s="1">
        <v>21</v>
      </c>
      <c r="M72" s="1">
        <v>26</v>
      </c>
      <c r="N72" s="1">
        <v>28</v>
      </c>
      <c r="O72" s="1">
        <v>31</v>
      </c>
      <c r="P72" s="1">
        <v>34</v>
      </c>
      <c r="Q72" s="1">
        <v>34</v>
      </c>
      <c r="R72" s="1">
        <v>40</v>
      </c>
      <c r="S72" s="1">
        <v>43</v>
      </c>
      <c r="T72" s="1">
        <v>45</v>
      </c>
      <c r="U72" s="1">
        <v>45</v>
      </c>
      <c r="V72" s="1">
        <v>49</v>
      </c>
      <c r="W72" s="1">
        <v>53</v>
      </c>
      <c r="X72" s="1">
        <v>58</v>
      </c>
      <c r="Y72" s="1">
        <v>64</v>
      </c>
      <c r="Z72" s="1">
        <v>67</v>
      </c>
      <c r="AA72" s="1">
        <v>70</v>
      </c>
      <c r="AB72" s="1">
        <v>70</v>
      </c>
      <c r="AC72" s="1">
        <v>70</v>
      </c>
      <c r="AD72" s="1">
        <v>70</v>
      </c>
      <c r="AE72" s="1">
        <v>71</v>
      </c>
      <c r="AF72" s="1">
        <v>71</v>
      </c>
      <c r="AG72" s="1">
        <v>71</v>
      </c>
      <c r="AH72" s="1">
        <v>71</v>
      </c>
      <c r="AI72" s="1">
        <v>71</v>
      </c>
      <c r="AJ72" s="1">
        <v>71</v>
      </c>
      <c r="AK72" s="1">
        <v>71</v>
      </c>
      <c r="AL72" s="1">
        <v>71</v>
      </c>
      <c r="AM72" s="1">
        <v>72</v>
      </c>
      <c r="AN72" s="1">
        <v>72</v>
      </c>
      <c r="AO72" s="1">
        <v>73</v>
      </c>
      <c r="AP72" s="1">
        <v>73</v>
      </c>
      <c r="AQ72" s="1">
        <v>74</v>
      </c>
      <c r="AR72" s="1">
        <v>74</v>
      </c>
      <c r="AS72" s="1">
        <v>75</v>
      </c>
      <c r="AT72" s="1">
        <v>75</v>
      </c>
      <c r="AU72" s="1">
        <v>75</v>
      </c>
      <c r="AV72" s="1">
        <v>75</v>
      </c>
      <c r="AW72" s="1">
        <v>75</v>
      </c>
      <c r="AX72" s="1">
        <v>75</v>
      </c>
      <c r="AY72" s="1">
        <v>75</v>
      </c>
      <c r="AZ72" s="1">
        <v>75</v>
      </c>
      <c r="BA72" s="1">
        <v>75</v>
      </c>
      <c r="BB72" s="1">
        <v>75</v>
      </c>
      <c r="BC72" s="1">
        <v>75</v>
      </c>
      <c r="BD72" s="1">
        <v>75</v>
      </c>
      <c r="BE72" s="1">
        <v>75</v>
      </c>
      <c r="BF72" s="1">
        <v>75</v>
      </c>
      <c r="BG72" s="1">
        <v>75</v>
      </c>
      <c r="BH72" s="1">
        <v>75</v>
      </c>
      <c r="BI72" s="1">
        <v>75</v>
      </c>
      <c r="BJ72" s="1">
        <v>75</v>
      </c>
      <c r="BK72" s="1">
        <v>75</v>
      </c>
      <c r="BL72" s="1">
        <v>75</v>
      </c>
    </row>
    <row r="73" spans="1:64" x14ac:dyDescent="0.25">
      <c r="A73" s="1" t="s">
        <v>260</v>
      </c>
      <c r="B73" s="1" t="s">
        <v>221</v>
      </c>
      <c r="C73" s="1">
        <v>0</v>
      </c>
      <c r="D73" s="1">
        <v>0</v>
      </c>
      <c r="E73" s="1">
        <v>0</v>
      </c>
      <c r="F73" s="1">
        <v>1</v>
      </c>
      <c r="G73" s="1">
        <v>1</v>
      </c>
      <c r="H73" s="1">
        <v>6</v>
      </c>
      <c r="I73" s="1">
        <v>6</v>
      </c>
      <c r="J73" s="1">
        <v>6</v>
      </c>
      <c r="K73" s="1">
        <v>8</v>
      </c>
      <c r="L73" s="1">
        <v>8</v>
      </c>
      <c r="M73" s="1">
        <v>9</v>
      </c>
      <c r="N73" s="1">
        <v>11</v>
      </c>
      <c r="O73" s="1">
        <v>13</v>
      </c>
      <c r="P73" s="1">
        <v>15</v>
      </c>
      <c r="Q73" s="1">
        <v>17</v>
      </c>
      <c r="R73" s="1">
        <v>18</v>
      </c>
      <c r="S73" s="1">
        <v>18</v>
      </c>
      <c r="T73" s="1">
        <v>18</v>
      </c>
      <c r="U73" s="1">
        <v>18</v>
      </c>
      <c r="V73" s="1">
        <v>18</v>
      </c>
      <c r="W73" s="1">
        <v>18</v>
      </c>
      <c r="X73" s="1">
        <v>18</v>
      </c>
      <c r="Y73" s="1">
        <v>18</v>
      </c>
      <c r="Z73" s="1">
        <v>18</v>
      </c>
      <c r="AA73" s="1">
        <v>18</v>
      </c>
      <c r="AB73" s="1">
        <v>18</v>
      </c>
      <c r="AC73" s="1">
        <v>18</v>
      </c>
      <c r="AD73" s="1">
        <v>18</v>
      </c>
      <c r="AE73" s="1">
        <v>18</v>
      </c>
      <c r="AF73" s="1">
        <v>18</v>
      </c>
      <c r="AG73" s="1">
        <v>18</v>
      </c>
      <c r="AH73" s="1">
        <v>18</v>
      </c>
      <c r="AI73" s="1">
        <v>18</v>
      </c>
      <c r="AJ73" s="1">
        <v>18</v>
      </c>
      <c r="AK73" s="1">
        <v>18</v>
      </c>
      <c r="AL73" s="1">
        <v>18</v>
      </c>
      <c r="AM73" s="1">
        <v>18</v>
      </c>
      <c r="AN73" s="1">
        <v>18</v>
      </c>
      <c r="AO73" s="1">
        <v>18</v>
      </c>
      <c r="AP73" s="1">
        <v>18</v>
      </c>
      <c r="AQ73" s="1">
        <v>18</v>
      </c>
      <c r="AR73" s="1">
        <v>18</v>
      </c>
      <c r="AS73" s="1">
        <v>18</v>
      </c>
      <c r="AT73" s="1">
        <v>18</v>
      </c>
      <c r="AU73" s="1">
        <v>18</v>
      </c>
      <c r="AV73" s="1">
        <v>18</v>
      </c>
      <c r="AW73" s="1">
        <v>18</v>
      </c>
      <c r="AX73" s="1">
        <v>18</v>
      </c>
      <c r="AY73" s="1">
        <v>18</v>
      </c>
      <c r="AZ73" s="1">
        <v>18</v>
      </c>
      <c r="BA73" s="1">
        <v>18</v>
      </c>
      <c r="BB73" s="1">
        <v>18</v>
      </c>
      <c r="BC73" s="1">
        <v>18</v>
      </c>
      <c r="BD73" s="1">
        <v>18</v>
      </c>
      <c r="BE73" s="1">
        <v>18</v>
      </c>
      <c r="BF73" s="1">
        <v>18</v>
      </c>
      <c r="BG73" s="1">
        <v>18</v>
      </c>
      <c r="BH73" s="1">
        <v>18</v>
      </c>
      <c r="BI73" s="1">
        <v>18</v>
      </c>
      <c r="BJ73" s="1">
        <v>18</v>
      </c>
      <c r="BK73" s="1">
        <v>18</v>
      </c>
      <c r="BL73" s="1">
        <v>18</v>
      </c>
    </row>
    <row r="74" spans="1:64" x14ac:dyDescent="0.25">
      <c r="A74" s="1" t="s">
        <v>243</v>
      </c>
      <c r="B74" s="1" t="s">
        <v>221</v>
      </c>
      <c r="C74" s="1">
        <v>0</v>
      </c>
      <c r="D74" s="1">
        <v>3</v>
      </c>
      <c r="E74" s="1">
        <v>5</v>
      </c>
      <c r="F74" s="1">
        <v>15</v>
      </c>
      <c r="G74" s="1">
        <v>22</v>
      </c>
      <c r="H74" s="1">
        <v>35</v>
      </c>
      <c r="I74" s="1">
        <v>46</v>
      </c>
      <c r="J74" s="1">
        <v>56</v>
      </c>
      <c r="K74" s="1">
        <v>63</v>
      </c>
      <c r="L74" s="1">
        <v>87</v>
      </c>
      <c r="M74" s="1">
        <v>101</v>
      </c>
      <c r="N74" s="1">
        <v>116</v>
      </c>
      <c r="O74" s="1">
        <v>128</v>
      </c>
      <c r="P74" s="1">
        <v>142</v>
      </c>
      <c r="Q74" s="1">
        <v>165</v>
      </c>
      <c r="R74" s="1">
        <v>173</v>
      </c>
      <c r="S74" s="1">
        <v>184</v>
      </c>
      <c r="T74" s="1">
        <v>195</v>
      </c>
      <c r="U74" s="1">
        <v>208</v>
      </c>
      <c r="V74" s="1">
        <v>213</v>
      </c>
      <c r="W74" s="1">
        <v>219</v>
      </c>
      <c r="X74" s="1">
        <v>225</v>
      </c>
      <c r="Y74" s="1">
        <v>229</v>
      </c>
      <c r="Z74" s="1">
        <v>230</v>
      </c>
      <c r="AA74" s="1">
        <v>232</v>
      </c>
      <c r="AB74" s="1">
        <v>236</v>
      </c>
      <c r="AC74" s="1">
        <v>240</v>
      </c>
      <c r="AD74" s="1">
        <v>240</v>
      </c>
      <c r="AE74" s="1">
        <v>242</v>
      </c>
      <c r="AF74" s="1">
        <v>245</v>
      </c>
      <c r="AG74" s="1">
        <v>245</v>
      </c>
      <c r="AH74" s="1">
        <v>245</v>
      </c>
      <c r="AI74" s="1">
        <v>245</v>
      </c>
      <c r="AJ74" s="1">
        <v>245</v>
      </c>
      <c r="AK74" s="1">
        <v>245</v>
      </c>
      <c r="AL74" s="1">
        <v>245</v>
      </c>
      <c r="AM74" s="1">
        <v>245</v>
      </c>
      <c r="AN74" s="1">
        <v>245</v>
      </c>
      <c r="AO74" s="1">
        <v>245</v>
      </c>
      <c r="AP74" s="1">
        <v>245</v>
      </c>
      <c r="AQ74" s="1">
        <v>245</v>
      </c>
      <c r="AR74" s="1">
        <v>245</v>
      </c>
      <c r="AS74" s="1">
        <v>245</v>
      </c>
      <c r="AT74" s="1">
        <v>245</v>
      </c>
      <c r="AU74" s="1">
        <v>245</v>
      </c>
      <c r="AV74" s="1">
        <v>245</v>
      </c>
      <c r="AW74" s="1">
        <v>245</v>
      </c>
      <c r="AX74" s="1">
        <v>245</v>
      </c>
      <c r="AY74" s="1">
        <v>245</v>
      </c>
      <c r="AZ74" s="1">
        <v>245</v>
      </c>
      <c r="BA74" s="1">
        <v>245</v>
      </c>
      <c r="BB74" s="1">
        <v>245</v>
      </c>
      <c r="BC74" s="1">
        <v>245</v>
      </c>
      <c r="BD74" s="1">
        <v>245</v>
      </c>
      <c r="BE74" s="1">
        <v>245</v>
      </c>
      <c r="BF74" s="1">
        <v>246</v>
      </c>
      <c r="BG74" s="1">
        <v>246</v>
      </c>
      <c r="BH74" s="1">
        <v>246</v>
      </c>
      <c r="BI74" s="1">
        <v>247</v>
      </c>
      <c r="BJ74" s="1">
        <v>248</v>
      </c>
      <c r="BK74" s="1">
        <v>248</v>
      </c>
      <c r="BL74" s="1">
        <v>248</v>
      </c>
    </row>
    <row r="75" spans="1:64" x14ac:dyDescent="0.25">
      <c r="A75" s="1" t="s">
        <v>231</v>
      </c>
      <c r="B75" s="1" t="s">
        <v>221</v>
      </c>
      <c r="C75" s="1">
        <v>2</v>
      </c>
      <c r="D75" s="1">
        <v>6</v>
      </c>
      <c r="E75" s="1">
        <v>15</v>
      </c>
      <c r="F75" s="1">
        <v>27</v>
      </c>
      <c r="G75" s="1">
        <v>46</v>
      </c>
      <c r="H75" s="1">
        <v>75</v>
      </c>
      <c r="I75" s="1">
        <v>95</v>
      </c>
      <c r="J75" s="1">
        <v>130</v>
      </c>
      <c r="K75" s="1">
        <v>158</v>
      </c>
      <c r="L75" s="1">
        <v>184</v>
      </c>
      <c r="M75" s="1">
        <v>206</v>
      </c>
      <c r="N75" s="1">
        <v>230</v>
      </c>
      <c r="O75" s="1">
        <v>259</v>
      </c>
      <c r="P75" s="1">
        <v>275</v>
      </c>
      <c r="Q75" s="1">
        <v>307</v>
      </c>
      <c r="R75" s="1">
        <v>347</v>
      </c>
      <c r="S75" s="1">
        <v>386</v>
      </c>
      <c r="T75" s="1">
        <v>416</v>
      </c>
      <c r="U75" s="1">
        <v>444</v>
      </c>
      <c r="V75" s="1">
        <v>466</v>
      </c>
      <c r="W75" s="1">
        <v>487</v>
      </c>
      <c r="X75" s="1">
        <v>497</v>
      </c>
      <c r="Y75" s="1">
        <v>509</v>
      </c>
      <c r="Z75" s="1">
        <v>523</v>
      </c>
      <c r="AA75" s="1">
        <v>532</v>
      </c>
      <c r="AB75" s="1">
        <v>537</v>
      </c>
      <c r="AC75" s="1">
        <v>541</v>
      </c>
      <c r="AD75" s="1">
        <v>543</v>
      </c>
      <c r="AE75" s="1">
        <v>544</v>
      </c>
      <c r="AF75" s="1">
        <v>546</v>
      </c>
      <c r="AG75" s="1">
        <v>749</v>
      </c>
      <c r="AH75" s="1">
        <v>750</v>
      </c>
      <c r="AI75" s="1">
        <v>754</v>
      </c>
      <c r="AJ75" s="1">
        <v>755</v>
      </c>
      <c r="AK75" s="1">
        <v>756</v>
      </c>
      <c r="AL75" s="1">
        <v>756</v>
      </c>
      <c r="AM75" s="1">
        <v>756</v>
      </c>
      <c r="AN75" s="1">
        <v>756</v>
      </c>
      <c r="AO75" s="1">
        <v>756</v>
      </c>
      <c r="AP75" s="1">
        <v>758</v>
      </c>
      <c r="AQ75" s="1">
        <v>758</v>
      </c>
      <c r="AR75" s="1">
        <v>758</v>
      </c>
      <c r="AS75" s="1">
        <v>758</v>
      </c>
      <c r="AT75" s="1">
        <v>758</v>
      </c>
      <c r="AU75" s="1">
        <v>758</v>
      </c>
      <c r="AV75" s="1">
        <v>758</v>
      </c>
      <c r="AW75" s="1">
        <v>758</v>
      </c>
      <c r="AX75" s="1">
        <v>758</v>
      </c>
      <c r="AY75" s="1">
        <v>758</v>
      </c>
      <c r="AZ75" s="1">
        <v>760</v>
      </c>
      <c r="BA75" s="1">
        <v>760</v>
      </c>
      <c r="BB75" s="1">
        <v>760</v>
      </c>
      <c r="BC75" s="1">
        <v>760</v>
      </c>
      <c r="BD75" s="1">
        <v>760</v>
      </c>
      <c r="BE75" s="1">
        <v>760</v>
      </c>
      <c r="BF75" s="1">
        <v>761</v>
      </c>
      <c r="BG75" s="1">
        <v>761</v>
      </c>
      <c r="BH75" s="1">
        <v>761</v>
      </c>
      <c r="BI75" s="1">
        <v>762</v>
      </c>
      <c r="BJ75" s="1">
        <v>764</v>
      </c>
      <c r="BK75" s="1">
        <v>767</v>
      </c>
      <c r="BL75" s="1">
        <v>768</v>
      </c>
    </row>
    <row r="76" spans="1:64" x14ac:dyDescent="0.25">
      <c r="A76" s="1" t="s">
        <v>239</v>
      </c>
      <c r="B76" s="1" t="s">
        <v>221</v>
      </c>
      <c r="C76" s="1">
        <v>9</v>
      </c>
      <c r="D76" s="1">
        <v>16</v>
      </c>
      <c r="E76" s="1">
        <v>20</v>
      </c>
      <c r="F76" s="1">
        <v>33</v>
      </c>
      <c r="G76" s="1">
        <v>40</v>
      </c>
      <c r="H76" s="1">
        <v>53</v>
      </c>
      <c r="I76" s="1">
        <v>66</v>
      </c>
      <c r="J76" s="1">
        <v>96</v>
      </c>
      <c r="K76" s="1">
        <v>112</v>
      </c>
      <c r="L76" s="1">
        <v>135</v>
      </c>
      <c r="M76" s="1">
        <v>169</v>
      </c>
      <c r="N76" s="1">
        <v>182</v>
      </c>
      <c r="O76" s="1">
        <v>203</v>
      </c>
      <c r="P76" s="1">
        <v>219</v>
      </c>
      <c r="Q76" s="1">
        <v>243</v>
      </c>
      <c r="R76" s="1">
        <v>257</v>
      </c>
      <c r="S76" s="1">
        <v>277</v>
      </c>
      <c r="T76" s="1">
        <v>286</v>
      </c>
      <c r="U76" s="1">
        <v>293</v>
      </c>
      <c r="V76" s="1">
        <v>299</v>
      </c>
      <c r="W76" s="1">
        <v>303</v>
      </c>
      <c r="X76" s="1">
        <v>311</v>
      </c>
      <c r="Y76" s="1">
        <v>315</v>
      </c>
      <c r="Z76" s="1">
        <v>318</v>
      </c>
      <c r="AA76" s="1">
        <v>326</v>
      </c>
      <c r="AB76" s="1">
        <v>328</v>
      </c>
      <c r="AC76" s="1">
        <v>333</v>
      </c>
      <c r="AD76" s="1">
        <v>333</v>
      </c>
      <c r="AE76" s="1">
        <v>333</v>
      </c>
      <c r="AF76" s="1">
        <v>334</v>
      </c>
      <c r="AG76" s="1">
        <v>334</v>
      </c>
      <c r="AH76" s="1">
        <v>335</v>
      </c>
      <c r="AI76" s="1">
        <v>335</v>
      </c>
      <c r="AJ76" s="1">
        <v>335</v>
      </c>
      <c r="AK76" s="1">
        <v>336</v>
      </c>
      <c r="AL76" s="1">
        <v>337</v>
      </c>
      <c r="AM76" s="1">
        <v>337</v>
      </c>
      <c r="AN76" s="1">
        <v>337</v>
      </c>
      <c r="AO76" s="1">
        <v>337</v>
      </c>
      <c r="AP76" s="1">
        <v>337</v>
      </c>
      <c r="AQ76" s="1">
        <v>337</v>
      </c>
      <c r="AR76" s="1">
        <v>338</v>
      </c>
      <c r="AS76" s="1">
        <v>338</v>
      </c>
      <c r="AT76" s="1">
        <v>339</v>
      </c>
      <c r="AU76" s="1">
        <v>342</v>
      </c>
      <c r="AV76" s="1">
        <v>342</v>
      </c>
      <c r="AW76" s="1">
        <v>342</v>
      </c>
      <c r="AX76" s="1">
        <v>342</v>
      </c>
      <c r="AY76" s="1">
        <v>344</v>
      </c>
      <c r="AZ76" s="1">
        <v>344</v>
      </c>
      <c r="BA76" s="1">
        <v>344</v>
      </c>
      <c r="BB76" s="1">
        <v>346</v>
      </c>
      <c r="BC76" s="1">
        <v>353</v>
      </c>
      <c r="BD76" s="1">
        <v>353</v>
      </c>
      <c r="BE76" s="1">
        <v>355</v>
      </c>
      <c r="BF76" s="1">
        <v>358</v>
      </c>
      <c r="BG76" s="1">
        <v>361</v>
      </c>
      <c r="BH76" s="1">
        <v>363</v>
      </c>
      <c r="BI76" s="1">
        <v>371</v>
      </c>
      <c r="BJ76" s="1">
        <v>380</v>
      </c>
      <c r="BK76" s="1">
        <v>404</v>
      </c>
      <c r="BL76" s="1">
        <v>404</v>
      </c>
    </row>
    <row r="77" spans="1:64" x14ac:dyDescent="0.25">
      <c r="A77" s="1" t="s">
        <v>248</v>
      </c>
      <c r="B77" s="1" t="s">
        <v>221</v>
      </c>
      <c r="C77" s="1">
        <v>1</v>
      </c>
      <c r="D77" s="1">
        <v>1</v>
      </c>
      <c r="E77" s="1">
        <v>1</v>
      </c>
      <c r="F77" s="1">
        <v>6</v>
      </c>
      <c r="G77" s="1">
        <v>9</v>
      </c>
      <c r="H77" s="1">
        <v>13</v>
      </c>
      <c r="I77" s="1">
        <v>27</v>
      </c>
      <c r="J77" s="1">
        <v>27</v>
      </c>
      <c r="K77" s="1">
        <v>35</v>
      </c>
      <c r="L77" s="1">
        <v>39</v>
      </c>
      <c r="M77" s="1">
        <v>47</v>
      </c>
      <c r="N77" s="1">
        <v>66</v>
      </c>
      <c r="O77" s="1">
        <v>74</v>
      </c>
      <c r="P77" s="1">
        <v>81</v>
      </c>
      <c r="Q77" s="1">
        <v>81</v>
      </c>
      <c r="R77" s="1">
        <v>96</v>
      </c>
      <c r="S77" s="1">
        <v>104</v>
      </c>
      <c r="T77" s="1">
        <v>115</v>
      </c>
      <c r="U77" s="1">
        <v>119</v>
      </c>
      <c r="V77" s="1">
        <v>119</v>
      </c>
      <c r="W77" s="1">
        <v>124</v>
      </c>
      <c r="X77" s="1">
        <v>126</v>
      </c>
      <c r="Y77" s="1">
        <v>126</v>
      </c>
      <c r="Z77" s="1">
        <v>127</v>
      </c>
      <c r="AA77" s="1">
        <v>128</v>
      </c>
      <c r="AB77" s="1">
        <v>129</v>
      </c>
      <c r="AC77" s="1">
        <v>130</v>
      </c>
      <c r="AD77" s="1">
        <v>131</v>
      </c>
      <c r="AE77" s="1">
        <v>131</v>
      </c>
      <c r="AF77" s="1">
        <v>132</v>
      </c>
      <c r="AG77" s="1">
        <v>132</v>
      </c>
      <c r="AH77" s="1">
        <v>132</v>
      </c>
      <c r="AI77" s="1">
        <v>132</v>
      </c>
      <c r="AJ77" s="1">
        <v>133</v>
      </c>
      <c r="AK77" s="1">
        <v>133</v>
      </c>
      <c r="AL77" s="1">
        <v>133</v>
      </c>
      <c r="AM77" s="1">
        <v>133</v>
      </c>
      <c r="AN77" s="1">
        <v>133</v>
      </c>
      <c r="AO77" s="1">
        <v>133</v>
      </c>
      <c r="AP77" s="1">
        <v>133</v>
      </c>
      <c r="AQ77" s="1">
        <v>133</v>
      </c>
      <c r="AR77" s="1">
        <v>133</v>
      </c>
      <c r="AS77" s="1">
        <v>133</v>
      </c>
      <c r="AT77" s="1">
        <v>133</v>
      </c>
      <c r="AU77" s="1">
        <v>133</v>
      </c>
      <c r="AV77" s="1">
        <v>133</v>
      </c>
      <c r="AW77" s="1">
        <v>133</v>
      </c>
      <c r="AX77" s="1">
        <v>133</v>
      </c>
      <c r="AY77" s="1">
        <v>133</v>
      </c>
      <c r="AZ77" s="1">
        <v>133</v>
      </c>
      <c r="BA77" s="1">
        <v>133</v>
      </c>
      <c r="BB77" s="1">
        <v>133</v>
      </c>
      <c r="BC77" s="1">
        <v>133</v>
      </c>
      <c r="BD77" s="1">
        <v>133</v>
      </c>
      <c r="BE77" s="1">
        <v>133</v>
      </c>
      <c r="BF77" s="1">
        <v>133</v>
      </c>
      <c r="BG77" s="1">
        <v>133</v>
      </c>
      <c r="BH77" s="1">
        <v>133</v>
      </c>
      <c r="BI77" s="1">
        <v>133</v>
      </c>
      <c r="BJ77" s="1">
        <v>133</v>
      </c>
      <c r="BK77" s="1">
        <v>133</v>
      </c>
      <c r="BL77" s="1">
        <v>134</v>
      </c>
    </row>
    <row r="78" spans="1:64" x14ac:dyDescent="0.25">
      <c r="A78" s="1" t="s">
        <v>235</v>
      </c>
      <c r="B78" s="1" t="s">
        <v>221</v>
      </c>
      <c r="C78" s="1">
        <v>5</v>
      </c>
      <c r="D78" s="1">
        <v>8</v>
      </c>
      <c r="E78" s="1">
        <v>15</v>
      </c>
      <c r="F78" s="1">
        <v>28</v>
      </c>
      <c r="G78" s="1">
        <v>44</v>
      </c>
      <c r="H78" s="1">
        <v>69</v>
      </c>
      <c r="I78" s="1">
        <v>90</v>
      </c>
      <c r="J78" s="1">
        <v>108</v>
      </c>
      <c r="K78" s="1">
        <v>142</v>
      </c>
      <c r="L78" s="1">
        <v>177</v>
      </c>
      <c r="M78" s="1">
        <v>207</v>
      </c>
      <c r="N78" s="1">
        <v>231</v>
      </c>
      <c r="O78" s="1">
        <v>254</v>
      </c>
      <c r="P78" s="1">
        <v>282</v>
      </c>
      <c r="Q78" s="1">
        <v>301</v>
      </c>
      <c r="R78" s="1">
        <v>321</v>
      </c>
      <c r="S78" s="1">
        <v>344</v>
      </c>
      <c r="T78" s="1">
        <v>364</v>
      </c>
      <c r="U78" s="1">
        <v>386</v>
      </c>
      <c r="V78" s="1">
        <v>405</v>
      </c>
      <c r="W78" s="1">
        <v>417</v>
      </c>
      <c r="X78" s="1">
        <v>436</v>
      </c>
      <c r="Y78" s="1">
        <v>451</v>
      </c>
      <c r="Z78" s="1">
        <v>463</v>
      </c>
      <c r="AA78" s="1">
        <v>470</v>
      </c>
      <c r="AB78" s="1">
        <v>481</v>
      </c>
      <c r="AC78" s="1">
        <v>495</v>
      </c>
      <c r="AD78" s="1">
        <v>508</v>
      </c>
      <c r="AE78" s="1">
        <v>514</v>
      </c>
      <c r="AF78" s="1">
        <v>520</v>
      </c>
      <c r="AG78" s="1">
        <v>525</v>
      </c>
      <c r="AH78" s="1">
        <v>526</v>
      </c>
      <c r="AI78" s="1">
        <v>526</v>
      </c>
      <c r="AJ78" s="1">
        <v>527</v>
      </c>
      <c r="AK78" s="1">
        <v>529</v>
      </c>
      <c r="AL78" s="1">
        <v>531</v>
      </c>
      <c r="AM78" s="1">
        <v>534</v>
      </c>
      <c r="AN78" s="1">
        <v>538</v>
      </c>
      <c r="AO78" s="1">
        <v>538</v>
      </c>
      <c r="AP78" s="1">
        <v>538</v>
      </c>
      <c r="AQ78" s="1">
        <v>538</v>
      </c>
      <c r="AR78" s="1">
        <v>538</v>
      </c>
      <c r="AS78" s="1">
        <v>538</v>
      </c>
      <c r="AT78" s="1">
        <v>539</v>
      </c>
      <c r="AU78" s="1">
        <v>539</v>
      </c>
      <c r="AV78" s="1">
        <v>539</v>
      </c>
      <c r="AW78" s="1">
        <v>539</v>
      </c>
      <c r="AX78" s="1">
        <v>539</v>
      </c>
      <c r="AY78" s="1">
        <v>539</v>
      </c>
      <c r="AZ78" s="1">
        <v>539</v>
      </c>
      <c r="BA78" s="1">
        <v>539</v>
      </c>
      <c r="BB78" s="1">
        <v>539</v>
      </c>
      <c r="BC78" s="1">
        <v>539</v>
      </c>
      <c r="BD78" s="1">
        <v>539</v>
      </c>
      <c r="BE78" s="1">
        <v>539</v>
      </c>
      <c r="BF78" s="1">
        <v>540</v>
      </c>
      <c r="BG78" s="1">
        <v>540</v>
      </c>
      <c r="BH78" s="1">
        <v>540</v>
      </c>
      <c r="BI78" s="1">
        <v>541</v>
      </c>
      <c r="BJ78" s="1">
        <v>542</v>
      </c>
      <c r="BK78" s="1">
        <v>543</v>
      </c>
      <c r="BL78" s="1">
        <v>543</v>
      </c>
    </row>
    <row r="79" spans="1:64" x14ac:dyDescent="0.25">
      <c r="A79" s="1" t="s">
        <v>247</v>
      </c>
      <c r="B79" s="1" t="s">
        <v>221</v>
      </c>
      <c r="C79" s="1">
        <v>4</v>
      </c>
      <c r="D79" s="1">
        <v>4</v>
      </c>
      <c r="E79" s="1">
        <v>8</v>
      </c>
      <c r="F79" s="1">
        <v>10</v>
      </c>
      <c r="G79" s="1">
        <v>14</v>
      </c>
      <c r="H79" s="1">
        <v>23</v>
      </c>
      <c r="I79" s="1">
        <v>24</v>
      </c>
      <c r="J79" s="1">
        <v>27</v>
      </c>
      <c r="K79" s="1">
        <v>31</v>
      </c>
      <c r="L79" s="1">
        <v>32</v>
      </c>
      <c r="M79" s="1">
        <v>41</v>
      </c>
      <c r="N79" s="1">
        <v>48</v>
      </c>
      <c r="O79" s="1">
        <v>60</v>
      </c>
      <c r="P79" s="1">
        <v>67</v>
      </c>
      <c r="Q79" s="1">
        <v>69</v>
      </c>
      <c r="R79" s="1">
        <v>79</v>
      </c>
      <c r="S79" s="1">
        <v>81</v>
      </c>
      <c r="T79" s="1">
        <v>88</v>
      </c>
      <c r="U79" s="1">
        <v>91</v>
      </c>
      <c r="V79" s="1">
        <v>95</v>
      </c>
      <c r="W79" s="1">
        <v>106</v>
      </c>
      <c r="X79" s="1">
        <v>112</v>
      </c>
      <c r="Y79" s="1">
        <v>119</v>
      </c>
      <c r="Z79" s="1">
        <v>120</v>
      </c>
      <c r="AA79" s="1">
        <v>122</v>
      </c>
      <c r="AB79" s="1">
        <v>124</v>
      </c>
      <c r="AC79" s="1">
        <v>125</v>
      </c>
      <c r="AD79" s="1">
        <v>128</v>
      </c>
      <c r="AE79" s="1">
        <v>130</v>
      </c>
      <c r="AF79" s="1">
        <v>131</v>
      </c>
      <c r="AG79" s="1">
        <v>132</v>
      </c>
      <c r="AH79" s="1">
        <v>135</v>
      </c>
      <c r="AI79" s="1">
        <v>135</v>
      </c>
      <c r="AJ79" s="1">
        <v>135</v>
      </c>
      <c r="AK79" s="1">
        <v>135</v>
      </c>
      <c r="AL79" s="1">
        <v>135</v>
      </c>
      <c r="AM79" s="1">
        <v>136</v>
      </c>
      <c r="AN79" s="1">
        <v>136</v>
      </c>
      <c r="AO79" s="1">
        <v>136</v>
      </c>
      <c r="AP79" s="1">
        <v>136</v>
      </c>
      <c r="AQ79" s="1">
        <v>136</v>
      </c>
      <c r="AR79" s="1">
        <v>136</v>
      </c>
      <c r="AS79" s="1">
        <v>136</v>
      </c>
      <c r="AT79" s="1">
        <v>136</v>
      </c>
      <c r="AU79" s="1">
        <v>136</v>
      </c>
      <c r="AV79" s="1">
        <v>136</v>
      </c>
      <c r="AW79" s="1">
        <v>136</v>
      </c>
      <c r="AX79" s="1">
        <v>136</v>
      </c>
      <c r="AY79" s="1">
        <v>136</v>
      </c>
      <c r="AZ79" s="1">
        <v>136</v>
      </c>
      <c r="BA79" s="1">
        <v>136</v>
      </c>
      <c r="BB79" s="1">
        <v>136</v>
      </c>
      <c r="BC79" s="1">
        <v>136</v>
      </c>
      <c r="BD79" s="1">
        <v>136</v>
      </c>
      <c r="BE79" s="1">
        <v>136</v>
      </c>
      <c r="BF79" s="1">
        <v>136</v>
      </c>
      <c r="BG79" s="1">
        <v>136</v>
      </c>
      <c r="BH79" s="1">
        <v>137</v>
      </c>
      <c r="BI79" s="1">
        <v>137</v>
      </c>
      <c r="BJ79" s="1">
        <v>137</v>
      </c>
      <c r="BK79" s="1">
        <v>137</v>
      </c>
      <c r="BL79" s="1">
        <v>141</v>
      </c>
    </row>
    <row r="80" spans="1:64" x14ac:dyDescent="0.25">
      <c r="A80" s="1" t="s">
        <v>270</v>
      </c>
      <c r="B80" s="1" t="s">
        <v>221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1</v>
      </c>
      <c r="L80" s="1">
        <v>1</v>
      </c>
      <c r="M80" s="1">
        <v>1</v>
      </c>
      <c r="N80" s="1">
        <v>1</v>
      </c>
      <c r="O80" s="1">
        <v>1</v>
      </c>
      <c r="P80" s="1">
        <v>1</v>
      </c>
      <c r="Q80" s="1">
        <v>1</v>
      </c>
      <c r="R80" s="1">
        <v>1</v>
      </c>
      <c r="S80" s="1">
        <v>1</v>
      </c>
      <c r="T80" s="1">
        <v>1</v>
      </c>
      <c r="U80" s="1">
        <v>1</v>
      </c>
      <c r="V80" s="1">
        <v>1</v>
      </c>
      <c r="W80" s="1">
        <v>1</v>
      </c>
      <c r="X80" s="1">
        <v>1</v>
      </c>
      <c r="Y80" s="1">
        <v>1</v>
      </c>
      <c r="Z80" s="1">
        <v>1</v>
      </c>
      <c r="AA80" s="1">
        <v>1</v>
      </c>
      <c r="AB80" s="1">
        <v>1</v>
      </c>
      <c r="AC80" s="1">
        <v>1</v>
      </c>
      <c r="AD80" s="1">
        <v>1</v>
      </c>
      <c r="AE80" s="1">
        <v>1</v>
      </c>
      <c r="AF80" s="1">
        <v>1</v>
      </c>
      <c r="AG80" s="1">
        <v>1</v>
      </c>
      <c r="AH80" s="1">
        <v>1</v>
      </c>
      <c r="AI80" s="1">
        <v>1</v>
      </c>
      <c r="AJ80" s="1">
        <v>1</v>
      </c>
      <c r="AK80" s="1">
        <v>1</v>
      </c>
      <c r="AL80" s="1">
        <v>1</v>
      </c>
      <c r="AM80" s="1">
        <v>1</v>
      </c>
      <c r="AN80" s="1">
        <v>1</v>
      </c>
      <c r="AO80" s="1">
        <v>1</v>
      </c>
      <c r="AP80" s="1">
        <v>1</v>
      </c>
      <c r="AQ80" s="1">
        <v>1</v>
      </c>
      <c r="AR80" s="1">
        <v>1</v>
      </c>
      <c r="AS80" s="1">
        <v>1</v>
      </c>
      <c r="AT80" s="1">
        <v>1</v>
      </c>
      <c r="AU80" s="1">
        <v>1</v>
      </c>
      <c r="AV80" s="1">
        <v>1</v>
      </c>
      <c r="AW80" s="1">
        <v>1</v>
      </c>
      <c r="AX80" s="1">
        <v>1</v>
      </c>
      <c r="AY80" s="1">
        <v>1</v>
      </c>
      <c r="AZ80" s="1">
        <v>1</v>
      </c>
      <c r="BA80" s="1">
        <v>1</v>
      </c>
      <c r="BB80" s="1">
        <v>1</v>
      </c>
      <c r="BC80" s="1">
        <v>1</v>
      </c>
      <c r="BD80" s="1">
        <v>1</v>
      </c>
      <c r="BE80" s="1">
        <v>1</v>
      </c>
      <c r="BF80" s="1">
        <v>1</v>
      </c>
      <c r="BG80" s="1">
        <v>1</v>
      </c>
      <c r="BH80" s="1">
        <v>1</v>
      </c>
      <c r="BI80" s="1">
        <v>1</v>
      </c>
      <c r="BJ80" s="1">
        <v>1</v>
      </c>
      <c r="BK80" s="1">
        <v>1</v>
      </c>
      <c r="BL80" s="1">
        <v>1</v>
      </c>
    </row>
    <row r="81" spans="1:64" x14ac:dyDescent="0.25">
      <c r="A81" s="1" t="s">
        <v>254</v>
      </c>
      <c r="B81" s="1" t="s">
        <v>221</v>
      </c>
      <c r="C81" s="1">
        <v>0</v>
      </c>
      <c r="D81" s="1">
        <v>2</v>
      </c>
      <c r="E81" s="1">
        <v>2</v>
      </c>
      <c r="F81" s="1">
        <v>3</v>
      </c>
      <c r="G81" s="1">
        <v>4</v>
      </c>
      <c r="H81" s="1">
        <v>5</v>
      </c>
      <c r="I81" s="1">
        <v>10</v>
      </c>
      <c r="J81" s="1">
        <v>13</v>
      </c>
      <c r="K81" s="1">
        <v>14</v>
      </c>
      <c r="L81" s="1">
        <v>17</v>
      </c>
      <c r="M81" s="1">
        <v>18</v>
      </c>
      <c r="N81" s="1">
        <v>21</v>
      </c>
      <c r="O81" s="1">
        <v>24</v>
      </c>
      <c r="P81" s="1">
        <v>29</v>
      </c>
      <c r="Q81" s="1">
        <v>32</v>
      </c>
      <c r="R81" s="1">
        <v>36</v>
      </c>
      <c r="S81" s="1">
        <v>39</v>
      </c>
      <c r="T81" s="1">
        <v>42</v>
      </c>
      <c r="U81" s="1">
        <v>45</v>
      </c>
      <c r="V81" s="1">
        <v>49</v>
      </c>
      <c r="W81" s="1">
        <v>55</v>
      </c>
      <c r="X81" s="1">
        <v>59</v>
      </c>
      <c r="Y81" s="1">
        <v>63</v>
      </c>
      <c r="Z81" s="1">
        <v>65</v>
      </c>
      <c r="AA81" s="1">
        <v>70</v>
      </c>
      <c r="AB81" s="1">
        <v>71</v>
      </c>
      <c r="AC81" s="1">
        <v>75</v>
      </c>
      <c r="AD81" s="1">
        <v>76</v>
      </c>
      <c r="AE81" s="1">
        <v>76</v>
      </c>
      <c r="AF81" s="1">
        <v>76</v>
      </c>
      <c r="AG81" s="1">
        <v>76</v>
      </c>
      <c r="AH81" s="1">
        <v>76</v>
      </c>
      <c r="AI81" s="1">
        <v>76</v>
      </c>
      <c r="AJ81" s="1">
        <v>76</v>
      </c>
      <c r="AK81" s="1">
        <v>76</v>
      </c>
      <c r="AL81" s="1">
        <v>76</v>
      </c>
      <c r="AM81" s="1">
        <v>76</v>
      </c>
      <c r="AN81" s="1">
        <v>76</v>
      </c>
      <c r="AO81" s="1">
        <v>76</v>
      </c>
      <c r="AP81" s="1">
        <v>76</v>
      </c>
      <c r="AQ81" s="1">
        <v>76</v>
      </c>
      <c r="AR81" s="1">
        <v>76</v>
      </c>
      <c r="AS81" s="1">
        <v>76</v>
      </c>
      <c r="AT81" s="1">
        <v>76</v>
      </c>
      <c r="AU81" s="1">
        <v>76</v>
      </c>
      <c r="AV81" s="1">
        <v>76</v>
      </c>
      <c r="AW81" s="1">
        <v>76</v>
      </c>
      <c r="AX81" s="1">
        <v>76</v>
      </c>
      <c r="AY81" s="1">
        <v>76</v>
      </c>
      <c r="AZ81" s="1">
        <v>76</v>
      </c>
      <c r="BA81" s="1">
        <v>76</v>
      </c>
      <c r="BB81" s="1">
        <v>76</v>
      </c>
      <c r="BC81" s="1">
        <v>76</v>
      </c>
      <c r="BD81" s="1">
        <v>76</v>
      </c>
      <c r="BE81" s="1">
        <v>76</v>
      </c>
      <c r="BF81" s="1">
        <v>76</v>
      </c>
      <c r="BG81" s="1">
        <v>76</v>
      </c>
      <c r="BH81" s="1">
        <v>76</v>
      </c>
      <c r="BI81" s="1">
        <v>76</v>
      </c>
      <c r="BJ81" s="1">
        <v>76</v>
      </c>
      <c r="BK81" s="1">
        <v>76</v>
      </c>
      <c r="BL81" s="1">
        <v>76</v>
      </c>
    </row>
    <row r="82" spans="1:64" x14ac:dyDescent="0.25">
      <c r="A82" s="1" t="s">
        <v>244</v>
      </c>
      <c r="B82" s="1" t="s">
        <v>221</v>
      </c>
      <c r="C82" s="1">
        <v>1</v>
      </c>
      <c r="D82" s="1">
        <v>2</v>
      </c>
      <c r="E82" s="1">
        <v>5</v>
      </c>
      <c r="F82" s="1">
        <v>11</v>
      </c>
      <c r="G82" s="1">
        <v>16</v>
      </c>
      <c r="H82" s="1">
        <v>26</v>
      </c>
      <c r="I82" s="1">
        <v>44</v>
      </c>
      <c r="J82" s="1">
        <v>55</v>
      </c>
      <c r="K82" s="1">
        <v>70</v>
      </c>
      <c r="L82" s="1">
        <v>83</v>
      </c>
      <c r="M82" s="1">
        <v>93</v>
      </c>
      <c r="N82" s="1">
        <v>105</v>
      </c>
      <c r="O82" s="1">
        <v>117</v>
      </c>
      <c r="P82" s="1">
        <v>122</v>
      </c>
      <c r="Q82" s="1">
        <v>128</v>
      </c>
      <c r="R82" s="1">
        <v>133</v>
      </c>
      <c r="S82" s="1">
        <v>138</v>
      </c>
      <c r="T82" s="1">
        <v>138</v>
      </c>
      <c r="U82" s="1">
        <v>141</v>
      </c>
      <c r="V82" s="1">
        <v>149</v>
      </c>
      <c r="W82" s="1">
        <v>153</v>
      </c>
      <c r="X82" s="1">
        <v>154</v>
      </c>
      <c r="Y82" s="1">
        <v>156</v>
      </c>
      <c r="Z82" s="1">
        <v>162</v>
      </c>
      <c r="AA82" s="1">
        <v>168</v>
      </c>
      <c r="AB82" s="1">
        <v>171</v>
      </c>
      <c r="AC82" s="1">
        <v>171</v>
      </c>
      <c r="AD82" s="1">
        <v>172</v>
      </c>
      <c r="AE82" s="1">
        <v>172</v>
      </c>
      <c r="AF82" s="1">
        <v>174</v>
      </c>
      <c r="AG82" s="1">
        <v>174</v>
      </c>
      <c r="AH82" s="1">
        <v>174</v>
      </c>
      <c r="AI82" s="1">
        <v>174</v>
      </c>
      <c r="AJ82" s="1">
        <v>174</v>
      </c>
      <c r="AK82" s="1">
        <v>174</v>
      </c>
      <c r="AL82" s="1">
        <v>174</v>
      </c>
      <c r="AM82" s="1">
        <v>174</v>
      </c>
      <c r="AN82" s="1">
        <v>174</v>
      </c>
      <c r="AO82" s="1">
        <v>174</v>
      </c>
      <c r="AP82" s="1">
        <v>174</v>
      </c>
      <c r="AQ82" s="1">
        <v>174</v>
      </c>
      <c r="AR82" s="1">
        <v>174</v>
      </c>
      <c r="AS82" s="1">
        <v>174</v>
      </c>
      <c r="AT82" s="1">
        <v>174</v>
      </c>
      <c r="AU82" s="1">
        <v>174</v>
      </c>
      <c r="AV82" s="1">
        <v>174</v>
      </c>
      <c r="AW82" s="1">
        <v>174</v>
      </c>
      <c r="AX82" s="1">
        <v>174</v>
      </c>
      <c r="AY82" s="1">
        <v>174</v>
      </c>
      <c r="AZ82" s="1">
        <v>174</v>
      </c>
      <c r="BA82" s="1">
        <v>174</v>
      </c>
      <c r="BB82" s="1">
        <v>174</v>
      </c>
      <c r="BC82" s="1">
        <v>174</v>
      </c>
      <c r="BD82" s="1">
        <v>174</v>
      </c>
      <c r="BE82" s="1">
        <v>176</v>
      </c>
      <c r="BF82" s="1">
        <v>176</v>
      </c>
      <c r="BG82" s="1">
        <v>176</v>
      </c>
      <c r="BH82" s="1">
        <v>176</v>
      </c>
      <c r="BI82" s="1">
        <v>176</v>
      </c>
      <c r="BJ82" s="1">
        <v>176</v>
      </c>
      <c r="BK82" s="1">
        <v>176</v>
      </c>
      <c r="BL82" s="1">
        <v>176</v>
      </c>
    </row>
    <row r="83" spans="1:64" x14ac:dyDescent="0.25">
      <c r="A83" s="1" t="s">
        <v>227</v>
      </c>
      <c r="B83" s="1" t="s">
        <v>221</v>
      </c>
      <c r="C83" s="1">
        <v>10</v>
      </c>
      <c r="D83" s="1">
        <v>27</v>
      </c>
      <c r="E83" s="1">
        <v>43</v>
      </c>
      <c r="F83" s="1">
        <v>62</v>
      </c>
      <c r="G83" s="1">
        <v>104</v>
      </c>
      <c r="H83" s="1">
        <v>128</v>
      </c>
      <c r="I83" s="1">
        <v>173</v>
      </c>
      <c r="J83" s="1">
        <v>296</v>
      </c>
      <c r="K83" s="1">
        <v>428</v>
      </c>
      <c r="L83" s="1">
        <v>538</v>
      </c>
      <c r="M83" s="1">
        <v>599</v>
      </c>
      <c r="N83" s="1">
        <v>661</v>
      </c>
      <c r="O83" s="1">
        <v>724</v>
      </c>
      <c r="P83" s="1">
        <v>829</v>
      </c>
      <c r="Q83" s="1">
        <v>895</v>
      </c>
      <c r="R83" s="1">
        <v>954</v>
      </c>
      <c r="S83" s="1">
        <v>1006</v>
      </c>
      <c r="T83" s="1">
        <v>1048</v>
      </c>
      <c r="U83" s="1">
        <v>1075</v>
      </c>
      <c r="V83" s="1">
        <v>1092</v>
      </c>
      <c r="W83" s="1">
        <v>1117</v>
      </c>
      <c r="X83" s="1">
        <v>1131</v>
      </c>
      <c r="Y83" s="1">
        <v>1145</v>
      </c>
      <c r="Z83" s="1">
        <v>1155</v>
      </c>
      <c r="AA83" s="1">
        <v>1162</v>
      </c>
      <c r="AB83" s="1">
        <v>1167</v>
      </c>
      <c r="AC83" s="1">
        <v>1171</v>
      </c>
      <c r="AD83" s="1">
        <v>1172</v>
      </c>
      <c r="AE83" s="1">
        <v>1174</v>
      </c>
      <c r="AF83" s="1">
        <v>1175</v>
      </c>
      <c r="AG83" s="1">
        <v>1203</v>
      </c>
      <c r="AH83" s="1">
        <v>1205</v>
      </c>
      <c r="AI83" s="1">
        <v>1205</v>
      </c>
      <c r="AJ83" s="1">
        <v>1205</v>
      </c>
      <c r="AK83" s="1">
        <v>1205</v>
      </c>
      <c r="AL83" s="1">
        <v>1205</v>
      </c>
      <c r="AM83" s="1">
        <v>1205</v>
      </c>
      <c r="AN83" s="1">
        <v>1205</v>
      </c>
      <c r="AO83" s="1">
        <v>1205</v>
      </c>
      <c r="AP83" s="1">
        <v>1205</v>
      </c>
      <c r="AQ83" s="1">
        <v>1206</v>
      </c>
      <c r="AR83" s="1">
        <v>1213</v>
      </c>
      <c r="AS83" s="1">
        <v>1213</v>
      </c>
      <c r="AT83" s="1">
        <v>1215</v>
      </c>
      <c r="AU83" s="1">
        <v>1215</v>
      </c>
      <c r="AV83" s="1">
        <v>1215</v>
      </c>
      <c r="AW83" s="1">
        <v>1215</v>
      </c>
      <c r="AX83" s="1">
        <v>1215</v>
      </c>
      <c r="AY83" s="1">
        <v>1215</v>
      </c>
      <c r="AZ83" s="1">
        <v>1215</v>
      </c>
      <c r="BA83" s="1">
        <v>1215</v>
      </c>
      <c r="BB83" s="1">
        <v>1215</v>
      </c>
      <c r="BC83" s="1">
        <v>1227</v>
      </c>
      <c r="BD83" s="1">
        <v>1231</v>
      </c>
      <c r="BE83" s="1">
        <v>1231</v>
      </c>
      <c r="BF83" s="1">
        <v>1232</v>
      </c>
      <c r="BG83" s="1">
        <v>1232</v>
      </c>
      <c r="BH83" s="1">
        <v>1233</v>
      </c>
      <c r="BI83" s="1">
        <v>1234</v>
      </c>
      <c r="BJ83" s="1">
        <v>1236</v>
      </c>
      <c r="BK83" s="1">
        <v>1238</v>
      </c>
      <c r="BL83" s="1">
        <v>1238</v>
      </c>
    </row>
    <row r="84" spans="1:64" x14ac:dyDescent="0.25">
      <c r="A84" s="1" t="s">
        <v>64</v>
      </c>
      <c r="B84" s="1" t="s">
        <v>146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0</v>
      </c>
      <c r="AD84" s="1">
        <v>0</v>
      </c>
      <c r="AE84" s="1">
        <v>0</v>
      </c>
      <c r="AF84" s="1">
        <v>0</v>
      </c>
      <c r="AG84" s="1">
        <v>0</v>
      </c>
      <c r="AH84" s="1">
        <v>0</v>
      </c>
      <c r="AI84" s="1">
        <v>0</v>
      </c>
      <c r="AJ84" s="1">
        <v>0</v>
      </c>
      <c r="AK84" s="1">
        <v>0</v>
      </c>
      <c r="AL84" s="1">
        <v>0</v>
      </c>
      <c r="AM84" s="1">
        <v>0</v>
      </c>
      <c r="AN84" s="1">
        <v>0</v>
      </c>
      <c r="AO84" s="1">
        <v>0</v>
      </c>
      <c r="AP84" s="1">
        <v>0</v>
      </c>
      <c r="AQ84" s="1">
        <v>0</v>
      </c>
      <c r="AR84" s="1">
        <v>0</v>
      </c>
      <c r="AS84" s="1">
        <v>0</v>
      </c>
      <c r="AT84" s="1">
        <v>0</v>
      </c>
      <c r="AU84" s="1">
        <v>1</v>
      </c>
      <c r="AV84" s="1">
        <v>1</v>
      </c>
      <c r="AW84" s="1">
        <v>1</v>
      </c>
      <c r="AX84" s="1">
        <v>1</v>
      </c>
      <c r="AY84" s="1">
        <v>3</v>
      </c>
      <c r="AZ84" s="1">
        <v>9</v>
      </c>
      <c r="BA84" s="1">
        <v>9</v>
      </c>
      <c r="BB84" s="1">
        <v>13</v>
      </c>
      <c r="BC84" s="1">
        <v>22</v>
      </c>
      <c r="BD84" s="1">
        <v>34</v>
      </c>
      <c r="BE84" s="1">
        <v>54</v>
      </c>
      <c r="BF84" s="1">
        <v>65</v>
      </c>
      <c r="BG84" s="1">
        <v>93</v>
      </c>
      <c r="BH84" s="1">
        <v>102</v>
      </c>
      <c r="BI84" s="1">
        <v>128</v>
      </c>
      <c r="BJ84" s="1">
        <v>196</v>
      </c>
      <c r="BK84" s="1">
        <v>231</v>
      </c>
      <c r="BL84" s="1">
        <v>277</v>
      </c>
    </row>
    <row r="85" spans="1:64" x14ac:dyDescent="0.25">
      <c r="A85" s="1" t="s">
        <v>64</v>
      </c>
      <c r="B85" s="1" t="s">
        <v>502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0</v>
      </c>
      <c r="AD85" s="1">
        <v>0</v>
      </c>
      <c r="AE85" s="1">
        <v>0</v>
      </c>
      <c r="AF85" s="1">
        <v>0</v>
      </c>
      <c r="AG85" s="1">
        <v>0</v>
      </c>
      <c r="AH85" s="1">
        <v>0</v>
      </c>
      <c r="AI85" s="1">
        <v>0</v>
      </c>
      <c r="AJ85" s="1">
        <v>0</v>
      </c>
      <c r="AK85" s="1">
        <v>0</v>
      </c>
      <c r="AL85" s="1">
        <v>0</v>
      </c>
      <c r="AM85" s="1">
        <v>0</v>
      </c>
      <c r="AN85" s="1">
        <v>0</v>
      </c>
      <c r="AO85" s="1">
        <v>0</v>
      </c>
      <c r="AP85" s="1">
        <v>0</v>
      </c>
      <c r="AQ85" s="1">
        <v>0</v>
      </c>
      <c r="AR85" s="1">
        <v>0</v>
      </c>
      <c r="AS85" s="1">
        <v>0</v>
      </c>
      <c r="AT85" s="1">
        <v>0</v>
      </c>
      <c r="AU85" s="1">
        <v>0</v>
      </c>
      <c r="AV85" s="1">
        <v>0</v>
      </c>
      <c r="AW85" s="1">
        <v>0</v>
      </c>
      <c r="AX85" s="1">
        <v>0</v>
      </c>
      <c r="AY85" s="1">
        <v>0</v>
      </c>
      <c r="AZ85" s="1">
        <v>0</v>
      </c>
      <c r="BA85" s="1">
        <v>0</v>
      </c>
      <c r="BB85" s="1">
        <v>0</v>
      </c>
      <c r="BC85" s="1">
        <v>0</v>
      </c>
      <c r="BD85" s="1">
        <v>1</v>
      </c>
      <c r="BE85" s="1">
        <v>1</v>
      </c>
      <c r="BF85" s="1">
        <v>1</v>
      </c>
      <c r="BG85" s="1">
        <v>1</v>
      </c>
      <c r="BH85" s="1">
        <v>3</v>
      </c>
      <c r="BI85" s="1">
        <v>3</v>
      </c>
      <c r="BJ85" s="1">
        <v>3</v>
      </c>
      <c r="BK85" s="1">
        <v>3</v>
      </c>
      <c r="BL85" s="1">
        <v>4</v>
      </c>
    </row>
    <row r="86" spans="1:64" x14ac:dyDescent="0.25">
      <c r="A86" s="1" t="s">
        <v>64</v>
      </c>
      <c r="B86" s="1" t="s">
        <v>271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0</v>
      </c>
      <c r="AD86" s="1">
        <v>0</v>
      </c>
      <c r="AE86" s="1">
        <v>0</v>
      </c>
      <c r="AF86" s="1">
        <v>0</v>
      </c>
      <c r="AG86" s="1">
        <v>0</v>
      </c>
      <c r="AH86" s="1">
        <v>0</v>
      </c>
      <c r="AI86" s="1">
        <v>0</v>
      </c>
      <c r="AJ86" s="1">
        <v>0</v>
      </c>
      <c r="AK86" s="1">
        <v>0</v>
      </c>
      <c r="AL86" s="1">
        <v>0</v>
      </c>
      <c r="AM86" s="1">
        <v>0</v>
      </c>
      <c r="AN86" s="1">
        <v>0</v>
      </c>
      <c r="AO86" s="1">
        <v>0</v>
      </c>
      <c r="AP86" s="1">
        <v>0</v>
      </c>
      <c r="AQ86" s="1">
        <v>0</v>
      </c>
      <c r="AR86" s="1">
        <v>0</v>
      </c>
      <c r="AS86" s="1">
        <v>0</v>
      </c>
      <c r="AT86" s="1">
        <v>0</v>
      </c>
      <c r="AU86" s="1">
        <v>0</v>
      </c>
      <c r="AV86" s="1">
        <v>0</v>
      </c>
      <c r="AW86" s="1">
        <v>0</v>
      </c>
      <c r="AX86" s="1">
        <v>0</v>
      </c>
      <c r="AY86" s="1">
        <v>0</v>
      </c>
      <c r="AZ86" s="1">
        <v>1</v>
      </c>
      <c r="BA86" s="1">
        <v>1</v>
      </c>
      <c r="BB86" s="1">
        <v>2</v>
      </c>
      <c r="BC86" s="1">
        <v>2</v>
      </c>
      <c r="BD86" s="1">
        <v>2</v>
      </c>
      <c r="BE86" s="1">
        <v>2</v>
      </c>
      <c r="BF86" s="1">
        <v>3</v>
      </c>
      <c r="BG86" s="1">
        <v>4</v>
      </c>
      <c r="BH86" s="1">
        <v>14</v>
      </c>
      <c r="BI86" s="1">
        <v>18</v>
      </c>
      <c r="BJ86" s="1">
        <v>23</v>
      </c>
      <c r="BK86" s="1">
        <v>30</v>
      </c>
      <c r="BL86" s="1">
        <v>36</v>
      </c>
    </row>
    <row r="87" spans="1:64" x14ac:dyDescent="0.25">
      <c r="A87" s="1" t="s">
        <v>64</v>
      </c>
      <c r="B87" s="1" t="s">
        <v>147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0</v>
      </c>
      <c r="AD87" s="1">
        <v>0</v>
      </c>
      <c r="AE87" s="1">
        <v>0</v>
      </c>
      <c r="AF87" s="1">
        <v>0</v>
      </c>
      <c r="AG87" s="1">
        <v>0</v>
      </c>
      <c r="AH87" s="1">
        <v>0</v>
      </c>
      <c r="AI87" s="1">
        <v>0</v>
      </c>
      <c r="AJ87" s="1">
        <v>0</v>
      </c>
      <c r="AK87" s="1">
        <v>0</v>
      </c>
      <c r="AL87" s="1">
        <v>0</v>
      </c>
      <c r="AM87" s="1">
        <v>0</v>
      </c>
      <c r="AN87" s="1">
        <v>0</v>
      </c>
      <c r="AO87" s="1">
        <v>0</v>
      </c>
      <c r="AP87" s="1">
        <v>0</v>
      </c>
      <c r="AQ87" s="1">
        <v>0</v>
      </c>
      <c r="AR87" s="1">
        <v>0</v>
      </c>
      <c r="AS87" s="1">
        <v>0</v>
      </c>
      <c r="AT87" s="1">
        <v>0</v>
      </c>
      <c r="AU87" s="1">
        <v>1</v>
      </c>
      <c r="AV87" s="1">
        <v>1</v>
      </c>
      <c r="AW87" s="1">
        <v>5</v>
      </c>
      <c r="AX87" s="1">
        <v>9</v>
      </c>
      <c r="AY87" s="1">
        <v>9</v>
      </c>
      <c r="AZ87" s="1">
        <v>13</v>
      </c>
      <c r="BA87" s="1">
        <v>22</v>
      </c>
      <c r="BB87" s="1">
        <v>23</v>
      </c>
      <c r="BC87" s="1">
        <v>26</v>
      </c>
      <c r="BD87" s="1">
        <v>27</v>
      </c>
      <c r="BE87" s="1">
        <v>35</v>
      </c>
      <c r="BF87" s="1">
        <v>41</v>
      </c>
      <c r="BG87" s="1">
        <v>50</v>
      </c>
      <c r="BH87" s="1">
        <v>69</v>
      </c>
      <c r="BI87" s="1">
        <v>89</v>
      </c>
      <c r="BJ87" s="1">
        <v>117</v>
      </c>
      <c r="BK87" s="1">
        <v>134</v>
      </c>
      <c r="BL87" s="1">
        <v>158</v>
      </c>
    </row>
    <row r="88" spans="1:64" x14ac:dyDescent="0.25">
      <c r="A88" s="1" t="s">
        <v>64</v>
      </c>
      <c r="B88" s="1" t="s">
        <v>272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0</v>
      </c>
      <c r="AD88" s="1">
        <v>0</v>
      </c>
      <c r="AE88" s="1">
        <v>0</v>
      </c>
      <c r="AF88" s="1">
        <v>0</v>
      </c>
      <c r="AG88" s="1">
        <v>0</v>
      </c>
      <c r="AH88" s="1">
        <v>0</v>
      </c>
      <c r="AI88" s="1">
        <v>0</v>
      </c>
      <c r="AJ88" s="1">
        <v>0</v>
      </c>
      <c r="AK88" s="1">
        <v>0</v>
      </c>
      <c r="AL88" s="1">
        <v>0</v>
      </c>
      <c r="AM88" s="1">
        <v>0</v>
      </c>
      <c r="AN88" s="1">
        <v>0</v>
      </c>
      <c r="AO88" s="1">
        <v>0</v>
      </c>
      <c r="AP88" s="1">
        <v>0</v>
      </c>
      <c r="AQ88" s="1">
        <v>0</v>
      </c>
      <c r="AR88" s="1">
        <v>0</v>
      </c>
      <c r="AS88" s="1">
        <v>0</v>
      </c>
      <c r="AT88" s="1">
        <v>0</v>
      </c>
      <c r="AU88" s="1">
        <v>0</v>
      </c>
      <c r="AV88" s="1">
        <v>0</v>
      </c>
      <c r="AW88" s="1">
        <v>0</v>
      </c>
      <c r="AX88" s="1">
        <v>0</v>
      </c>
      <c r="AY88" s="1">
        <v>0</v>
      </c>
      <c r="AZ88" s="1">
        <v>1</v>
      </c>
      <c r="BA88" s="1">
        <v>1</v>
      </c>
      <c r="BB88" s="1">
        <v>1</v>
      </c>
      <c r="BC88" s="1">
        <v>1</v>
      </c>
      <c r="BD88" s="1">
        <v>1</v>
      </c>
      <c r="BE88" s="1">
        <v>1</v>
      </c>
      <c r="BF88" s="1">
        <v>5</v>
      </c>
      <c r="BG88" s="1">
        <v>6</v>
      </c>
      <c r="BH88" s="1">
        <v>9</v>
      </c>
      <c r="BI88" s="1">
        <v>9</v>
      </c>
      <c r="BJ88" s="1">
        <v>14</v>
      </c>
      <c r="BK88" s="1">
        <v>14</v>
      </c>
      <c r="BL88" s="1">
        <v>25</v>
      </c>
    </row>
    <row r="89" spans="1:64" x14ac:dyDescent="0.25">
      <c r="A89" s="1" t="s">
        <v>64</v>
      </c>
      <c r="B89" s="1" t="s">
        <v>96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0</v>
      </c>
      <c r="AD89" s="1">
        <v>0</v>
      </c>
      <c r="AE89" s="1">
        <v>0</v>
      </c>
      <c r="AF89" s="1">
        <v>0</v>
      </c>
      <c r="AG89" s="1">
        <v>0</v>
      </c>
      <c r="AH89" s="1">
        <v>0</v>
      </c>
      <c r="AI89" s="1">
        <v>0</v>
      </c>
      <c r="AJ89" s="1">
        <v>0</v>
      </c>
      <c r="AK89" s="1">
        <v>1</v>
      </c>
      <c r="AL89" s="1">
        <v>3</v>
      </c>
      <c r="AM89" s="1">
        <v>3</v>
      </c>
      <c r="AN89" s="1">
        <v>5</v>
      </c>
      <c r="AO89" s="1">
        <v>6</v>
      </c>
      <c r="AP89" s="1">
        <v>7</v>
      </c>
      <c r="AQ89" s="1">
        <v>7</v>
      </c>
      <c r="AR89" s="1">
        <v>9</v>
      </c>
      <c r="AS89" s="1">
        <v>10</v>
      </c>
      <c r="AT89" s="1">
        <v>10</v>
      </c>
      <c r="AU89" s="1">
        <v>11</v>
      </c>
      <c r="AV89" s="1">
        <v>12</v>
      </c>
      <c r="AW89" s="1">
        <v>12</v>
      </c>
      <c r="AX89" s="1">
        <v>12</v>
      </c>
      <c r="AY89" s="1">
        <v>14</v>
      </c>
      <c r="AZ89" s="1">
        <v>19</v>
      </c>
      <c r="BA89" s="1">
        <v>19</v>
      </c>
      <c r="BB89" s="1">
        <v>32</v>
      </c>
      <c r="BC89" s="1">
        <v>38</v>
      </c>
      <c r="BD89" s="1">
        <v>49</v>
      </c>
      <c r="BE89" s="1">
        <v>57</v>
      </c>
      <c r="BF89" s="1">
        <v>65</v>
      </c>
      <c r="BG89" s="1">
        <v>81</v>
      </c>
      <c r="BH89" s="1">
        <v>105</v>
      </c>
      <c r="BI89" s="1">
        <v>128</v>
      </c>
      <c r="BJ89" s="1">
        <v>206</v>
      </c>
      <c r="BK89" s="1">
        <v>254</v>
      </c>
      <c r="BL89" s="1">
        <v>315</v>
      </c>
    </row>
    <row r="90" spans="1:64" x14ac:dyDescent="0.25">
      <c r="A90" s="1" t="s">
        <v>169</v>
      </c>
      <c r="B90" s="1" t="s">
        <v>232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61</v>
      </c>
      <c r="T90" s="1">
        <v>61</v>
      </c>
      <c r="U90" s="1">
        <v>64</v>
      </c>
      <c r="V90" s="1">
        <v>135</v>
      </c>
      <c r="W90" s="1">
        <v>135</v>
      </c>
      <c r="X90" s="1">
        <v>175</v>
      </c>
      <c r="Y90" s="1">
        <v>175</v>
      </c>
      <c r="Z90" s="1">
        <v>218</v>
      </c>
      <c r="AA90" s="1">
        <v>285</v>
      </c>
      <c r="AB90" s="1">
        <v>355</v>
      </c>
      <c r="AC90" s="1">
        <v>454</v>
      </c>
      <c r="AD90" s="1">
        <v>542</v>
      </c>
      <c r="AE90" s="1">
        <v>621</v>
      </c>
      <c r="AF90" s="1">
        <v>634</v>
      </c>
      <c r="AG90" s="1">
        <v>634</v>
      </c>
      <c r="AH90" s="1">
        <v>634</v>
      </c>
      <c r="AI90" s="1">
        <v>691</v>
      </c>
      <c r="AJ90" s="1">
        <v>691</v>
      </c>
      <c r="AK90" s="1">
        <v>691</v>
      </c>
      <c r="AL90" s="1">
        <v>705</v>
      </c>
      <c r="AM90" s="1">
        <v>705</v>
      </c>
      <c r="AN90" s="1">
        <v>705</v>
      </c>
      <c r="AO90" s="1">
        <v>705</v>
      </c>
      <c r="AP90" s="1">
        <v>705</v>
      </c>
      <c r="AQ90" s="1">
        <v>705</v>
      </c>
      <c r="AR90" s="1">
        <v>706</v>
      </c>
      <c r="AS90" s="1">
        <v>706</v>
      </c>
      <c r="AT90" s="1">
        <v>706</v>
      </c>
      <c r="AU90" s="1">
        <v>706</v>
      </c>
      <c r="AV90" s="1">
        <v>706</v>
      </c>
      <c r="AW90" s="1">
        <v>706</v>
      </c>
      <c r="AX90" s="1">
        <v>706</v>
      </c>
      <c r="AY90" s="1">
        <v>706</v>
      </c>
      <c r="AZ90" s="1">
        <v>706</v>
      </c>
      <c r="BA90" s="1">
        <v>706</v>
      </c>
      <c r="BB90" s="1">
        <v>706</v>
      </c>
      <c r="BC90" s="1">
        <v>706</v>
      </c>
      <c r="BD90" s="1">
        <v>706</v>
      </c>
      <c r="BE90" s="1">
        <v>706</v>
      </c>
      <c r="BF90" s="1">
        <v>706</v>
      </c>
      <c r="BG90" s="1">
        <v>712</v>
      </c>
      <c r="BH90" s="1">
        <v>712</v>
      </c>
      <c r="BI90" s="1">
        <v>712</v>
      </c>
      <c r="BJ90" s="1">
        <v>712</v>
      </c>
      <c r="BK90" s="1">
        <v>712</v>
      </c>
      <c r="BL90" s="1">
        <v>712</v>
      </c>
    </row>
    <row r="91" spans="1:64" x14ac:dyDescent="0.25">
      <c r="A91" s="1" t="s">
        <v>64</v>
      </c>
      <c r="B91" s="1" t="s">
        <v>468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1">
        <v>0</v>
      </c>
      <c r="AG91" s="1">
        <v>0</v>
      </c>
      <c r="AH91" s="1">
        <v>0</v>
      </c>
      <c r="AI91" s="1">
        <v>0</v>
      </c>
      <c r="AJ91" s="1">
        <v>0</v>
      </c>
      <c r="AK91" s="1">
        <v>0</v>
      </c>
      <c r="AL91" s="1">
        <v>0</v>
      </c>
      <c r="AM91" s="1">
        <v>0</v>
      </c>
      <c r="AN91" s="1">
        <v>0</v>
      </c>
      <c r="AO91" s="1">
        <v>0</v>
      </c>
      <c r="AP91" s="1">
        <v>0</v>
      </c>
      <c r="AQ91" s="1">
        <v>0</v>
      </c>
      <c r="AR91" s="1">
        <v>0</v>
      </c>
      <c r="AS91" s="1">
        <v>0</v>
      </c>
      <c r="AT91" s="1">
        <v>0</v>
      </c>
      <c r="AU91" s="1">
        <v>0</v>
      </c>
      <c r="AV91" s="1">
        <v>0</v>
      </c>
      <c r="AW91" s="1">
        <v>0</v>
      </c>
      <c r="AX91" s="1">
        <v>0</v>
      </c>
      <c r="AY91" s="1">
        <v>0</v>
      </c>
      <c r="AZ91" s="1">
        <v>0</v>
      </c>
      <c r="BA91" s="1">
        <v>3</v>
      </c>
      <c r="BB91" s="1">
        <v>4</v>
      </c>
      <c r="BC91" s="1">
        <v>4</v>
      </c>
      <c r="BD91" s="1">
        <v>4</v>
      </c>
      <c r="BE91" s="1">
        <v>4</v>
      </c>
      <c r="BF91" s="1">
        <v>5</v>
      </c>
      <c r="BG91" s="1">
        <v>7</v>
      </c>
      <c r="BH91" s="1">
        <v>11</v>
      </c>
      <c r="BI91" s="1">
        <v>16</v>
      </c>
      <c r="BJ91" s="1">
        <v>21</v>
      </c>
      <c r="BK91" s="1">
        <v>35</v>
      </c>
      <c r="BL91" s="1">
        <v>40</v>
      </c>
    </row>
    <row r="92" spans="1:64" x14ac:dyDescent="0.25">
      <c r="A92" s="1" t="s">
        <v>64</v>
      </c>
      <c r="B92" s="1" t="s">
        <v>162</v>
      </c>
      <c r="C92" s="1">
        <v>0</v>
      </c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0</v>
      </c>
      <c r="J92" s="1">
        <v>0</v>
      </c>
      <c r="K92" s="1">
        <v>0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0</v>
      </c>
      <c r="AD92" s="1">
        <v>0</v>
      </c>
      <c r="AE92" s="1">
        <v>0</v>
      </c>
      <c r="AF92" s="1">
        <v>0</v>
      </c>
      <c r="AG92" s="1">
        <v>0</v>
      </c>
      <c r="AH92" s="1">
        <v>0</v>
      </c>
      <c r="AI92" s="1">
        <v>0</v>
      </c>
      <c r="AJ92" s="1">
        <v>0</v>
      </c>
      <c r="AK92" s="1">
        <v>0</v>
      </c>
      <c r="AL92" s="1">
        <v>0</v>
      </c>
      <c r="AM92" s="1">
        <v>0</v>
      </c>
      <c r="AN92" s="1">
        <v>0</v>
      </c>
      <c r="AO92" s="1">
        <v>0</v>
      </c>
      <c r="AP92" s="1">
        <v>0</v>
      </c>
      <c r="AQ92" s="1">
        <v>0</v>
      </c>
      <c r="AR92" s="1">
        <v>0</v>
      </c>
      <c r="AS92" s="1">
        <v>0</v>
      </c>
      <c r="AT92" s="1">
        <v>0</v>
      </c>
      <c r="AU92" s="1">
        <v>0</v>
      </c>
      <c r="AV92" s="1">
        <v>0</v>
      </c>
      <c r="AW92" s="1">
        <v>0</v>
      </c>
      <c r="AX92" s="1">
        <v>2</v>
      </c>
      <c r="AY92" s="1">
        <v>3</v>
      </c>
      <c r="AZ92" s="1">
        <v>6</v>
      </c>
      <c r="BA92" s="1">
        <v>6</v>
      </c>
      <c r="BB92" s="1">
        <v>14</v>
      </c>
      <c r="BC92" s="1">
        <v>26</v>
      </c>
      <c r="BD92" s="1">
        <v>26</v>
      </c>
      <c r="BE92" s="1">
        <v>33</v>
      </c>
      <c r="BF92" s="1">
        <v>46</v>
      </c>
      <c r="BG92" s="1">
        <v>49</v>
      </c>
      <c r="BH92" s="1">
        <v>67</v>
      </c>
      <c r="BI92" s="1">
        <v>67</v>
      </c>
      <c r="BJ92" s="1">
        <v>84</v>
      </c>
      <c r="BK92" s="1">
        <v>95</v>
      </c>
      <c r="BL92" s="1">
        <v>116</v>
      </c>
    </row>
    <row r="93" spans="1:64" x14ac:dyDescent="0.25">
      <c r="A93" s="1" t="s">
        <v>64</v>
      </c>
      <c r="B93" s="1" t="s">
        <v>253</v>
      </c>
      <c r="C93" s="1">
        <v>0</v>
      </c>
      <c r="D93" s="1">
        <v>0</v>
      </c>
      <c r="E93" s="1">
        <v>0</v>
      </c>
      <c r="F93" s="1">
        <v>0</v>
      </c>
      <c r="G93" s="1">
        <v>0</v>
      </c>
      <c r="H93" s="1">
        <v>0</v>
      </c>
      <c r="I93" s="1">
        <v>0</v>
      </c>
      <c r="J93" s="1">
        <v>0</v>
      </c>
      <c r="K93" s="1">
        <v>0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0</v>
      </c>
      <c r="AD93" s="1">
        <v>0</v>
      </c>
      <c r="AE93" s="1">
        <v>0</v>
      </c>
      <c r="AF93" s="1">
        <v>0</v>
      </c>
      <c r="AG93" s="1">
        <v>0</v>
      </c>
      <c r="AH93" s="1">
        <v>0</v>
      </c>
      <c r="AI93" s="1">
        <v>0</v>
      </c>
      <c r="AJ93" s="1">
        <v>0</v>
      </c>
      <c r="AK93" s="1">
        <v>0</v>
      </c>
      <c r="AL93" s="1">
        <v>0</v>
      </c>
      <c r="AM93" s="1">
        <v>0</v>
      </c>
      <c r="AN93" s="1">
        <v>0</v>
      </c>
      <c r="AO93" s="1">
        <v>0</v>
      </c>
      <c r="AP93" s="1">
        <v>3</v>
      </c>
      <c r="AQ93" s="1">
        <v>3</v>
      </c>
      <c r="AR93" s="1">
        <v>5</v>
      </c>
      <c r="AS93" s="1">
        <v>8</v>
      </c>
      <c r="AT93" s="1">
        <v>12</v>
      </c>
      <c r="AU93" s="1">
        <v>18</v>
      </c>
      <c r="AV93" s="1">
        <v>19</v>
      </c>
      <c r="AW93" s="1">
        <v>31</v>
      </c>
      <c r="AX93" s="1">
        <v>31</v>
      </c>
      <c r="AY93" s="1">
        <v>41</v>
      </c>
      <c r="AZ93" s="1">
        <v>91</v>
      </c>
      <c r="BA93" s="1">
        <v>94</v>
      </c>
      <c r="BB93" s="1">
        <v>141</v>
      </c>
      <c r="BC93" s="1">
        <v>189</v>
      </c>
      <c r="BD93" s="1">
        <v>253</v>
      </c>
      <c r="BE93" s="1">
        <v>298</v>
      </c>
      <c r="BF93" s="1">
        <v>396</v>
      </c>
      <c r="BG93" s="1">
        <v>464</v>
      </c>
      <c r="BH93" s="1">
        <v>694</v>
      </c>
      <c r="BI93" s="1">
        <v>833</v>
      </c>
      <c r="BJ93" s="1">
        <v>995</v>
      </c>
      <c r="BK93" s="1">
        <v>1120</v>
      </c>
      <c r="BL93" s="1">
        <v>1236</v>
      </c>
    </row>
    <row r="94" spans="1:64" x14ac:dyDescent="0.25">
      <c r="A94" s="1" t="s">
        <v>264</v>
      </c>
      <c r="B94" s="1" t="s">
        <v>237</v>
      </c>
      <c r="C94" s="1">
        <v>0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  <c r="J94" s="1">
        <v>0</v>
      </c>
      <c r="K94" s="1">
        <v>0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>
        <v>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0</v>
      </c>
      <c r="AD94" s="1">
        <v>0</v>
      </c>
      <c r="AE94" s="1">
        <v>0</v>
      </c>
      <c r="AF94" s="1">
        <v>0</v>
      </c>
      <c r="AG94" s="1">
        <v>0</v>
      </c>
      <c r="AH94" s="1">
        <v>0</v>
      </c>
      <c r="AI94" s="1">
        <v>0</v>
      </c>
      <c r="AJ94" s="1">
        <v>0</v>
      </c>
      <c r="AK94" s="1">
        <v>0</v>
      </c>
      <c r="AL94" s="1">
        <v>0</v>
      </c>
      <c r="AM94" s="1">
        <v>0</v>
      </c>
      <c r="AN94" s="1">
        <v>0</v>
      </c>
      <c r="AO94" s="1">
        <v>0</v>
      </c>
      <c r="AP94" s="1">
        <v>0</v>
      </c>
      <c r="AQ94" s="1">
        <v>0</v>
      </c>
      <c r="AR94" s="1">
        <v>0</v>
      </c>
      <c r="AS94" s="1">
        <v>1</v>
      </c>
      <c r="AT94" s="1">
        <v>1</v>
      </c>
      <c r="AU94" s="1">
        <v>1</v>
      </c>
      <c r="AV94" s="1">
        <v>1</v>
      </c>
      <c r="AW94" s="1">
        <v>2</v>
      </c>
      <c r="AX94" s="1">
        <v>2</v>
      </c>
      <c r="AY94" s="1">
        <v>2</v>
      </c>
      <c r="AZ94" s="1">
        <v>2</v>
      </c>
      <c r="BA94" s="1">
        <v>2</v>
      </c>
      <c r="BB94" s="1">
        <v>3</v>
      </c>
      <c r="BC94" s="1">
        <v>9</v>
      </c>
      <c r="BD94" s="1">
        <v>11</v>
      </c>
      <c r="BE94" s="1">
        <v>18</v>
      </c>
      <c r="BF94" s="1">
        <v>47</v>
      </c>
      <c r="BG94" s="1">
        <v>58</v>
      </c>
      <c r="BH94" s="1">
        <v>72</v>
      </c>
      <c r="BI94" s="1">
        <v>80</v>
      </c>
      <c r="BJ94" s="1">
        <v>92</v>
      </c>
      <c r="BK94" s="1">
        <v>115</v>
      </c>
      <c r="BL94" s="1">
        <v>118</v>
      </c>
    </row>
    <row r="95" spans="1:64" x14ac:dyDescent="0.25">
      <c r="A95" s="1" t="s">
        <v>527</v>
      </c>
      <c r="B95" s="1" t="s">
        <v>237</v>
      </c>
      <c r="C95" s="1">
        <v>0</v>
      </c>
      <c r="D95" s="1">
        <v>0</v>
      </c>
      <c r="E95" s="1">
        <v>0</v>
      </c>
      <c r="F95" s="1">
        <v>0</v>
      </c>
      <c r="G95" s="1">
        <v>0</v>
      </c>
      <c r="H95" s="1">
        <v>0</v>
      </c>
      <c r="I95" s="1">
        <v>0</v>
      </c>
      <c r="J95" s="1">
        <v>0</v>
      </c>
      <c r="K95" s="1">
        <v>0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0</v>
      </c>
      <c r="AD95" s="1">
        <v>0</v>
      </c>
      <c r="AE95" s="1">
        <v>0</v>
      </c>
      <c r="AF95" s="1">
        <v>0</v>
      </c>
      <c r="AG95" s="1">
        <v>0</v>
      </c>
      <c r="AH95" s="1">
        <v>0</v>
      </c>
      <c r="AI95" s="1">
        <v>0</v>
      </c>
      <c r="AJ95" s="1">
        <v>0</v>
      </c>
      <c r="AK95" s="1">
        <v>0</v>
      </c>
      <c r="AL95" s="1">
        <v>0</v>
      </c>
      <c r="AM95" s="1">
        <v>0</v>
      </c>
      <c r="AN95" s="1">
        <v>0</v>
      </c>
      <c r="AO95" s="1">
        <v>0</v>
      </c>
      <c r="AP95" s="1">
        <v>0</v>
      </c>
      <c r="AQ95" s="1">
        <v>0</v>
      </c>
      <c r="AR95" s="1">
        <v>0</v>
      </c>
      <c r="AS95" s="1">
        <v>0</v>
      </c>
      <c r="AT95" s="1">
        <v>0</v>
      </c>
      <c r="AU95" s="1">
        <v>0</v>
      </c>
      <c r="AV95" s="1">
        <v>0</v>
      </c>
      <c r="AW95" s="1">
        <v>0</v>
      </c>
      <c r="AX95" s="1">
        <v>0</v>
      </c>
      <c r="AY95" s="1">
        <v>0</v>
      </c>
      <c r="AZ95" s="1">
        <v>0</v>
      </c>
      <c r="BA95" s="1">
        <v>0</v>
      </c>
      <c r="BB95" s="1">
        <v>0</v>
      </c>
      <c r="BC95" s="1">
        <v>0</v>
      </c>
      <c r="BD95" s="1">
        <v>0</v>
      </c>
      <c r="BE95" s="1">
        <v>1</v>
      </c>
      <c r="BF95" s="1">
        <v>1</v>
      </c>
      <c r="BG95" s="1">
        <v>1</v>
      </c>
      <c r="BH95" s="1">
        <v>2</v>
      </c>
      <c r="BI95" s="1">
        <v>2</v>
      </c>
      <c r="BJ95" s="1">
        <v>2</v>
      </c>
      <c r="BK95" s="1">
        <v>4</v>
      </c>
      <c r="BL95" s="1">
        <v>4</v>
      </c>
    </row>
    <row r="96" spans="1:64" x14ac:dyDescent="0.25">
      <c r="A96" s="1" t="s">
        <v>64</v>
      </c>
      <c r="B96" s="1" t="s">
        <v>237</v>
      </c>
      <c r="C96" s="1">
        <v>0</v>
      </c>
      <c r="D96" s="1">
        <v>0</v>
      </c>
      <c r="E96" s="1">
        <v>0</v>
      </c>
      <c r="F96" s="1">
        <v>0</v>
      </c>
      <c r="G96" s="1">
        <v>0</v>
      </c>
      <c r="H96" s="1">
        <v>0</v>
      </c>
      <c r="I96" s="1">
        <v>0</v>
      </c>
      <c r="J96" s="1">
        <v>0</v>
      </c>
      <c r="K96" s="1">
        <v>0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0</v>
      </c>
      <c r="AD96" s="1">
        <v>0</v>
      </c>
      <c r="AE96" s="1">
        <v>0</v>
      </c>
      <c r="AF96" s="1">
        <v>0</v>
      </c>
      <c r="AG96" s="1">
        <v>0</v>
      </c>
      <c r="AH96" s="1">
        <v>0</v>
      </c>
      <c r="AI96" s="1">
        <v>0</v>
      </c>
      <c r="AJ96" s="1">
        <v>0</v>
      </c>
      <c r="AK96" s="1">
        <v>0</v>
      </c>
      <c r="AL96" s="1">
        <v>0</v>
      </c>
      <c r="AM96" s="1">
        <v>1</v>
      </c>
      <c r="AN96" s="1">
        <v>1</v>
      </c>
      <c r="AO96" s="1">
        <v>3</v>
      </c>
      <c r="AP96" s="1">
        <v>4</v>
      </c>
      <c r="AQ96" s="1">
        <v>4</v>
      </c>
      <c r="AR96" s="1">
        <v>6</v>
      </c>
      <c r="AS96" s="1">
        <v>10</v>
      </c>
      <c r="AT96" s="1">
        <v>10</v>
      </c>
      <c r="AU96" s="1">
        <v>23</v>
      </c>
      <c r="AV96" s="1">
        <v>23</v>
      </c>
      <c r="AW96" s="1">
        <v>35</v>
      </c>
      <c r="AX96" s="1">
        <v>90</v>
      </c>
      <c r="AY96" s="1">
        <v>262</v>
      </c>
      <c r="AZ96" s="1">
        <v>442</v>
      </c>
      <c r="BA96" s="1">
        <v>615</v>
      </c>
      <c r="BB96" s="1">
        <v>801</v>
      </c>
      <c r="BC96" s="1">
        <v>827</v>
      </c>
      <c r="BD96" s="1">
        <v>864</v>
      </c>
      <c r="BE96" s="1">
        <v>914</v>
      </c>
      <c r="BF96" s="1">
        <v>977</v>
      </c>
      <c r="BG96" s="1">
        <v>1057</v>
      </c>
      <c r="BH96" s="1">
        <v>1151</v>
      </c>
      <c r="BI96" s="1">
        <v>1255</v>
      </c>
      <c r="BJ96" s="1">
        <v>1326</v>
      </c>
      <c r="BK96" s="1">
        <v>1395</v>
      </c>
      <c r="BL96" s="1">
        <v>1450</v>
      </c>
    </row>
    <row r="97" spans="1:64" x14ac:dyDescent="0.25">
      <c r="A97" s="1" t="s">
        <v>64</v>
      </c>
      <c r="B97" s="1" t="s">
        <v>523</v>
      </c>
      <c r="C97" s="1">
        <v>0</v>
      </c>
      <c r="D97" s="1">
        <v>0</v>
      </c>
      <c r="E97" s="1">
        <v>0</v>
      </c>
      <c r="F97" s="1">
        <v>0</v>
      </c>
      <c r="G97" s="1">
        <v>0</v>
      </c>
      <c r="H97" s="1">
        <v>0</v>
      </c>
      <c r="I97" s="1">
        <v>0</v>
      </c>
      <c r="J97" s="1">
        <v>0</v>
      </c>
      <c r="K97" s="1">
        <v>0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0</v>
      </c>
      <c r="AD97" s="1">
        <v>0</v>
      </c>
      <c r="AE97" s="1">
        <v>0</v>
      </c>
      <c r="AF97" s="1">
        <v>0</v>
      </c>
      <c r="AG97" s="1">
        <v>0</v>
      </c>
      <c r="AH97" s="1">
        <v>0</v>
      </c>
      <c r="AI97" s="1">
        <v>0</v>
      </c>
      <c r="AJ97" s="1">
        <v>0</v>
      </c>
      <c r="AK97" s="1">
        <v>0</v>
      </c>
      <c r="AL97" s="1">
        <v>0</v>
      </c>
      <c r="AM97" s="1">
        <v>0</v>
      </c>
      <c r="AN97" s="1">
        <v>0</v>
      </c>
      <c r="AO97" s="1">
        <v>0</v>
      </c>
      <c r="AP97" s="1">
        <v>0</v>
      </c>
      <c r="AQ97" s="1">
        <v>0</v>
      </c>
      <c r="AR97" s="1">
        <v>0</v>
      </c>
      <c r="AS97" s="1">
        <v>0</v>
      </c>
      <c r="AT97" s="1">
        <v>0</v>
      </c>
      <c r="AU97" s="1">
        <v>0</v>
      </c>
      <c r="AV97" s="1">
        <v>0</v>
      </c>
      <c r="AW97" s="1">
        <v>0</v>
      </c>
      <c r="AX97" s="1">
        <v>0</v>
      </c>
      <c r="AY97" s="1">
        <v>0</v>
      </c>
      <c r="AZ97" s="1">
        <v>0</v>
      </c>
      <c r="BA97" s="1">
        <v>0</v>
      </c>
      <c r="BB97" s="1">
        <v>0</v>
      </c>
      <c r="BC97" s="1">
        <v>0</v>
      </c>
      <c r="BD97" s="1">
        <v>0</v>
      </c>
      <c r="BE97" s="1">
        <v>0</v>
      </c>
      <c r="BF97" s="1">
        <v>0</v>
      </c>
      <c r="BG97" s="1">
        <v>1</v>
      </c>
      <c r="BH97" s="1">
        <v>1</v>
      </c>
      <c r="BI97" s="1">
        <v>1</v>
      </c>
      <c r="BJ97" s="1">
        <v>1</v>
      </c>
      <c r="BK97" s="1">
        <v>1</v>
      </c>
      <c r="BL97" s="1">
        <v>3</v>
      </c>
    </row>
    <row r="98" spans="1:64" x14ac:dyDescent="0.25">
      <c r="A98" s="1" t="s">
        <v>64</v>
      </c>
      <c r="B98" s="1" t="s">
        <v>123</v>
      </c>
      <c r="C98" s="1">
        <v>0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  <c r="K98" s="1">
        <v>0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>
        <v>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>
        <v>0</v>
      </c>
      <c r="AJ98" s="1">
        <v>0</v>
      </c>
      <c r="AK98" s="1">
        <v>0</v>
      </c>
      <c r="AL98" s="1">
        <v>0</v>
      </c>
      <c r="AM98" s="1">
        <v>0</v>
      </c>
      <c r="AN98" s="1">
        <v>0</v>
      </c>
      <c r="AO98" s="1">
        <v>0</v>
      </c>
      <c r="AP98" s="1">
        <v>1</v>
      </c>
      <c r="AQ98" s="1">
        <v>1</v>
      </c>
      <c r="AR98" s="1">
        <v>1</v>
      </c>
      <c r="AS98" s="1">
        <v>1</v>
      </c>
      <c r="AT98" s="1">
        <v>1</v>
      </c>
      <c r="AU98" s="1">
        <v>2</v>
      </c>
      <c r="AV98" s="1">
        <v>2</v>
      </c>
      <c r="AW98" s="1">
        <v>5</v>
      </c>
      <c r="AX98" s="1">
        <v>5</v>
      </c>
      <c r="AY98" s="1">
        <v>5</v>
      </c>
      <c r="AZ98" s="1">
        <v>5</v>
      </c>
      <c r="BA98" s="1">
        <v>5</v>
      </c>
      <c r="BB98" s="1">
        <v>5</v>
      </c>
      <c r="BC98" s="1">
        <v>11</v>
      </c>
      <c r="BD98" s="1">
        <v>11</v>
      </c>
      <c r="BE98" s="1">
        <v>11</v>
      </c>
      <c r="BF98" s="1">
        <v>21</v>
      </c>
      <c r="BG98" s="1">
        <v>21</v>
      </c>
      <c r="BH98" s="1">
        <v>34</v>
      </c>
      <c r="BI98" s="1">
        <v>72</v>
      </c>
      <c r="BJ98" s="1">
        <v>112</v>
      </c>
      <c r="BK98" s="1">
        <v>202</v>
      </c>
      <c r="BL98" s="1">
        <v>245</v>
      </c>
    </row>
    <row r="99" spans="1:64" x14ac:dyDescent="0.25">
      <c r="A99" s="1" t="s">
        <v>64</v>
      </c>
      <c r="B99" s="1" t="s">
        <v>120</v>
      </c>
      <c r="C99" s="1">
        <v>0</v>
      </c>
      <c r="D99" s="1">
        <v>0</v>
      </c>
      <c r="E99" s="1">
        <v>0</v>
      </c>
      <c r="F99" s="1">
        <v>0</v>
      </c>
      <c r="G99" s="1">
        <v>0</v>
      </c>
      <c r="H99" s="1">
        <v>0</v>
      </c>
      <c r="I99" s="1">
        <v>0</v>
      </c>
      <c r="J99" s="1">
        <v>0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>
        <v>0</v>
      </c>
      <c r="AJ99" s="1">
        <v>0</v>
      </c>
      <c r="AK99" s="1">
        <v>0</v>
      </c>
      <c r="AL99" s="1">
        <v>0</v>
      </c>
      <c r="AM99" s="1">
        <v>0</v>
      </c>
      <c r="AN99" s="1">
        <v>0</v>
      </c>
      <c r="AO99" s="1">
        <v>0</v>
      </c>
      <c r="AP99" s="1">
        <v>6</v>
      </c>
      <c r="AQ99" s="1">
        <v>6</v>
      </c>
      <c r="AR99" s="1">
        <v>7</v>
      </c>
      <c r="AS99" s="1">
        <v>10</v>
      </c>
      <c r="AT99" s="1">
        <v>13</v>
      </c>
      <c r="AU99" s="1">
        <v>13</v>
      </c>
      <c r="AV99" s="1">
        <v>13</v>
      </c>
      <c r="AW99" s="1">
        <v>14</v>
      </c>
      <c r="AX99" s="1">
        <v>15</v>
      </c>
      <c r="AY99" s="1">
        <v>15</v>
      </c>
      <c r="AZ99" s="1">
        <v>17</v>
      </c>
      <c r="BA99" s="1">
        <v>17</v>
      </c>
      <c r="BB99" s="1">
        <v>17</v>
      </c>
      <c r="BC99" s="1">
        <v>28</v>
      </c>
      <c r="BD99" s="1">
        <v>28</v>
      </c>
      <c r="BE99" s="1">
        <v>37</v>
      </c>
      <c r="BF99" s="1">
        <v>58</v>
      </c>
      <c r="BG99" s="1">
        <v>111</v>
      </c>
      <c r="BH99" s="1">
        <v>199</v>
      </c>
      <c r="BI99" s="1">
        <v>367</v>
      </c>
      <c r="BJ99" s="1">
        <v>506</v>
      </c>
      <c r="BK99" s="1">
        <v>789</v>
      </c>
      <c r="BL99" s="1">
        <v>981</v>
      </c>
    </row>
    <row r="100" spans="1:64" x14ac:dyDescent="0.25">
      <c r="A100" s="1" t="s">
        <v>64</v>
      </c>
      <c r="B100" s="1" t="s">
        <v>87</v>
      </c>
      <c r="C100" s="1">
        <v>0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>
        <v>0</v>
      </c>
      <c r="J100" s="1">
        <v>0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1</v>
      </c>
      <c r="AA100" s="1">
        <v>1</v>
      </c>
      <c r="AB100" s="1">
        <v>1</v>
      </c>
      <c r="AC100" s="1">
        <v>1</v>
      </c>
      <c r="AD100" s="1">
        <v>1</v>
      </c>
      <c r="AE100" s="1">
        <v>1</v>
      </c>
      <c r="AF100" s="1">
        <v>1</v>
      </c>
      <c r="AG100" s="1">
        <v>1</v>
      </c>
      <c r="AH100" s="1">
        <v>1</v>
      </c>
      <c r="AI100" s="1">
        <v>1</v>
      </c>
      <c r="AJ100" s="1">
        <v>1</v>
      </c>
      <c r="AK100" s="1">
        <v>1</v>
      </c>
      <c r="AL100" s="1">
        <v>1</v>
      </c>
      <c r="AM100" s="1">
        <v>1</v>
      </c>
      <c r="AN100" s="1">
        <v>1</v>
      </c>
      <c r="AO100" s="1">
        <v>1</v>
      </c>
      <c r="AP100" s="1">
        <v>2</v>
      </c>
      <c r="AQ100" s="1">
        <v>2</v>
      </c>
      <c r="AR100" s="1">
        <v>2</v>
      </c>
      <c r="AS100" s="1">
        <v>2</v>
      </c>
      <c r="AT100" s="1">
        <v>3</v>
      </c>
      <c r="AU100" s="1">
        <v>15</v>
      </c>
      <c r="AV100" s="1">
        <v>15</v>
      </c>
      <c r="AW100" s="1">
        <v>49</v>
      </c>
      <c r="AX100" s="1">
        <v>55</v>
      </c>
      <c r="AY100" s="1">
        <v>59</v>
      </c>
      <c r="AZ100" s="1">
        <v>60</v>
      </c>
      <c r="BA100" s="1">
        <v>67</v>
      </c>
      <c r="BB100" s="1">
        <v>80</v>
      </c>
      <c r="BC100" s="1">
        <v>109</v>
      </c>
      <c r="BD100" s="1">
        <v>110</v>
      </c>
      <c r="BE100" s="1">
        <v>150</v>
      </c>
      <c r="BF100" s="1">
        <v>196</v>
      </c>
      <c r="BG100" s="1">
        <v>196</v>
      </c>
      <c r="BH100" s="1">
        <v>256</v>
      </c>
      <c r="BI100" s="1">
        <v>285</v>
      </c>
      <c r="BJ100" s="1">
        <v>294</v>
      </c>
      <c r="BK100" s="1">
        <v>327</v>
      </c>
      <c r="BL100" s="1">
        <v>366</v>
      </c>
    </row>
    <row r="101" spans="1:64" x14ac:dyDescent="0.25">
      <c r="A101" s="1" t="s">
        <v>64</v>
      </c>
      <c r="B101" s="1" t="s">
        <v>531</v>
      </c>
      <c r="C101" s="1">
        <v>0</v>
      </c>
      <c r="D101" s="1">
        <v>0</v>
      </c>
      <c r="E101" s="1">
        <v>0</v>
      </c>
      <c r="F101" s="1">
        <v>0</v>
      </c>
      <c r="G101" s="1">
        <v>0</v>
      </c>
      <c r="H101" s="1">
        <v>0</v>
      </c>
      <c r="I101" s="1">
        <v>0</v>
      </c>
      <c r="J101" s="1">
        <v>0</v>
      </c>
      <c r="K101" s="1">
        <v>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1">
        <v>0</v>
      </c>
      <c r="AJ101" s="1">
        <v>0</v>
      </c>
      <c r="AK101" s="1">
        <v>0</v>
      </c>
      <c r="AL101" s="1">
        <v>0</v>
      </c>
      <c r="AM101" s="1">
        <v>0</v>
      </c>
      <c r="AN101" s="1">
        <v>0</v>
      </c>
      <c r="AO101" s="1">
        <v>0</v>
      </c>
      <c r="AP101" s="1">
        <v>0</v>
      </c>
      <c r="AQ101" s="1">
        <v>0</v>
      </c>
      <c r="AR101" s="1">
        <v>0</v>
      </c>
      <c r="AS101" s="1">
        <v>0</v>
      </c>
      <c r="AT101" s="1">
        <v>0</v>
      </c>
      <c r="AU101" s="1">
        <v>0</v>
      </c>
      <c r="AV101" s="1">
        <v>0</v>
      </c>
      <c r="AW101" s="1">
        <v>0</v>
      </c>
      <c r="AX101" s="1">
        <v>0</v>
      </c>
      <c r="AY101" s="1">
        <v>0</v>
      </c>
      <c r="AZ101" s="1">
        <v>0</v>
      </c>
      <c r="BA101" s="1">
        <v>0</v>
      </c>
      <c r="BB101" s="1">
        <v>0</v>
      </c>
      <c r="BC101" s="1">
        <v>0</v>
      </c>
      <c r="BD101" s="1">
        <v>0</v>
      </c>
      <c r="BE101" s="1">
        <v>0</v>
      </c>
      <c r="BF101" s="1">
        <v>0</v>
      </c>
      <c r="BG101" s="1">
        <v>0</v>
      </c>
      <c r="BH101" s="1">
        <v>1</v>
      </c>
      <c r="BI101" s="1">
        <v>1</v>
      </c>
      <c r="BJ101" s="1">
        <v>3</v>
      </c>
      <c r="BK101" s="1">
        <v>3</v>
      </c>
      <c r="BL101" s="1">
        <v>3</v>
      </c>
    </row>
    <row r="102" spans="1:64" x14ac:dyDescent="0.25">
      <c r="A102" s="1" t="s">
        <v>64</v>
      </c>
      <c r="B102" s="1" t="s">
        <v>503</v>
      </c>
      <c r="C102" s="1">
        <v>0</v>
      </c>
      <c r="D102" s="1">
        <v>0</v>
      </c>
      <c r="E102" s="1">
        <v>0</v>
      </c>
      <c r="F102" s="1">
        <v>0</v>
      </c>
      <c r="G102" s="1">
        <v>0</v>
      </c>
      <c r="H102" s="1">
        <v>0</v>
      </c>
      <c r="I102" s="1">
        <v>0</v>
      </c>
      <c r="J102" s="1">
        <v>0</v>
      </c>
      <c r="K102" s="1">
        <v>0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>
        <v>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1">
        <v>0</v>
      </c>
      <c r="AJ102" s="1">
        <v>0</v>
      </c>
      <c r="AK102" s="1">
        <v>0</v>
      </c>
      <c r="AL102" s="1">
        <v>0</v>
      </c>
      <c r="AM102" s="1">
        <v>0</v>
      </c>
      <c r="AN102" s="1">
        <v>0</v>
      </c>
      <c r="AO102" s="1">
        <v>0</v>
      </c>
      <c r="AP102" s="1">
        <v>0</v>
      </c>
      <c r="AQ102" s="1">
        <v>0</v>
      </c>
      <c r="AR102" s="1">
        <v>0</v>
      </c>
      <c r="AS102" s="1">
        <v>0</v>
      </c>
      <c r="AT102" s="1">
        <v>0</v>
      </c>
      <c r="AU102" s="1">
        <v>0</v>
      </c>
      <c r="AV102" s="1">
        <v>0</v>
      </c>
      <c r="AW102" s="1">
        <v>0</v>
      </c>
      <c r="AX102" s="1">
        <v>0</v>
      </c>
      <c r="AY102" s="1">
        <v>0</v>
      </c>
      <c r="AZ102" s="1">
        <v>0</v>
      </c>
      <c r="BA102" s="1">
        <v>0</v>
      </c>
      <c r="BB102" s="1">
        <v>0</v>
      </c>
      <c r="BC102" s="1">
        <v>0</v>
      </c>
      <c r="BD102" s="1">
        <v>1</v>
      </c>
      <c r="BE102" s="1">
        <v>1</v>
      </c>
      <c r="BF102" s="1">
        <v>1</v>
      </c>
      <c r="BG102" s="1">
        <v>4</v>
      </c>
      <c r="BH102" s="1">
        <v>6</v>
      </c>
      <c r="BI102" s="1">
        <v>6</v>
      </c>
      <c r="BJ102" s="1">
        <v>6</v>
      </c>
      <c r="BK102" s="1">
        <v>6</v>
      </c>
      <c r="BL102" s="1">
        <v>9</v>
      </c>
    </row>
    <row r="103" spans="1:64" x14ac:dyDescent="0.25">
      <c r="A103" s="1" t="s">
        <v>64</v>
      </c>
      <c r="B103" s="1" t="s">
        <v>546</v>
      </c>
      <c r="C103" s="1">
        <v>0</v>
      </c>
      <c r="D103" s="1">
        <v>0</v>
      </c>
      <c r="E103" s="1">
        <v>0</v>
      </c>
      <c r="F103" s="1">
        <v>0</v>
      </c>
      <c r="G103" s="1">
        <v>0</v>
      </c>
      <c r="H103" s="1">
        <v>0</v>
      </c>
      <c r="I103" s="1">
        <v>0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>
        <v>0</v>
      </c>
      <c r="AJ103" s="1">
        <v>0</v>
      </c>
      <c r="AK103" s="1">
        <v>0</v>
      </c>
      <c r="AL103" s="1">
        <v>0</v>
      </c>
      <c r="AM103" s="1">
        <v>0</v>
      </c>
      <c r="AN103" s="1">
        <v>0</v>
      </c>
      <c r="AO103" s="1">
        <v>0</v>
      </c>
      <c r="AP103" s="1">
        <v>0</v>
      </c>
      <c r="AQ103" s="1">
        <v>0</v>
      </c>
      <c r="AR103" s="1">
        <v>0</v>
      </c>
      <c r="AS103" s="1">
        <v>0</v>
      </c>
      <c r="AT103" s="1">
        <v>0</v>
      </c>
      <c r="AU103" s="1">
        <v>0</v>
      </c>
      <c r="AV103" s="1">
        <v>0</v>
      </c>
      <c r="AW103" s="1">
        <v>0</v>
      </c>
      <c r="AX103" s="1">
        <v>0</v>
      </c>
      <c r="AY103" s="1">
        <v>0</v>
      </c>
      <c r="AZ103" s="1">
        <v>0</v>
      </c>
      <c r="BA103" s="1">
        <v>0</v>
      </c>
      <c r="BB103" s="1">
        <v>0</v>
      </c>
      <c r="BC103" s="1">
        <v>0</v>
      </c>
      <c r="BD103" s="1">
        <v>0</v>
      </c>
      <c r="BE103" s="1">
        <v>0</v>
      </c>
      <c r="BF103" s="1">
        <v>0</v>
      </c>
      <c r="BG103" s="1">
        <v>0</v>
      </c>
      <c r="BH103" s="1">
        <v>0</v>
      </c>
      <c r="BI103" s="1">
        <v>0</v>
      </c>
      <c r="BJ103" s="1">
        <v>1</v>
      </c>
      <c r="BK103" s="1">
        <v>1</v>
      </c>
      <c r="BL103" s="1">
        <v>1</v>
      </c>
    </row>
    <row r="104" spans="1:64" x14ac:dyDescent="0.25">
      <c r="A104" s="1" t="s">
        <v>64</v>
      </c>
      <c r="B104" s="1" t="s">
        <v>107</v>
      </c>
      <c r="C104" s="1">
        <v>0</v>
      </c>
      <c r="D104" s="1">
        <v>0</v>
      </c>
      <c r="E104" s="1">
        <v>0</v>
      </c>
      <c r="F104" s="1">
        <v>0</v>
      </c>
      <c r="G104" s="1">
        <v>0</v>
      </c>
      <c r="H104" s="1">
        <v>0</v>
      </c>
      <c r="I104" s="1">
        <v>0</v>
      </c>
      <c r="J104" s="1">
        <v>0</v>
      </c>
      <c r="K104" s="1">
        <v>0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>
        <v>0</v>
      </c>
      <c r="AJ104" s="1">
        <v>0</v>
      </c>
      <c r="AK104" s="1">
        <v>0</v>
      </c>
      <c r="AL104" s="1">
        <v>0</v>
      </c>
      <c r="AM104" s="1">
        <v>1</v>
      </c>
      <c r="AN104" s="1">
        <v>1</v>
      </c>
      <c r="AO104" s="1">
        <v>1</v>
      </c>
      <c r="AP104" s="1">
        <v>1</v>
      </c>
      <c r="AQ104" s="1">
        <v>1</v>
      </c>
      <c r="AR104" s="1">
        <v>2</v>
      </c>
      <c r="AS104" s="1">
        <v>2</v>
      </c>
      <c r="AT104" s="1">
        <v>3</v>
      </c>
      <c r="AU104" s="1">
        <v>10</v>
      </c>
      <c r="AV104" s="1">
        <v>10</v>
      </c>
      <c r="AW104" s="1">
        <v>10</v>
      </c>
      <c r="AX104" s="1">
        <v>10</v>
      </c>
      <c r="AY104" s="1">
        <v>12</v>
      </c>
      <c r="AZ104" s="1">
        <v>16</v>
      </c>
      <c r="BA104" s="1">
        <v>16</v>
      </c>
      <c r="BB104" s="1">
        <v>79</v>
      </c>
      <c r="BC104" s="1">
        <v>115</v>
      </c>
      <c r="BD104" s="1">
        <v>171</v>
      </c>
      <c r="BE104" s="1">
        <v>205</v>
      </c>
      <c r="BF104" s="1">
        <v>225</v>
      </c>
      <c r="BG104" s="1">
        <v>258</v>
      </c>
      <c r="BH104" s="1">
        <v>267</v>
      </c>
      <c r="BI104" s="1">
        <v>283</v>
      </c>
      <c r="BJ104" s="1">
        <v>306</v>
      </c>
      <c r="BK104" s="1">
        <v>326</v>
      </c>
      <c r="BL104" s="1">
        <v>352</v>
      </c>
    </row>
    <row r="105" spans="1:64" x14ac:dyDescent="0.25">
      <c r="A105" s="1" t="s">
        <v>64</v>
      </c>
      <c r="B105" s="1" t="s">
        <v>488</v>
      </c>
      <c r="C105" s="1">
        <v>0</v>
      </c>
      <c r="D105" s="1">
        <v>0</v>
      </c>
      <c r="E105" s="1">
        <v>0</v>
      </c>
      <c r="F105" s="1">
        <v>0</v>
      </c>
      <c r="G105" s="1">
        <v>0</v>
      </c>
      <c r="H105" s="1">
        <v>0</v>
      </c>
      <c r="I105" s="1">
        <v>0</v>
      </c>
      <c r="J105" s="1">
        <v>0</v>
      </c>
      <c r="K105" s="1">
        <v>0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0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>
        <v>0</v>
      </c>
      <c r="AJ105" s="1">
        <v>0</v>
      </c>
      <c r="AK105" s="1">
        <v>0</v>
      </c>
      <c r="AL105" s="1">
        <v>0</v>
      </c>
      <c r="AM105" s="1">
        <v>0</v>
      </c>
      <c r="AN105" s="1">
        <v>0</v>
      </c>
      <c r="AO105" s="1">
        <v>0</v>
      </c>
      <c r="AP105" s="1">
        <v>0</v>
      </c>
      <c r="AQ105" s="1">
        <v>0</v>
      </c>
      <c r="AR105" s="1">
        <v>0</v>
      </c>
      <c r="AS105" s="1">
        <v>0</v>
      </c>
      <c r="AT105" s="1">
        <v>0</v>
      </c>
      <c r="AU105" s="1">
        <v>0</v>
      </c>
      <c r="AV105" s="1">
        <v>0</v>
      </c>
      <c r="AW105" s="1">
        <v>0</v>
      </c>
      <c r="AX105" s="1">
        <v>0</v>
      </c>
      <c r="AY105" s="1">
        <v>0</v>
      </c>
      <c r="AZ105" s="1">
        <v>0</v>
      </c>
      <c r="BA105" s="1">
        <v>0</v>
      </c>
      <c r="BB105" s="1">
        <v>0</v>
      </c>
      <c r="BC105" s="1">
        <v>1</v>
      </c>
      <c r="BD105" s="1">
        <v>1</v>
      </c>
      <c r="BE105" s="1">
        <v>1</v>
      </c>
      <c r="BF105" s="1">
        <v>1</v>
      </c>
      <c r="BG105" s="1">
        <v>1</v>
      </c>
      <c r="BH105" s="1">
        <v>1</v>
      </c>
      <c r="BI105" s="1">
        <v>1</v>
      </c>
      <c r="BJ105" s="1">
        <v>1</v>
      </c>
      <c r="BK105" s="1">
        <v>4</v>
      </c>
      <c r="BL105" s="1">
        <v>4</v>
      </c>
    </row>
    <row r="106" spans="1:64" x14ac:dyDescent="0.25">
      <c r="A106" s="1" t="s">
        <v>64</v>
      </c>
      <c r="B106" s="1" t="s">
        <v>475</v>
      </c>
      <c r="C106" s="1">
        <v>0</v>
      </c>
      <c r="D106" s="1">
        <v>0</v>
      </c>
      <c r="E106" s="1">
        <v>0</v>
      </c>
      <c r="F106" s="1">
        <v>0</v>
      </c>
      <c r="G106" s="1">
        <v>0</v>
      </c>
      <c r="H106" s="1">
        <v>0</v>
      </c>
      <c r="I106" s="1">
        <v>0</v>
      </c>
      <c r="J106" s="1">
        <v>0</v>
      </c>
      <c r="K106" s="1">
        <v>0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0</v>
      </c>
      <c r="AD106" s="1">
        <v>0</v>
      </c>
      <c r="AE106" s="1">
        <v>0</v>
      </c>
      <c r="AF106" s="1">
        <v>0</v>
      </c>
      <c r="AG106" s="1">
        <v>0</v>
      </c>
      <c r="AH106" s="1">
        <v>0</v>
      </c>
      <c r="AI106" s="1">
        <v>0</v>
      </c>
      <c r="AJ106" s="1">
        <v>0</v>
      </c>
      <c r="AK106" s="1">
        <v>0</v>
      </c>
      <c r="AL106" s="1">
        <v>0</v>
      </c>
      <c r="AM106" s="1">
        <v>0</v>
      </c>
      <c r="AN106" s="1">
        <v>0</v>
      </c>
      <c r="AO106" s="1">
        <v>0</v>
      </c>
      <c r="AP106" s="1">
        <v>0</v>
      </c>
      <c r="AQ106" s="1">
        <v>0</v>
      </c>
      <c r="AR106" s="1">
        <v>0</v>
      </c>
      <c r="AS106" s="1">
        <v>0</v>
      </c>
      <c r="AT106" s="1">
        <v>0</v>
      </c>
      <c r="AU106" s="1">
        <v>0</v>
      </c>
      <c r="AV106" s="1">
        <v>0</v>
      </c>
      <c r="AW106" s="1">
        <v>0</v>
      </c>
      <c r="AX106" s="1">
        <v>0</v>
      </c>
      <c r="AY106" s="1">
        <v>0</v>
      </c>
      <c r="AZ106" s="1">
        <v>0</v>
      </c>
      <c r="BA106" s="1">
        <v>0</v>
      </c>
      <c r="BB106" s="1">
        <v>1</v>
      </c>
      <c r="BC106" s="1">
        <v>1</v>
      </c>
      <c r="BD106" s="1">
        <v>1</v>
      </c>
      <c r="BE106" s="1">
        <v>5</v>
      </c>
      <c r="BF106" s="1">
        <v>5</v>
      </c>
      <c r="BG106" s="1">
        <v>6</v>
      </c>
      <c r="BH106" s="1">
        <v>6</v>
      </c>
      <c r="BI106" s="1">
        <v>9</v>
      </c>
      <c r="BJ106" s="1">
        <v>9</v>
      </c>
      <c r="BK106" s="1">
        <v>11</v>
      </c>
      <c r="BL106" s="1">
        <v>11</v>
      </c>
    </row>
    <row r="107" spans="1:64" x14ac:dyDescent="0.25">
      <c r="A107" s="1" t="s">
        <v>64</v>
      </c>
      <c r="B107" s="1" t="s">
        <v>532</v>
      </c>
      <c r="C107" s="1">
        <v>0</v>
      </c>
      <c r="D107" s="1">
        <v>0</v>
      </c>
      <c r="E107" s="1">
        <v>0</v>
      </c>
      <c r="F107" s="1">
        <v>0</v>
      </c>
      <c r="G107" s="1">
        <v>0</v>
      </c>
      <c r="H107" s="1">
        <v>0</v>
      </c>
      <c r="I107" s="1">
        <v>0</v>
      </c>
      <c r="J107" s="1">
        <v>0</v>
      </c>
      <c r="K107" s="1">
        <v>0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0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1">
        <v>0</v>
      </c>
      <c r="AJ107" s="1">
        <v>0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0</v>
      </c>
      <c r="AQ107" s="1">
        <v>0</v>
      </c>
      <c r="AR107" s="1">
        <v>0</v>
      </c>
      <c r="AS107" s="1">
        <v>0</v>
      </c>
      <c r="AT107" s="1">
        <v>0</v>
      </c>
      <c r="AU107" s="1">
        <v>0</v>
      </c>
      <c r="AV107" s="1">
        <v>0</v>
      </c>
      <c r="AW107" s="1">
        <v>0</v>
      </c>
      <c r="AX107" s="1">
        <v>0</v>
      </c>
      <c r="AY107" s="1">
        <v>0</v>
      </c>
      <c r="AZ107" s="1">
        <v>0</v>
      </c>
      <c r="BA107" s="1">
        <v>0</v>
      </c>
      <c r="BB107" s="1">
        <v>0</v>
      </c>
      <c r="BC107" s="1">
        <v>0</v>
      </c>
      <c r="BD107" s="1">
        <v>0</v>
      </c>
      <c r="BE107" s="1">
        <v>0</v>
      </c>
      <c r="BF107" s="1">
        <v>0</v>
      </c>
      <c r="BG107" s="1">
        <v>0</v>
      </c>
      <c r="BH107" s="1">
        <v>1</v>
      </c>
      <c r="BI107" s="1">
        <v>1</v>
      </c>
      <c r="BJ107" s="1">
        <v>1</v>
      </c>
      <c r="BK107" s="1">
        <v>2</v>
      </c>
      <c r="BL107" s="1">
        <v>3</v>
      </c>
    </row>
    <row r="108" spans="1:64" x14ac:dyDescent="0.25">
      <c r="A108" s="1" t="s">
        <v>64</v>
      </c>
      <c r="B108" s="1" t="s">
        <v>78</v>
      </c>
      <c r="C108" s="1">
        <v>0</v>
      </c>
      <c r="D108" s="1">
        <v>0</v>
      </c>
      <c r="E108" s="1">
        <v>0</v>
      </c>
      <c r="F108" s="1">
        <v>0</v>
      </c>
      <c r="G108" s="1">
        <v>0</v>
      </c>
      <c r="H108" s="1">
        <v>0</v>
      </c>
      <c r="I108" s="1">
        <v>0</v>
      </c>
      <c r="J108" s="1">
        <v>1</v>
      </c>
      <c r="K108" s="1">
        <v>1</v>
      </c>
      <c r="L108" s="1">
        <v>1</v>
      </c>
      <c r="M108" s="1">
        <v>1</v>
      </c>
      <c r="N108" s="1">
        <v>1</v>
      </c>
      <c r="O108" s="1">
        <v>1</v>
      </c>
      <c r="P108" s="1">
        <v>1</v>
      </c>
      <c r="Q108" s="1">
        <v>1</v>
      </c>
      <c r="R108" s="1">
        <v>1</v>
      </c>
      <c r="S108" s="1">
        <v>1</v>
      </c>
      <c r="T108" s="1">
        <v>1</v>
      </c>
      <c r="U108" s="1">
        <v>1</v>
      </c>
      <c r="V108" s="1">
        <v>1</v>
      </c>
      <c r="W108" s="1">
        <v>1</v>
      </c>
      <c r="X108" s="1">
        <v>1</v>
      </c>
      <c r="Y108" s="1">
        <v>1</v>
      </c>
      <c r="Z108" s="1">
        <v>1</v>
      </c>
      <c r="AA108" s="1">
        <v>1</v>
      </c>
      <c r="AB108" s="1">
        <v>1</v>
      </c>
      <c r="AC108" s="1">
        <v>1</v>
      </c>
      <c r="AD108" s="1">
        <v>1</v>
      </c>
      <c r="AE108" s="1">
        <v>1</v>
      </c>
      <c r="AF108" s="1">
        <v>1</v>
      </c>
      <c r="AG108" s="1">
        <v>1</v>
      </c>
      <c r="AH108" s="1">
        <v>1</v>
      </c>
      <c r="AI108" s="1">
        <v>1</v>
      </c>
      <c r="AJ108" s="1">
        <v>1</v>
      </c>
      <c r="AK108" s="1">
        <v>1</v>
      </c>
      <c r="AL108" s="1">
        <v>2</v>
      </c>
      <c r="AM108" s="1">
        <v>2</v>
      </c>
      <c r="AN108" s="1">
        <v>2</v>
      </c>
      <c r="AO108" s="1">
        <v>3</v>
      </c>
      <c r="AP108" s="1">
        <v>6</v>
      </c>
      <c r="AQ108" s="1">
        <v>6</v>
      </c>
      <c r="AR108" s="1">
        <v>6</v>
      </c>
      <c r="AS108" s="1">
        <v>6</v>
      </c>
      <c r="AT108" s="1">
        <v>12</v>
      </c>
      <c r="AU108" s="1">
        <v>15</v>
      </c>
      <c r="AV108" s="1">
        <v>15</v>
      </c>
      <c r="AW108" s="1">
        <v>23</v>
      </c>
      <c r="AX108" s="1">
        <v>30</v>
      </c>
      <c r="AY108" s="1">
        <v>40</v>
      </c>
      <c r="AZ108" s="1">
        <v>59</v>
      </c>
      <c r="BA108" s="1">
        <v>59</v>
      </c>
      <c r="BB108" s="1">
        <v>155</v>
      </c>
      <c r="BC108" s="1">
        <v>225</v>
      </c>
      <c r="BD108" s="1">
        <v>244</v>
      </c>
      <c r="BE108" s="1">
        <v>277</v>
      </c>
      <c r="BF108" s="1">
        <v>321</v>
      </c>
      <c r="BG108" s="1">
        <v>336</v>
      </c>
      <c r="BH108" s="1">
        <v>400</v>
      </c>
      <c r="BI108" s="1">
        <v>450</v>
      </c>
      <c r="BJ108" s="1">
        <v>523</v>
      </c>
      <c r="BK108" s="1">
        <v>626</v>
      </c>
      <c r="BL108" s="1">
        <v>700</v>
      </c>
    </row>
    <row r="109" spans="1:64" x14ac:dyDescent="0.25">
      <c r="A109" s="1" t="s">
        <v>496</v>
      </c>
      <c r="B109" s="1" t="s">
        <v>224</v>
      </c>
      <c r="C109" s="1">
        <v>0</v>
      </c>
      <c r="D109" s="1">
        <v>0</v>
      </c>
      <c r="E109" s="1">
        <v>0</v>
      </c>
      <c r="F109" s="1">
        <v>0</v>
      </c>
      <c r="G109" s="1">
        <v>0</v>
      </c>
      <c r="H109" s="1">
        <v>0</v>
      </c>
      <c r="I109" s="1">
        <v>0</v>
      </c>
      <c r="J109" s="1">
        <v>0</v>
      </c>
      <c r="K109" s="1">
        <v>0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0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1">
        <v>0</v>
      </c>
      <c r="AJ109" s="1">
        <v>0</v>
      </c>
      <c r="AK109" s="1">
        <v>0</v>
      </c>
      <c r="AL109" s="1">
        <v>0</v>
      </c>
      <c r="AM109" s="1">
        <v>0</v>
      </c>
      <c r="AN109" s="1">
        <v>0</v>
      </c>
      <c r="AO109" s="1">
        <v>0</v>
      </c>
      <c r="AP109" s="1">
        <v>0</v>
      </c>
      <c r="AQ109" s="1">
        <v>0</v>
      </c>
      <c r="AR109" s="1">
        <v>0</v>
      </c>
      <c r="AS109" s="1">
        <v>0</v>
      </c>
      <c r="AT109" s="1">
        <v>0</v>
      </c>
      <c r="AU109" s="1">
        <v>0</v>
      </c>
      <c r="AV109" s="1">
        <v>5</v>
      </c>
      <c r="AW109" s="1">
        <v>5</v>
      </c>
      <c r="AX109" s="1">
        <v>5</v>
      </c>
      <c r="AY109" s="1">
        <v>5</v>
      </c>
      <c r="AZ109" s="1">
        <v>5</v>
      </c>
      <c r="BA109" s="1">
        <v>5</v>
      </c>
      <c r="BB109" s="1">
        <v>5</v>
      </c>
      <c r="BC109" s="1">
        <v>5</v>
      </c>
      <c r="BD109" s="1">
        <v>7</v>
      </c>
      <c r="BE109" s="1">
        <v>11</v>
      </c>
      <c r="BF109" s="1">
        <v>11</v>
      </c>
      <c r="BG109" s="1">
        <v>11</v>
      </c>
      <c r="BH109" s="1">
        <v>11</v>
      </c>
      <c r="BI109" s="1">
        <v>15</v>
      </c>
      <c r="BJ109" s="1">
        <v>18</v>
      </c>
      <c r="BK109" s="1">
        <v>18</v>
      </c>
      <c r="BL109" s="1">
        <v>20</v>
      </c>
    </row>
    <row r="110" spans="1:64" x14ac:dyDescent="0.25">
      <c r="A110" s="1" t="s">
        <v>472</v>
      </c>
      <c r="B110" s="1" t="s">
        <v>224</v>
      </c>
      <c r="C110" s="1">
        <v>0</v>
      </c>
      <c r="D110" s="1">
        <v>0</v>
      </c>
      <c r="E110" s="1">
        <v>0</v>
      </c>
      <c r="F110" s="1">
        <v>0</v>
      </c>
      <c r="G110" s="1">
        <v>0</v>
      </c>
      <c r="H110" s="1">
        <v>0</v>
      </c>
      <c r="I110" s="1">
        <v>0</v>
      </c>
      <c r="J110" s="1">
        <v>0</v>
      </c>
      <c r="K110" s="1">
        <v>0</v>
      </c>
      <c r="L110" s="1">
        <v>0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1">
        <v>0</v>
      </c>
      <c r="AJ110" s="1">
        <v>0</v>
      </c>
      <c r="AK110" s="1">
        <v>0</v>
      </c>
      <c r="AL110" s="1">
        <v>0</v>
      </c>
      <c r="AM110" s="1">
        <v>0</v>
      </c>
      <c r="AN110" s="1">
        <v>0</v>
      </c>
      <c r="AO110" s="1">
        <v>0</v>
      </c>
      <c r="AP110" s="1">
        <v>0</v>
      </c>
      <c r="AQ110" s="1">
        <v>0</v>
      </c>
      <c r="AR110" s="1">
        <v>0</v>
      </c>
      <c r="AS110" s="1">
        <v>0</v>
      </c>
      <c r="AT110" s="1">
        <v>0</v>
      </c>
      <c r="AU110" s="1">
        <v>0</v>
      </c>
      <c r="AV110" s="1">
        <v>0</v>
      </c>
      <c r="AW110" s="1">
        <v>0</v>
      </c>
      <c r="AX110" s="1">
        <v>0</v>
      </c>
      <c r="AY110" s="1">
        <v>0</v>
      </c>
      <c r="AZ110" s="1">
        <v>0</v>
      </c>
      <c r="BA110" s="1">
        <v>0</v>
      </c>
      <c r="BB110" s="1">
        <v>3</v>
      </c>
      <c r="BC110" s="1">
        <v>3</v>
      </c>
      <c r="BD110" s="1">
        <v>3</v>
      </c>
      <c r="BE110" s="1">
        <v>3</v>
      </c>
      <c r="BF110" s="1">
        <v>3</v>
      </c>
      <c r="BG110" s="1">
        <v>3</v>
      </c>
      <c r="BH110" s="1">
        <v>6</v>
      </c>
      <c r="BI110" s="1">
        <v>11</v>
      </c>
      <c r="BJ110" s="1">
        <v>15</v>
      </c>
      <c r="BK110" s="1">
        <v>18</v>
      </c>
      <c r="BL110" s="1">
        <v>18</v>
      </c>
    </row>
    <row r="111" spans="1:64" x14ac:dyDescent="0.25">
      <c r="A111" s="1" t="s">
        <v>508</v>
      </c>
      <c r="B111" s="1" t="s">
        <v>224</v>
      </c>
      <c r="C111" s="1">
        <v>0</v>
      </c>
      <c r="D111" s="1">
        <v>0</v>
      </c>
      <c r="E111" s="1">
        <v>0</v>
      </c>
      <c r="F111" s="1">
        <v>0</v>
      </c>
      <c r="G111" s="1">
        <v>0</v>
      </c>
      <c r="H111" s="1">
        <v>0</v>
      </c>
      <c r="I111" s="1">
        <v>0</v>
      </c>
      <c r="J111" s="1">
        <v>0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0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1">
        <v>0</v>
      </c>
      <c r="AJ111" s="1">
        <v>0</v>
      </c>
      <c r="AK111" s="1">
        <v>0</v>
      </c>
      <c r="AL111" s="1">
        <v>0</v>
      </c>
      <c r="AM111" s="1">
        <v>0</v>
      </c>
      <c r="AN111" s="1">
        <v>0</v>
      </c>
      <c r="AO111" s="1">
        <v>0</v>
      </c>
      <c r="AP111" s="1">
        <v>0</v>
      </c>
      <c r="AQ111" s="1">
        <v>0</v>
      </c>
      <c r="AR111" s="1">
        <v>0</v>
      </c>
      <c r="AS111" s="1">
        <v>0</v>
      </c>
      <c r="AT111" s="1">
        <v>0</v>
      </c>
      <c r="AU111" s="1">
        <v>0</v>
      </c>
      <c r="AV111" s="1">
        <v>0</v>
      </c>
      <c r="AW111" s="1">
        <v>0</v>
      </c>
      <c r="AX111" s="1">
        <v>0</v>
      </c>
      <c r="AY111" s="1">
        <v>0</v>
      </c>
      <c r="AZ111" s="1">
        <v>0</v>
      </c>
      <c r="BA111" s="1">
        <v>0</v>
      </c>
      <c r="BB111" s="1">
        <v>1</v>
      </c>
      <c r="BC111" s="1">
        <v>1</v>
      </c>
      <c r="BD111" s="1">
        <v>3</v>
      </c>
      <c r="BE111" s="1">
        <v>6</v>
      </c>
      <c r="BF111" s="1">
        <v>18</v>
      </c>
      <c r="BG111" s="1">
        <v>27</v>
      </c>
      <c r="BH111" s="1">
        <v>33</v>
      </c>
      <c r="BI111" s="1">
        <v>45</v>
      </c>
      <c r="BJ111" s="1">
        <v>53</v>
      </c>
      <c r="BK111" s="1">
        <v>58</v>
      </c>
      <c r="BL111" s="1">
        <v>62</v>
      </c>
    </row>
    <row r="112" spans="1:64" x14ac:dyDescent="0.25">
      <c r="A112" s="1" t="s">
        <v>504</v>
      </c>
      <c r="B112" s="1" t="s">
        <v>224</v>
      </c>
      <c r="C112" s="1">
        <v>0</v>
      </c>
      <c r="D112" s="1">
        <v>0</v>
      </c>
      <c r="E112" s="1">
        <v>0</v>
      </c>
      <c r="F112" s="1">
        <v>0</v>
      </c>
      <c r="G112" s="1">
        <v>0</v>
      </c>
      <c r="H112" s="1">
        <v>0</v>
      </c>
      <c r="I112" s="1">
        <v>0</v>
      </c>
      <c r="J112" s="1">
        <v>0</v>
      </c>
      <c r="K112" s="1">
        <v>0</v>
      </c>
      <c r="L112" s="1">
        <v>0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>
        <v>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0</v>
      </c>
      <c r="AD112" s="1">
        <v>0</v>
      </c>
      <c r="AE112" s="1">
        <v>0</v>
      </c>
      <c r="AF112" s="1">
        <v>0</v>
      </c>
      <c r="AG112" s="1">
        <v>0</v>
      </c>
      <c r="AH112" s="1">
        <v>0</v>
      </c>
      <c r="AI112" s="1">
        <v>0</v>
      </c>
      <c r="AJ112" s="1">
        <v>0</v>
      </c>
      <c r="AK112" s="1">
        <v>0</v>
      </c>
      <c r="AL112" s="1">
        <v>0</v>
      </c>
      <c r="AM112" s="1">
        <v>0</v>
      </c>
      <c r="AN112" s="1">
        <v>0</v>
      </c>
      <c r="AO112" s="1">
        <v>0</v>
      </c>
      <c r="AP112" s="1">
        <v>0</v>
      </c>
      <c r="AQ112" s="1">
        <v>0</v>
      </c>
      <c r="AR112" s="1">
        <v>0</v>
      </c>
      <c r="AS112" s="1">
        <v>0</v>
      </c>
      <c r="AT112" s="1">
        <v>0</v>
      </c>
      <c r="AU112" s="1">
        <v>0</v>
      </c>
      <c r="AV112" s="1">
        <v>0</v>
      </c>
      <c r="AW112" s="1">
        <v>0</v>
      </c>
      <c r="AX112" s="1">
        <v>0</v>
      </c>
      <c r="AY112" s="1">
        <v>0</v>
      </c>
      <c r="AZ112" s="1">
        <v>0</v>
      </c>
      <c r="BA112" s="1">
        <v>0</v>
      </c>
      <c r="BB112" s="1">
        <v>0</v>
      </c>
      <c r="BC112" s="1">
        <v>0</v>
      </c>
      <c r="BD112" s="1">
        <v>1</v>
      </c>
      <c r="BE112" s="1">
        <v>1</v>
      </c>
      <c r="BF112" s="1">
        <v>1</v>
      </c>
      <c r="BG112" s="1">
        <v>3</v>
      </c>
      <c r="BH112" s="1">
        <v>3</v>
      </c>
      <c r="BI112" s="1">
        <v>6</v>
      </c>
      <c r="BJ112" s="1">
        <v>7</v>
      </c>
      <c r="BK112" s="1">
        <v>11</v>
      </c>
      <c r="BL112" s="1">
        <v>24</v>
      </c>
    </row>
    <row r="113" spans="1:64" x14ac:dyDescent="0.25">
      <c r="A113" s="1" t="s">
        <v>528</v>
      </c>
      <c r="B113" s="1" t="s">
        <v>224</v>
      </c>
      <c r="C113" s="1">
        <v>0</v>
      </c>
      <c r="D113" s="1">
        <v>0</v>
      </c>
      <c r="E113" s="1">
        <v>0</v>
      </c>
      <c r="F113" s="1">
        <v>0</v>
      </c>
      <c r="G113" s="1">
        <v>0</v>
      </c>
      <c r="H113" s="1">
        <v>0</v>
      </c>
      <c r="I113" s="1">
        <v>0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>
        <v>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0</v>
      </c>
      <c r="AD113" s="1">
        <v>0</v>
      </c>
      <c r="AE113" s="1">
        <v>0</v>
      </c>
      <c r="AF113" s="1">
        <v>0</v>
      </c>
      <c r="AG113" s="1">
        <v>0</v>
      </c>
      <c r="AH113" s="1">
        <v>0</v>
      </c>
      <c r="AI113" s="1">
        <v>0</v>
      </c>
      <c r="AJ113" s="1">
        <v>0</v>
      </c>
      <c r="AK113" s="1">
        <v>0</v>
      </c>
      <c r="AL113" s="1">
        <v>0</v>
      </c>
      <c r="AM113" s="1">
        <v>0</v>
      </c>
      <c r="AN113" s="1">
        <v>0</v>
      </c>
      <c r="AO113" s="1">
        <v>0</v>
      </c>
      <c r="AP113" s="1">
        <v>0</v>
      </c>
      <c r="AQ113" s="1">
        <v>0</v>
      </c>
      <c r="AR113" s="1">
        <v>0</v>
      </c>
      <c r="AS113" s="1">
        <v>0</v>
      </c>
      <c r="AT113" s="1">
        <v>0</v>
      </c>
      <c r="AU113" s="1">
        <v>0</v>
      </c>
      <c r="AV113" s="1">
        <v>0</v>
      </c>
      <c r="AW113" s="1">
        <v>0</v>
      </c>
      <c r="AX113" s="1">
        <v>0</v>
      </c>
      <c r="AY113" s="1">
        <v>0</v>
      </c>
      <c r="AZ113" s="1">
        <v>0</v>
      </c>
      <c r="BA113" s="1">
        <v>0</v>
      </c>
      <c r="BB113" s="1">
        <v>0</v>
      </c>
      <c r="BC113" s="1">
        <v>0</v>
      </c>
      <c r="BD113" s="1">
        <v>0</v>
      </c>
      <c r="BE113" s="1">
        <v>0</v>
      </c>
      <c r="BF113" s="1">
        <v>0</v>
      </c>
      <c r="BG113" s="1">
        <v>0</v>
      </c>
      <c r="BH113" s="1">
        <v>2</v>
      </c>
      <c r="BI113" s="1">
        <v>2</v>
      </c>
      <c r="BJ113" s="1">
        <v>4</v>
      </c>
      <c r="BK113" s="1">
        <v>4</v>
      </c>
      <c r="BL113" s="1">
        <v>8</v>
      </c>
    </row>
    <row r="114" spans="1:64" x14ac:dyDescent="0.25">
      <c r="A114" s="1" t="s">
        <v>516</v>
      </c>
      <c r="B114" s="1" t="s">
        <v>224</v>
      </c>
      <c r="C114" s="1">
        <v>0</v>
      </c>
      <c r="D114" s="1">
        <v>0</v>
      </c>
      <c r="E114" s="1">
        <v>0</v>
      </c>
      <c r="F114" s="1">
        <v>0</v>
      </c>
      <c r="G114" s="1">
        <v>0</v>
      </c>
      <c r="H114" s="1">
        <v>0</v>
      </c>
      <c r="I114" s="1">
        <v>0</v>
      </c>
      <c r="J114" s="1">
        <v>0</v>
      </c>
      <c r="K114" s="1">
        <v>0</v>
      </c>
      <c r="L114" s="1">
        <v>0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>
        <v>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0</v>
      </c>
      <c r="AD114" s="1">
        <v>0</v>
      </c>
      <c r="AE114" s="1">
        <v>0</v>
      </c>
      <c r="AF114" s="1">
        <v>0</v>
      </c>
      <c r="AG114" s="1">
        <v>0</v>
      </c>
      <c r="AH114" s="1">
        <v>0</v>
      </c>
      <c r="AI114" s="1">
        <v>0</v>
      </c>
      <c r="AJ114" s="1">
        <v>0</v>
      </c>
      <c r="AK114" s="1">
        <v>0</v>
      </c>
      <c r="AL114" s="1">
        <v>0</v>
      </c>
      <c r="AM114" s="1">
        <v>0</v>
      </c>
      <c r="AN114" s="1">
        <v>0</v>
      </c>
      <c r="AO114" s="1">
        <v>0</v>
      </c>
      <c r="AP114" s="1">
        <v>0</v>
      </c>
      <c r="AQ114" s="1">
        <v>0</v>
      </c>
      <c r="AR114" s="1">
        <v>0</v>
      </c>
      <c r="AS114" s="1">
        <v>0</v>
      </c>
      <c r="AT114" s="1">
        <v>0</v>
      </c>
      <c r="AU114" s="1">
        <v>0</v>
      </c>
      <c r="AV114" s="1">
        <v>0</v>
      </c>
      <c r="AW114" s="1">
        <v>0</v>
      </c>
      <c r="AX114" s="1">
        <v>0</v>
      </c>
      <c r="AY114" s="1">
        <v>0</v>
      </c>
      <c r="AZ114" s="1">
        <v>1</v>
      </c>
      <c r="BA114" s="1">
        <v>1</v>
      </c>
      <c r="BB114" s="1">
        <v>5</v>
      </c>
      <c r="BC114" s="1">
        <v>6</v>
      </c>
      <c r="BD114" s="1">
        <v>7</v>
      </c>
      <c r="BE114" s="1">
        <v>9</v>
      </c>
      <c r="BF114" s="1">
        <v>9</v>
      </c>
      <c r="BG114" s="1">
        <v>12</v>
      </c>
      <c r="BH114" s="1">
        <v>14</v>
      </c>
      <c r="BI114" s="1">
        <v>28</v>
      </c>
      <c r="BJ114" s="1">
        <v>45</v>
      </c>
      <c r="BK114" s="1">
        <v>64</v>
      </c>
      <c r="BL114" s="1">
        <v>71</v>
      </c>
    </row>
    <row r="115" spans="1:64" x14ac:dyDescent="0.25">
      <c r="A115" s="1" t="s">
        <v>273</v>
      </c>
      <c r="B115" s="1" t="s">
        <v>224</v>
      </c>
      <c r="C115" s="1">
        <v>0</v>
      </c>
      <c r="D115" s="1">
        <v>0</v>
      </c>
      <c r="E115" s="1">
        <v>0</v>
      </c>
      <c r="F115" s="1">
        <v>0</v>
      </c>
      <c r="G115" s="1">
        <v>0</v>
      </c>
      <c r="H115" s="1">
        <v>0</v>
      </c>
      <c r="I115" s="1">
        <v>0</v>
      </c>
      <c r="J115" s="1">
        <v>0</v>
      </c>
      <c r="K115" s="1">
        <v>0</v>
      </c>
      <c r="L115" s="1">
        <v>0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0</v>
      </c>
      <c r="AD115" s="1">
        <v>0</v>
      </c>
      <c r="AE115" s="1">
        <v>0</v>
      </c>
      <c r="AF115" s="1">
        <v>0</v>
      </c>
      <c r="AG115" s="1">
        <v>0</v>
      </c>
      <c r="AH115" s="1">
        <v>0</v>
      </c>
      <c r="AI115" s="1">
        <v>0</v>
      </c>
      <c r="AJ115" s="1">
        <v>0</v>
      </c>
      <c r="AK115" s="1">
        <v>0</v>
      </c>
      <c r="AL115" s="1">
        <v>0</v>
      </c>
      <c r="AM115" s="1">
        <v>0</v>
      </c>
      <c r="AN115" s="1">
        <v>0</v>
      </c>
      <c r="AO115" s="1">
        <v>0</v>
      </c>
      <c r="AP115" s="1">
        <v>0</v>
      </c>
      <c r="AQ115" s="1">
        <v>0</v>
      </c>
      <c r="AR115" s="1">
        <v>0</v>
      </c>
      <c r="AS115" s="1">
        <v>3</v>
      </c>
      <c r="AT115" s="1">
        <v>3</v>
      </c>
      <c r="AU115" s="1">
        <v>3</v>
      </c>
      <c r="AV115" s="1">
        <v>3</v>
      </c>
      <c r="AW115" s="1">
        <v>3</v>
      </c>
      <c r="AX115" s="1">
        <v>1</v>
      </c>
      <c r="AY115" s="1">
        <v>1</v>
      </c>
      <c r="AZ115" s="1">
        <v>1</v>
      </c>
      <c r="BA115" s="1">
        <v>1</v>
      </c>
      <c r="BB115" s="1">
        <v>1</v>
      </c>
      <c r="BC115" s="1">
        <v>1</v>
      </c>
      <c r="BD115" s="1">
        <v>1</v>
      </c>
      <c r="BE115" s="1">
        <v>3</v>
      </c>
      <c r="BF115" s="1">
        <v>3</v>
      </c>
      <c r="BG115" s="1">
        <v>3</v>
      </c>
      <c r="BH115" s="1">
        <v>3</v>
      </c>
      <c r="BI115" s="1">
        <v>3</v>
      </c>
      <c r="BJ115" s="1">
        <v>3</v>
      </c>
      <c r="BK115" s="1">
        <v>3</v>
      </c>
      <c r="BL115" s="1">
        <v>3</v>
      </c>
    </row>
    <row r="116" spans="1:64" x14ac:dyDescent="0.25">
      <c r="A116" s="1" t="s">
        <v>265</v>
      </c>
      <c r="B116" s="1" t="s">
        <v>224</v>
      </c>
      <c r="C116" s="1">
        <v>0</v>
      </c>
      <c r="D116" s="1">
        <v>0</v>
      </c>
      <c r="E116" s="1">
        <v>0</v>
      </c>
      <c r="F116" s="1">
        <v>0</v>
      </c>
      <c r="G116" s="1">
        <v>0</v>
      </c>
      <c r="H116" s="1">
        <v>0</v>
      </c>
      <c r="I116" s="1">
        <v>0</v>
      </c>
      <c r="J116" s="1">
        <v>0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0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>
        <v>0</v>
      </c>
      <c r="AJ116" s="1">
        <v>0</v>
      </c>
      <c r="AK116" s="1">
        <v>0</v>
      </c>
      <c r="AL116" s="1">
        <v>0</v>
      </c>
      <c r="AM116" s="1">
        <v>0</v>
      </c>
      <c r="AN116" s="1">
        <v>0</v>
      </c>
      <c r="AO116" s="1">
        <v>0</v>
      </c>
      <c r="AP116" s="1">
        <v>0</v>
      </c>
      <c r="AQ116" s="1">
        <v>0</v>
      </c>
      <c r="AR116" s="1">
        <v>0</v>
      </c>
      <c r="AS116" s="1">
        <v>0</v>
      </c>
      <c r="AT116" s="1">
        <v>0</v>
      </c>
      <c r="AU116" s="1">
        <v>0</v>
      </c>
      <c r="AV116" s="1">
        <v>0</v>
      </c>
      <c r="AW116" s="1">
        <v>0</v>
      </c>
      <c r="AX116" s="1">
        <v>2</v>
      </c>
      <c r="AY116" s="1">
        <v>2</v>
      </c>
      <c r="AZ116" s="1">
        <v>2</v>
      </c>
      <c r="BA116" s="1">
        <v>2</v>
      </c>
      <c r="BB116" s="1">
        <v>2</v>
      </c>
      <c r="BC116" s="1">
        <v>2</v>
      </c>
      <c r="BD116" s="1">
        <v>2</v>
      </c>
      <c r="BE116" s="1">
        <v>2</v>
      </c>
      <c r="BF116" s="1">
        <v>2</v>
      </c>
      <c r="BG116" s="1">
        <v>3</v>
      </c>
      <c r="BH116" s="1">
        <v>4</v>
      </c>
      <c r="BI116" s="1">
        <v>4</v>
      </c>
      <c r="BJ116" s="1">
        <v>4</v>
      </c>
      <c r="BK116" s="1">
        <v>5</v>
      </c>
      <c r="BL116" s="1">
        <v>8</v>
      </c>
    </row>
    <row r="117" spans="1:64" x14ac:dyDescent="0.25">
      <c r="A117" s="1" t="s">
        <v>153</v>
      </c>
      <c r="B117" s="1" t="s">
        <v>224</v>
      </c>
      <c r="C117" s="1">
        <v>0</v>
      </c>
      <c r="D117" s="1">
        <v>0</v>
      </c>
      <c r="E117" s="1">
        <v>0</v>
      </c>
      <c r="F117" s="1">
        <v>0</v>
      </c>
      <c r="G117" s="1">
        <v>0</v>
      </c>
      <c r="H117" s="1">
        <v>0</v>
      </c>
      <c r="I117" s="1">
        <v>0</v>
      </c>
      <c r="J117" s="1">
        <v>0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0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>
        <v>0</v>
      </c>
      <c r="AJ117" s="1">
        <v>0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0</v>
      </c>
      <c r="AQ117" s="1">
        <v>0</v>
      </c>
      <c r="AR117" s="1">
        <v>0</v>
      </c>
      <c r="AS117" s="1">
        <v>0</v>
      </c>
      <c r="AT117" s="1">
        <v>0</v>
      </c>
      <c r="AU117" s="1">
        <v>0</v>
      </c>
      <c r="AV117" s="1">
        <v>2</v>
      </c>
      <c r="AW117" s="1">
        <v>2</v>
      </c>
      <c r="AX117" s="1">
        <v>2</v>
      </c>
      <c r="AY117" s="1">
        <v>2</v>
      </c>
      <c r="AZ117" s="1">
        <v>3</v>
      </c>
      <c r="BA117" s="1">
        <v>3</v>
      </c>
      <c r="BB117" s="1">
        <v>3</v>
      </c>
      <c r="BC117" s="1">
        <v>9</v>
      </c>
      <c r="BD117" s="1">
        <v>9</v>
      </c>
      <c r="BE117" s="1">
        <v>15</v>
      </c>
      <c r="BF117" s="1">
        <v>16</v>
      </c>
      <c r="BG117" s="1">
        <v>19</v>
      </c>
      <c r="BH117" s="1">
        <v>23</v>
      </c>
      <c r="BI117" s="1">
        <v>32</v>
      </c>
      <c r="BJ117" s="1">
        <v>32</v>
      </c>
      <c r="BK117" s="1">
        <v>44</v>
      </c>
      <c r="BL117" s="1">
        <v>53</v>
      </c>
    </row>
    <row r="118" spans="1:64" x14ac:dyDescent="0.25">
      <c r="A118" s="1" t="s">
        <v>64</v>
      </c>
      <c r="B118" s="1" t="s">
        <v>224</v>
      </c>
      <c r="C118" s="1">
        <v>0</v>
      </c>
      <c r="D118" s="1">
        <v>0</v>
      </c>
      <c r="E118" s="1">
        <v>2</v>
      </c>
      <c r="F118" s="1">
        <v>3</v>
      </c>
      <c r="G118" s="1">
        <v>3</v>
      </c>
      <c r="H118" s="1">
        <v>3</v>
      </c>
      <c r="I118" s="1">
        <v>4</v>
      </c>
      <c r="J118" s="1">
        <v>5</v>
      </c>
      <c r="K118" s="1">
        <v>5</v>
      </c>
      <c r="L118" s="1">
        <v>5</v>
      </c>
      <c r="M118" s="1">
        <v>6</v>
      </c>
      <c r="N118" s="1">
        <v>6</v>
      </c>
      <c r="O118" s="1">
        <v>6</v>
      </c>
      <c r="P118" s="1">
        <v>6</v>
      </c>
      <c r="Q118" s="1">
        <v>6</v>
      </c>
      <c r="R118" s="1">
        <v>6</v>
      </c>
      <c r="S118" s="1">
        <v>6</v>
      </c>
      <c r="T118" s="1">
        <v>11</v>
      </c>
      <c r="U118" s="1">
        <v>11</v>
      </c>
      <c r="V118" s="1">
        <v>11</v>
      </c>
      <c r="W118" s="1">
        <v>11</v>
      </c>
      <c r="X118" s="1">
        <v>11</v>
      </c>
      <c r="Y118" s="1">
        <v>11</v>
      </c>
      <c r="Z118" s="1">
        <v>11</v>
      </c>
      <c r="AA118" s="1">
        <v>12</v>
      </c>
      <c r="AB118" s="1">
        <v>12</v>
      </c>
      <c r="AC118" s="1">
        <v>12</v>
      </c>
      <c r="AD118" s="1">
        <v>12</v>
      </c>
      <c r="AE118" s="1">
        <v>12</v>
      </c>
      <c r="AF118" s="1">
        <v>12</v>
      </c>
      <c r="AG118" s="1">
        <v>12</v>
      </c>
      <c r="AH118" s="1">
        <v>12</v>
      </c>
      <c r="AI118" s="1">
        <v>12</v>
      </c>
      <c r="AJ118" s="1">
        <v>12</v>
      </c>
      <c r="AK118" s="1">
        <v>14</v>
      </c>
      <c r="AL118" s="1">
        <v>18</v>
      </c>
      <c r="AM118" s="1">
        <v>38</v>
      </c>
      <c r="AN118" s="1">
        <v>57</v>
      </c>
      <c r="AO118" s="1">
        <v>100</v>
      </c>
      <c r="AP118" s="1">
        <v>130</v>
      </c>
      <c r="AQ118" s="1">
        <v>191</v>
      </c>
      <c r="AR118" s="1">
        <v>204</v>
      </c>
      <c r="AS118" s="1">
        <v>285</v>
      </c>
      <c r="AT118" s="1">
        <v>377</v>
      </c>
      <c r="AU118" s="1">
        <v>653</v>
      </c>
      <c r="AV118" s="1">
        <v>949</v>
      </c>
      <c r="AW118" s="1">
        <v>1126</v>
      </c>
      <c r="AX118" s="1">
        <v>1209</v>
      </c>
      <c r="AY118" s="1">
        <v>1784</v>
      </c>
      <c r="AZ118" s="1">
        <v>2281</v>
      </c>
      <c r="BA118" s="1">
        <v>2281</v>
      </c>
      <c r="BB118" s="1">
        <v>3661</v>
      </c>
      <c r="BC118" s="1">
        <v>4469</v>
      </c>
      <c r="BD118" s="1">
        <v>4499</v>
      </c>
      <c r="BE118" s="1">
        <v>6633</v>
      </c>
      <c r="BF118" s="1">
        <v>7652</v>
      </c>
      <c r="BG118" s="1">
        <v>9043</v>
      </c>
      <c r="BH118" s="1">
        <v>10871</v>
      </c>
      <c r="BI118" s="1">
        <v>12612</v>
      </c>
      <c r="BJ118" s="1">
        <v>14282</v>
      </c>
      <c r="BK118" s="1">
        <v>16018</v>
      </c>
      <c r="BL118" s="1">
        <v>19856</v>
      </c>
    </row>
    <row r="119" spans="1:64" x14ac:dyDescent="0.25">
      <c r="A119" s="1" t="s">
        <v>64</v>
      </c>
      <c r="B119" s="1" t="s">
        <v>489</v>
      </c>
      <c r="C119" s="1">
        <v>0</v>
      </c>
      <c r="D119" s="1">
        <v>0</v>
      </c>
      <c r="E119" s="1">
        <v>0</v>
      </c>
      <c r="F119" s="1">
        <v>0</v>
      </c>
      <c r="G119" s="1">
        <v>0</v>
      </c>
      <c r="H119" s="1">
        <v>0</v>
      </c>
      <c r="I119" s="1">
        <v>0</v>
      </c>
      <c r="J119" s="1">
        <v>0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0</v>
      </c>
      <c r="AJ119" s="1">
        <v>0</v>
      </c>
      <c r="AK119" s="1">
        <v>0</v>
      </c>
      <c r="AL119" s="1">
        <v>0</v>
      </c>
      <c r="AM119" s="1">
        <v>0</v>
      </c>
      <c r="AN119" s="1">
        <v>0</v>
      </c>
      <c r="AO119" s="1">
        <v>0</v>
      </c>
      <c r="AP119" s="1">
        <v>0</v>
      </c>
      <c r="AQ119" s="1">
        <v>0</v>
      </c>
      <c r="AR119" s="1">
        <v>0</v>
      </c>
      <c r="AS119" s="1">
        <v>0</v>
      </c>
      <c r="AT119" s="1">
        <v>0</v>
      </c>
      <c r="AU119" s="1">
        <v>0</v>
      </c>
      <c r="AV119" s="1">
        <v>0</v>
      </c>
      <c r="AW119" s="1">
        <v>0</v>
      </c>
      <c r="AX119" s="1">
        <v>0</v>
      </c>
      <c r="AY119" s="1">
        <v>0</v>
      </c>
      <c r="AZ119" s="1">
        <v>0</v>
      </c>
      <c r="BA119" s="1">
        <v>0</v>
      </c>
      <c r="BB119" s="1">
        <v>0</v>
      </c>
      <c r="BC119" s="1">
        <v>1</v>
      </c>
      <c r="BD119" s="1">
        <v>1</v>
      </c>
      <c r="BE119" s="1">
        <v>1</v>
      </c>
      <c r="BF119" s="1">
        <v>1</v>
      </c>
      <c r="BG119" s="1">
        <v>1</v>
      </c>
      <c r="BH119" s="1">
        <v>1</v>
      </c>
      <c r="BI119" s="1">
        <v>3</v>
      </c>
      <c r="BJ119" s="1">
        <v>4</v>
      </c>
      <c r="BK119" s="1">
        <v>5</v>
      </c>
      <c r="BL119" s="1">
        <v>5</v>
      </c>
    </row>
    <row r="120" spans="1:64" x14ac:dyDescent="0.25">
      <c r="A120" s="1" t="s">
        <v>64</v>
      </c>
      <c r="B120" s="1" t="s">
        <v>650</v>
      </c>
      <c r="C120" s="1">
        <v>0</v>
      </c>
      <c r="D120" s="1">
        <v>0</v>
      </c>
      <c r="E120" s="1">
        <v>0</v>
      </c>
      <c r="F120" s="1">
        <v>0</v>
      </c>
      <c r="G120" s="1">
        <v>0</v>
      </c>
      <c r="H120" s="1">
        <v>0</v>
      </c>
      <c r="I120" s="1">
        <v>0</v>
      </c>
      <c r="J120" s="1">
        <v>0</v>
      </c>
      <c r="K120" s="1">
        <v>0</v>
      </c>
      <c r="L120" s="1">
        <v>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0</v>
      </c>
      <c r="AD120" s="1">
        <v>0</v>
      </c>
      <c r="AE120" s="1">
        <v>0</v>
      </c>
      <c r="AF120" s="1">
        <v>0</v>
      </c>
      <c r="AG120" s="1">
        <v>0</v>
      </c>
      <c r="AH120" s="1">
        <v>0</v>
      </c>
      <c r="AI120" s="1">
        <v>0</v>
      </c>
      <c r="AJ120" s="1">
        <v>0</v>
      </c>
      <c r="AK120" s="1">
        <v>0</v>
      </c>
      <c r="AL120" s="1">
        <v>0</v>
      </c>
      <c r="AM120" s="1">
        <v>0</v>
      </c>
      <c r="AN120" s="1">
        <v>0</v>
      </c>
      <c r="AO120" s="1">
        <v>0</v>
      </c>
      <c r="AP120" s="1">
        <v>0</v>
      </c>
      <c r="AQ120" s="1">
        <v>0</v>
      </c>
      <c r="AR120" s="1">
        <v>0</v>
      </c>
      <c r="AS120" s="1">
        <v>0</v>
      </c>
      <c r="AT120" s="1">
        <v>0</v>
      </c>
      <c r="AU120" s="1">
        <v>0</v>
      </c>
      <c r="AV120" s="1">
        <v>0</v>
      </c>
      <c r="AW120" s="1">
        <v>0</v>
      </c>
      <c r="AX120" s="1">
        <v>0</v>
      </c>
      <c r="AY120" s="1">
        <v>0</v>
      </c>
      <c r="AZ120" s="1">
        <v>0</v>
      </c>
      <c r="BA120" s="1">
        <v>0</v>
      </c>
      <c r="BB120" s="1">
        <v>0</v>
      </c>
      <c r="BC120" s="1">
        <v>0</v>
      </c>
      <c r="BD120" s="1">
        <v>0</v>
      </c>
      <c r="BE120" s="1">
        <v>0</v>
      </c>
      <c r="BF120" s="1">
        <v>1</v>
      </c>
      <c r="BG120" s="1">
        <v>1</v>
      </c>
      <c r="BH120" s="1">
        <v>1</v>
      </c>
      <c r="BI120" s="1">
        <v>1</v>
      </c>
      <c r="BJ120" s="1">
        <v>1</v>
      </c>
      <c r="BK120" s="1">
        <v>1</v>
      </c>
      <c r="BL120" s="1">
        <v>2</v>
      </c>
    </row>
    <row r="121" spans="1:64" x14ac:dyDescent="0.25">
      <c r="A121" s="1" t="s">
        <v>64</v>
      </c>
      <c r="B121" s="1" t="s">
        <v>102</v>
      </c>
      <c r="C121" s="1">
        <v>0</v>
      </c>
      <c r="D121" s="1">
        <v>0</v>
      </c>
      <c r="E121" s="1">
        <v>0</v>
      </c>
      <c r="F121" s="1">
        <v>0</v>
      </c>
      <c r="G121" s="1">
        <v>0</v>
      </c>
      <c r="H121" s="1">
        <v>0</v>
      </c>
      <c r="I121" s="1">
        <v>0</v>
      </c>
      <c r="J121" s="1">
        <v>0</v>
      </c>
      <c r="K121" s="1">
        <v>0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0</v>
      </c>
      <c r="AD121" s="1">
        <v>0</v>
      </c>
      <c r="AE121" s="1">
        <v>0</v>
      </c>
      <c r="AF121" s="1">
        <v>0</v>
      </c>
      <c r="AG121" s="1">
        <v>0</v>
      </c>
      <c r="AH121" s="1">
        <v>0</v>
      </c>
      <c r="AI121" s="1">
        <v>0</v>
      </c>
      <c r="AJ121" s="1">
        <v>0</v>
      </c>
      <c r="AK121" s="1">
        <v>0</v>
      </c>
      <c r="AL121" s="1">
        <v>1</v>
      </c>
      <c r="AM121" s="1">
        <v>1</v>
      </c>
      <c r="AN121" s="1">
        <v>1</v>
      </c>
      <c r="AO121" s="1">
        <v>1</v>
      </c>
      <c r="AP121" s="1">
        <v>3</v>
      </c>
      <c r="AQ121" s="1">
        <v>3</v>
      </c>
      <c r="AR121" s="1">
        <v>3</v>
      </c>
      <c r="AS121" s="1">
        <v>3</v>
      </c>
      <c r="AT121" s="1">
        <v>4</v>
      </c>
      <c r="AU121" s="1">
        <v>4</v>
      </c>
      <c r="AV121" s="1">
        <v>4</v>
      </c>
      <c r="AW121" s="1">
        <v>13</v>
      </c>
      <c r="AX121" s="1">
        <v>15</v>
      </c>
      <c r="AY121" s="1">
        <v>15</v>
      </c>
      <c r="AZ121" s="1">
        <v>24</v>
      </c>
      <c r="BA121" s="1">
        <v>24</v>
      </c>
      <c r="BB121" s="1">
        <v>25</v>
      </c>
      <c r="BC121" s="1">
        <v>30</v>
      </c>
      <c r="BD121" s="1">
        <v>33</v>
      </c>
      <c r="BE121" s="1">
        <v>33</v>
      </c>
      <c r="BF121" s="1">
        <v>34</v>
      </c>
      <c r="BG121" s="1">
        <v>38</v>
      </c>
      <c r="BH121" s="1">
        <v>40</v>
      </c>
      <c r="BI121" s="1">
        <v>43</v>
      </c>
      <c r="BJ121" s="1">
        <v>49</v>
      </c>
      <c r="BK121" s="1">
        <v>54</v>
      </c>
      <c r="BL121" s="1">
        <v>61</v>
      </c>
    </row>
    <row r="122" spans="1:64" x14ac:dyDescent="0.25">
      <c r="A122" s="1" t="s">
        <v>64</v>
      </c>
      <c r="B122" s="1" t="s">
        <v>77</v>
      </c>
      <c r="C122" s="1">
        <v>0</v>
      </c>
      <c r="D122" s="1">
        <v>0</v>
      </c>
      <c r="E122" s="1">
        <v>0</v>
      </c>
      <c r="F122" s="1">
        <v>0</v>
      </c>
      <c r="G122" s="1">
        <v>0</v>
      </c>
      <c r="H122" s="1">
        <v>1</v>
      </c>
      <c r="I122" s="1">
        <v>4</v>
      </c>
      <c r="J122" s="1">
        <v>4</v>
      </c>
      <c r="K122" s="1">
        <v>4</v>
      </c>
      <c r="L122" s="1">
        <v>5</v>
      </c>
      <c r="M122" s="1">
        <v>8</v>
      </c>
      <c r="N122" s="1">
        <v>10</v>
      </c>
      <c r="O122" s="1">
        <v>12</v>
      </c>
      <c r="P122" s="1">
        <v>12</v>
      </c>
      <c r="Q122" s="1">
        <v>12</v>
      </c>
      <c r="R122" s="1">
        <v>12</v>
      </c>
      <c r="S122" s="1">
        <v>13</v>
      </c>
      <c r="T122" s="1">
        <v>13</v>
      </c>
      <c r="U122" s="1">
        <v>14</v>
      </c>
      <c r="V122" s="1">
        <v>14</v>
      </c>
      <c r="W122" s="1">
        <v>16</v>
      </c>
      <c r="X122" s="1">
        <v>16</v>
      </c>
      <c r="Y122" s="1">
        <v>16</v>
      </c>
      <c r="Z122" s="1">
        <v>16</v>
      </c>
      <c r="AA122" s="1">
        <v>16</v>
      </c>
      <c r="AB122" s="1">
        <v>16</v>
      </c>
      <c r="AC122" s="1">
        <v>16</v>
      </c>
      <c r="AD122" s="1">
        <v>16</v>
      </c>
      <c r="AE122" s="1">
        <v>16</v>
      </c>
      <c r="AF122" s="1">
        <v>16</v>
      </c>
      <c r="AG122" s="1">
        <v>16</v>
      </c>
      <c r="AH122" s="1">
        <v>16</v>
      </c>
      <c r="AI122" s="1">
        <v>16</v>
      </c>
      <c r="AJ122" s="1">
        <v>16</v>
      </c>
      <c r="AK122" s="1">
        <v>17</v>
      </c>
      <c r="AL122" s="1">
        <v>27</v>
      </c>
      <c r="AM122" s="1">
        <v>46</v>
      </c>
      <c r="AN122" s="1">
        <v>48</v>
      </c>
      <c r="AO122" s="1">
        <v>79</v>
      </c>
      <c r="AP122" s="1">
        <v>130</v>
      </c>
      <c r="AQ122" s="1">
        <v>159</v>
      </c>
      <c r="AR122" s="1">
        <v>196</v>
      </c>
      <c r="AS122" s="1">
        <v>262</v>
      </c>
      <c r="AT122" s="1">
        <v>482</v>
      </c>
      <c r="AU122" s="1">
        <v>670</v>
      </c>
      <c r="AV122" s="1">
        <v>799</v>
      </c>
      <c r="AW122" s="1">
        <v>1040</v>
      </c>
      <c r="AX122" s="1">
        <v>1176</v>
      </c>
      <c r="AY122" s="1">
        <v>1457</v>
      </c>
      <c r="AZ122" s="1">
        <v>1908</v>
      </c>
      <c r="BA122" s="1">
        <v>2078</v>
      </c>
      <c r="BB122" s="1">
        <v>3675</v>
      </c>
      <c r="BC122" s="1">
        <v>4585</v>
      </c>
      <c r="BD122" s="1">
        <v>5795</v>
      </c>
      <c r="BE122" s="1">
        <v>7272</v>
      </c>
      <c r="BF122" s="1">
        <v>9257</v>
      </c>
      <c r="BG122" s="1">
        <v>12327</v>
      </c>
      <c r="BH122" s="1">
        <v>15320</v>
      </c>
      <c r="BI122" s="1">
        <v>19848</v>
      </c>
      <c r="BJ122" s="1">
        <v>22213</v>
      </c>
      <c r="BK122" s="1">
        <v>24873</v>
      </c>
      <c r="BL122" s="1">
        <v>29056</v>
      </c>
    </row>
    <row r="123" spans="1:64" x14ac:dyDescent="0.25">
      <c r="A123" s="1" t="s">
        <v>64</v>
      </c>
      <c r="B123" s="1" t="s">
        <v>482</v>
      </c>
      <c r="C123" s="1">
        <v>0</v>
      </c>
      <c r="D123" s="1">
        <v>0</v>
      </c>
      <c r="E123" s="1">
        <v>0</v>
      </c>
      <c r="F123" s="1">
        <v>0</v>
      </c>
      <c r="G123" s="1">
        <v>0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0</v>
      </c>
      <c r="AD123" s="1">
        <v>0</v>
      </c>
      <c r="AE123" s="1">
        <v>0</v>
      </c>
      <c r="AF123" s="1">
        <v>0</v>
      </c>
      <c r="AG123" s="1">
        <v>0</v>
      </c>
      <c r="AH123" s="1">
        <v>0</v>
      </c>
      <c r="AI123" s="1">
        <v>0</v>
      </c>
      <c r="AJ123" s="1">
        <v>0</v>
      </c>
      <c r="AK123" s="1">
        <v>0</v>
      </c>
      <c r="AL123" s="1">
        <v>0</v>
      </c>
      <c r="AM123" s="1">
        <v>0</v>
      </c>
      <c r="AN123" s="1">
        <v>0</v>
      </c>
      <c r="AO123" s="1">
        <v>0</v>
      </c>
      <c r="AP123" s="1">
        <v>0</v>
      </c>
      <c r="AQ123" s="1">
        <v>0</v>
      </c>
      <c r="AR123" s="1">
        <v>0</v>
      </c>
      <c r="AS123" s="1">
        <v>0</v>
      </c>
      <c r="AT123" s="1">
        <v>0</v>
      </c>
      <c r="AU123" s="1">
        <v>0</v>
      </c>
      <c r="AV123" s="1">
        <v>0</v>
      </c>
      <c r="AW123" s="1">
        <v>0</v>
      </c>
      <c r="AX123" s="1">
        <v>0</v>
      </c>
      <c r="AY123" s="1">
        <v>0</v>
      </c>
      <c r="AZ123" s="1">
        <v>0</v>
      </c>
      <c r="BA123" s="1">
        <v>0</v>
      </c>
      <c r="BB123" s="1">
        <v>0</v>
      </c>
      <c r="BC123" s="1">
        <v>3</v>
      </c>
      <c r="BD123" s="1">
        <v>6</v>
      </c>
      <c r="BE123" s="1">
        <v>6</v>
      </c>
      <c r="BF123" s="1">
        <v>7</v>
      </c>
      <c r="BG123" s="1">
        <v>7</v>
      </c>
      <c r="BH123" s="1">
        <v>11</v>
      </c>
      <c r="BI123" s="1">
        <v>16</v>
      </c>
      <c r="BJ123" s="1">
        <v>19</v>
      </c>
      <c r="BK123" s="1">
        <v>23</v>
      </c>
      <c r="BL123" s="1">
        <v>27</v>
      </c>
    </row>
    <row r="124" spans="1:64" x14ac:dyDescent="0.25">
      <c r="A124" s="1" t="s">
        <v>64</v>
      </c>
      <c r="B124" s="1" t="s">
        <v>103</v>
      </c>
      <c r="C124" s="1">
        <v>0</v>
      </c>
      <c r="D124" s="1">
        <v>0</v>
      </c>
      <c r="E124" s="1">
        <v>0</v>
      </c>
      <c r="F124" s="1">
        <v>0</v>
      </c>
      <c r="G124" s="1">
        <v>0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0</v>
      </c>
      <c r="AD124" s="1">
        <v>0</v>
      </c>
      <c r="AE124" s="1">
        <v>0</v>
      </c>
      <c r="AF124" s="1">
        <v>0</v>
      </c>
      <c r="AG124" s="1">
        <v>0</v>
      </c>
      <c r="AH124" s="1">
        <v>0</v>
      </c>
      <c r="AI124" s="1">
        <v>0</v>
      </c>
      <c r="AJ124" s="1">
        <v>0</v>
      </c>
      <c r="AK124" s="1">
        <v>0</v>
      </c>
      <c r="AL124" s="1">
        <v>1</v>
      </c>
      <c r="AM124" s="1">
        <v>3</v>
      </c>
      <c r="AN124" s="1">
        <v>4</v>
      </c>
      <c r="AO124" s="1">
        <v>4</v>
      </c>
      <c r="AP124" s="1">
        <v>7</v>
      </c>
      <c r="AQ124" s="1">
        <v>7</v>
      </c>
      <c r="AR124" s="1">
        <v>7</v>
      </c>
      <c r="AS124" s="1">
        <v>9</v>
      </c>
      <c r="AT124" s="1">
        <v>31</v>
      </c>
      <c r="AU124" s="1">
        <v>45</v>
      </c>
      <c r="AV124" s="1">
        <v>46</v>
      </c>
      <c r="AW124" s="1">
        <v>73</v>
      </c>
      <c r="AX124" s="1">
        <v>73</v>
      </c>
      <c r="AY124" s="1">
        <v>89</v>
      </c>
      <c r="AZ124" s="1">
        <v>99</v>
      </c>
      <c r="BA124" s="1">
        <v>99</v>
      </c>
      <c r="BB124" s="1">
        <v>190</v>
      </c>
      <c r="BC124" s="1">
        <v>228</v>
      </c>
      <c r="BD124" s="1">
        <v>331</v>
      </c>
      <c r="BE124" s="1">
        <v>331</v>
      </c>
      <c r="BF124" s="1">
        <v>387</v>
      </c>
      <c r="BG124" s="1">
        <v>418</v>
      </c>
      <c r="BH124" s="1">
        <v>418</v>
      </c>
      <c r="BI124" s="1">
        <v>495</v>
      </c>
      <c r="BJ124" s="1">
        <v>530</v>
      </c>
      <c r="BK124" s="1">
        <v>624</v>
      </c>
      <c r="BL124" s="1">
        <v>695</v>
      </c>
    </row>
    <row r="125" spans="1:64" x14ac:dyDescent="0.25">
      <c r="A125" s="1" t="s">
        <v>64</v>
      </c>
      <c r="B125" s="1" t="s">
        <v>490</v>
      </c>
      <c r="C125" s="1">
        <v>0</v>
      </c>
      <c r="D125" s="1">
        <v>0</v>
      </c>
      <c r="E125" s="1">
        <v>0</v>
      </c>
      <c r="F125" s="1">
        <v>0</v>
      </c>
      <c r="G125" s="1">
        <v>0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0</v>
      </c>
      <c r="AD125" s="1">
        <v>0</v>
      </c>
      <c r="AE125" s="1">
        <v>0</v>
      </c>
      <c r="AF125" s="1">
        <v>0</v>
      </c>
      <c r="AG125" s="1">
        <v>0</v>
      </c>
      <c r="AH125" s="1">
        <v>0</v>
      </c>
      <c r="AI125" s="1">
        <v>0</v>
      </c>
      <c r="AJ125" s="1">
        <v>0</v>
      </c>
      <c r="AK125" s="1">
        <v>0</v>
      </c>
      <c r="AL125" s="1">
        <v>0</v>
      </c>
      <c r="AM125" s="1">
        <v>0</v>
      </c>
      <c r="AN125" s="1">
        <v>0</v>
      </c>
      <c r="AO125" s="1">
        <v>0</v>
      </c>
      <c r="AP125" s="1">
        <v>0</v>
      </c>
      <c r="AQ125" s="1">
        <v>0</v>
      </c>
      <c r="AR125" s="1">
        <v>0</v>
      </c>
      <c r="AS125" s="1">
        <v>0</v>
      </c>
      <c r="AT125" s="1">
        <v>0</v>
      </c>
      <c r="AU125" s="1">
        <v>0</v>
      </c>
      <c r="AV125" s="1">
        <v>0</v>
      </c>
      <c r="AW125" s="1">
        <v>0</v>
      </c>
      <c r="AX125" s="1">
        <v>0</v>
      </c>
      <c r="AY125" s="1">
        <v>0</v>
      </c>
      <c r="AZ125" s="1">
        <v>0</v>
      </c>
      <c r="BA125" s="1">
        <v>0</v>
      </c>
      <c r="BB125" s="1">
        <v>0</v>
      </c>
      <c r="BC125" s="1">
        <v>1</v>
      </c>
      <c r="BD125" s="1">
        <v>1</v>
      </c>
      <c r="BE125" s="1">
        <v>2</v>
      </c>
      <c r="BF125" s="1">
        <v>6</v>
      </c>
      <c r="BG125" s="1">
        <v>6</v>
      </c>
      <c r="BH125" s="1">
        <v>9</v>
      </c>
      <c r="BI125" s="1">
        <v>12</v>
      </c>
      <c r="BJ125" s="1">
        <v>17</v>
      </c>
      <c r="BK125" s="1">
        <v>19</v>
      </c>
      <c r="BL125" s="1">
        <v>20</v>
      </c>
    </row>
    <row r="126" spans="1:64" x14ac:dyDescent="0.25">
      <c r="A126" s="1" t="s">
        <v>64</v>
      </c>
      <c r="B126" s="1" t="s">
        <v>477</v>
      </c>
      <c r="C126" s="1">
        <v>0</v>
      </c>
      <c r="D126" s="1">
        <v>0</v>
      </c>
      <c r="E126" s="1">
        <v>0</v>
      </c>
      <c r="F126" s="1">
        <v>0</v>
      </c>
      <c r="G126" s="1">
        <v>0</v>
      </c>
      <c r="H126" s="1">
        <v>0</v>
      </c>
      <c r="I126" s="1">
        <v>0</v>
      </c>
      <c r="J126" s="1">
        <v>0</v>
      </c>
      <c r="K126" s="1">
        <v>0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0</v>
      </c>
      <c r="AD126" s="1">
        <v>0</v>
      </c>
      <c r="AE126" s="1">
        <v>0</v>
      </c>
      <c r="AF126" s="1">
        <v>0</v>
      </c>
      <c r="AG126" s="1">
        <v>0</v>
      </c>
      <c r="AH126" s="1">
        <v>0</v>
      </c>
      <c r="AI126" s="1">
        <v>0</v>
      </c>
      <c r="AJ126" s="1">
        <v>0</v>
      </c>
      <c r="AK126" s="1">
        <v>0</v>
      </c>
      <c r="AL126" s="1">
        <v>0</v>
      </c>
      <c r="AM126" s="1">
        <v>0</v>
      </c>
      <c r="AN126" s="1">
        <v>0</v>
      </c>
      <c r="AO126" s="1">
        <v>0</v>
      </c>
      <c r="AP126" s="1">
        <v>0</v>
      </c>
      <c r="AQ126" s="1">
        <v>0</v>
      </c>
      <c r="AR126" s="1">
        <v>0</v>
      </c>
      <c r="AS126" s="1">
        <v>0</v>
      </c>
      <c r="AT126" s="1">
        <v>0</v>
      </c>
      <c r="AU126" s="1">
        <v>0</v>
      </c>
      <c r="AV126" s="1">
        <v>0</v>
      </c>
      <c r="AW126" s="1">
        <v>0</v>
      </c>
      <c r="AX126" s="1">
        <v>0</v>
      </c>
      <c r="AY126" s="1">
        <v>0</v>
      </c>
      <c r="AZ126" s="1">
        <v>0</v>
      </c>
      <c r="BA126" s="1">
        <v>0</v>
      </c>
      <c r="BB126" s="1">
        <v>1</v>
      </c>
      <c r="BC126" s="1">
        <v>1</v>
      </c>
      <c r="BD126" s="1">
        <v>1</v>
      </c>
      <c r="BE126" s="1">
        <v>1</v>
      </c>
      <c r="BF126" s="1">
        <v>1</v>
      </c>
      <c r="BG126" s="1">
        <v>1</v>
      </c>
      <c r="BH126" s="1">
        <v>1</v>
      </c>
      <c r="BI126" s="1">
        <v>1</v>
      </c>
      <c r="BJ126" s="1">
        <v>2</v>
      </c>
      <c r="BK126" s="1">
        <v>2</v>
      </c>
      <c r="BL126" s="1">
        <v>4</v>
      </c>
    </row>
    <row r="127" spans="1:64" x14ac:dyDescent="0.25">
      <c r="A127" s="1" t="s">
        <v>64</v>
      </c>
      <c r="B127" s="1" t="s">
        <v>469</v>
      </c>
      <c r="C127" s="1">
        <v>0</v>
      </c>
      <c r="D127" s="1">
        <v>0</v>
      </c>
      <c r="E127" s="1">
        <v>0</v>
      </c>
      <c r="F127" s="1">
        <v>0</v>
      </c>
      <c r="G127" s="1">
        <v>0</v>
      </c>
      <c r="H127" s="1">
        <v>0</v>
      </c>
      <c r="I127" s="1">
        <v>0</v>
      </c>
      <c r="J127" s="1">
        <v>0</v>
      </c>
      <c r="K127" s="1">
        <v>0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0</v>
      </c>
      <c r="AD127" s="1">
        <v>0</v>
      </c>
      <c r="AE127" s="1">
        <v>0</v>
      </c>
      <c r="AF127" s="1">
        <v>0</v>
      </c>
      <c r="AG127" s="1">
        <v>0</v>
      </c>
      <c r="AH127" s="1">
        <v>0</v>
      </c>
      <c r="AI127" s="1">
        <v>0</v>
      </c>
      <c r="AJ127" s="1">
        <v>0</v>
      </c>
      <c r="AK127" s="1">
        <v>0</v>
      </c>
      <c r="AL127" s="1">
        <v>0</v>
      </c>
      <c r="AM127" s="1">
        <v>0</v>
      </c>
      <c r="AN127" s="1">
        <v>0</v>
      </c>
      <c r="AO127" s="1">
        <v>0</v>
      </c>
      <c r="AP127" s="1">
        <v>0</v>
      </c>
      <c r="AQ127" s="1">
        <v>0</v>
      </c>
      <c r="AR127" s="1">
        <v>0</v>
      </c>
      <c r="AS127" s="1">
        <v>0</v>
      </c>
      <c r="AT127" s="1">
        <v>0</v>
      </c>
      <c r="AU127" s="1">
        <v>0</v>
      </c>
      <c r="AV127" s="1">
        <v>0</v>
      </c>
      <c r="AW127" s="1">
        <v>0</v>
      </c>
      <c r="AX127" s="1">
        <v>0</v>
      </c>
      <c r="AY127" s="1">
        <v>0</v>
      </c>
      <c r="AZ127" s="1">
        <v>0</v>
      </c>
      <c r="BA127" s="1">
        <v>1</v>
      </c>
      <c r="BB127" s="1">
        <v>1</v>
      </c>
      <c r="BC127" s="1">
        <v>1</v>
      </c>
      <c r="BD127" s="1">
        <v>4</v>
      </c>
      <c r="BE127" s="1">
        <v>4</v>
      </c>
      <c r="BF127" s="1">
        <v>7</v>
      </c>
      <c r="BG127" s="1">
        <v>7</v>
      </c>
      <c r="BH127" s="1">
        <v>7</v>
      </c>
      <c r="BI127" s="1">
        <v>7</v>
      </c>
      <c r="BJ127" s="1">
        <v>7</v>
      </c>
      <c r="BK127" s="1">
        <v>19</v>
      </c>
      <c r="BL127" s="1">
        <v>20</v>
      </c>
    </row>
    <row r="128" spans="1:64" x14ac:dyDescent="0.25">
      <c r="A128" s="1" t="s">
        <v>64</v>
      </c>
      <c r="B128" s="1" t="s">
        <v>535</v>
      </c>
      <c r="C128" s="1">
        <v>0</v>
      </c>
      <c r="D128" s="1">
        <v>0</v>
      </c>
      <c r="E128" s="1">
        <v>0</v>
      </c>
      <c r="F128" s="1">
        <v>0</v>
      </c>
      <c r="G128" s="1">
        <v>0</v>
      </c>
      <c r="H128" s="1">
        <v>0</v>
      </c>
      <c r="I128" s="1">
        <v>0</v>
      </c>
      <c r="J128" s="1">
        <v>0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0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I128" s="1">
        <v>0</v>
      </c>
      <c r="AJ128" s="1">
        <v>0</v>
      </c>
      <c r="AK128" s="1">
        <v>0</v>
      </c>
      <c r="AL128" s="1">
        <v>0</v>
      </c>
      <c r="AM128" s="1">
        <v>0</v>
      </c>
      <c r="AN128" s="1">
        <v>0</v>
      </c>
      <c r="AO128" s="1">
        <v>0</v>
      </c>
      <c r="AP128" s="1">
        <v>0</v>
      </c>
      <c r="AQ128" s="1">
        <v>0</v>
      </c>
      <c r="AR128" s="1">
        <v>0</v>
      </c>
      <c r="AS128" s="1">
        <v>0</v>
      </c>
      <c r="AT128" s="1">
        <v>0</v>
      </c>
      <c r="AU128" s="1">
        <v>0</v>
      </c>
      <c r="AV128" s="1">
        <v>0</v>
      </c>
      <c r="AW128" s="1">
        <v>0</v>
      </c>
      <c r="AX128" s="1">
        <v>0</v>
      </c>
      <c r="AY128" s="1">
        <v>0</v>
      </c>
      <c r="AZ128" s="1">
        <v>0</v>
      </c>
      <c r="BA128" s="1">
        <v>0</v>
      </c>
      <c r="BB128" s="1">
        <v>0</v>
      </c>
      <c r="BC128" s="1">
        <v>0</v>
      </c>
      <c r="BD128" s="1">
        <v>0</v>
      </c>
      <c r="BE128" s="1">
        <v>0</v>
      </c>
      <c r="BF128" s="1">
        <v>0</v>
      </c>
      <c r="BG128" s="1">
        <v>0</v>
      </c>
      <c r="BH128" s="1">
        <v>0</v>
      </c>
      <c r="BI128" s="1">
        <v>2</v>
      </c>
      <c r="BJ128" s="1">
        <v>2</v>
      </c>
      <c r="BK128" s="1">
        <v>2</v>
      </c>
      <c r="BL128" s="1">
        <v>6</v>
      </c>
    </row>
    <row r="129" spans="1:64" x14ac:dyDescent="0.25">
      <c r="A129" s="1" t="s">
        <v>64</v>
      </c>
      <c r="B129" s="1" t="s">
        <v>200</v>
      </c>
      <c r="C129" s="1">
        <v>0</v>
      </c>
      <c r="D129" s="1">
        <v>0</v>
      </c>
      <c r="E129" s="1">
        <v>0</v>
      </c>
      <c r="F129" s="1">
        <v>0</v>
      </c>
      <c r="G129" s="1">
        <v>0</v>
      </c>
      <c r="H129" s="1">
        <v>0</v>
      </c>
      <c r="I129" s="1">
        <v>0</v>
      </c>
      <c r="J129" s="1">
        <v>0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0</v>
      </c>
      <c r="AD129" s="1">
        <v>0</v>
      </c>
      <c r="AE129" s="1">
        <v>0</v>
      </c>
      <c r="AF129" s="1">
        <v>0</v>
      </c>
      <c r="AG129" s="1">
        <v>0</v>
      </c>
      <c r="AH129" s="1">
        <v>0</v>
      </c>
      <c r="AI129" s="1">
        <v>0</v>
      </c>
      <c r="AJ129" s="1">
        <v>0</v>
      </c>
      <c r="AK129" s="1">
        <v>0</v>
      </c>
      <c r="AL129" s="1">
        <v>0</v>
      </c>
      <c r="AM129" s="1">
        <v>0</v>
      </c>
      <c r="AN129" s="1">
        <v>0</v>
      </c>
      <c r="AO129" s="1">
        <v>0</v>
      </c>
      <c r="AP129" s="1">
        <v>0</v>
      </c>
      <c r="AQ129" s="1">
        <v>0</v>
      </c>
      <c r="AR129" s="1">
        <v>0</v>
      </c>
      <c r="AS129" s="1">
        <v>0</v>
      </c>
      <c r="AT129" s="1">
        <v>0</v>
      </c>
      <c r="AU129" s="1">
        <v>1</v>
      </c>
      <c r="AV129" s="1">
        <v>1</v>
      </c>
      <c r="AW129" s="1">
        <v>1</v>
      </c>
      <c r="AX129" s="1">
        <v>1</v>
      </c>
      <c r="AY129" s="1">
        <v>1</v>
      </c>
      <c r="AZ129" s="1">
        <v>1</v>
      </c>
      <c r="BA129" s="1">
        <v>1</v>
      </c>
      <c r="BB129" s="1">
        <v>1</v>
      </c>
      <c r="BC129" s="1">
        <v>1</v>
      </c>
      <c r="BD129" s="1">
        <v>1</v>
      </c>
      <c r="BE129" s="1">
        <v>1</v>
      </c>
      <c r="BF129" s="1">
        <v>1</v>
      </c>
      <c r="BG129" s="1">
        <v>1</v>
      </c>
      <c r="BH129" s="1">
        <v>1</v>
      </c>
      <c r="BI129" s="1">
        <v>1</v>
      </c>
      <c r="BJ129" s="1">
        <v>1</v>
      </c>
      <c r="BK129" s="1">
        <v>1</v>
      </c>
      <c r="BL129" s="1">
        <v>1</v>
      </c>
    </row>
    <row r="130" spans="1:64" x14ac:dyDescent="0.25">
      <c r="A130" s="1" t="s">
        <v>64</v>
      </c>
      <c r="B130" s="1" t="s">
        <v>266</v>
      </c>
      <c r="C130" s="1">
        <v>0</v>
      </c>
      <c r="D130" s="1">
        <v>0</v>
      </c>
      <c r="E130" s="1">
        <v>0</v>
      </c>
      <c r="F130" s="1">
        <v>0</v>
      </c>
      <c r="G130" s="1">
        <v>0</v>
      </c>
      <c r="H130" s="1">
        <v>0</v>
      </c>
      <c r="I130" s="1">
        <v>0</v>
      </c>
      <c r="J130" s="1">
        <v>0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0</v>
      </c>
      <c r="AD130" s="1">
        <v>0</v>
      </c>
      <c r="AE130" s="1">
        <v>0</v>
      </c>
      <c r="AF130" s="1">
        <v>0</v>
      </c>
      <c r="AG130" s="1">
        <v>0</v>
      </c>
      <c r="AH130" s="1">
        <v>0</v>
      </c>
      <c r="AI130" s="1">
        <v>0</v>
      </c>
      <c r="AJ130" s="1">
        <v>0</v>
      </c>
      <c r="AK130" s="1">
        <v>0</v>
      </c>
      <c r="AL130" s="1">
        <v>0</v>
      </c>
      <c r="AM130" s="1">
        <v>0</v>
      </c>
      <c r="AN130" s="1">
        <v>0</v>
      </c>
      <c r="AO130" s="1">
        <v>0</v>
      </c>
      <c r="AP130" s="1">
        <v>0</v>
      </c>
      <c r="AQ130" s="1">
        <v>0</v>
      </c>
      <c r="AR130" s="1">
        <v>0</v>
      </c>
      <c r="AS130" s="1">
        <v>0</v>
      </c>
      <c r="AT130" s="1">
        <v>0</v>
      </c>
      <c r="AU130" s="1">
        <v>0</v>
      </c>
      <c r="AV130" s="1">
        <v>0</v>
      </c>
      <c r="AW130" s="1">
        <v>0</v>
      </c>
      <c r="AX130" s="1">
        <v>0</v>
      </c>
      <c r="AY130" s="1">
        <v>0</v>
      </c>
      <c r="AZ130" s="1">
        <v>2</v>
      </c>
      <c r="BA130" s="1">
        <v>2</v>
      </c>
      <c r="BB130" s="1">
        <v>2</v>
      </c>
      <c r="BC130" s="1">
        <v>2</v>
      </c>
      <c r="BD130" s="1">
        <v>3</v>
      </c>
      <c r="BE130" s="1">
        <v>6</v>
      </c>
      <c r="BF130" s="1">
        <v>8</v>
      </c>
      <c r="BG130" s="1">
        <v>9</v>
      </c>
      <c r="BH130" s="1">
        <v>12</v>
      </c>
      <c r="BI130" s="1">
        <v>24</v>
      </c>
      <c r="BJ130" s="1">
        <v>24</v>
      </c>
      <c r="BK130" s="1">
        <v>26</v>
      </c>
      <c r="BL130" s="1">
        <v>30</v>
      </c>
    </row>
    <row r="131" spans="1:64" x14ac:dyDescent="0.25">
      <c r="A131" s="1" t="s">
        <v>64</v>
      </c>
      <c r="B131" s="1" t="s">
        <v>136</v>
      </c>
      <c r="C131" s="1">
        <v>0</v>
      </c>
      <c r="D131" s="1">
        <v>0</v>
      </c>
      <c r="E131" s="1">
        <v>0</v>
      </c>
      <c r="F131" s="1">
        <v>0</v>
      </c>
      <c r="G131" s="1">
        <v>0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0</v>
      </c>
      <c r="AD131" s="1">
        <v>0</v>
      </c>
      <c r="AE131" s="1">
        <v>0</v>
      </c>
      <c r="AF131" s="1">
        <v>0</v>
      </c>
      <c r="AG131" s="1">
        <v>0</v>
      </c>
      <c r="AH131" s="1">
        <v>0</v>
      </c>
      <c r="AI131" s="1">
        <v>0</v>
      </c>
      <c r="AJ131" s="1">
        <v>0</v>
      </c>
      <c r="AK131" s="1">
        <v>0</v>
      </c>
      <c r="AL131" s="1">
        <v>0</v>
      </c>
      <c r="AM131" s="1">
        <v>0</v>
      </c>
      <c r="AN131" s="1">
        <v>0</v>
      </c>
      <c r="AO131" s="1">
        <v>0</v>
      </c>
      <c r="AP131" s="1">
        <v>0</v>
      </c>
      <c r="AQ131" s="1">
        <v>0</v>
      </c>
      <c r="AR131" s="1">
        <v>0</v>
      </c>
      <c r="AS131" s="1">
        <v>2</v>
      </c>
      <c r="AT131" s="1">
        <v>2</v>
      </c>
      <c r="AU131" s="1">
        <v>2</v>
      </c>
      <c r="AV131" s="1">
        <v>4</v>
      </c>
      <c r="AW131" s="1">
        <v>7</v>
      </c>
      <c r="AX131" s="1">
        <v>9</v>
      </c>
      <c r="AY131" s="1">
        <v>9</v>
      </c>
      <c r="AZ131" s="1">
        <v>13</v>
      </c>
      <c r="BA131" s="1">
        <v>13</v>
      </c>
      <c r="BB131" s="1">
        <v>19</v>
      </c>
      <c r="BC131" s="1">
        <v>30</v>
      </c>
      <c r="BD131" s="1">
        <v>32</v>
      </c>
      <c r="BE131" s="1">
        <v>39</v>
      </c>
      <c r="BF131" s="1">
        <v>50</v>
      </c>
      <c r="BG131" s="1">
        <v>58</v>
      </c>
      <c r="BH131" s="1">
        <v>73</v>
      </c>
      <c r="BI131" s="1">
        <v>85</v>
      </c>
      <c r="BJ131" s="1">
        <v>103</v>
      </c>
      <c r="BK131" s="1">
        <v>131</v>
      </c>
      <c r="BL131" s="1">
        <v>167</v>
      </c>
    </row>
    <row r="132" spans="1:64" x14ac:dyDescent="0.25">
      <c r="A132" s="1" t="s">
        <v>64</v>
      </c>
      <c r="B132" s="1" t="s">
        <v>110</v>
      </c>
      <c r="C132" s="1">
        <v>0</v>
      </c>
      <c r="D132" s="1">
        <v>0</v>
      </c>
      <c r="E132" s="1">
        <v>0</v>
      </c>
      <c r="F132" s="1">
        <v>0</v>
      </c>
      <c r="G132" s="1">
        <v>0</v>
      </c>
      <c r="H132" s="1">
        <v>0</v>
      </c>
      <c r="I132" s="1">
        <v>0</v>
      </c>
      <c r="J132" s="1">
        <v>0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0</v>
      </c>
      <c r="AD132" s="1">
        <v>0</v>
      </c>
      <c r="AE132" s="1">
        <v>0</v>
      </c>
      <c r="AF132" s="1">
        <v>0</v>
      </c>
      <c r="AG132" s="1">
        <v>0</v>
      </c>
      <c r="AH132" s="1">
        <v>0</v>
      </c>
      <c r="AI132" s="1">
        <v>0</v>
      </c>
      <c r="AJ132" s="1">
        <v>0</v>
      </c>
      <c r="AK132" s="1">
        <v>0</v>
      </c>
      <c r="AL132" s="1">
        <v>0</v>
      </c>
      <c r="AM132" s="1">
        <v>0</v>
      </c>
      <c r="AN132" s="1">
        <v>1</v>
      </c>
      <c r="AO132" s="1">
        <v>1</v>
      </c>
      <c r="AP132" s="1">
        <v>3</v>
      </c>
      <c r="AQ132" s="1">
        <v>6</v>
      </c>
      <c r="AR132" s="1">
        <v>11</v>
      </c>
      <c r="AS132" s="1">
        <v>26</v>
      </c>
      <c r="AT132" s="1">
        <v>34</v>
      </c>
      <c r="AU132" s="1">
        <v>43</v>
      </c>
      <c r="AV132" s="1">
        <v>50</v>
      </c>
      <c r="AW132" s="1">
        <v>50</v>
      </c>
      <c r="AX132" s="1">
        <v>58</v>
      </c>
      <c r="AY132" s="1">
        <v>69</v>
      </c>
      <c r="AZ132" s="1">
        <v>85</v>
      </c>
      <c r="BA132" s="1">
        <v>103</v>
      </c>
      <c r="BB132" s="1">
        <v>134</v>
      </c>
      <c r="BC132" s="1">
        <v>156</v>
      </c>
      <c r="BD132" s="1">
        <v>171</v>
      </c>
      <c r="BE132" s="1">
        <v>180</v>
      </c>
      <c r="BF132" s="1">
        <v>220</v>
      </c>
      <c r="BG132" s="1">
        <v>250</v>
      </c>
      <c r="BH132" s="1">
        <v>330</v>
      </c>
      <c r="BI132" s="1">
        <v>409</v>
      </c>
      <c r="BJ132" s="1">
        <v>473</v>
      </c>
      <c r="BK132" s="1">
        <v>568</v>
      </c>
      <c r="BL132" s="1">
        <v>588</v>
      </c>
    </row>
    <row r="133" spans="1:64" x14ac:dyDescent="0.25">
      <c r="A133" s="1" t="s">
        <v>64</v>
      </c>
      <c r="B133" s="1" t="s">
        <v>81</v>
      </c>
      <c r="C133" s="1">
        <v>0</v>
      </c>
      <c r="D133" s="1">
        <v>0</v>
      </c>
      <c r="E133" s="1">
        <v>0</v>
      </c>
      <c r="F133" s="1">
        <v>0</v>
      </c>
      <c r="G133" s="1">
        <v>0</v>
      </c>
      <c r="H133" s="1">
        <v>0</v>
      </c>
      <c r="I133" s="1">
        <v>0</v>
      </c>
      <c r="J133" s="1">
        <v>0</v>
      </c>
      <c r="K133" s="1">
        <v>1</v>
      </c>
      <c r="L133" s="1">
        <v>1</v>
      </c>
      <c r="M133" s="1">
        <v>1</v>
      </c>
      <c r="N133" s="1">
        <v>2</v>
      </c>
      <c r="O133" s="1">
        <v>3</v>
      </c>
      <c r="P133" s="1">
        <v>3</v>
      </c>
      <c r="Q133" s="1">
        <v>3</v>
      </c>
      <c r="R133" s="1">
        <v>3</v>
      </c>
      <c r="S133" s="1">
        <v>3</v>
      </c>
      <c r="T133" s="1">
        <v>3</v>
      </c>
      <c r="U133" s="1">
        <v>3</v>
      </c>
      <c r="V133" s="1">
        <v>3</v>
      </c>
      <c r="W133" s="1">
        <v>3</v>
      </c>
      <c r="X133" s="1">
        <v>3</v>
      </c>
      <c r="Y133" s="1">
        <v>3</v>
      </c>
      <c r="Z133" s="1">
        <v>3</v>
      </c>
      <c r="AA133" s="1">
        <v>3</v>
      </c>
      <c r="AB133" s="1">
        <v>3</v>
      </c>
      <c r="AC133" s="1">
        <v>3</v>
      </c>
      <c r="AD133" s="1">
        <v>3</v>
      </c>
      <c r="AE133" s="1">
        <v>3</v>
      </c>
      <c r="AF133" s="1">
        <v>3</v>
      </c>
      <c r="AG133" s="1">
        <v>3</v>
      </c>
      <c r="AH133" s="1">
        <v>3</v>
      </c>
      <c r="AI133" s="1">
        <v>3</v>
      </c>
      <c r="AJ133" s="1">
        <v>3</v>
      </c>
      <c r="AK133" s="1">
        <v>3</v>
      </c>
      <c r="AL133" s="1">
        <v>3</v>
      </c>
      <c r="AM133" s="1">
        <v>3</v>
      </c>
      <c r="AN133" s="1">
        <v>3</v>
      </c>
      <c r="AO133" s="1">
        <v>3</v>
      </c>
      <c r="AP133" s="1">
        <v>3</v>
      </c>
      <c r="AQ133" s="1">
        <v>5</v>
      </c>
      <c r="AR133" s="1">
        <v>5</v>
      </c>
      <c r="AS133" s="1">
        <v>28</v>
      </c>
      <c r="AT133" s="1">
        <v>30</v>
      </c>
      <c r="AU133" s="1">
        <v>31</v>
      </c>
      <c r="AV133" s="1">
        <v>34</v>
      </c>
      <c r="AW133" s="1">
        <v>39</v>
      </c>
      <c r="AX133" s="1">
        <v>43</v>
      </c>
      <c r="AY133" s="1">
        <v>56</v>
      </c>
      <c r="AZ133" s="1">
        <v>62</v>
      </c>
      <c r="BA133" s="1">
        <v>73</v>
      </c>
      <c r="BB133" s="1">
        <v>82</v>
      </c>
      <c r="BC133" s="1">
        <v>102</v>
      </c>
      <c r="BD133" s="1">
        <v>113</v>
      </c>
      <c r="BE133" s="1">
        <v>119</v>
      </c>
      <c r="BF133" s="1">
        <v>142</v>
      </c>
      <c r="BG133" s="1">
        <v>156</v>
      </c>
      <c r="BH133" s="1">
        <v>194</v>
      </c>
      <c r="BI133" s="1">
        <v>244</v>
      </c>
      <c r="BJ133" s="1">
        <v>330</v>
      </c>
      <c r="BK133" s="1">
        <v>396</v>
      </c>
      <c r="BL133" s="1">
        <v>499</v>
      </c>
    </row>
    <row r="134" spans="1:64" x14ac:dyDescent="0.25">
      <c r="A134" s="1" t="s">
        <v>64</v>
      </c>
      <c r="B134" s="1" t="s">
        <v>124</v>
      </c>
      <c r="C134" s="1">
        <v>0</v>
      </c>
      <c r="D134" s="1">
        <v>0</v>
      </c>
      <c r="E134" s="1">
        <v>0</v>
      </c>
      <c r="F134" s="1">
        <v>0</v>
      </c>
      <c r="G134" s="1">
        <v>0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0</v>
      </c>
      <c r="AE134" s="1">
        <v>0</v>
      </c>
      <c r="AF134" s="1">
        <v>0</v>
      </c>
      <c r="AG134" s="1">
        <v>0</v>
      </c>
      <c r="AH134" s="1">
        <v>0</v>
      </c>
      <c r="AI134" s="1">
        <v>0</v>
      </c>
      <c r="AJ134" s="1">
        <v>0</v>
      </c>
      <c r="AK134" s="1">
        <v>0</v>
      </c>
      <c r="AL134" s="1">
        <v>0</v>
      </c>
      <c r="AM134" s="1">
        <v>0</v>
      </c>
      <c r="AN134" s="1">
        <v>0</v>
      </c>
      <c r="AO134" s="1">
        <v>0</v>
      </c>
      <c r="AP134" s="1">
        <v>0</v>
      </c>
      <c r="AQ134" s="1">
        <v>2</v>
      </c>
      <c r="AR134" s="1">
        <v>2</v>
      </c>
      <c r="AS134" s="1">
        <v>2</v>
      </c>
      <c r="AT134" s="1">
        <v>2</v>
      </c>
      <c r="AU134" s="1">
        <v>4</v>
      </c>
      <c r="AV134" s="1">
        <v>4</v>
      </c>
      <c r="AW134" s="1">
        <v>6</v>
      </c>
      <c r="AX134" s="1">
        <v>19</v>
      </c>
      <c r="AY134" s="1">
        <v>27</v>
      </c>
      <c r="AZ134" s="1">
        <v>34</v>
      </c>
      <c r="BA134" s="1">
        <v>34</v>
      </c>
      <c r="BB134" s="1">
        <v>69</v>
      </c>
      <c r="BC134" s="1">
        <v>96</v>
      </c>
      <c r="BD134" s="1">
        <v>117</v>
      </c>
      <c r="BE134" s="1">
        <v>134</v>
      </c>
      <c r="BF134" s="1">
        <v>172</v>
      </c>
      <c r="BG134" s="1">
        <v>227</v>
      </c>
      <c r="BH134" s="1">
        <v>311</v>
      </c>
      <c r="BI134" s="1">
        <v>369</v>
      </c>
      <c r="BJ134" s="1">
        <v>450</v>
      </c>
      <c r="BK134" s="1">
        <v>514</v>
      </c>
      <c r="BL134" s="1">
        <v>579</v>
      </c>
    </row>
    <row r="135" spans="1:64" x14ac:dyDescent="0.25">
      <c r="A135" s="1" t="s">
        <v>64</v>
      </c>
      <c r="B135" s="1" t="s">
        <v>222</v>
      </c>
      <c r="C135" s="1">
        <v>0</v>
      </c>
      <c r="D135" s="1">
        <v>0</v>
      </c>
      <c r="E135" s="1">
        <v>0</v>
      </c>
      <c r="F135" s="1">
        <v>0</v>
      </c>
      <c r="G135" s="1">
        <v>0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0</v>
      </c>
      <c r="AE135" s="1">
        <v>2</v>
      </c>
      <c r="AF135" s="1">
        <v>5</v>
      </c>
      <c r="AG135" s="1">
        <v>18</v>
      </c>
      <c r="AH135" s="1">
        <v>28</v>
      </c>
      <c r="AI135" s="1">
        <v>43</v>
      </c>
      <c r="AJ135" s="1">
        <v>61</v>
      </c>
      <c r="AK135" s="1">
        <v>95</v>
      </c>
      <c r="AL135" s="1">
        <v>139</v>
      </c>
      <c r="AM135" s="1">
        <v>245</v>
      </c>
      <c r="AN135" s="1">
        <v>388</v>
      </c>
      <c r="AO135" s="1">
        <v>593</v>
      </c>
      <c r="AP135" s="1">
        <v>978</v>
      </c>
      <c r="AQ135" s="1">
        <v>1501</v>
      </c>
      <c r="AR135" s="1">
        <v>2336</v>
      </c>
      <c r="AS135" s="1">
        <v>2922</v>
      </c>
      <c r="AT135" s="1">
        <v>3513</v>
      </c>
      <c r="AU135" s="1">
        <v>4747</v>
      </c>
      <c r="AV135" s="1">
        <v>5823</v>
      </c>
      <c r="AW135" s="1">
        <v>6566</v>
      </c>
      <c r="AX135" s="1">
        <v>7161</v>
      </c>
      <c r="AY135" s="1">
        <v>8042</v>
      </c>
      <c r="AZ135" s="1">
        <v>9000</v>
      </c>
      <c r="BA135" s="1">
        <v>10075</v>
      </c>
      <c r="BB135" s="1">
        <v>11364</v>
      </c>
      <c r="BC135" s="1">
        <v>12729</v>
      </c>
      <c r="BD135" s="1">
        <v>13938</v>
      </c>
      <c r="BE135" s="1">
        <v>14991</v>
      </c>
      <c r="BF135" s="1">
        <v>16169</v>
      </c>
      <c r="BG135" s="1">
        <v>17361</v>
      </c>
      <c r="BH135" s="1">
        <v>18407</v>
      </c>
      <c r="BI135" s="1">
        <v>19644</v>
      </c>
      <c r="BJ135" s="1">
        <v>20610</v>
      </c>
      <c r="BK135" s="1">
        <v>21638</v>
      </c>
      <c r="BL135" s="1">
        <v>23049</v>
      </c>
    </row>
    <row r="136" spans="1:64" x14ac:dyDescent="0.25">
      <c r="A136" s="1" t="s">
        <v>64</v>
      </c>
      <c r="B136" s="1" t="s">
        <v>90</v>
      </c>
      <c r="C136" s="1">
        <v>0</v>
      </c>
      <c r="D136" s="1">
        <v>0</v>
      </c>
      <c r="E136" s="1">
        <v>0</v>
      </c>
      <c r="F136" s="1">
        <v>0</v>
      </c>
      <c r="G136" s="1">
        <v>0</v>
      </c>
      <c r="H136" s="1">
        <v>0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0</v>
      </c>
      <c r="AD136" s="1">
        <v>0</v>
      </c>
      <c r="AE136" s="1">
        <v>0</v>
      </c>
      <c r="AF136" s="1">
        <v>0</v>
      </c>
      <c r="AG136" s="1">
        <v>0</v>
      </c>
      <c r="AH136" s="1">
        <v>0</v>
      </c>
      <c r="AI136" s="1">
        <v>0</v>
      </c>
      <c r="AJ136" s="1">
        <v>1</v>
      </c>
      <c r="AK136" s="1">
        <v>1</v>
      </c>
      <c r="AL136" s="1">
        <v>5</v>
      </c>
      <c r="AM136" s="1">
        <v>7</v>
      </c>
      <c r="AN136" s="1">
        <v>7</v>
      </c>
      <c r="AO136" s="1">
        <v>13</v>
      </c>
      <c r="AP136" s="1">
        <v>19</v>
      </c>
      <c r="AQ136" s="1">
        <v>26</v>
      </c>
      <c r="AR136" s="1">
        <v>32</v>
      </c>
      <c r="AS136" s="1">
        <v>35</v>
      </c>
      <c r="AT136" s="1">
        <v>35</v>
      </c>
      <c r="AU136" s="1">
        <v>40</v>
      </c>
      <c r="AV136" s="1">
        <v>54</v>
      </c>
      <c r="AW136" s="1">
        <v>60</v>
      </c>
      <c r="AX136" s="1">
        <v>60</v>
      </c>
      <c r="AY136" s="1">
        <v>71</v>
      </c>
      <c r="AZ136" s="1">
        <v>71</v>
      </c>
      <c r="BA136" s="1">
        <v>71</v>
      </c>
      <c r="BB136" s="1">
        <v>101</v>
      </c>
      <c r="BC136" s="1">
        <v>110</v>
      </c>
      <c r="BD136" s="1">
        <v>116</v>
      </c>
      <c r="BE136" s="1">
        <v>124</v>
      </c>
      <c r="BF136" s="1">
        <v>154</v>
      </c>
      <c r="BG136" s="1">
        <v>164</v>
      </c>
      <c r="BH136" s="1">
        <v>192</v>
      </c>
      <c r="BI136" s="1">
        <v>208</v>
      </c>
      <c r="BJ136" s="1">
        <v>214</v>
      </c>
      <c r="BK136" s="1">
        <v>233</v>
      </c>
      <c r="BL136" s="1">
        <v>266</v>
      </c>
    </row>
    <row r="137" spans="1:64" x14ac:dyDescent="0.25">
      <c r="A137" s="1" t="s">
        <v>64</v>
      </c>
      <c r="B137" s="1" t="s">
        <v>116</v>
      </c>
      <c r="C137" s="1">
        <v>0</v>
      </c>
      <c r="D137" s="1">
        <v>0</v>
      </c>
      <c r="E137" s="1">
        <v>0</v>
      </c>
      <c r="F137" s="1">
        <v>0</v>
      </c>
      <c r="G137" s="1">
        <v>0</v>
      </c>
      <c r="H137" s="1">
        <v>0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0</v>
      </c>
      <c r="AD137" s="1">
        <v>0</v>
      </c>
      <c r="AE137" s="1">
        <v>0</v>
      </c>
      <c r="AF137" s="1">
        <v>0</v>
      </c>
      <c r="AG137" s="1">
        <v>0</v>
      </c>
      <c r="AH137" s="1">
        <v>0</v>
      </c>
      <c r="AI137" s="1">
        <v>0</v>
      </c>
      <c r="AJ137" s="1">
        <v>0</v>
      </c>
      <c r="AK137" s="1">
        <v>0</v>
      </c>
      <c r="AL137" s="1">
        <v>0</v>
      </c>
      <c r="AM137" s="1">
        <v>0</v>
      </c>
      <c r="AN137" s="1">
        <v>0</v>
      </c>
      <c r="AO137" s="1">
        <v>1</v>
      </c>
      <c r="AP137" s="1">
        <v>1</v>
      </c>
      <c r="AQ137" s="1">
        <v>1</v>
      </c>
      <c r="AR137" s="1">
        <v>2</v>
      </c>
      <c r="AS137" s="1">
        <v>6</v>
      </c>
      <c r="AT137" s="1">
        <v>6</v>
      </c>
      <c r="AU137" s="1">
        <v>18</v>
      </c>
      <c r="AV137" s="1">
        <v>18</v>
      </c>
      <c r="AW137" s="1">
        <v>19</v>
      </c>
      <c r="AX137" s="1">
        <v>21</v>
      </c>
      <c r="AY137" s="1">
        <v>34</v>
      </c>
      <c r="AZ137" s="1">
        <v>43</v>
      </c>
      <c r="BA137" s="1">
        <v>43</v>
      </c>
      <c r="BB137" s="1">
        <v>90</v>
      </c>
      <c r="BC137" s="1">
        <v>129</v>
      </c>
      <c r="BD137" s="1">
        <v>129</v>
      </c>
      <c r="BE137" s="1">
        <v>169</v>
      </c>
      <c r="BF137" s="1">
        <v>223</v>
      </c>
      <c r="BG137" s="1">
        <v>292</v>
      </c>
      <c r="BH137" s="1">
        <v>557</v>
      </c>
      <c r="BI137" s="1">
        <v>683</v>
      </c>
      <c r="BJ137" s="1">
        <v>785</v>
      </c>
      <c r="BK137" s="1">
        <v>906</v>
      </c>
      <c r="BL137" s="1">
        <v>1125</v>
      </c>
    </row>
    <row r="138" spans="1:64" x14ac:dyDescent="0.25">
      <c r="A138" s="1" t="s">
        <v>64</v>
      </c>
      <c r="B138" s="1" t="s">
        <v>99</v>
      </c>
      <c r="C138" s="1">
        <v>0</v>
      </c>
      <c r="D138" s="1">
        <v>0</v>
      </c>
      <c r="E138" s="1">
        <v>0</v>
      </c>
      <c r="F138" s="1">
        <v>0</v>
      </c>
      <c r="G138" s="1">
        <v>0</v>
      </c>
      <c r="H138" s="1">
        <v>0</v>
      </c>
      <c r="I138" s="1">
        <v>0</v>
      </c>
      <c r="J138" s="1">
        <v>0</v>
      </c>
      <c r="K138" s="1">
        <v>0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0</v>
      </c>
      <c r="AD138" s="1">
        <v>0</v>
      </c>
      <c r="AE138" s="1">
        <v>0</v>
      </c>
      <c r="AF138" s="1">
        <v>0</v>
      </c>
      <c r="AG138" s="1">
        <v>1</v>
      </c>
      <c r="AH138" s="1">
        <v>1</v>
      </c>
      <c r="AI138" s="1">
        <v>1</v>
      </c>
      <c r="AJ138" s="1">
        <v>1</v>
      </c>
      <c r="AK138" s="1">
        <v>1</v>
      </c>
      <c r="AL138" s="1">
        <v>2</v>
      </c>
      <c r="AM138" s="1">
        <v>3</v>
      </c>
      <c r="AN138" s="1">
        <v>4</v>
      </c>
      <c r="AO138" s="1">
        <v>7</v>
      </c>
      <c r="AP138" s="1">
        <v>10</v>
      </c>
      <c r="AQ138" s="1">
        <v>10</v>
      </c>
      <c r="AR138" s="1">
        <v>12</v>
      </c>
      <c r="AS138" s="1">
        <v>15</v>
      </c>
      <c r="AT138" s="1">
        <v>20</v>
      </c>
      <c r="AU138" s="1">
        <v>37</v>
      </c>
      <c r="AV138" s="1">
        <v>43</v>
      </c>
      <c r="AW138" s="1">
        <v>61</v>
      </c>
      <c r="AX138" s="1">
        <v>61</v>
      </c>
      <c r="AY138" s="1">
        <v>83</v>
      </c>
      <c r="AZ138" s="1">
        <v>109</v>
      </c>
      <c r="BA138" s="1">
        <v>131</v>
      </c>
      <c r="BB138" s="1">
        <v>161</v>
      </c>
      <c r="BC138" s="1">
        <v>193</v>
      </c>
      <c r="BD138" s="1">
        <v>251</v>
      </c>
      <c r="BE138" s="1">
        <v>255</v>
      </c>
      <c r="BF138" s="1">
        <v>337</v>
      </c>
      <c r="BG138" s="1">
        <v>433</v>
      </c>
      <c r="BH138" s="1">
        <v>677</v>
      </c>
      <c r="BI138" s="1">
        <v>705</v>
      </c>
      <c r="BJ138" s="1">
        <v>883</v>
      </c>
      <c r="BK138" s="1">
        <v>1071</v>
      </c>
      <c r="BL138" s="1">
        <v>1442</v>
      </c>
    </row>
    <row r="139" spans="1:64" x14ac:dyDescent="0.25">
      <c r="A139" s="1" t="s">
        <v>64</v>
      </c>
      <c r="B139" s="1" t="s">
        <v>82</v>
      </c>
      <c r="C139" s="1">
        <v>0</v>
      </c>
      <c r="D139" s="1">
        <v>0</v>
      </c>
      <c r="E139" s="1">
        <v>0</v>
      </c>
      <c r="F139" s="1">
        <v>0</v>
      </c>
      <c r="G139" s="1">
        <v>0</v>
      </c>
      <c r="H139" s="1">
        <v>0</v>
      </c>
      <c r="I139" s="1">
        <v>0</v>
      </c>
      <c r="J139" s="1">
        <v>0</v>
      </c>
      <c r="K139" s="1">
        <v>0</v>
      </c>
      <c r="L139" s="1">
        <v>2</v>
      </c>
      <c r="M139" s="1">
        <v>2</v>
      </c>
      <c r="N139" s="1">
        <v>2</v>
      </c>
      <c r="O139" s="1">
        <v>2</v>
      </c>
      <c r="P139" s="1">
        <v>2</v>
      </c>
      <c r="Q139" s="1">
        <v>2</v>
      </c>
      <c r="R139" s="1">
        <v>2</v>
      </c>
      <c r="S139" s="1">
        <v>3</v>
      </c>
      <c r="T139" s="1">
        <v>3</v>
      </c>
      <c r="U139" s="1">
        <v>3</v>
      </c>
      <c r="V139" s="1">
        <v>3</v>
      </c>
      <c r="W139" s="1">
        <v>3</v>
      </c>
      <c r="X139" s="1">
        <v>3</v>
      </c>
      <c r="Y139" s="1">
        <v>3</v>
      </c>
      <c r="Z139" s="1">
        <v>3</v>
      </c>
      <c r="AA139" s="1">
        <v>3</v>
      </c>
      <c r="AB139" s="1">
        <v>3</v>
      </c>
      <c r="AC139" s="1">
        <v>3</v>
      </c>
      <c r="AD139" s="1">
        <v>3</v>
      </c>
      <c r="AE139" s="1">
        <v>3</v>
      </c>
      <c r="AF139" s="1">
        <v>3</v>
      </c>
      <c r="AG139" s="1">
        <v>20</v>
      </c>
      <c r="AH139" s="1">
        <v>62</v>
      </c>
      <c r="AI139" s="1">
        <v>155</v>
      </c>
      <c r="AJ139" s="1">
        <v>229</v>
      </c>
      <c r="AK139" s="1">
        <v>322</v>
      </c>
      <c r="AL139" s="1">
        <v>453</v>
      </c>
      <c r="AM139" s="1">
        <v>655</v>
      </c>
      <c r="AN139" s="1">
        <v>888</v>
      </c>
      <c r="AO139" s="1">
        <v>1128</v>
      </c>
      <c r="AP139" s="1">
        <v>1694</v>
      </c>
      <c r="AQ139" s="1">
        <v>2036</v>
      </c>
      <c r="AR139" s="1">
        <v>2502</v>
      </c>
      <c r="AS139" s="1">
        <v>3089</v>
      </c>
      <c r="AT139" s="1">
        <v>3858</v>
      </c>
      <c r="AU139" s="1">
        <v>4636</v>
      </c>
      <c r="AV139" s="1">
        <v>5883</v>
      </c>
      <c r="AW139" s="1">
        <v>7375</v>
      </c>
      <c r="AX139" s="1">
        <v>9172</v>
      </c>
      <c r="AY139" s="1">
        <v>10149</v>
      </c>
      <c r="AZ139" s="1">
        <v>12462</v>
      </c>
      <c r="BA139" s="1">
        <v>12462</v>
      </c>
      <c r="BB139" s="1">
        <v>17660</v>
      </c>
      <c r="BC139" s="1">
        <v>21157</v>
      </c>
      <c r="BD139" s="1">
        <v>24747</v>
      </c>
      <c r="BE139" s="1">
        <v>27980</v>
      </c>
      <c r="BF139" s="1">
        <v>31506</v>
      </c>
      <c r="BG139" s="1">
        <v>35713</v>
      </c>
      <c r="BH139" s="1">
        <v>41035</v>
      </c>
      <c r="BI139" s="1">
        <v>47021</v>
      </c>
      <c r="BJ139" s="1">
        <v>53578</v>
      </c>
      <c r="BK139" s="1">
        <v>59138</v>
      </c>
      <c r="BL139" s="1">
        <v>63927</v>
      </c>
    </row>
    <row r="140" spans="1:64" x14ac:dyDescent="0.25">
      <c r="A140" s="1" t="s">
        <v>64</v>
      </c>
      <c r="B140" s="1" t="s">
        <v>274</v>
      </c>
      <c r="C140" s="1">
        <v>0</v>
      </c>
      <c r="D140" s="1">
        <v>0</v>
      </c>
      <c r="E140" s="1">
        <v>0</v>
      </c>
      <c r="F140" s="1">
        <v>0</v>
      </c>
      <c r="G140" s="1">
        <v>0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0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>
        <v>0</v>
      </c>
      <c r="AJ140" s="1">
        <v>0</v>
      </c>
      <c r="AK140" s="1">
        <v>0</v>
      </c>
      <c r="AL140" s="1">
        <v>0</v>
      </c>
      <c r="AM140" s="1">
        <v>0</v>
      </c>
      <c r="AN140" s="1">
        <v>0</v>
      </c>
      <c r="AO140" s="1">
        <v>0</v>
      </c>
      <c r="AP140" s="1">
        <v>0</v>
      </c>
      <c r="AQ140" s="1">
        <v>0</v>
      </c>
      <c r="AR140" s="1">
        <v>0</v>
      </c>
      <c r="AS140" s="1">
        <v>0</v>
      </c>
      <c r="AT140" s="1">
        <v>0</v>
      </c>
      <c r="AU140" s="1">
        <v>0</v>
      </c>
      <c r="AV140" s="1">
        <v>0</v>
      </c>
      <c r="AW140" s="1">
        <v>0</v>
      </c>
      <c r="AX140" s="1">
        <v>0</v>
      </c>
      <c r="AY140" s="1">
        <v>0</v>
      </c>
      <c r="AZ140" s="1">
        <v>1</v>
      </c>
      <c r="BA140" s="1">
        <v>2</v>
      </c>
      <c r="BB140" s="1">
        <v>8</v>
      </c>
      <c r="BC140" s="1">
        <v>8</v>
      </c>
      <c r="BD140" s="1">
        <v>10</v>
      </c>
      <c r="BE140" s="1">
        <v>10</v>
      </c>
      <c r="BF140" s="1">
        <v>12</v>
      </c>
      <c r="BG140" s="1">
        <v>13</v>
      </c>
      <c r="BH140" s="1">
        <v>15</v>
      </c>
      <c r="BI140" s="1">
        <v>16</v>
      </c>
      <c r="BJ140" s="1">
        <v>16</v>
      </c>
      <c r="BK140" s="1">
        <v>19</v>
      </c>
      <c r="BL140" s="1">
        <v>19</v>
      </c>
    </row>
    <row r="141" spans="1:64" x14ac:dyDescent="0.25">
      <c r="A141" s="1" t="s">
        <v>64</v>
      </c>
      <c r="B141" s="1" t="s">
        <v>65</v>
      </c>
      <c r="C141" s="1">
        <v>2</v>
      </c>
      <c r="D141" s="1">
        <v>2</v>
      </c>
      <c r="E141" s="1">
        <v>2</v>
      </c>
      <c r="F141" s="1">
        <v>2</v>
      </c>
      <c r="G141" s="1">
        <v>4</v>
      </c>
      <c r="H141" s="1">
        <v>4</v>
      </c>
      <c r="I141" s="1">
        <v>7</v>
      </c>
      <c r="J141" s="1">
        <v>7</v>
      </c>
      <c r="K141" s="1">
        <v>11</v>
      </c>
      <c r="L141" s="1">
        <v>15</v>
      </c>
      <c r="M141" s="1">
        <v>20</v>
      </c>
      <c r="N141" s="1">
        <v>20</v>
      </c>
      <c r="O141" s="1">
        <v>20</v>
      </c>
      <c r="P141" s="1">
        <v>22</v>
      </c>
      <c r="Q141" s="1">
        <v>22</v>
      </c>
      <c r="R141" s="1">
        <v>22</v>
      </c>
      <c r="S141" s="1">
        <v>25</v>
      </c>
      <c r="T141" s="1">
        <v>25</v>
      </c>
      <c r="U141" s="1">
        <v>26</v>
      </c>
      <c r="V141" s="1">
        <v>26</v>
      </c>
      <c r="W141" s="1">
        <v>26</v>
      </c>
      <c r="X141" s="1">
        <v>28</v>
      </c>
      <c r="Y141" s="1">
        <v>28</v>
      </c>
      <c r="Z141" s="1">
        <v>29</v>
      </c>
      <c r="AA141" s="1">
        <v>43</v>
      </c>
      <c r="AB141" s="1">
        <v>59</v>
      </c>
      <c r="AC141" s="1">
        <v>66</v>
      </c>
      <c r="AD141" s="1">
        <v>74</v>
      </c>
      <c r="AE141" s="1">
        <v>84</v>
      </c>
      <c r="AF141" s="1">
        <v>94</v>
      </c>
      <c r="AG141" s="1">
        <v>105</v>
      </c>
      <c r="AH141" s="1">
        <v>122</v>
      </c>
      <c r="AI141" s="1">
        <v>147</v>
      </c>
      <c r="AJ141" s="1">
        <v>159</v>
      </c>
      <c r="AK141" s="1">
        <v>170</v>
      </c>
      <c r="AL141" s="1">
        <v>189</v>
      </c>
      <c r="AM141" s="1">
        <v>214</v>
      </c>
      <c r="AN141" s="1">
        <v>228</v>
      </c>
      <c r="AO141" s="1">
        <v>241</v>
      </c>
      <c r="AP141" s="1">
        <v>256</v>
      </c>
      <c r="AQ141" s="1">
        <v>274</v>
      </c>
      <c r="AR141" s="1">
        <v>293</v>
      </c>
      <c r="AS141" s="1">
        <v>331</v>
      </c>
      <c r="AT141" s="1">
        <v>360</v>
      </c>
      <c r="AU141" s="1">
        <v>420</v>
      </c>
      <c r="AV141" s="1">
        <v>461</v>
      </c>
      <c r="AW141" s="1">
        <v>502</v>
      </c>
      <c r="AX141" s="1">
        <v>511</v>
      </c>
      <c r="AY141" s="1">
        <v>581</v>
      </c>
      <c r="AZ141" s="1">
        <v>639</v>
      </c>
      <c r="BA141" s="1">
        <v>639</v>
      </c>
      <c r="BB141" s="1">
        <v>701</v>
      </c>
      <c r="BC141" s="1">
        <v>773</v>
      </c>
      <c r="BD141" s="1">
        <v>839</v>
      </c>
      <c r="BE141" s="1">
        <v>839</v>
      </c>
      <c r="BF141" s="1">
        <v>878</v>
      </c>
      <c r="BG141" s="1">
        <v>889</v>
      </c>
      <c r="BH141" s="1">
        <v>924</v>
      </c>
      <c r="BI141" s="1">
        <v>963</v>
      </c>
      <c r="BJ141" s="1">
        <v>1007</v>
      </c>
      <c r="BK141" s="1">
        <v>1101</v>
      </c>
      <c r="BL141" s="1">
        <v>1128</v>
      </c>
    </row>
    <row r="142" spans="1:64" x14ac:dyDescent="0.25">
      <c r="A142" s="1" t="s">
        <v>64</v>
      </c>
      <c r="B142" s="1" t="s">
        <v>134</v>
      </c>
      <c r="C142" s="1">
        <v>0</v>
      </c>
      <c r="D142" s="1">
        <v>0</v>
      </c>
      <c r="E142" s="1">
        <v>0</v>
      </c>
      <c r="F142" s="1">
        <v>0</v>
      </c>
      <c r="G142" s="1">
        <v>0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0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1">
        <v>0</v>
      </c>
      <c r="AJ142" s="1">
        <v>0</v>
      </c>
      <c r="AK142" s="1">
        <v>0</v>
      </c>
      <c r="AL142" s="1">
        <v>0</v>
      </c>
      <c r="AM142" s="1">
        <v>0</v>
      </c>
      <c r="AN142" s="1">
        <v>0</v>
      </c>
      <c r="AO142" s="1">
        <v>0</v>
      </c>
      <c r="AP142" s="1">
        <v>0</v>
      </c>
      <c r="AQ142" s="1">
        <v>0</v>
      </c>
      <c r="AR142" s="1">
        <v>1</v>
      </c>
      <c r="AS142" s="1">
        <v>1</v>
      </c>
      <c r="AT142" s="1">
        <v>1</v>
      </c>
      <c r="AU142" s="1">
        <v>1</v>
      </c>
      <c r="AV142" s="1">
        <v>1</v>
      </c>
      <c r="AW142" s="1">
        <v>1</v>
      </c>
      <c r="AX142" s="1">
        <v>1</v>
      </c>
      <c r="AY142" s="1">
        <v>1</v>
      </c>
      <c r="AZ142" s="1">
        <v>1</v>
      </c>
      <c r="BA142" s="1">
        <v>1</v>
      </c>
      <c r="BB142" s="1">
        <v>1</v>
      </c>
      <c r="BC142" s="1">
        <v>1</v>
      </c>
      <c r="BD142" s="1">
        <v>8</v>
      </c>
      <c r="BE142" s="1">
        <v>17</v>
      </c>
      <c r="BF142" s="1">
        <v>34</v>
      </c>
      <c r="BG142" s="1">
        <v>52</v>
      </c>
      <c r="BH142" s="1">
        <v>69</v>
      </c>
      <c r="BI142" s="1">
        <v>85</v>
      </c>
      <c r="BJ142" s="1">
        <v>85</v>
      </c>
      <c r="BK142" s="1">
        <v>112</v>
      </c>
      <c r="BL142" s="1">
        <v>127</v>
      </c>
    </row>
    <row r="143" spans="1:64" x14ac:dyDescent="0.25">
      <c r="A143" s="1" t="s">
        <v>64</v>
      </c>
      <c r="B143" s="1" t="s">
        <v>471</v>
      </c>
      <c r="C143" s="1">
        <v>0</v>
      </c>
      <c r="D143" s="1">
        <v>0</v>
      </c>
      <c r="E143" s="1">
        <v>0</v>
      </c>
      <c r="F143" s="1">
        <v>0</v>
      </c>
      <c r="G143" s="1">
        <v>0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0</v>
      </c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1">
        <v>0</v>
      </c>
      <c r="AJ143" s="1">
        <v>0</v>
      </c>
      <c r="AK143" s="1">
        <v>0</v>
      </c>
      <c r="AL143" s="1">
        <v>0</v>
      </c>
      <c r="AM143" s="1">
        <v>0</v>
      </c>
      <c r="AN143" s="1">
        <v>0</v>
      </c>
      <c r="AO143" s="1">
        <v>0</v>
      </c>
      <c r="AP143" s="1">
        <v>0</v>
      </c>
      <c r="AQ143" s="1">
        <v>0</v>
      </c>
      <c r="AR143" s="1">
        <v>0</v>
      </c>
      <c r="AS143" s="1">
        <v>0</v>
      </c>
      <c r="AT143" s="1">
        <v>0</v>
      </c>
      <c r="AU143" s="1">
        <v>0</v>
      </c>
      <c r="AV143" s="1">
        <v>0</v>
      </c>
      <c r="AW143" s="1">
        <v>0</v>
      </c>
      <c r="AX143" s="1">
        <v>0</v>
      </c>
      <c r="AY143" s="1">
        <v>0</v>
      </c>
      <c r="AZ143" s="1">
        <v>0</v>
      </c>
      <c r="BA143" s="1">
        <v>0</v>
      </c>
      <c r="BB143" s="1">
        <v>4</v>
      </c>
      <c r="BC143" s="1">
        <v>6</v>
      </c>
      <c r="BD143" s="1">
        <v>9</v>
      </c>
      <c r="BE143" s="1">
        <v>10</v>
      </c>
      <c r="BF143" s="1">
        <v>33</v>
      </c>
      <c r="BG143" s="1">
        <v>35</v>
      </c>
      <c r="BH143" s="1">
        <v>44</v>
      </c>
      <c r="BI143" s="1">
        <v>49</v>
      </c>
      <c r="BJ143" s="1">
        <v>53</v>
      </c>
      <c r="BK143" s="1">
        <v>60</v>
      </c>
      <c r="BL143" s="1">
        <v>62</v>
      </c>
    </row>
    <row r="144" spans="1:64" x14ac:dyDescent="0.25">
      <c r="A144" s="1" t="s">
        <v>64</v>
      </c>
      <c r="B144" s="1" t="s">
        <v>478</v>
      </c>
      <c r="C144" s="1">
        <v>0</v>
      </c>
      <c r="D144" s="1">
        <v>0</v>
      </c>
      <c r="E144" s="1">
        <v>0</v>
      </c>
      <c r="F144" s="1">
        <v>0</v>
      </c>
      <c r="G144" s="1">
        <v>0</v>
      </c>
      <c r="H144" s="1">
        <v>0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0</v>
      </c>
      <c r="AD144" s="1">
        <v>0</v>
      </c>
      <c r="AE144" s="1">
        <v>0</v>
      </c>
      <c r="AF144" s="1">
        <v>0</v>
      </c>
      <c r="AG144" s="1">
        <v>0</v>
      </c>
      <c r="AH144" s="1">
        <v>0</v>
      </c>
      <c r="AI144" s="1">
        <v>0</v>
      </c>
      <c r="AJ144" s="1">
        <v>0</v>
      </c>
      <c r="AK144" s="1">
        <v>0</v>
      </c>
      <c r="AL144" s="1">
        <v>0</v>
      </c>
      <c r="AM144" s="1">
        <v>0</v>
      </c>
      <c r="AN144" s="1">
        <v>0</v>
      </c>
      <c r="AO144" s="1">
        <v>0</v>
      </c>
      <c r="AP144" s="1">
        <v>0</v>
      </c>
      <c r="AQ144" s="1">
        <v>0</v>
      </c>
      <c r="AR144" s="1">
        <v>0</v>
      </c>
      <c r="AS144" s="1">
        <v>0</v>
      </c>
      <c r="AT144" s="1">
        <v>0</v>
      </c>
      <c r="AU144" s="1">
        <v>0</v>
      </c>
      <c r="AV144" s="1">
        <v>0</v>
      </c>
      <c r="AW144" s="1">
        <v>0</v>
      </c>
      <c r="AX144" s="1">
        <v>0</v>
      </c>
      <c r="AY144" s="1">
        <v>0</v>
      </c>
      <c r="AZ144" s="1">
        <v>0</v>
      </c>
      <c r="BA144" s="1">
        <v>0</v>
      </c>
      <c r="BB144" s="1">
        <v>1</v>
      </c>
      <c r="BC144" s="1">
        <v>1</v>
      </c>
      <c r="BD144" s="1">
        <v>3</v>
      </c>
      <c r="BE144" s="1">
        <v>3</v>
      </c>
      <c r="BF144" s="1">
        <v>3</v>
      </c>
      <c r="BG144" s="1">
        <v>3</v>
      </c>
      <c r="BH144" s="1">
        <v>7</v>
      </c>
      <c r="BI144" s="1">
        <v>7</v>
      </c>
      <c r="BJ144" s="1">
        <v>7</v>
      </c>
      <c r="BK144" s="1">
        <v>15</v>
      </c>
      <c r="BL144" s="1">
        <v>16</v>
      </c>
    </row>
    <row r="145" spans="1:64" x14ac:dyDescent="0.25">
      <c r="A145" s="1" t="s">
        <v>64</v>
      </c>
      <c r="B145" s="1" t="s">
        <v>223</v>
      </c>
      <c r="C145" s="1">
        <v>1</v>
      </c>
      <c r="D145" s="1">
        <v>1</v>
      </c>
      <c r="E145" s="1">
        <v>2</v>
      </c>
      <c r="F145" s="1">
        <v>2</v>
      </c>
      <c r="G145" s="1">
        <v>3</v>
      </c>
      <c r="H145" s="1">
        <v>4</v>
      </c>
      <c r="I145" s="1">
        <v>4</v>
      </c>
      <c r="J145" s="1">
        <v>4</v>
      </c>
      <c r="K145" s="1">
        <v>4</v>
      </c>
      <c r="L145" s="1">
        <v>11</v>
      </c>
      <c r="M145" s="1">
        <v>12</v>
      </c>
      <c r="N145" s="1">
        <v>15</v>
      </c>
      <c r="O145" s="1">
        <v>15</v>
      </c>
      <c r="P145" s="1">
        <v>16</v>
      </c>
      <c r="Q145" s="1">
        <v>19</v>
      </c>
      <c r="R145" s="1">
        <v>23</v>
      </c>
      <c r="S145" s="1">
        <v>24</v>
      </c>
      <c r="T145" s="1">
        <v>24</v>
      </c>
      <c r="U145" s="1">
        <v>25</v>
      </c>
      <c r="V145" s="1">
        <v>27</v>
      </c>
      <c r="W145" s="1">
        <v>28</v>
      </c>
      <c r="X145" s="1">
        <v>28</v>
      </c>
      <c r="Y145" s="1">
        <v>28</v>
      </c>
      <c r="Z145" s="1">
        <v>28</v>
      </c>
      <c r="AA145" s="1">
        <v>28</v>
      </c>
      <c r="AB145" s="1">
        <v>29</v>
      </c>
      <c r="AC145" s="1">
        <v>30</v>
      </c>
      <c r="AD145" s="1">
        <v>31</v>
      </c>
      <c r="AE145" s="1">
        <v>31</v>
      </c>
      <c r="AF145" s="1">
        <v>104</v>
      </c>
      <c r="AG145" s="1">
        <v>204</v>
      </c>
      <c r="AH145" s="1">
        <v>433</v>
      </c>
      <c r="AI145" s="1">
        <v>602</v>
      </c>
      <c r="AJ145" s="1">
        <v>833</v>
      </c>
      <c r="AK145" s="1">
        <v>977</v>
      </c>
      <c r="AL145" s="1">
        <v>1261</v>
      </c>
      <c r="AM145" s="1">
        <v>1766</v>
      </c>
      <c r="AN145" s="1">
        <v>2337</v>
      </c>
      <c r="AO145" s="1">
        <v>3150</v>
      </c>
      <c r="AP145" s="1">
        <v>3736</v>
      </c>
      <c r="AQ145" s="1">
        <v>4335</v>
      </c>
      <c r="AR145" s="1">
        <v>5186</v>
      </c>
      <c r="AS145" s="1">
        <v>5621</v>
      </c>
      <c r="AT145" s="1">
        <v>6088</v>
      </c>
      <c r="AU145" s="1">
        <v>6593</v>
      </c>
      <c r="AV145" s="1">
        <v>7041</v>
      </c>
      <c r="AW145" s="1">
        <v>7314</v>
      </c>
      <c r="AX145" s="1">
        <v>7478</v>
      </c>
      <c r="AY145" s="1">
        <v>7513</v>
      </c>
      <c r="AZ145" s="1">
        <v>7755</v>
      </c>
      <c r="BA145" s="1">
        <v>7869</v>
      </c>
      <c r="BB145" s="1">
        <v>7979</v>
      </c>
      <c r="BC145" s="1">
        <v>8086</v>
      </c>
      <c r="BD145" s="1">
        <v>8162</v>
      </c>
      <c r="BE145" s="1">
        <v>8236</v>
      </c>
      <c r="BF145" s="1">
        <v>8320</v>
      </c>
      <c r="BG145" s="1">
        <v>8413</v>
      </c>
      <c r="BH145" s="1">
        <v>8565</v>
      </c>
      <c r="BI145" s="1">
        <v>8652</v>
      </c>
      <c r="BJ145" s="1">
        <v>8799</v>
      </c>
      <c r="BK145" s="1">
        <v>8961</v>
      </c>
      <c r="BL145" s="1">
        <v>8961</v>
      </c>
    </row>
    <row r="146" spans="1:64" x14ac:dyDescent="0.25">
      <c r="A146" s="1" t="s">
        <v>64</v>
      </c>
      <c r="B146" s="1" t="s">
        <v>94</v>
      </c>
      <c r="C146" s="1">
        <v>0</v>
      </c>
      <c r="D146" s="1">
        <v>0</v>
      </c>
      <c r="E146" s="1">
        <v>0</v>
      </c>
      <c r="F146" s="1">
        <v>0</v>
      </c>
      <c r="G146" s="1">
        <v>0</v>
      </c>
      <c r="H146" s="1">
        <v>0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0</v>
      </c>
      <c r="AD146" s="1">
        <v>0</v>
      </c>
      <c r="AE146" s="1">
        <v>0</v>
      </c>
      <c r="AF146" s="1">
        <v>0</v>
      </c>
      <c r="AG146" s="1">
        <v>0</v>
      </c>
      <c r="AH146" s="1">
        <v>0</v>
      </c>
      <c r="AI146" s="1">
        <v>0</v>
      </c>
      <c r="AJ146" s="1">
        <v>1</v>
      </c>
      <c r="AK146" s="1">
        <v>11</v>
      </c>
      <c r="AL146" s="1">
        <v>26</v>
      </c>
      <c r="AM146" s="1">
        <v>43</v>
      </c>
      <c r="AN146" s="1">
        <v>45</v>
      </c>
      <c r="AO146" s="1">
        <v>45</v>
      </c>
      <c r="AP146" s="1">
        <v>45</v>
      </c>
      <c r="AQ146" s="1">
        <v>56</v>
      </c>
      <c r="AR146" s="1">
        <v>56</v>
      </c>
      <c r="AS146" s="1">
        <v>56</v>
      </c>
      <c r="AT146" s="1">
        <v>58</v>
      </c>
      <c r="AU146" s="1">
        <v>58</v>
      </c>
      <c r="AV146" s="1">
        <v>61</v>
      </c>
      <c r="AW146" s="1">
        <v>64</v>
      </c>
      <c r="AX146" s="1">
        <v>64</v>
      </c>
      <c r="AY146" s="1">
        <v>69</v>
      </c>
      <c r="AZ146" s="1">
        <v>72</v>
      </c>
      <c r="BA146" s="1">
        <v>80</v>
      </c>
      <c r="BB146" s="1">
        <v>80</v>
      </c>
      <c r="BC146" s="1">
        <v>104</v>
      </c>
      <c r="BD146" s="1">
        <v>112</v>
      </c>
      <c r="BE146" s="1">
        <v>123</v>
      </c>
      <c r="BF146" s="1">
        <v>130</v>
      </c>
      <c r="BG146" s="1">
        <v>142</v>
      </c>
      <c r="BH146" s="1">
        <v>148</v>
      </c>
      <c r="BI146" s="1">
        <v>159</v>
      </c>
      <c r="BJ146" s="1">
        <v>176</v>
      </c>
      <c r="BK146" s="1">
        <v>188</v>
      </c>
      <c r="BL146" s="1">
        <v>189</v>
      </c>
    </row>
    <row r="147" spans="1:64" x14ac:dyDescent="0.25">
      <c r="A147" s="1" t="s">
        <v>64</v>
      </c>
      <c r="B147" s="1" t="s">
        <v>519</v>
      </c>
      <c r="C147" s="1">
        <v>0</v>
      </c>
      <c r="D147" s="1">
        <v>0</v>
      </c>
      <c r="E147" s="1">
        <v>0</v>
      </c>
      <c r="F147" s="1">
        <v>0</v>
      </c>
      <c r="G147" s="1">
        <v>0</v>
      </c>
      <c r="H147" s="1">
        <v>0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0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1">
        <v>0</v>
      </c>
      <c r="AJ147" s="1">
        <v>0</v>
      </c>
      <c r="AK147" s="1">
        <v>0</v>
      </c>
      <c r="AL147" s="1">
        <v>0</v>
      </c>
      <c r="AM147" s="1">
        <v>0</v>
      </c>
      <c r="AN147" s="1">
        <v>0</v>
      </c>
      <c r="AO147" s="1">
        <v>0</v>
      </c>
      <c r="AP147" s="1">
        <v>0</v>
      </c>
      <c r="AQ147" s="1">
        <v>0</v>
      </c>
      <c r="AR147" s="1">
        <v>0</v>
      </c>
      <c r="AS147" s="1">
        <v>0</v>
      </c>
      <c r="AT147" s="1">
        <v>0</v>
      </c>
      <c r="AU147" s="1">
        <v>0</v>
      </c>
      <c r="AV147" s="1">
        <v>0</v>
      </c>
      <c r="AW147" s="1">
        <v>0</v>
      </c>
      <c r="AX147" s="1">
        <v>0</v>
      </c>
      <c r="AY147" s="1">
        <v>0</v>
      </c>
      <c r="AZ147" s="1">
        <v>0</v>
      </c>
      <c r="BA147" s="1">
        <v>0</v>
      </c>
      <c r="BB147" s="1">
        <v>0</v>
      </c>
      <c r="BC147" s="1">
        <v>0</v>
      </c>
      <c r="BD147" s="1">
        <v>0</v>
      </c>
      <c r="BE147" s="1">
        <v>0</v>
      </c>
      <c r="BF147" s="1">
        <v>0</v>
      </c>
      <c r="BG147" s="1">
        <v>3</v>
      </c>
      <c r="BH147" s="1">
        <v>3</v>
      </c>
      <c r="BI147" s="1">
        <v>6</v>
      </c>
      <c r="BJ147" s="1">
        <v>14</v>
      </c>
      <c r="BK147" s="1">
        <v>14</v>
      </c>
      <c r="BL147" s="1">
        <v>16</v>
      </c>
    </row>
    <row r="148" spans="1:64" x14ac:dyDescent="0.25">
      <c r="A148" s="1" t="s">
        <v>64</v>
      </c>
      <c r="B148" s="1" t="s">
        <v>128</v>
      </c>
      <c r="C148" s="1">
        <v>0</v>
      </c>
      <c r="D148" s="1">
        <v>0</v>
      </c>
      <c r="E148" s="1">
        <v>0</v>
      </c>
      <c r="F148" s="1">
        <v>0</v>
      </c>
      <c r="G148" s="1">
        <v>0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0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>
        <v>0</v>
      </c>
      <c r="AJ148" s="1">
        <v>0</v>
      </c>
      <c r="AK148" s="1">
        <v>0</v>
      </c>
      <c r="AL148" s="1">
        <v>0</v>
      </c>
      <c r="AM148" s="1">
        <v>0</v>
      </c>
      <c r="AN148" s="1">
        <v>0</v>
      </c>
      <c r="AO148" s="1">
        <v>0</v>
      </c>
      <c r="AP148" s="1">
        <v>0</v>
      </c>
      <c r="AQ148" s="1">
        <v>1</v>
      </c>
      <c r="AR148" s="1">
        <v>1</v>
      </c>
      <c r="AS148" s="1">
        <v>1</v>
      </c>
      <c r="AT148" s="1">
        <v>1</v>
      </c>
      <c r="AU148" s="1">
        <v>1</v>
      </c>
      <c r="AV148" s="1">
        <v>1</v>
      </c>
      <c r="AW148" s="1">
        <v>2</v>
      </c>
      <c r="AX148" s="1">
        <v>6</v>
      </c>
      <c r="AY148" s="1">
        <v>8</v>
      </c>
      <c r="AZ148" s="1">
        <v>10</v>
      </c>
      <c r="BA148" s="1">
        <v>10</v>
      </c>
      <c r="BB148" s="1">
        <v>17</v>
      </c>
      <c r="BC148" s="1">
        <v>26</v>
      </c>
      <c r="BD148" s="1">
        <v>30</v>
      </c>
      <c r="BE148" s="1">
        <v>34</v>
      </c>
      <c r="BF148" s="1">
        <v>49</v>
      </c>
      <c r="BG148" s="1">
        <v>71</v>
      </c>
      <c r="BH148" s="1">
        <v>86</v>
      </c>
      <c r="BI148" s="1">
        <v>111</v>
      </c>
      <c r="BJ148" s="1">
        <v>124</v>
      </c>
      <c r="BK148" s="1">
        <v>139</v>
      </c>
      <c r="BL148" s="1">
        <v>180</v>
      </c>
    </row>
    <row r="149" spans="1:64" x14ac:dyDescent="0.25">
      <c r="A149" s="1" t="s">
        <v>64</v>
      </c>
      <c r="B149" s="1" t="s">
        <v>89</v>
      </c>
      <c r="C149" s="1">
        <v>0</v>
      </c>
      <c r="D149" s="1">
        <v>0</v>
      </c>
      <c r="E149" s="1">
        <v>0</v>
      </c>
      <c r="F149" s="1">
        <v>0</v>
      </c>
      <c r="G149" s="1">
        <v>0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0</v>
      </c>
      <c r="AD149" s="1">
        <v>0</v>
      </c>
      <c r="AE149" s="1">
        <v>0</v>
      </c>
      <c r="AF149" s="1">
        <v>0</v>
      </c>
      <c r="AG149" s="1">
        <v>1</v>
      </c>
      <c r="AH149" s="1">
        <v>1</v>
      </c>
      <c r="AI149" s="1">
        <v>1</v>
      </c>
      <c r="AJ149" s="1">
        <v>1</v>
      </c>
      <c r="AK149" s="1">
        <v>1</v>
      </c>
      <c r="AL149" s="1">
        <v>2</v>
      </c>
      <c r="AM149" s="1">
        <v>2</v>
      </c>
      <c r="AN149" s="1">
        <v>2</v>
      </c>
      <c r="AO149" s="1">
        <v>4</v>
      </c>
      <c r="AP149" s="1">
        <v>10</v>
      </c>
      <c r="AQ149" s="1">
        <v>13</v>
      </c>
      <c r="AR149" s="1">
        <v>13</v>
      </c>
      <c r="AS149" s="1">
        <v>13</v>
      </c>
      <c r="AT149" s="1">
        <v>16</v>
      </c>
      <c r="AU149" s="1">
        <v>22</v>
      </c>
      <c r="AV149" s="1">
        <v>22</v>
      </c>
      <c r="AW149" s="1">
        <v>32</v>
      </c>
      <c r="AX149" s="1">
        <v>32</v>
      </c>
      <c r="AY149" s="1">
        <v>41</v>
      </c>
      <c r="AZ149" s="1">
        <v>61</v>
      </c>
      <c r="BA149" s="1">
        <v>61</v>
      </c>
      <c r="BB149" s="1">
        <v>77</v>
      </c>
      <c r="BC149" s="1">
        <v>93</v>
      </c>
      <c r="BD149" s="1">
        <v>110</v>
      </c>
      <c r="BE149" s="1">
        <v>110</v>
      </c>
      <c r="BF149" s="1">
        <v>120</v>
      </c>
      <c r="BG149" s="1">
        <v>133</v>
      </c>
      <c r="BH149" s="1">
        <v>157</v>
      </c>
      <c r="BI149" s="1">
        <v>163</v>
      </c>
      <c r="BJ149" s="1">
        <v>187</v>
      </c>
      <c r="BK149" s="1">
        <v>248</v>
      </c>
      <c r="BL149" s="1">
        <v>267</v>
      </c>
    </row>
    <row r="150" spans="1:64" x14ac:dyDescent="0.25">
      <c r="A150" s="1" t="s">
        <v>64</v>
      </c>
      <c r="B150" s="1" t="s">
        <v>510</v>
      </c>
      <c r="C150" s="1">
        <v>0</v>
      </c>
      <c r="D150" s="1">
        <v>0</v>
      </c>
      <c r="E150" s="1">
        <v>0</v>
      </c>
      <c r="F150" s="1">
        <v>0</v>
      </c>
      <c r="G150" s="1">
        <v>0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0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>
        <v>0</v>
      </c>
      <c r="AJ150" s="1">
        <v>0</v>
      </c>
      <c r="AK150" s="1">
        <v>0</v>
      </c>
      <c r="AL150" s="1">
        <v>0</v>
      </c>
      <c r="AM150" s="1">
        <v>0</v>
      </c>
      <c r="AN150" s="1">
        <v>0</v>
      </c>
      <c r="AO150" s="1">
        <v>0</v>
      </c>
      <c r="AP150" s="1">
        <v>0</v>
      </c>
      <c r="AQ150" s="1">
        <v>0</v>
      </c>
      <c r="AR150" s="1">
        <v>0</v>
      </c>
      <c r="AS150" s="1">
        <v>0</v>
      </c>
      <c r="AT150" s="1">
        <v>0</v>
      </c>
      <c r="AU150" s="1">
        <v>0</v>
      </c>
      <c r="AV150" s="1">
        <v>0</v>
      </c>
      <c r="AW150" s="1">
        <v>0</v>
      </c>
      <c r="AX150" s="1">
        <v>0</v>
      </c>
      <c r="AY150" s="1">
        <v>0</v>
      </c>
      <c r="AZ150" s="1">
        <v>0</v>
      </c>
      <c r="BA150" s="1">
        <v>0</v>
      </c>
      <c r="BB150" s="1">
        <v>0</v>
      </c>
      <c r="BC150" s="1">
        <v>0</v>
      </c>
      <c r="BD150" s="1">
        <v>0</v>
      </c>
      <c r="BE150" s="1">
        <v>1</v>
      </c>
      <c r="BF150" s="1">
        <v>1</v>
      </c>
      <c r="BG150" s="1">
        <v>2</v>
      </c>
      <c r="BH150" s="1">
        <v>2</v>
      </c>
      <c r="BI150" s="1">
        <v>2</v>
      </c>
      <c r="BJ150" s="1">
        <v>3</v>
      </c>
      <c r="BK150" s="1">
        <v>3</v>
      </c>
      <c r="BL150" s="1">
        <v>3</v>
      </c>
    </row>
    <row r="151" spans="1:64" x14ac:dyDescent="0.25">
      <c r="A151" s="1" t="s">
        <v>64</v>
      </c>
      <c r="B151" s="1" t="s">
        <v>138</v>
      </c>
      <c r="C151" s="1">
        <v>0</v>
      </c>
      <c r="D151" s="1">
        <v>0</v>
      </c>
      <c r="E151" s="1">
        <v>0</v>
      </c>
      <c r="F151" s="1">
        <v>0</v>
      </c>
      <c r="G151" s="1">
        <v>0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0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1">
        <v>0</v>
      </c>
      <c r="AJ151" s="1">
        <v>0</v>
      </c>
      <c r="AK151" s="1">
        <v>0</v>
      </c>
      <c r="AL151" s="1">
        <v>0</v>
      </c>
      <c r="AM151" s="1">
        <v>0</v>
      </c>
      <c r="AN151" s="1">
        <v>0</v>
      </c>
      <c r="AO151" s="1">
        <v>0</v>
      </c>
      <c r="AP151" s="1">
        <v>0</v>
      </c>
      <c r="AQ151" s="1">
        <v>0</v>
      </c>
      <c r="AR151" s="1">
        <v>0</v>
      </c>
      <c r="AS151" s="1">
        <v>1</v>
      </c>
      <c r="AT151" s="1">
        <v>1</v>
      </c>
      <c r="AU151" s="1">
        <v>1</v>
      </c>
      <c r="AV151" s="1">
        <v>1</v>
      </c>
      <c r="AW151" s="1">
        <v>1</v>
      </c>
      <c r="AX151" s="1">
        <v>1</v>
      </c>
      <c r="AY151" s="1">
        <v>1</v>
      </c>
      <c r="AZ151" s="1">
        <v>1</v>
      </c>
      <c r="BA151" s="1">
        <v>1</v>
      </c>
      <c r="BB151" s="1">
        <v>1</v>
      </c>
      <c r="BC151" s="1">
        <v>4</v>
      </c>
      <c r="BD151" s="1">
        <v>4</v>
      </c>
      <c r="BE151" s="1">
        <v>4</v>
      </c>
      <c r="BF151" s="1">
        <v>7</v>
      </c>
      <c r="BG151" s="1">
        <v>28</v>
      </c>
      <c r="BH151" s="1">
        <v>28</v>
      </c>
      <c r="BI151" s="1">
        <v>28</v>
      </c>
      <c r="BJ151" s="1">
        <v>37</v>
      </c>
      <c r="BK151" s="1">
        <v>37</v>
      </c>
      <c r="BL151" s="1">
        <v>51</v>
      </c>
    </row>
    <row r="152" spans="1:64" x14ac:dyDescent="0.25">
      <c r="A152" s="1" t="s">
        <v>64</v>
      </c>
      <c r="B152" s="1" t="s">
        <v>111</v>
      </c>
      <c r="C152" s="1">
        <v>0</v>
      </c>
      <c r="D152" s="1">
        <v>0</v>
      </c>
      <c r="E152" s="1">
        <v>0</v>
      </c>
      <c r="F152" s="1">
        <v>0</v>
      </c>
      <c r="G152" s="1">
        <v>0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0</v>
      </c>
      <c r="AD152" s="1">
        <v>0</v>
      </c>
      <c r="AE152" s="1">
        <v>0</v>
      </c>
      <c r="AF152" s="1">
        <v>0</v>
      </c>
      <c r="AG152" s="1">
        <v>0</v>
      </c>
      <c r="AH152" s="1">
        <v>0</v>
      </c>
      <c r="AI152" s="1">
        <v>0</v>
      </c>
      <c r="AJ152" s="1">
        <v>0</v>
      </c>
      <c r="AK152" s="1">
        <v>0</v>
      </c>
      <c r="AL152" s="1">
        <v>0</v>
      </c>
      <c r="AM152" s="1">
        <v>0</v>
      </c>
      <c r="AN152" s="1">
        <v>1</v>
      </c>
      <c r="AO152" s="1">
        <v>1</v>
      </c>
      <c r="AP152" s="1">
        <v>1</v>
      </c>
      <c r="AQ152" s="1">
        <v>1</v>
      </c>
      <c r="AR152" s="1">
        <v>1</v>
      </c>
      <c r="AS152" s="1">
        <v>1</v>
      </c>
      <c r="AT152" s="1">
        <v>1</v>
      </c>
      <c r="AU152" s="1">
        <v>1</v>
      </c>
      <c r="AV152" s="1">
        <v>1</v>
      </c>
      <c r="AW152" s="1">
        <v>1</v>
      </c>
      <c r="AX152" s="1">
        <v>1</v>
      </c>
      <c r="AY152" s="1">
        <v>1</v>
      </c>
      <c r="AZ152" s="1">
        <v>3</v>
      </c>
      <c r="BA152" s="1">
        <v>3</v>
      </c>
      <c r="BB152" s="1">
        <v>6</v>
      </c>
      <c r="BC152" s="1">
        <v>8</v>
      </c>
      <c r="BD152" s="1">
        <v>12</v>
      </c>
      <c r="BE152" s="1">
        <v>17</v>
      </c>
      <c r="BF152" s="1">
        <v>25</v>
      </c>
      <c r="BG152" s="1">
        <v>27</v>
      </c>
      <c r="BH152" s="1">
        <v>36</v>
      </c>
      <c r="BI152" s="1">
        <v>49</v>
      </c>
      <c r="BJ152" s="1">
        <v>83</v>
      </c>
      <c r="BK152" s="1">
        <v>143</v>
      </c>
      <c r="BL152" s="1">
        <v>179</v>
      </c>
    </row>
    <row r="153" spans="1:64" x14ac:dyDescent="0.25">
      <c r="A153" s="1" t="s">
        <v>64</v>
      </c>
      <c r="B153" s="1" t="s">
        <v>117</v>
      </c>
      <c r="C153" s="1">
        <v>0</v>
      </c>
      <c r="D153" s="1">
        <v>0</v>
      </c>
      <c r="E153" s="1">
        <v>0</v>
      </c>
      <c r="F153" s="1">
        <v>0</v>
      </c>
      <c r="G153" s="1">
        <v>0</v>
      </c>
      <c r="H153" s="1">
        <v>0</v>
      </c>
      <c r="I153" s="1">
        <v>0</v>
      </c>
      <c r="J153" s="1">
        <v>0</v>
      </c>
      <c r="K153" s="1">
        <v>0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>
        <v>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0</v>
      </c>
      <c r="AD153" s="1">
        <v>0</v>
      </c>
      <c r="AE153" s="1">
        <v>0</v>
      </c>
      <c r="AF153" s="1">
        <v>0</v>
      </c>
      <c r="AG153" s="1">
        <v>0</v>
      </c>
      <c r="AH153" s="1">
        <v>0</v>
      </c>
      <c r="AI153" s="1">
        <v>0</v>
      </c>
      <c r="AJ153" s="1">
        <v>0</v>
      </c>
      <c r="AK153" s="1">
        <v>0</v>
      </c>
      <c r="AL153" s="1">
        <v>0</v>
      </c>
      <c r="AM153" s="1">
        <v>0</v>
      </c>
      <c r="AN153" s="1">
        <v>0</v>
      </c>
      <c r="AO153" s="1">
        <v>1</v>
      </c>
      <c r="AP153" s="1">
        <v>1</v>
      </c>
      <c r="AQ153" s="1">
        <v>1</v>
      </c>
      <c r="AR153" s="1">
        <v>1</v>
      </c>
      <c r="AS153" s="1">
        <v>1</v>
      </c>
      <c r="AT153" s="1">
        <v>1</v>
      </c>
      <c r="AU153" s="1">
        <v>2</v>
      </c>
      <c r="AV153" s="1">
        <v>2</v>
      </c>
      <c r="AW153" s="1">
        <v>3</v>
      </c>
      <c r="AX153" s="1">
        <v>3</v>
      </c>
      <c r="AY153" s="1">
        <v>5</v>
      </c>
      <c r="AZ153" s="1">
        <v>7</v>
      </c>
      <c r="BA153" s="1">
        <v>19</v>
      </c>
      <c r="BB153" s="1">
        <v>34</v>
      </c>
      <c r="BC153" s="1">
        <v>51</v>
      </c>
      <c r="BD153" s="1">
        <v>59</v>
      </c>
      <c r="BE153" s="1">
        <v>77</v>
      </c>
      <c r="BF153" s="1">
        <v>140</v>
      </c>
      <c r="BG153" s="1">
        <v>203</v>
      </c>
      <c r="BH153" s="1">
        <v>335</v>
      </c>
      <c r="BI153" s="1">
        <v>484</v>
      </c>
      <c r="BJ153" s="1">
        <v>670</v>
      </c>
      <c r="BK153" s="1">
        <v>798</v>
      </c>
      <c r="BL153" s="1">
        <v>875</v>
      </c>
    </row>
    <row r="154" spans="1:64" x14ac:dyDescent="0.25">
      <c r="A154" s="1" t="s">
        <v>64</v>
      </c>
      <c r="B154" s="1" t="s">
        <v>534</v>
      </c>
      <c r="C154" s="1">
        <v>0</v>
      </c>
      <c r="D154" s="1">
        <v>0</v>
      </c>
      <c r="E154" s="1">
        <v>0</v>
      </c>
      <c r="F154" s="1">
        <v>0</v>
      </c>
      <c r="G154" s="1">
        <v>0</v>
      </c>
      <c r="H154" s="1">
        <v>0</v>
      </c>
      <c r="I154" s="1">
        <v>0</v>
      </c>
      <c r="J154" s="1">
        <v>0</v>
      </c>
      <c r="K154" s="1">
        <v>0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>
        <v>0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0</v>
      </c>
      <c r="AD154" s="1">
        <v>0</v>
      </c>
      <c r="AE154" s="1">
        <v>0</v>
      </c>
      <c r="AF154" s="1">
        <v>0</v>
      </c>
      <c r="AG154" s="1">
        <v>0</v>
      </c>
      <c r="AH154" s="1">
        <v>0</v>
      </c>
      <c r="AI154" s="1">
        <v>0</v>
      </c>
      <c r="AJ154" s="1">
        <v>0</v>
      </c>
      <c r="AK154" s="1">
        <v>0</v>
      </c>
      <c r="AL154" s="1">
        <v>0</v>
      </c>
      <c r="AM154" s="1">
        <v>0</v>
      </c>
      <c r="AN154" s="1">
        <v>0</v>
      </c>
      <c r="AO154" s="1">
        <v>0</v>
      </c>
      <c r="AP154" s="1">
        <v>0</v>
      </c>
      <c r="AQ154" s="1">
        <v>0</v>
      </c>
      <c r="AR154" s="1">
        <v>0</v>
      </c>
      <c r="AS154" s="1">
        <v>0</v>
      </c>
      <c r="AT154" s="1">
        <v>0</v>
      </c>
      <c r="AU154" s="1">
        <v>0</v>
      </c>
      <c r="AV154" s="1">
        <v>0</v>
      </c>
      <c r="AW154" s="1">
        <v>0</v>
      </c>
      <c r="AX154" s="1">
        <v>0</v>
      </c>
      <c r="AY154" s="1">
        <v>0</v>
      </c>
      <c r="AZ154" s="1">
        <v>0</v>
      </c>
      <c r="BA154" s="1">
        <v>0</v>
      </c>
      <c r="BB154" s="1">
        <v>0</v>
      </c>
      <c r="BC154" s="1">
        <v>0</v>
      </c>
      <c r="BD154" s="1">
        <v>0</v>
      </c>
      <c r="BE154" s="1">
        <v>0</v>
      </c>
      <c r="BF154" s="1">
        <v>0</v>
      </c>
      <c r="BG154" s="1">
        <v>0</v>
      </c>
      <c r="BH154" s="1">
        <v>0</v>
      </c>
      <c r="BI154" s="1">
        <v>3</v>
      </c>
      <c r="BJ154" s="1">
        <v>3</v>
      </c>
      <c r="BK154" s="1">
        <v>3</v>
      </c>
      <c r="BL154" s="1">
        <v>12</v>
      </c>
    </row>
    <row r="155" spans="1:64" x14ac:dyDescent="0.25">
      <c r="A155" s="1" t="s">
        <v>64</v>
      </c>
      <c r="B155" s="1" t="s">
        <v>68</v>
      </c>
      <c r="C155" s="1">
        <v>0</v>
      </c>
      <c r="D155" s="1">
        <v>0</v>
      </c>
      <c r="E155" s="1">
        <v>0</v>
      </c>
      <c r="F155" s="1">
        <v>3</v>
      </c>
      <c r="G155" s="1">
        <v>4</v>
      </c>
      <c r="H155" s="1">
        <v>4</v>
      </c>
      <c r="I155" s="1">
        <v>4</v>
      </c>
      <c r="J155" s="1">
        <v>7</v>
      </c>
      <c r="K155" s="1">
        <v>8</v>
      </c>
      <c r="L155" s="1">
        <v>8</v>
      </c>
      <c r="M155" s="1">
        <v>8</v>
      </c>
      <c r="N155" s="1">
        <v>8</v>
      </c>
      <c r="O155" s="1">
        <v>8</v>
      </c>
      <c r="P155" s="1">
        <v>10</v>
      </c>
      <c r="Q155" s="1">
        <v>12</v>
      </c>
      <c r="R155" s="1">
        <v>12</v>
      </c>
      <c r="S155" s="1">
        <v>12</v>
      </c>
      <c r="T155" s="1">
        <v>16</v>
      </c>
      <c r="U155" s="1">
        <v>16</v>
      </c>
      <c r="V155" s="1">
        <v>18</v>
      </c>
      <c r="W155" s="1">
        <v>18</v>
      </c>
      <c r="X155" s="1">
        <v>18</v>
      </c>
      <c r="Y155" s="1">
        <v>19</v>
      </c>
      <c r="Z155" s="1">
        <v>19</v>
      </c>
      <c r="AA155" s="1">
        <v>22</v>
      </c>
      <c r="AB155" s="1">
        <v>22</v>
      </c>
      <c r="AC155" s="1">
        <v>22</v>
      </c>
      <c r="AD155" s="1">
        <v>22</v>
      </c>
      <c r="AE155" s="1">
        <v>22</v>
      </c>
      <c r="AF155" s="1">
        <v>22</v>
      </c>
      <c r="AG155" s="1">
        <v>22</v>
      </c>
      <c r="AH155" s="1">
        <v>22</v>
      </c>
      <c r="AI155" s="1">
        <v>22</v>
      </c>
      <c r="AJ155" s="1">
        <v>22</v>
      </c>
      <c r="AK155" s="1">
        <v>22</v>
      </c>
      <c r="AL155" s="1">
        <v>22</v>
      </c>
      <c r="AM155" s="1">
        <v>23</v>
      </c>
      <c r="AN155" s="1">
        <v>23</v>
      </c>
      <c r="AO155" s="1">
        <v>25</v>
      </c>
      <c r="AP155" s="1">
        <v>29</v>
      </c>
      <c r="AQ155" s="1">
        <v>29</v>
      </c>
      <c r="AR155" s="1">
        <v>36</v>
      </c>
      <c r="AS155" s="1">
        <v>50</v>
      </c>
      <c r="AT155" s="1">
        <v>50</v>
      </c>
      <c r="AU155" s="1">
        <v>83</v>
      </c>
      <c r="AV155" s="1">
        <v>93</v>
      </c>
      <c r="AW155" s="1">
        <v>99</v>
      </c>
      <c r="AX155" s="1">
        <v>117</v>
      </c>
      <c r="AY155" s="1">
        <v>129</v>
      </c>
      <c r="AZ155" s="1">
        <v>149</v>
      </c>
      <c r="BA155" s="1">
        <v>149</v>
      </c>
      <c r="BB155" s="1">
        <v>197</v>
      </c>
      <c r="BC155" s="1">
        <v>238</v>
      </c>
      <c r="BD155" s="1">
        <v>428</v>
      </c>
      <c r="BE155" s="1">
        <v>566</v>
      </c>
      <c r="BF155" s="1">
        <v>673</v>
      </c>
      <c r="BG155" s="1">
        <v>790</v>
      </c>
      <c r="BH155" s="1">
        <v>900</v>
      </c>
      <c r="BI155" s="1">
        <v>1030</v>
      </c>
      <c r="BJ155" s="1">
        <v>1183</v>
      </c>
      <c r="BK155" s="1">
        <v>1306</v>
      </c>
      <c r="BL155" s="1">
        <v>1518</v>
      </c>
    </row>
    <row r="156" spans="1:64" x14ac:dyDescent="0.25">
      <c r="A156" s="1" t="s">
        <v>64</v>
      </c>
      <c r="B156" s="1" t="s">
        <v>155</v>
      </c>
      <c r="C156" s="1">
        <v>0</v>
      </c>
      <c r="D156" s="1">
        <v>0</v>
      </c>
      <c r="E156" s="1">
        <v>0</v>
      </c>
      <c r="F156" s="1">
        <v>0</v>
      </c>
      <c r="G156" s="1">
        <v>0</v>
      </c>
      <c r="H156" s="1">
        <v>0</v>
      </c>
      <c r="I156" s="1">
        <v>0</v>
      </c>
      <c r="J156" s="1">
        <v>0</v>
      </c>
      <c r="K156" s="1">
        <v>0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>
        <v>0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0</v>
      </c>
      <c r="AD156" s="1">
        <v>0</v>
      </c>
      <c r="AE156" s="1">
        <v>0</v>
      </c>
      <c r="AF156" s="1">
        <v>0</v>
      </c>
      <c r="AG156" s="1">
        <v>0</v>
      </c>
      <c r="AH156" s="1">
        <v>0</v>
      </c>
      <c r="AI156" s="1">
        <v>0</v>
      </c>
      <c r="AJ156" s="1">
        <v>0</v>
      </c>
      <c r="AK156" s="1">
        <v>0</v>
      </c>
      <c r="AL156" s="1">
        <v>0</v>
      </c>
      <c r="AM156" s="1">
        <v>0</v>
      </c>
      <c r="AN156" s="1">
        <v>0</v>
      </c>
      <c r="AO156" s="1">
        <v>0</v>
      </c>
      <c r="AP156" s="1">
        <v>0</v>
      </c>
      <c r="AQ156" s="1">
        <v>0</v>
      </c>
      <c r="AR156" s="1">
        <v>0</v>
      </c>
      <c r="AS156" s="1">
        <v>0</v>
      </c>
      <c r="AT156" s="1">
        <v>0</v>
      </c>
      <c r="AU156" s="1">
        <v>0</v>
      </c>
      <c r="AV156" s="1">
        <v>0</v>
      </c>
      <c r="AW156" s="1">
        <v>4</v>
      </c>
      <c r="AX156" s="1">
        <v>4</v>
      </c>
      <c r="AY156" s="1">
        <v>6</v>
      </c>
      <c r="AZ156" s="1">
        <v>8</v>
      </c>
      <c r="BA156" s="1">
        <v>8</v>
      </c>
      <c r="BB156" s="1">
        <v>9</v>
      </c>
      <c r="BC156" s="1">
        <v>10</v>
      </c>
      <c r="BD156" s="1">
        <v>13</v>
      </c>
      <c r="BE156" s="1">
        <v>13</v>
      </c>
      <c r="BF156" s="1">
        <v>13</v>
      </c>
      <c r="BG156" s="1">
        <v>13</v>
      </c>
      <c r="BH156" s="1">
        <v>13</v>
      </c>
      <c r="BI156" s="1">
        <v>13</v>
      </c>
      <c r="BJ156" s="1">
        <v>13</v>
      </c>
      <c r="BK156" s="1">
        <v>13</v>
      </c>
      <c r="BL156" s="1">
        <v>13</v>
      </c>
    </row>
    <row r="157" spans="1:64" x14ac:dyDescent="0.25">
      <c r="A157" s="1" t="s">
        <v>64</v>
      </c>
      <c r="B157" s="1" t="s">
        <v>152</v>
      </c>
      <c r="C157" s="1">
        <v>0</v>
      </c>
      <c r="D157" s="1">
        <v>0</v>
      </c>
      <c r="E157" s="1">
        <v>0</v>
      </c>
      <c r="F157" s="1">
        <v>0</v>
      </c>
      <c r="G157" s="1">
        <v>0</v>
      </c>
      <c r="H157" s="1">
        <v>0</v>
      </c>
      <c r="I157" s="1">
        <v>0</v>
      </c>
      <c r="J157" s="1">
        <v>0</v>
      </c>
      <c r="K157" s="1">
        <v>0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0</v>
      </c>
      <c r="AD157" s="1">
        <v>0</v>
      </c>
      <c r="AE157" s="1">
        <v>0</v>
      </c>
      <c r="AF157" s="1">
        <v>0</v>
      </c>
      <c r="AG157" s="1">
        <v>0</v>
      </c>
      <c r="AH157" s="1">
        <v>0</v>
      </c>
      <c r="AI157" s="1">
        <v>0</v>
      </c>
      <c r="AJ157" s="1">
        <v>0</v>
      </c>
      <c r="AK157" s="1">
        <v>0</v>
      </c>
      <c r="AL157" s="1">
        <v>0</v>
      </c>
      <c r="AM157" s="1">
        <v>0</v>
      </c>
      <c r="AN157" s="1">
        <v>0</v>
      </c>
      <c r="AO157" s="1">
        <v>0</v>
      </c>
      <c r="AP157" s="1">
        <v>0</v>
      </c>
      <c r="AQ157" s="1">
        <v>0</v>
      </c>
      <c r="AR157" s="1">
        <v>0</v>
      </c>
      <c r="AS157" s="1">
        <v>0</v>
      </c>
      <c r="AT157" s="1">
        <v>0</v>
      </c>
      <c r="AU157" s="1">
        <v>0</v>
      </c>
      <c r="AV157" s="1">
        <v>3</v>
      </c>
      <c r="AW157" s="1">
        <v>3</v>
      </c>
      <c r="AX157" s="1">
        <v>3</v>
      </c>
      <c r="AY157" s="1">
        <v>5</v>
      </c>
      <c r="AZ157" s="1">
        <v>6</v>
      </c>
      <c r="BA157" s="1">
        <v>6</v>
      </c>
      <c r="BB157" s="1">
        <v>12</v>
      </c>
      <c r="BC157" s="1">
        <v>18</v>
      </c>
      <c r="BD157" s="1">
        <v>21</v>
      </c>
      <c r="BE157" s="1">
        <v>30</v>
      </c>
      <c r="BF157" s="1">
        <v>38</v>
      </c>
      <c r="BG157" s="1">
        <v>38</v>
      </c>
      <c r="BH157" s="1">
        <v>53</v>
      </c>
      <c r="BI157" s="1">
        <v>64</v>
      </c>
      <c r="BJ157" s="1">
        <v>73</v>
      </c>
      <c r="BK157" s="1">
        <v>90</v>
      </c>
      <c r="BL157" s="1">
        <v>107</v>
      </c>
    </row>
    <row r="158" spans="1:64" x14ac:dyDescent="0.25">
      <c r="A158" s="1" t="s">
        <v>64</v>
      </c>
      <c r="B158" s="1" t="s">
        <v>491</v>
      </c>
      <c r="C158" s="1">
        <v>0</v>
      </c>
      <c r="D158" s="1">
        <v>0</v>
      </c>
      <c r="E158" s="1">
        <v>0</v>
      </c>
      <c r="F158" s="1">
        <v>0</v>
      </c>
      <c r="G158" s="1">
        <v>0</v>
      </c>
      <c r="H158" s="1">
        <v>0</v>
      </c>
      <c r="I158" s="1">
        <v>0</v>
      </c>
      <c r="J158" s="1">
        <v>0</v>
      </c>
      <c r="K158" s="1">
        <v>0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>
        <v>0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0</v>
      </c>
      <c r="AD158" s="1">
        <v>0</v>
      </c>
      <c r="AE158" s="1">
        <v>0</v>
      </c>
      <c r="AF158" s="1">
        <v>0</v>
      </c>
      <c r="AG158" s="1">
        <v>0</v>
      </c>
      <c r="AH158" s="1">
        <v>0</v>
      </c>
      <c r="AI158" s="1">
        <v>0</v>
      </c>
      <c r="AJ158" s="1">
        <v>0</v>
      </c>
      <c r="AK158" s="1">
        <v>0</v>
      </c>
      <c r="AL158" s="1">
        <v>0</v>
      </c>
      <c r="AM158" s="1">
        <v>0</v>
      </c>
      <c r="AN158" s="1">
        <v>0</v>
      </c>
      <c r="AO158" s="1">
        <v>0</v>
      </c>
      <c r="AP158" s="1">
        <v>0</v>
      </c>
      <c r="AQ158" s="1">
        <v>0</v>
      </c>
      <c r="AR158" s="1">
        <v>0</v>
      </c>
      <c r="AS158" s="1">
        <v>0</v>
      </c>
      <c r="AT158" s="1">
        <v>0</v>
      </c>
      <c r="AU158" s="1">
        <v>0</v>
      </c>
      <c r="AV158" s="1">
        <v>0</v>
      </c>
      <c r="AW158" s="1">
        <v>0</v>
      </c>
      <c r="AX158" s="1">
        <v>0</v>
      </c>
      <c r="AY158" s="1">
        <v>0</v>
      </c>
      <c r="AZ158" s="1">
        <v>0</v>
      </c>
      <c r="BA158" s="1">
        <v>0</v>
      </c>
      <c r="BB158" s="1">
        <v>0</v>
      </c>
      <c r="BC158" s="1">
        <v>1</v>
      </c>
      <c r="BD158" s="1">
        <v>1</v>
      </c>
      <c r="BE158" s="1">
        <v>1</v>
      </c>
      <c r="BF158" s="1">
        <v>1</v>
      </c>
      <c r="BG158" s="1">
        <v>1</v>
      </c>
      <c r="BH158" s="1">
        <v>2</v>
      </c>
      <c r="BI158" s="1">
        <v>2</v>
      </c>
      <c r="BJ158" s="1">
        <v>2</v>
      </c>
      <c r="BK158" s="1">
        <v>2</v>
      </c>
      <c r="BL158" s="1">
        <v>2</v>
      </c>
    </row>
    <row r="159" spans="1:64" x14ac:dyDescent="0.25">
      <c r="A159" s="1" t="s">
        <v>64</v>
      </c>
      <c r="B159" s="1" t="s">
        <v>520</v>
      </c>
      <c r="C159" s="1">
        <v>0</v>
      </c>
      <c r="D159" s="1">
        <v>0</v>
      </c>
      <c r="E159" s="1">
        <v>0</v>
      </c>
      <c r="F159" s="1">
        <v>0</v>
      </c>
      <c r="G159" s="1">
        <v>0</v>
      </c>
      <c r="H159" s="1">
        <v>0</v>
      </c>
      <c r="I159" s="1">
        <v>0</v>
      </c>
      <c r="J159" s="1">
        <v>0</v>
      </c>
      <c r="K159" s="1">
        <v>0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0</v>
      </c>
      <c r="AD159" s="1">
        <v>0</v>
      </c>
      <c r="AE159" s="1">
        <v>0</v>
      </c>
      <c r="AF159" s="1">
        <v>0</v>
      </c>
      <c r="AG159" s="1">
        <v>0</v>
      </c>
      <c r="AH159" s="1">
        <v>0</v>
      </c>
      <c r="AI159" s="1">
        <v>0</v>
      </c>
      <c r="AJ159" s="1">
        <v>0</v>
      </c>
      <c r="AK159" s="1">
        <v>0</v>
      </c>
      <c r="AL159" s="1">
        <v>0</v>
      </c>
      <c r="AM159" s="1">
        <v>0</v>
      </c>
      <c r="AN159" s="1">
        <v>0</v>
      </c>
      <c r="AO159" s="1">
        <v>0</v>
      </c>
      <c r="AP159" s="1">
        <v>0</v>
      </c>
      <c r="AQ159" s="1">
        <v>0</v>
      </c>
      <c r="AR159" s="1">
        <v>0</v>
      </c>
      <c r="AS159" s="1">
        <v>0</v>
      </c>
      <c r="AT159" s="1">
        <v>0</v>
      </c>
      <c r="AU159" s="1">
        <v>0</v>
      </c>
      <c r="AV159" s="1">
        <v>0</v>
      </c>
      <c r="AW159" s="1">
        <v>0</v>
      </c>
      <c r="AX159" s="1">
        <v>0</v>
      </c>
      <c r="AY159" s="1">
        <v>0</v>
      </c>
      <c r="AZ159" s="1">
        <v>0</v>
      </c>
      <c r="BA159" s="1">
        <v>0</v>
      </c>
      <c r="BB159" s="1">
        <v>0</v>
      </c>
      <c r="BC159" s="1">
        <v>0</v>
      </c>
      <c r="BD159" s="1">
        <v>0</v>
      </c>
      <c r="BE159" s="1">
        <v>0</v>
      </c>
      <c r="BF159" s="1">
        <v>0</v>
      </c>
      <c r="BG159" s="1">
        <v>3</v>
      </c>
      <c r="BH159" s="1">
        <v>3</v>
      </c>
      <c r="BI159" s="1">
        <v>12</v>
      </c>
      <c r="BJ159" s="1">
        <v>14</v>
      </c>
      <c r="BK159" s="1">
        <v>28</v>
      </c>
      <c r="BL159" s="1">
        <v>36</v>
      </c>
    </row>
    <row r="160" spans="1:64" x14ac:dyDescent="0.25">
      <c r="A160" s="1" t="s">
        <v>64</v>
      </c>
      <c r="B160" s="1" t="s">
        <v>112</v>
      </c>
      <c r="C160" s="1">
        <v>0</v>
      </c>
      <c r="D160" s="1">
        <v>0</v>
      </c>
      <c r="E160" s="1">
        <v>0</v>
      </c>
      <c r="F160" s="1">
        <v>0</v>
      </c>
      <c r="G160" s="1">
        <v>0</v>
      </c>
      <c r="H160" s="1">
        <v>0</v>
      </c>
      <c r="I160" s="1">
        <v>0</v>
      </c>
      <c r="J160" s="1">
        <v>0</v>
      </c>
      <c r="K160" s="1">
        <v>0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0</v>
      </c>
      <c r="AD160" s="1">
        <v>0</v>
      </c>
      <c r="AE160" s="1">
        <v>0</v>
      </c>
      <c r="AF160" s="1">
        <v>0</v>
      </c>
      <c r="AG160" s="1">
        <v>0</v>
      </c>
      <c r="AH160" s="1">
        <v>0</v>
      </c>
      <c r="AI160" s="1">
        <v>0</v>
      </c>
      <c r="AJ160" s="1">
        <v>0</v>
      </c>
      <c r="AK160" s="1">
        <v>0</v>
      </c>
      <c r="AL160" s="1">
        <v>0</v>
      </c>
      <c r="AM160" s="1">
        <v>0</v>
      </c>
      <c r="AN160" s="1">
        <v>1</v>
      </c>
      <c r="AO160" s="1">
        <v>4</v>
      </c>
      <c r="AP160" s="1">
        <v>5</v>
      </c>
      <c r="AQ160" s="1">
        <v>5</v>
      </c>
      <c r="AR160" s="1">
        <v>5</v>
      </c>
      <c r="AS160" s="1">
        <v>5</v>
      </c>
      <c r="AT160" s="1">
        <v>5</v>
      </c>
      <c r="AU160" s="1">
        <v>6</v>
      </c>
      <c r="AV160" s="1">
        <v>6</v>
      </c>
      <c r="AW160" s="1">
        <v>7</v>
      </c>
      <c r="AX160" s="1">
        <v>7</v>
      </c>
      <c r="AY160" s="1">
        <v>7</v>
      </c>
      <c r="AZ160" s="1">
        <v>8</v>
      </c>
      <c r="BA160" s="1">
        <v>12</v>
      </c>
      <c r="BB160" s="1">
        <v>12</v>
      </c>
      <c r="BC160" s="1">
        <v>26</v>
      </c>
      <c r="BD160" s="1">
        <v>41</v>
      </c>
      <c r="BE160" s="1">
        <v>53</v>
      </c>
      <c r="BF160" s="1">
        <v>82</v>
      </c>
      <c r="BG160" s="1">
        <v>93</v>
      </c>
      <c r="BH160" s="1">
        <v>118</v>
      </c>
      <c r="BI160" s="1">
        <v>164</v>
      </c>
      <c r="BJ160" s="1">
        <v>203</v>
      </c>
      <c r="BK160" s="1">
        <v>251</v>
      </c>
      <c r="BL160" s="1">
        <v>316</v>
      </c>
    </row>
    <row r="161" spans="1:64" x14ac:dyDescent="0.25">
      <c r="A161" s="1" t="s">
        <v>64</v>
      </c>
      <c r="B161" s="1" t="s">
        <v>262</v>
      </c>
      <c r="C161" s="1">
        <v>0</v>
      </c>
      <c r="D161" s="1">
        <v>0</v>
      </c>
      <c r="E161" s="1">
        <v>0</v>
      </c>
      <c r="F161" s="1">
        <v>0</v>
      </c>
      <c r="G161" s="1">
        <v>0</v>
      </c>
      <c r="H161" s="1">
        <v>0</v>
      </c>
      <c r="I161" s="1">
        <v>0</v>
      </c>
      <c r="J161" s="1">
        <v>0</v>
      </c>
      <c r="K161" s="1">
        <v>0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0</v>
      </c>
      <c r="AD161" s="1">
        <v>0</v>
      </c>
      <c r="AE161" s="1">
        <v>0</v>
      </c>
      <c r="AF161" s="1">
        <v>0</v>
      </c>
      <c r="AG161" s="1">
        <v>0</v>
      </c>
      <c r="AH161" s="1">
        <v>0</v>
      </c>
      <c r="AI161" s="1">
        <v>0</v>
      </c>
      <c r="AJ161" s="1">
        <v>0</v>
      </c>
      <c r="AK161" s="1">
        <v>0</v>
      </c>
      <c r="AL161" s="1">
        <v>0</v>
      </c>
      <c r="AM161" s="1">
        <v>0</v>
      </c>
      <c r="AN161" s="1">
        <v>0</v>
      </c>
      <c r="AO161" s="1">
        <v>0</v>
      </c>
      <c r="AP161" s="1">
        <v>0</v>
      </c>
      <c r="AQ161" s="1">
        <v>0</v>
      </c>
      <c r="AR161" s="1">
        <v>0</v>
      </c>
      <c r="AS161" s="1">
        <v>0</v>
      </c>
      <c r="AT161" s="1">
        <v>0</v>
      </c>
      <c r="AU161" s="1">
        <v>0</v>
      </c>
      <c r="AV161" s="1">
        <v>0</v>
      </c>
      <c r="AW161" s="1">
        <v>1</v>
      </c>
      <c r="AX161" s="1">
        <v>1</v>
      </c>
      <c r="AY161" s="1">
        <v>3</v>
      </c>
      <c r="AZ161" s="1">
        <v>3</v>
      </c>
      <c r="BA161" s="1">
        <v>3</v>
      </c>
      <c r="BB161" s="1">
        <v>6</v>
      </c>
      <c r="BC161" s="1">
        <v>12</v>
      </c>
      <c r="BD161" s="1">
        <v>23</v>
      </c>
      <c r="BE161" s="1">
        <v>23</v>
      </c>
      <c r="BF161" s="1">
        <v>30</v>
      </c>
      <c r="BG161" s="1">
        <v>30</v>
      </c>
      <c r="BH161" s="1">
        <v>49</v>
      </c>
      <c r="BI161" s="1">
        <v>66</v>
      </c>
      <c r="BJ161" s="1">
        <v>80</v>
      </c>
      <c r="BK161" s="1">
        <v>94</v>
      </c>
      <c r="BL161" s="1">
        <v>109</v>
      </c>
    </row>
    <row r="162" spans="1:64" x14ac:dyDescent="0.25">
      <c r="A162" s="1" t="s">
        <v>64</v>
      </c>
      <c r="B162" s="1" t="s">
        <v>118</v>
      </c>
      <c r="C162" s="1">
        <v>0</v>
      </c>
      <c r="D162" s="1">
        <v>0</v>
      </c>
      <c r="E162" s="1">
        <v>0</v>
      </c>
      <c r="F162" s="1">
        <v>0</v>
      </c>
      <c r="G162" s="1">
        <v>0</v>
      </c>
      <c r="H162" s="1">
        <v>0</v>
      </c>
      <c r="I162" s="1">
        <v>0</v>
      </c>
      <c r="J162" s="1">
        <v>0</v>
      </c>
      <c r="K162" s="1">
        <v>0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>
        <v>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0</v>
      </c>
      <c r="AD162" s="1">
        <v>0</v>
      </c>
      <c r="AE162" s="1">
        <v>0</v>
      </c>
      <c r="AF162" s="1">
        <v>0</v>
      </c>
      <c r="AG162" s="1">
        <v>0</v>
      </c>
      <c r="AH162" s="1">
        <v>0</v>
      </c>
      <c r="AI162" s="1">
        <v>0</v>
      </c>
      <c r="AJ162" s="1">
        <v>0</v>
      </c>
      <c r="AK162" s="1">
        <v>0</v>
      </c>
      <c r="AL162" s="1">
        <v>0</v>
      </c>
      <c r="AM162" s="1">
        <v>0</v>
      </c>
      <c r="AN162" s="1">
        <v>0</v>
      </c>
      <c r="AO162" s="1">
        <v>1</v>
      </c>
      <c r="AP162" s="1">
        <v>1</v>
      </c>
      <c r="AQ162" s="1">
        <v>1</v>
      </c>
      <c r="AR162" s="1">
        <v>1</v>
      </c>
      <c r="AS162" s="1">
        <v>1</v>
      </c>
      <c r="AT162" s="1">
        <v>1</v>
      </c>
      <c r="AU162" s="1">
        <v>1</v>
      </c>
      <c r="AV162" s="1">
        <v>1</v>
      </c>
      <c r="AW162" s="1">
        <v>1</v>
      </c>
      <c r="AX162" s="1">
        <v>1</v>
      </c>
      <c r="AY162" s="1">
        <v>1</v>
      </c>
      <c r="AZ162" s="1">
        <v>1</v>
      </c>
      <c r="BA162" s="1">
        <v>2</v>
      </c>
      <c r="BB162" s="1">
        <v>2</v>
      </c>
      <c r="BC162" s="1">
        <v>2</v>
      </c>
      <c r="BD162" s="1">
        <v>2</v>
      </c>
      <c r="BE162" s="1">
        <v>7</v>
      </c>
      <c r="BF162" s="1">
        <v>7</v>
      </c>
      <c r="BG162" s="1">
        <v>7</v>
      </c>
      <c r="BH162" s="1">
        <v>7</v>
      </c>
      <c r="BI162" s="1">
        <v>11</v>
      </c>
      <c r="BJ162" s="1">
        <v>11</v>
      </c>
      <c r="BK162" s="1">
        <v>23</v>
      </c>
      <c r="BL162" s="1">
        <v>23</v>
      </c>
    </row>
    <row r="163" spans="1:64" x14ac:dyDescent="0.25">
      <c r="A163" s="1" t="s">
        <v>64</v>
      </c>
      <c r="B163" s="1" t="s">
        <v>201</v>
      </c>
      <c r="C163" s="1">
        <v>0</v>
      </c>
      <c r="D163" s="1">
        <v>0</v>
      </c>
      <c r="E163" s="1">
        <v>0</v>
      </c>
      <c r="F163" s="1">
        <v>0</v>
      </c>
      <c r="G163" s="1">
        <v>0</v>
      </c>
      <c r="H163" s="1">
        <v>0</v>
      </c>
      <c r="I163" s="1">
        <v>0</v>
      </c>
      <c r="J163" s="1">
        <v>0</v>
      </c>
      <c r="K163" s="1">
        <v>0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>
        <v>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0</v>
      </c>
      <c r="AD163" s="1">
        <v>0</v>
      </c>
      <c r="AE163" s="1">
        <v>0</v>
      </c>
      <c r="AF163" s="1">
        <v>0</v>
      </c>
      <c r="AG163" s="1">
        <v>0</v>
      </c>
      <c r="AH163" s="1">
        <v>0</v>
      </c>
      <c r="AI163" s="1">
        <v>0</v>
      </c>
      <c r="AJ163" s="1">
        <v>0</v>
      </c>
      <c r="AK163" s="1">
        <v>0</v>
      </c>
      <c r="AL163" s="1">
        <v>0</v>
      </c>
      <c r="AM163" s="1">
        <v>0</v>
      </c>
      <c r="AN163" s="1">
        <v>0</v>
      </c>
      <c r="AO163" s="1">
        <v>0</v>
      </c>
      <c r="AP163" s="1">
        <v>0</v>
      </c>
      <c r="AQ163" s="1">
        <v>0</v>
      </c>
      <c r="AR163" s="1">
        <v>0</v>
      </c>
      <c r="AS163" s="1">
        <v>0</v>
      </c>
      <c r="AT163" s="1">
        <v>0</v>
      </c>
      <c r="AU163" s="1">
        <v>0</v>
      </c>
      <c r="AV163" s="1">
        <v>0</v>
      </c>
      <c r="AW163" s="1">
        <v>0</v>
      </c>
      <c r="AX163" s="1">
        <v>0</v>
      </c>
      <c r="AY163" s="1">
        <v>1</v>
      </c>
      <c r="AZ163" s="1">
        <v>1</v>
      </c>
      <c r="BA163" s="1">
        <v>1</v>
      </c>
      <c r="BB163" s="1">
        <v>1</v>
      </c>
      <c r="BC163" s="1">
        <v>1</v>
      </c>
      <c r="BD163" s="1">
        <v>1</v>
      </c>
      <c r="BE163" s="1">
        <v>1</v>
      </c>
      <c r="BF163" s="1">
        <v>5</v>
      </c>
      <c r="BG163" s="1">
        <v>6</v>
      </c>
      <c r="BH163" s="1">
        <v>6</v>
      </c>
      <c r="BI163" s="1">
        <v>6</v>
      </c>
      <c r="BJ163" s="1">
        <v>10</v>
      </c>
      <c r="BK163" s="1">
        <v>10</v>
      </c>
      <c r="BL163" s="1">
        <v>10</v>
      </c>
    </row>
    <row r="164" spans="1:64" x14ac:dyDescent="0.25">
      <c r="A164" s="1" t="s">
        <v>64</v>
      </c>
      <c r="B164" s="1" t="s">
        <v>518</v>
      </c>
      <c r="C164" s="1">
        <v>0</v>
      </c>
      <c r="D164" s="1">
        <v>0</v>
      </c>
      <c r="E164" s="1">
        <v>0</v>
      </c>
      <c r="F164" s="1">
        <v>0</v>
      </c>
      <c r="G164" s="1">
        <v>0</v>
      </c>
      <c r="H164" s="1">
        <v>0</v>
      </c>
      <c r="I164" s="1">
        <v>0</v>
      </c>
      <c r="J164" s="1">
        <v>0</v>
      </c>
      <c r="K164" s="1">
        <v>0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>
        <v>0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0</v>
      </c>
      <c r="AD164" s="1">
        <v>0</v>
      </c>
      <c r="AE164" s="1">
        <v>0</v>
      </c>
      <c r="AF164" s="1">
        <v>0</v>
      </c>
      <c r="AG164" s="1">
        <v>0</v>
      </c>
      <c r="AH164" s="1">
        <v>0</v>
      </c>
      <c r="AI164" s="1">
        <v>0</v>
      </c>
      <c r="AJ164" s="1">
        <v>0</v>
      </c>
      <c r="AK164" s="1">
        <v>0</v>
      </c>
      <c r="AL164" s="1">
        <v>0</v>
      </c>
      <c r="AM164" s="1">
        <v>0</v>
      </c>
      <c r="AN164" s="1">
        <v>0</v>
      </c>
      <c r="AO164" s="1">
        <v>0</v>
      </c>
      <c r="AP164" s="1">
        <v>0</v>
      </c>
      <c r="AQ164" s="1">
        <v>0</v>
      </c>
      <c r="AR164" s="1">
        <v>0</v>
      </c>
      <c r="AS164" s="1">
        <v>0</v>
      </c>
      <c r="AT164" s="1">
        <v>0</v>
      </c>
      <c r="AU164" s="1">
        <v>0</v>
      </c>
      <c r="AV164" s="1">
        <v>0</v>
      </c>
      <c r="AW164" s="1">
        <v>0</v>
      </c>
      <c r="AX164" s="1">
        <v>0</v>
      </c>
      <c r="AY164" s="1">
        <v>0</v>
      </c>
      <c r="AZ164" s="1">
        <v>0</v>
      </c>
      <c r="BA164" s="1">
        <v>0</v>
      </c>
      <c r="BB164" s="1">
        <v>0</v>
      </c>
      <c r="BC164" s="1">
        <v>0</v>
      </c>
      <c r="BD164" s="1">
        <v>0</v>
      </c>
      <c r="BE164" s="1">
        <v>0</v>
      </c>
      <c r="BF164" s="1">
        <v>2</v>
      </c>
      <c r="BG164" s="1">
        <v>2</v>
      </c>
      <c r="BH164" s="1">
        <v>3</v>
      </c>
      <c r="BI164" s="1">
        <v>14</v>
      </c>
      <c r="BJ164" s="1">
        <v>14</v>
      </c>
      <c r="BK164" s="1">
        <v>21</v>
      </c>
      <c r="BL164" s="1">
        <v>27</v>
      </c>
    </row>
    <row r="165" spans="1:64" x14ac:dyDescent="0.25">
      <c r="A165" s="1" t="s">
        <v>64</v>
      </c>
      <c r="B165" s="1" t="s">
        <v>129</v>
      </c>
      <c r="C165" s="1">
        <v>0</v>
      </c>
      <c r="D165" s="1">
        <v>0</v>
      </c>
      <c r="E165" s="1">
        <v>0</v>
      </c>
      <c r="F165" s="1">
        <v>0</v>
      </c>
      <c r="G165" s="1">
        <v>0</v>
      </c>
      <c r="H165" s="1">
        <v>0</v>
      </c>
      <c r="I165" s="1">
        <v>0</v>
      </c>
      <c r="J165" s="1">
        <v>0</v>
      </c>
      <c r="K165" s="1">
        <v>0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>
        <v>0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0</v>
      </c>
      <c r="AD165" s="1">
        <v>0</v>
      </c>
      <c r="AE165" s="1">
        <v>0</v>
      </c>
      <c r="AF165" s="1">
        <v>0</v>
      </c>
      <c r="AG165" s="1">
        <v>0</v>
      </c>
      <c r="AH165" s="1">
        <v>0</v>
      </c>
      <c r="AI165" s="1">
        <v>0</v>
      </c>
      <c r="AJ165" s="1">
        <v>0</v>
      </c>
      <c r="AK165" s="1">
        <v>0</v>
      </c>
      <c r="AL165" s="1">
        <v>0</v>
      </c>
      <c r="AM165" s="1">
        <v>0</v>
      </c>
      <c r="AN165" s="1">
        <v>0</v>
      </c>
      <c r="AO165" s="1">
        <v>0</v>
      </c>
      <c r="AP165" s="1">
        <v>0</v>
      </c>
      <c r="AQ165" s="1">
        <v>1</v>
      </c>
      <c r="AR165" s="1">
        <v>1</v>
      </c>
      <c r="AS165" s="1">
        <v>1</v>
      </c>
      <c r="AT165" s="1">
        <v>2</v>
      </c>
      <c r="AU165" s="1">
        <v>2</v>
      </c>
      <c r="AV165" s="1">
        <v>2</v>
      </c>
      <c r="AW165" s="1">
        <v>2</v>
      </c>
      <c r="AX165" s="1">
        <v>2</v>
      </c>
      <c r="AY165" s="1">
        <v>3</v>
      </c>
      <c r="AZ165" s="1">
        <v>5</v>
      </c>
      <c r="BA165" s="1">
        <v>6</v>
      </c>
      <c r="BB165" s="1">
        <v>7</v>
      </c>
      <c r="BC165" s="1">
        <v>17</v>
      </c>
      <c r="BD165" s="1">
        <v>28</v>
      </c>
      <c r="BE165" s="1">
        <v>29</v>
      </c>
      <c r="BF165" s="1">
        <v>38</v>
      </c>
      <c r="BG165" s="1">
        <v>49</v>
      </c>
      <c r="BH165" s="1">
        <v>63</v>
      </c>
      <c r="BI165" s="1">
        <v>77</v>
      </c>
      <c r="BJ165" s="1">
        <v>96</v>
      </c>
      <c r="BK165" s="1">
        <v>115</v>
      </c>
      <c r="BL165" s="1">
        <v>143</v>
      </c>
    </row>
    <row r="166" spans="1:64" x14ac:dyDescent="0.25">
      <c r="A166" s="1" t="s">
        <v>64</v>
      </c>
      <c r="B166" s="1" t="s">
        <v>484</v>
      </c>
      <c r="C166" s="1">
        <v>0</v>
      </c>
      <c r="D166" s="1">
        <v>0</v>
      </c>
      <c r="E166" s="1">
        <v>0</v>
      </c>
      <c r="F166" s="1">
        <v>0</v>
      </c>
      <c r="G166" s="1">
        <v>0</v>
      </c>
      <c r="H166" s="1">
        <v>0</v>
      </c>
      <c r="I166" s="1">
        <v>0</v>
      </c>
      <c r="J166" s="1">
        <v>0</v>
      </c>
      <c r="K166" s="1">
        <v>0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>
        <v>0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0</v>
      </c>
      <c r="AD166" s="1">
        <v>0</v>
      </c>
      <c r="AE166" s="1">
        <v>0</v>
      </c>
      <c r="AF166" s="1">
        <v>0</v>
      </c>
      <c r="AG166" s="1">
        <v>0</v>
      </c>
      <c r="AH166" s="1">
        <v>0</v>
      </c>
      <c r="AI166" s="1">
        <v>0</v>
      </c>
      <c r="AJ166" s="1">
        <v>0</v>
      </c>
      <c r="AK166" s="1">
        <v>0</v>
      </c>
      <c r="AL166" s="1">
        <v>0</v>
      </c>
      <c r="AM166" s="1">
        <v>0</v>
      </c>
      <c r="AN166" s="1">
        <v>0</v>
      </c>
      <c r="AO166" s="1">
        <v>0</v>
      </c>
      <c r="AP166" s="1">
        <v>0</v>
      </c>
      <c r="AQ166" s="1">
        <v>0</v>
      </c>
      <c r="AR166" s="1">
        <v>0</v>
      </c>
      <c r="AS166" s="1">
        <v>0</v>
      </c>
      <c r="AT166" s="1">
        <v>0</v>
      </c>
      <c r="AU166" s="1">
        <v>0</v>
      </c>
      <c r="AV166" s="1">
        <v>0</v>
      </c>
      <c r="AW166" s="1">
        <v>0</v>
      </c>
      <c r="AX166" s="1">
        <v>0</v>
      </c>
      <c r="AY166" s="1">
        <v>0</v>
      </c>
      <c r="AZ166" s="1">
        <v>0</v>
      </c>
      <c r="BA166" s="1">
        <v>0</v>
      </c>
      <c r="BB166" s="1">
        <v>0</v>
      </c>
      <c r="BC166" s="1">
        <v>2</v>
      </c>
      <c r="BD166" s="1">
        <v>2</v>
      </c>
      <c r="BE166" s="1">
        <v>2</v>
      </c>
      <c r="BF166" s="1">
        <v>2</v>
      </c>
      <c r="BG166" s="1">
        <v>2</v>
      </c>
      <c r="BH166" s="1">
        <v>3</v>
      </c>
      <c r="BI166" s="1">
        <v>3</v>
      </c>
      <c r="BJ166" s="1">
        <v>3</v>
      </c>
      <c r="BK166" s="1">
        <v>3</v>
      </c>
      <c r="BL166" s="1">
        <v>4</v>
      </c>
    </row>
    <row r="167" spans="1:64" x14ac:dyDescent="0.25">
      <c r="A167" s="1" t="s">
        <v>64</v>
      </c>
      <c r="B167" s="1" t="s">
        <v>67</v>
      </c>
      <c r="C167" s="1">
        <v>0</v>
      </c>
      <c r="D167" s="1">
        <v>0</v>
      </c>
      <c r="E167" s="1">
        <v>0</v>
      </c>
      <c r="F167" s="1">
        <v>1</v>
      </c>
      <c r="G167" s="1">
        <v>1</v>
      </c>
      <c r="H167" s="1">
        <v>1</v>
      </c>
      <c r="I167" s="1">
        <v>1</v>
      </c>
      <c r="J167" s="1">
        <v>1</v>
      </c>
      <c r="K167" s="1">
        <v>1</v>
      </c>
      <c r="L167" s="1">
        <v>1</v>
      </c>
      <c r="M167" s="1">
        <v>1</v>
      </c>
      <c r="N167" s="1">
        <v>1</v>
      </c>
      <c r="O167" s="1">
        <v>1</v>
      </c>
      <c r="P167" s="1">
        <v>1</v>
      </c>
      <c r="Q167" s="1">
        <v>1</v>
      </c>
      <c r="R167" s="1">
        <v>1</v>
      </c>
      <c r="S167" s="1">
        <v>1</v>
      </c>
      <c r="T167" s="1">
        <v>1</v>
      </c>
      <c r="U167" s="1">
        <v>1</v>
      </c>
      <c r="V167" s="1">
        <v>1</v>
      </c>
      <c r="W167" s="1">
        <v>1</v>
      </c>
      <c r="X167" s="1">
        <v>1</v>
      </c>
      <c r="Y167" s="1">
        <v>1</v>
      </c>
      <c r="Z167" s="1">
        <v>1</v>
      </c>
      <c r="AA167" s="1">
        <v>1</v>
      </c>
      <c r="AB167" s="1">
        <v>1</v>
      </c>
      <c r="AC167" s="1">
        <v>1</v>
      </c>
      <c r="AD167" s="1">
        <v>1</v>
      </c>
      <c r="AE167" s="1">
        <v>1</v>
      </c>
      <c r="AF167" s="1">
        <v>1</v>
      </c>
      <c r="AG167" s="1">
        <v>1</v>
      </c>
      <c r="AH167" s="1">
        <v>1</v>
      </c>
      <c r="AI167" s="1">
        <v>1</v>
      </c>
      <c r="AJ167" s="1">
        <v>1</v>
      </c>
      <c r="AK167" s="1">
        <v>1</v>
      </c>
      <c r="AL167" s="1">
        <v>1</v>
      </c>
      <c r="AM167" s="1">
        <v>1</v>
      </c>
      <c r="AN167" s="1">
        <v>1</v>
      </c>
      <c r="AO167" s="1">
        <v>1</v>
      </c>
      <c r="AP167" s="1">
        <v>1</v>
      </c>
      <c r="AQ167" s="1">
        <v>1</v>
      </c>
      <c r="AR167" s="1">
        <v>1</v>
      </c>
      <c r="AS167" s="1">
        <v>1</v>
      </c>
      <c r="AT167" s="1">
        <v>1</v>
      </c>
      <c r="AU167" s="1">
        <v>1</v>
      </c>
      <c r="AV167" s="1">
        <v>1</v>
      </c>
      <c r="AW167" s="1">
        <v>1</v>
      </c>
      <c r="AX167" s="1">
        <v>1</v>
      </c>
      <c r="AY167" s="1">
        <v>1</v>
      </c>
      <c r="AZ167" s="1">
        <v>1</v>
      </c>
      <c r="BA167" s="1">
        <v>1</v>
      </c>
      <c r="BB167" s="1">
        <v>1</v>
      </c>
      <c r="BC167" s="1">
        <v>1</v>
      </c>
      <c r="BD167" s="1">
        <v>1</v>
      </c>
      <c r="BE167" s="1">
        <v>1</v>
      </c>
      <c r="BF167" s="1">
        <v>1</v>
      </c>
      <c r="BG167" s="1">
        <v>1</v>
      </c>
      <c r="BH167" s="1">
        <v>1</v>
      </c>
      <c r="BI167" s="1">
        <v>1</v>
      </c>
      <c r="BJ167" s="1">
        <v>1</v>
      </c>
      <c r="BK167" s="1">
        <v>1</v>
      </c>
      <c r="BL167" s="1">
        <v>2</v>
      </c>
    </row>
    <row r="168" spans="1:64" x14ac:dyDescent="0.25">
      <c r="A168" s="1" t="s">
        <v>521</v>
      </c>
      <c r="B168" s="1" t="s">
        <v>506</v>
      </c>
      <c r="C168" s="1">
        <v>0</v>
      </c>
      <c r="D168" s="1">
        <v>0</v>
      </c>
      <c r="E168" s="1">
        <v>0</v>
      </c>
      <c r="F168" s="1">
        <v>0</v>
      </c>
      <c r="G168" s="1">
        <v>0</v>
      </c>
      <c r="H168" s="1">
        <v>0</v>
      </c>
      <c r="I168" s="1">
        <v>0</v>
      </c>
      <c r="J168" s="1">
        <v>0</v>
      </c>
      <c r="K168" s="1">
        <v>0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>
        <v>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0</v>
      </c>
      <c r="AD168" s="1">
        <v>0</v>
      </c>
      <c r="AE168" s="1">
        <v>0</v>
      </c>
      <c r="AF168" s="1">
        <v>0</v>
      </c>
      <c r="AG168" s="1">
        <v>0</v>
      </c>
      <c r="AH168" s="1">
        <v>0</v>
      </c>
      <c r="AI168" s="1">
        <v>0</v>
      </c>
      <c r="AJ168" s="1">
        <v>0</v>
      </c>
      <c r="AK168" s="1">
        <v>0</v>
      </c>
      <c r="AL168" s="1">
        <v>0</v>
      </c>
      <c r="AM168" s="1">
        <v>0</v>
      </c>
      <c r="AN168" s="1">
        <v>0</v>
      </c>
      <c r="AO168" s="1">
        <v>0</v>
      </c>
      <c r="AP168" s="1">
        <v>0</v>
      </c>
      <c r="AQ168" s="1">
        <v>0</v>
      </c>
      <c r="AR168" s="1">
        <v>0</v>
      </c>
      <c r="AS168" s="1">
        <v>0</v>
      </c>
      <c r="AT168" s="1">
        <v>0</v>
      </c>
      <c r="AU168" s="1">
        <v>0</v>
      </c>
      <c r="AV168" s="1">
        <v>0</v>
      </c>
      <c r="AW168" s="1">
        <v>0</v>
      </c>
      <c r="AX168" s="1">
        <v>0</v>
      </c>
      <c r="AY168" s="1">
        <v>0</v>
      </c>
      <c r="AZ168" s="1">
        <v>0</v>
      </c>
      <c r="BA168" s="1">
        <v>0</v>
      </c>
      <c r="BB168" s="1">
        <v>2</v>
      </c>
      <c r="BC168" s="1">
        <v>2</v>
      </c>
      <c r="BD168" s="1">
        <v>2</v>
      </c>
      <c r="BE168" s="1">
        <v>2</v>
      </c>
      <c r="BF168" s="1">
        <v>3</v>
      </c>
      <c r="BG168" s="1">
        <v>4</v>
      </c>
      <c r="BH168" s="1">
        <v>4</v>
      </c>
      <c r="BI168" s="1">
        <v>5</v>
      </c>
      <c r="BJ168" s="1">
        <v>5</v>
      </c>
      <c r="BK168" s="1">
        <v>9</v>
      </c>
      <c r="BL168" s="1">
        <v>9</v>
      </c>
    </row>
    <row r="169" spans="1:64" x14ac:dyDescent="0.25">
      <c r="A169" s="1" t="s">
        <v>511</v>
      </c>
      <c r="B169" s="1" t="s">
        <v>506</v>
      </c>
      <c r="C169" s="1">
        <v>0</v>
      </c>
      <c r="D169" s="1">
        <v>0</v>
      </c>
      <c r="E169" s="1">
        <v>0</v>
      </c>
      <c r="F169" s="1">
        <v>0</v>
      </c>
      <c r="G169" s="1">
        <v>0</v>
      </c>
      <c r="H169" s="1">
        <v>0</v>
      </c>
      <c r="I169" s="1">
        <v>0</v>
      </c>
      <c r="J169" s="1">
        <v>0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0</v>
      </c>
      <c r="AE169" s="1">
        <v>0</v>
      </c>
      <c r="AF169" s="1">
        <v>0</v>
      </c>
      <c r="AG169" s="1">
        <v>0</v>
      </c>
      <c r="AH169" s="1">
        <v>0</v>
      </c>
      <c r="AI169" s="1">
        <v>0</v>
      </c>
      <c r="AJ169" s="1">
        <v>0</v>
      </c>
      <c r="AK169" s="1">
        <v>0</v>
      </c>
      <c r="AL169" s="1">
        <v>0</v>
      </c>
      <c r="AM169" s="1">
        <v>0</v>
      </c>
      <c r="AN169" s="1">
        <v>0</v>
      </c>
      <c r="AO169" s="1">
        <v>0</v>
      </c>
      <c r="AP169" s="1">
        <v>0</v>
      </c>
      <c r="AQ169" s="1">
        <v>0</v>
      </c>
      <c r="AR169" s="1">
        <v>0</v>
      </c>
      <c r="AS169" s="1">
        <v>0</v>
      </c>
      <c r="AT169" s="1">
        <v>0</v>
      </c>
      <c r="AU169" s="1">
        <v>0</v>
      </c>
      <c r="AV169" s="1">
        <v>0</v>
      </c>
      <c r="AW169" s="1">
        <v>0</v>
      </c>
      <c r="AX169" s="1">
        <v>0</v>
      </c>
      <c r="AY169" s="1">
        <v>0</v>
      </c>
      <c r="AZ169" s="1">
        <v>0</v>
      </c>
      <c r="BA169" s="1">
        <v>0</v>
      </c>
      <c r="BB169" s="1">
        <v>0</v>
      </c>
      <c r="BC169" s="1">
        <v>1</v>
      </c>
      <c r="BD169" s="1">
        <v>1</v>
      </c>
      <c r="BE169" s="1">
        <v>1</v>
      </c>
      <c r="BF169" s="1">
        <v>3</v>
      </c>
      <c r="BG169" s="1">
        <v>3</v>
      </c>
      <c r="BH169" s="1">
        <v>3</v>
      </c>
      <c r="BI169" s="1">
        <v>3</v>
      </c>
      <c r="BJ169" s="1">
        <v>3</v>
      </c>
      <c r="BK169" s="1">
        <v>3</v>
      </c>
      <c r="BL169" s="1">
        <v>4</v>
      </c>
    </row>
    <row r="170" spans="1:64" x14ac:dyDescent="0.25">
      <c r="A170" s="1" t="s">
        <v>538</v>
      </c>
      <c r="B170" s="1" t="s">
        <v>506</v>
      </c>
      <c r="C170" s="1">
        <v>0</v>
      </c>
      <c r="D170" s="1">
        <v>0</v>
      </c>
      <c r="E170" s="1">
        <v>0</v>
      </c>
      <c r="F170" s="1">
        <v>0</v>
      </c>
      <c r="G170" s="1">
        <v>0</v>
      </c>
      <c r="H170" s="1">
        <v>0</v>
      </c>
      <c r="I170" s="1">
        <v>0</v>
      </c>
      <c r="J170" s="1">
        <v>0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0</v>
      </c>
      <c r="AD170" s="1">
        <v>0</v>
      </c>
      <c r="AE170" s="1">
        <v>0</v>
      </c>
      <c r="AF170" s="1">
        <v>0</v>
      </c>
      <c r="AG170" s="1">
        <v>0</v>
      </c>
      <c r="AH170" s="1">
        <v>0</v>
      </c>
      <c r="AI170" s="1">
        <v>0</v>
      </c>
      <c r="AJ170" s="1">
        <v>0</v>
      </c>
      <c r="AK170" s="1">
        <v>0</v>
      </c>
      <c r="AL170" s="1">
        <v>0</v>
      </c>
      <c r="AM170" s="1">
        <v>0</v>
      </c>
      <c r="AN170" s="1">
        <v>0</v>
      </c>
      <c r="AO170" s="1">
        <v>0</v>
      </c>
      <c r="AP170" s="1">
        <v>0</v>
      </c>
      <c r="AQ170" s="1">
        <v>0</v>
      </c>
      <c r="AR170" s="1">
        <v>0</v>
      </c>
      <c r="AS170" s="1">
        <v>0</v>
      </c>
      <c r="AT170" s="1">
        <v>0</v>
      </c>
      <c r="AU170" s="1">
        <v>0</v>
      </c>
      <c r="AV170" s="1">
        <v>0</v>
      </c>
      <c r="AW170" s="1">
        <v>0</v>
      </c>
      <c r="AX170" s="1">
        <v>0</v>
      </c>
      <c r="AY170" s="1">
        <v>0</v>
      </c>
      <c r="AZ170" s="1">
        <v>0</v>
      </c>
      <c r="BA170" s="1">
        <v>0</v>
      </c>
      <c r="BB170" s="1">
        <v>0</v>
      </c>
      <c r="BC170" s="1">
        <v>0</v>
      </c>
      <c r="BD170" s="1">
        <v>0</v>
      </c>
      <c r="BE170" s="1">
        <v>0</v>
      </c>
      <c r="BF170" s="1">
        <v>0</v>
      </c>
      <c r="BG170" s="1">
        <v>0</v>
      </c>
      <c r="BH170" s="1">
        <v>0</v>
      </c>
      <c r="BI170" s="1">
        <v>1</v>
      </c>
      <c r="BJ170" s="1">
        <v>1</v>
      </c>
      <c r="BK170" s="1">
        <v>1</v>
      </c>
      <c r="BL170" s="1">
        <v>2</v>
      </c>
    </row>
    <row r="171" spans="1:64" x14ac:dyDescent="0.25">
      <c r="A171" s="1" t="s">
        <v>64</v>
      </c>
      <c r="B171" s="1" t="s">
        <v>506</v>
      </c>
      <c r="C171" s="1">
        <v>0</v>
      </c>
      <c r="D171" s="1">
        <v>0</v>
      </c>
      <c r="E171" s="1">
        <v>0</v>
      </c>
      <c r="F171" s="1">
        <v>0</v>
      </c>
      <c r="G171" s="1">
        <v>0</v>
      </c>
      <c r="H171" s="1">
        <v>0</v>
      </c>
      <c r="I171" s="1">
        <v>0</v>
      </c>
      <c r="J171" s="1">
        <v>0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0</v>
      </c>
      <c r="AD171" s="1">
        <v>0</v>
      </c>
      <c r="AE171" s="1">
        <v>0</v>
      </c>
      <c r="AF171" s="1">
        <v>0</v>
      </c>
      <c r="AG171" s="1">
        <v>0</v>
      </c>
      <c r="AH171" s="1">
        <v>0</v>
      </c>
      <c r="AI171" s="1">
        <v>0</v>
      </c>
      <c r="AJ171" s="1">
        <v>0</v>
      </c>
      <c r="AK171" s="1">
        <v>0</v>
      </c>
      <c r="AL171" s="1">
        <v>0</v>
      </c>
      <c r="AM171" s="1">
        <v>1</v>
      </c>
      <c r="AN171" s="1">
        <v>1</v>
      </c>
      <c r="AO171" s="1">
        <v>6</v>
      </c>
      <c r="AP171" s="1">
        <v>10</v>
      </c>
      <c r="AQ171" s="1">
        <v>18</v>
      </c>
      <c r="AR171" s="1">
        <v>24</v>
      </c>
      <c r="AS171" s="1">
        <v>38</v>
      </c>
      <c r="AT171" s="1">
        <v>82</v>
      </c>
      <c r="AU171" s="1">
        <v>128</v>
      </c>
      <c r="AV171" s="1">
        <v>188</v>
      </c>
      <c r="AW171" s="1">
        <v>265</v>
      </c>
      <c r="AX171" s="1">
        <v>321</v>
      </c>
      <c r="AY171" s="1">
        <v>382</v>
      </c>
      <c r="AZ171" s="1">
        <v>503</v>
      </c>
      <c r="BA171" s="1">
        <v>503</v>
      </c>
      <c r="BB171" s="1">
        <v>804</v>
      </c>
      <c r="BC171" s="1">
        <v>959</v>
      </c>
      <c r="BD171" s="1">
        <v>1135</v>
      </c>
      <c r="BE171" s="1">
        <v>1413</v>
      </c>
      <c r="BF171" s="1">
        <v>1705</v>
      </c>
      <c r="BG171" s="1">
        <v>2051</v>
      </c>
      <c r="BH171" s="1">
        <v>2460</v>
      </c>
      <c r="BI171" s="1">
        <v>2994</v>
      </c>
      <c r="BJ171" s="1">
        <v>3631</v>
      </c>
      <c r="BK171" s="1">
        <v>4204</v>
      </c>
      <c r="BL171" s="1">
        <v>4749</v>
      </c>
    </row>
    <row r="172" spans="1:64" x14ac:dyDescent="0.25">
      <c r="A172" s="1" t="s">
        <v>64</v>
      </c>
      <c r="B172" s="1" t="s">
        <v>113</v>
      </c>
      <c r="C172" s="1">
        <v>0</v>
      </c>
      <c r="D172" s="1">
        <v>0</v>
      </c>
      <c r="E172" s="1">
        <v>0</v>
      </c>
      <c r="F172" s="1">
        <v>0</v>
      </c>
      <c r="G172" s="1">
        <v>0</v>
      </c>
      <c r="H172" s="1">
        <v>0</v>
      </c>
      <c r="I172" s="1">
        <v>0</v>
      </c>
      <c r="J172" s="1">
        <v>0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0</v>
      </c>
      <c r="AE172" s="1">
        <v>0</v>
      </c>
      <c r="AF172" s="1">
        <v>0</v>
      </c>
      <c r="AG172" s="1">
        <v>0</v>
      </c>
      <c r="AH172" s="1">
        <v>0</v>
      </c>
      <c r="AI172" s="1">
        <v>0</v>
      </c>
      <c r="AJ172" s="1">
        <v>0</v>
      </c>
      <c r="AK172" s="1">
        <v>0</v>
      </c>
      <c r="AL172" s="1">
        <v>0</v>
      </c>
      <c r="AM172" s="1">
        <v>0</v>
      </c>
      <c r="AN172" s="1">
        <v>1</v>
      </c>
      <c r="AO172" s="1">
        <v>1</v>
      </c>
      <c r="AP172" s="1">
        <v>1</v>
      </c>
      <c r="AQ172" s="1">
        <v>1</v>
      </c>
      <c r="AR172" s="1">
        <v>1</v>
      </c>
      <c r="AS172" s="1">
        <v>3</v>
      </c>
      <c r="AT172" s="1">
        <v>3</v>
      </c>
      <c r="AU172" s="1">
        <v>4</v>
      </c>
      <c r="AV172" s="1">
        <v>5</v>
      </c>
      <c r="AW172" s="1">
        <v>5</v>
      </c>
      <c r="AX172" s="1">
        <v>5</v>
      </c>
      <c r="AY172" s="1">
        <v>5</v>
      </c>
      <c r="AZ172" s="1">
        <v>5</v>
      </c>
      <c r="BA172" s="1">
        <v>5</v>
      </c>
      <c r="BB172" s="1">
        <v>5</v>
      </c>
      <c r="BC172" s="1">
        <v>6</v>
      </c>
      <c r="BD172" s="1">
        <v>8</v>
      </c>
      <c r="BE172" s="1">
        <v>8</v>
      </c>
      <c r="BF172" s="1">
        <v>12</v>
      </c>
      <c r="BG172" s="1">
        <v>20</v>
      </c>
      <c r="BH172" s="1">
        <v>28</v>
      </c>
      <c r="BI172" s="1">
        <v>39</v>
      </c>
      <c r="BJ172" s="1">
        <v>52</v>
      </c>
      <c r="BK172" s="1">
        <v>102</v>
      </c>
      <c r="BL172" s="1">
        <v>102</v>
      </c>
    </row>
    <row r="173" spans="1:64" x14ac:dyDescent="0.25">
      <c r="A173" s="1" t="s">
        <v>64</v>
      </c>
      <c r="B173" s="1" t="s">
        <v>533</v>
      </c>
      <c r="C173" s="1">
        <v>0</v>
      </c>
      <c r="D173" s="1">
        <v>0</v>
      </c>
      <c r="E173" s="1">
        <v>0</v>
      </c>
      <c r="F173" s="1">
        <v>0</v>
      </c>
      <c r="G173" s="1">
        <v>0</v>
      </c>
      <c r="H173" s="1">
        <v>0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0</v>
      </c>
      <c r="AD173" s="1">
        <v>0</v>
      </c>
      <c r="AE173" s="1">
        <v>0</v>
      </c>
      <c r="AF173" s="1">
        <v>0</v>
      </c>
      <c r="AG173" s="1">
        <v>0</v>
      </c>
      <c r="AH173" s="1">
        <v>0</v>
      </c>
      <c r="AI173" s="1">
        <v>0</v>
      </c>
      <c r="AJ173" s="1">
        <v>0</v>
      </c>
      <c r="AK173" s="1">
        <v>0</v>
      </c>
      <c r="AL173" s="1">
        <v>0</v>
      </c>
      <c r="AM173" s="1">
        <v>0</v>
      </c>
      <c r="AN173" s="1">
        <v>0</v>
      </c>
      <c r="AO173" s="1">
        <v>0</v>
      </c>
      <c r="AP173" s="1">
        <v>0</v>
      </c>
      <c r="AQ173" s="1">
        <v>0</v>
      </c>
      <c r="AR173" s="1">
        <v>0</v>
      </c>
      <c r="AS173" s="1">
        <v>0</v>
      </c>
      <c r="AT173" s="1">
        <v>0</v>
      </c>
      <c r="AU173" s="1">
        <v>0</v>
      </c>
      <c r="AV173" s="1">
        <v>0</v>
      </c>
      <c r="AW173" s="1">
        <v>0</v>
      </c>
      <c r="AX173" s="1">
        <v>0</v>
      </c>
      <c r="AY173" s="1">
        <v>0</v>
      </c>
      <c r="AZ173" s="1">
        <v>0</v>
      </c>
      <c r="BA173" s="1">
        <v>0</v>
      </c>
      <c r="BB173" s="1">
        <v>0</v>
      </c>
      <c r="BC173" s="1">
        <v>0</v>
      </c>
      <c r="BD173" s="1">
        <v>0</v>
      </c>
      <c r="BE173" s="1">
        <v>0</v>
      </c>
      <c r="BF173" s="1">
        <v>0</v>
      </c>
      <c r="BG173" s="1">
        <v>0</v>
      </c>
      <c r="BH173" s="1">
        <v>1</v>
      </c>
      <c r="BI173" s="1">
        <v>1</v>
      </c>
      <c r="BJ173" s="1">
        <v>2</v>
      </c>
      <c r="BK173" s="1">
        <v>2</v>
      </c>
      <c r="BL173" s="1">
        <v>2</v>
      </c>
    </row>
    <row r="174" spans="1:64" x14ac:dyDescent="0.25">
      <c r="A174" s="1" t="s">
        <v>64</v>
      </c>
      <c r="B174" s="1" t="s">
        <v>539</v>
      </c>
      <c r="C174" s="1">
        <v>0</v>
      </c>
      <c r="D174" s="1">
        <v>0</v>
      </c>
      <c r="E174" s="1">
        <v>0</v>
      </c>
      <c r="F174" s="1">
        <v>0</v>
      </c>
      <c r="G174" s="1">
        <v>0</v>
      </c>
      <c r="H174" s="1">
        <v>0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0</v>
      </c>
      <c r="AD174" s="1">
        <v>0</v>
      </c>
      <c r="AE174" s="1">
        <v>0</v>
      </c>
      <c r="AF174" s="1">
        <v>0</v>
      </c>
      <c r="AG174" s="1">
        <v>0</v>
      </c>
      <c r="AH174" s="1">
        <v>0</v>
      </c>
      <c r="AI174" s="1">
        <v>0</v>
      </c>
      <c r="AJ174" s="1">
        <v>0</v>
      </c>
      <c r="AK174" s="1">
        <v>0</v>
      </c>
      <c r="AL174" s="1">
        <v>0</v>
      </c>
      <c r="AM174" s="1">
        <v>0</v>
      </c>
      <c r="AN174" s="1">
        <v>0</v>
      </c>
      <c r="AO174" s="1">
        <v>0</v>
      </c>
      <c r="AP174" s="1">
        <v>0</v>
      </c>
      <c r="AQ174" s="1">
        <v>0</v>
      </c>
      <c r="AR174" s="1">
        <v>0</v>
      </c>
      <c r="AS174" s="1">
        <v>0</v>
      </c>
      <c r="AT174" s="1">
        <v>0</v>
      </c>
      <c r="AU174" s="1">
        <v>0</v>
      </c>
      <c r="AV174" s="1">
        <v>0</v>
      </c>
      <c r="AW174" s="1">
        <v>0</v>
      </c>
      <c r="AX174" s="1">
        <v>0</v>
      </c>
      <c r="AY174" s="1">
        <v>0</v>
      </c>
      <c r="AZ174" s="1">
        <v>0</v>
      </c>
      <c r="BA174" s="1">
        <v>0</v>
      </c>
      <c r="BB174" s="1">
        <v>0</v>
      </c>
      <c r="BC174" s="1">
        <v>0</v>
      </c>
      <c r="BD174" s="1">
        <v>0</v>
      </c>
      <c r="BE174" s="1">
        <v>0</v>
      </c>
      <c r="BF174" s="1">
        <v>0</v>
      </c>
      <c r="BG174" s="1">
        <v>0</v>
      </c>
      <c r="BH174" s="1">
        <v>0</v>
      </c>
      <c r="BI174" s="1">
        <v>1</v>
      </c>
      <c r="BJ174" s="1">
        <v>1</v>
      </c>
      <c r="BK174" s="1">
        <v>2</v>
      </c>
      <c r="BL174" s="1">
        <v>3</v>
      </c>
    </row>
    <row r="175" spans="1:64" x14ac:dyDescent="0.25">
      <c r="A175" s="1" t="s">
        <v>64</v>
      </c>
      <c r="B175" s="1" t="s">
        <v>114</v>
      </c>
      <c r="C175" s="1">
        <v>0</v>
      </c>
      <c r="D175" s="1">
        <v>0</v>
      </c>
      <c r="E175" s="1">
        <v>0</v>
      </c>
      <c r="F175" s="1">
        <v>0</v>
      </c>
      <c r="G175" s="1">
        <v>0</v>
      </c>
      <c r="H175" s="1">
        <v>0</v>
      </c>
      <c r="I175" s="1">
        <v>0</v>
      </c>
      <c r="J175" s="1">
        <v>0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0</v>
      </c>
      <c r="AD175" s="1">
        <v>0</v>
      </c>
      <c r="AE175" s="1">
        <v>0</v>
      </c>
      <c r="AF175" s="1">
        <v>0</v>
      </c>
      <c r="AG175" s="1">
        <v>0</v>
      </c>
      <c r="AH175" s="1">
        <v>0</v>
      </c>
      <c r="AI175" s="1">
        <v>0</v>
      </c>
      <c r="AJ175" s="1">
        <v>0</v>
      </c>
      <c r="AK175" s="1">
        <v>0</v>
      </c>
      <c r="AL175" s="1">
        <v>0</v>
      </c>
      <c r="AM175" s="1">
        <v>0</v>
      </c>
      <c r="AN175" s="1">
        <v>1</v>
      </c>
      <c r="AO175" s="1">
        <v>1</v>
      </c>
      <c r="AP175" s="1">
        <v>1</v>
      </c>
      <c r="AQ175" s="1">
        <v>1</v>
      </c>
      <c r="AR175" s="1">
        <v>1</v>
      </c>
      <c r="AS175" s="1">
        <v>1</v>
      </c>
      <c r="AT175" s="1">
        <v>1</v>
      </c>
      <c r="AU175" s="1">
        <v>1</v>
      </c>
      <c r="AV175" s="1">
        <v>1</v>
      </c>
      <c r="AW175" s="1">
        <v>1</v>
      </c>
      <c r="AX175" s="1">
        <v>2</v>
      </c>
      <c r="AY175" s="1">
        <v>2</v>
      </c>
      <c r="AZ175" s="1">
        <v>2</v>
      </c>
      <c r="BA175" s="1">
        <v>2</v>
      </c>
      <c r="BB175" s="1">
        <v>2</v>
      </c>
      <c r="BC175" s="1">
        <v>2</v>
      </c>
      <c r="BD175" s="1">
        <v>2</v>
      </c>
      <c r="BE175" s="1">
        <v>2</v>
      </c>
      <c r="BF175" s="1">
        <v>3</v>
      </c>
      <c r="BG175" s="1">
        <v>8</v>
      </c>
      <c r="BH175" s="1">
        <v>8</v>
      </c>
      <c r="BI175" s="1">
        <v>12</v>
      </c>
      <c r="BJ175" s="1">
        <v>22</v>
      </c>
      <c r="BK175" s="1">
        <v>30</v>
      </c>
      <c r="BL175" s="1">
        <v>40</v>
      </c>
    </row>
    <row r="176" spans="1:64" x14ac:dyDescent="0.25">
      <c r="A176" s="1" t="s">
        <v>64</v>
      </c>
      <c r="B176" s="1" t="s">
        <v>104</v>
      </c>
      <c r="C176" s="1">
        <v>0</v>
      </c>
      <c r="D176" s="1">
        <v>0</v>
      </c>
      <c r="E176" s="1">
        <v>0</v>
      </c>
      <c r="F176" s="1">
        <v>0</v>
      </c>
      <c r="G176" s="1">
        <v>0</v>
      </c>
      <c r="H176" s="1">
        <v>0</v>
      </c>
      <c r="I176" s="1">
        <v>0</v>
      </c>
      <c r="J176" s="1">
        <v>0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0</v>
      </c>
      <c r="AD176" s="1">
        <v>0</v>
      </c>
      <c r="AE176" s="1">
        <v>0</v>
      </c>
      <c r="AF176" s="1">
        <v>0</v>
      </c>
      <c r="AG176" s="1">
        <v>0</v>
      </c>
      <c r="AH176" s="1">
        <v>0</v>
      </c>
      <c r="AI176" s="1">
        <v>0</v>
      </c>
      <c r="AJ176" s="1">
        <v>0</v>
      </c>
      <c r="AK176" s="1">
        <v>0</v>
      </c>
      <c r="AL176" s="1">
        <v>1</v>
      </c>
      <c r="AM176" s="1">
        <v>1</v>
      </c>
      <c r="AN176" s="1">
        <v>1</v>
      </c>
      <c r="AO176" s="1">
        <v>1</v>
      </c>
      <c r="AP176" s="1">
        <v>1</v>
      </c>
      <c r="AQ176" s="1">
        <v>1</v>
      </c>
      <c r="AR176" s="1">
        <v>1</v>
      </c>
      <c r="AS176" s="1">
        <v>1</v>
      </c>
      <c r="AT176" s="1">
        <v>1</v>
      </c>
      <c r="AU176" s="1">
        <v>3</v>
      </c>
      <c r="AV176" s="1">
        <v>3</v>
      </c>
      <c r="AW176" s="1">
        <v>3</v>
      </c>
      <c r="AX176" s="1">
        <v>3</v>
      </c>
      <c r="AY176" s="1">
        <v>7</v>
      </c>
      <c r="AZ176" s="1">
        <v>7</v>
      </c>
      <c r="BA176" s="1">
        <v>7</v>
      </c>
      <c r="BB176" s="1">
        <v>14</v>
      </c>
      <c r="BC176" s="1">
        <v>14</v>
      </c>
      <c r="BD176" s="1">
        <v>14</v>
      </c>
      <c r="BE176" s="1">
        <v>18</v>
      </c>
      <c r="BF176" s="1">
        <v>26</v>
      </c>
      <c r="BG176" s="1">
        <v>35</v>
      </c>
      <c r="BH176" s="1">
        <v>48</v>
      </c>
      <c r="BI176" s="1">
        <v>67</v>
      </c>
      <c r="BJ176" s="1">
        <v>85</v>
      </c>
      <c r="BK176" s="1">
        <v>115</v>
      </c>
      <c r="BL176" s="1">
        <v>136</v>
      </c>
    </row>
    <row r="177" spans="1:64" x14ac:dyDescent="0.25">
      <c r="A177" s="1" t="s">
        <v>64</v>
      </c>
      <c r="B177" s="1" t="s">
        <v>105</v>
      </c>
      <c r="C177" s="1">
        <v>0</v>
      </c>
      <c r="D177" s="1">
        <v>0</v>
      </c>
      <c r="E177" s="1">
        <v>0</v>
      </c>
      <c r="F177" s="1">
        <v>0</v>
      </c>
      <c r="G177" s="1">
        <v>0</v>
      </c>
      <c r="H177" s="1">
        <v>0</v>
      </c>
      <c r="I177" s="1">
        <v>0</v>
      </c>
      <c r="J177" s="1">
        <v>0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0</v>
      </c>
      <c r="AE177" s="1">
        <v>0</v>
      </c>
      <c r="AF177" s="1">
        <v>0</v>
      </c>
      <c r="AG177" s="1">
        <v>0</v>
      </c>
      <c r="AH177" s="1">
        <v>0</v>
      </c>
      <c r="AI177" s="1">
        <v>0</v>
      </c>
      <c r="AJ177" s="1">
        <v>0</v>
      </c>
      <c r="AK177" s="1">
        <v>0</v>
      </c>
      <c r="AL177" s="1">
        <v>1</v>
      </c>
      <c r="AM177" s="1">
        <v>1</v>
      </c>
      <c r="AN177" s="1">
        <v>6</v>
      </c>
      <c r="AO177" s="1">
        <v>15</v>
      </c>
      <c r="AP177" s="1">
        <v>19</v>
      </c>
      <c r="AQ177" s="1">
        <v>25</v>
      </c>
      <c r="AR177" s="1">
        <v>32</v>
      </c>
      <c r="AS177" s="1">
        <v>56</v>
      </c>
      <c r="AT177" s="1">
        <v>87</v>
      </c>
      <c r="AU177" s="1">
        <v>108</v>
      </c>
      <c r="AV177" s="1">
        <v>147</v>
      </c>
      <c r="AW177" s="1">
        <v>176</v>
      </c>
      <c r="AX177" s="1">
        <v>205</v>
      </c>
      <c r="AY177" s="1">
        <v>400</v>
      </c>
      <c r="AZ177" s="1">
        <v>598</v>
      </c>
      <c r="BA177" s="1">
        <v>702</v>
      </c>
      <c r="BB177" s="1">
        <v>996</v>
      </c>
      <c r="BC177" s="1">
        <v>1090</v>
      </c>
      <c r="BD177" s="1">
        <v>1221</v>
      </c>
      <c r="BE177" s="1">
        <v>1333</v>
      </c>
      <c r="BF177" s="1">
        <v>1463</v>
      </c>
      <c r="BG177" s="1">
        <v>1550</v>
      </c>
      <c r="BH177" s="1">
        <v>1746</v>
      </c>
      <c r="BI177" s="1">
        <v>1914</v>
      </c>
      <c r="BJ177" s="1">
        <v>2118</v>
      </c>
      <c r="BK177" s="1">
        <v>2385</v>
      </c>
      <c r="BL177" s="1">
        <v>2621</v>
      </c>
    </row>
    <row r="178" spans="1:64" x14ac:dyDescent="0.25">
      <c r="A178" s="1" t="s">
        <v>64</v>
      </c>
      <c r="B178" s="1" t="s">
        <v>91</v>
      </c>
      <c r="C178" s="1">
        <v>0</v>
      </c>
      <c r="D178" s="1">
        <v>0</v>
      </c>
      <c r="E178" s="1">
        <v>0</v>
      </c>
      <c r="F178" s="1">
        <v>0</v>
      </c>
      <c r="G178" s="1">
        <v>0</v>
      </c>
      <c r="H178" s="1">
        <v>0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 s="1">
        <v>0</v>
      </c>
      <c r="AE178" s="1">
        <v>0</v>
      </c>
      <c r="AF178" s="1">
        <v>0</v>
      </c>
      <c r="AG178" s="1">
        <v>0</v>
      </c>
      <c r="AH178" s="1">
        <v>0</v>
      </c>
      <c r="AI178" s="1">
        <v>0</v>
      </c>
      <c r="AJ178" s="1">
        <v>2</v>
      </c>
      <c r="AK178" s="1">
        <v>2</v>
      </c>
      <c r="AL178" s="1">
        <v>4</v>
      </c>
      <c r="AM178" s="1">
        <v>4</v>
      </c>
      <c r="AN178" s="1">
        <v>4</v>
      </c>
      <c r="AO178" s="1">
        <v>6</v>
      </c>
      <c r="AP178" s="1">
        <v>6</v>
      </c>
      <c r="AQ178" s="1">
        <v>6</v>
      </c>
      <c r="AR178" s="1">
        <v>12</v>
      </c>
      <c r="AS178" s="1">
        <v>15</v>
      </c>
      <c r="AT178" s="1">
        <v>16</v>
      </c>
      <c r="AU178" s="1">
        <v>16</v>
      </c>
      <c r="AV178" s="1">
        <v>16</v>
      </c>
      <c r="AW178" s="1">
        <v>16</v>
      </c>
      <c r="AX178" s="1">
        <v>16</v>
      </c>
      <c r="AY178" s="1">
        <v>18</v>
      </c>
      <c r="AZ178" s="1">
        <v>18</v>
      </c>
      <c r="BA178" s="1">
        <v>18</v>
      </c>
      <c r="BB178" s="1">
        <v>19</v>
      </c>
      <c r="BC178" s="1">
        <v>19</v>
      </c>
      <c r="BD178" s="1">
        <v>22</v>
      </c>
      <c r="BE178" s="1">
        <v>22</v>
      </c>
      <c r="BF178" s="1">
        <v>24</v>
      </c>
      <c r="BG178" s="1">
        <v>39</v>
      </c>
      <c r="BH178" s="1">
        <v>48</v>
      </c>
      <c r="BI178" s="1">
        <v>48</v>
      </c>
      <c r="BJ178" s="1">
        <v>52</v>
      </c>
      <c r="BK178" s="1">
        <v>55</v>
      </c>
      <c r="BL178" s="1">
        <v>66</v>
      </c>
    </row>
    <row r="179" spans="1:64" x14ac:dyDescent="0.25">
      <c r="A179" s="1" t="s">
        <v>64</v>
      </c>
      <c r="B179" s="1" t="s">
        <v>100</v>
      </c>
      <c r="C179" s="1">
        <v>0</v>
      </c>
      <c r="D179" s="1">
        <v>0</v>
      </c>
      <c r="E179" s="1">
        <v>0</v>
      </c>
      <c r="F179" s="1">
        <v>0</v>
      </c>
      <c r="G179" s="1">
        <v>0</v>
      </c>
      <c r="H179" s="1">
        <v>0</v>
      </c>
      <c r="I179" s="1">
        <v>0</v>
      </c>
      <c r="J179" s="1">
        <v>0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0</v>
      </c>
      <c r="AD179" s="1">
        <v>0</v>
      </c>
      <c r="AE179" s="1">
        <v>0</v>
      </c>
      <c r="AF179" s="1">
        <v>0</v>
      </c>
      <c r="AG179" s="1">
        <v>0</v>
      </c>
      <c r="AH179" s="1">
        <v>0</v>
      </c>
      <c r="AI179" s="1">
        <v>0</v>
      </c>
      <c r="AJ179" s="1">
        <v>0</v>
      </c>
      <c r="AK179" s="1">
        <v>0</v>
      </c>
      <c r="AL179" s="1">
        <v>2</v>
      </c>
      <c r="AM179" s="1">
        <v>2</v>
      </c>
      <c r="AN179" s="1">
        <v>2</v>
      </c>
      <c r="AO179" s="1">
        <v>4</v>
      </c>
      <c r="AP179" s="1">
        <v>4</v>
      </c>
      <c r="AQ179" s="1">
        <v>4</v>
      </c>
      <c r="AR179" s="1">
        <v>5</v>
      </c>
      <c r="AS179" s="1">
        <v>5</v>
      </c>
      <c r="AT179" s="1">
        <v>5</v>
      </c>
      <c r="AU179" s="1">
        <v>6</v>
      </c>
      <c r="AV179" s="1">
        <v>6</v>
      </c>
      <c r="AW179" s="1">
        <v>6</v>
      </c>
      <c r="AX179" s="1">
        <v>6</v>
      </c>
      <c r="AY179" s="1">
        <v>16</v>
      </c>
      <c r="AZ179" s="1">
        <v>19</v>
      </c>
      <c r="BA179" s="1">
        <v>20</v>
      </c>
      <c r="BB179" s="1">
        <v>28</v>
      </c>
      <c r="BC179" s="1">
        <v>31</v>
      </c>
      <c r="BD179" s="1">
        <v>53</v>
      </c>
      <c r="BE179" s="1">
        <v>136</v>
      </c>
      <c r="BF179" s="1">
        <v>236</v>
      </c>
      <c r="BG179" s="1">
        <v>299</v>
      </c>
      <c r="BH179" s="1">
        <v>454</v>
      </c>
      <c r="BI179" s="1">
        <v>501</v>
      </c>
      <c r="BJ179" s="1">
        <v>730</v>
      </c>
      <c r="BK179" s="1">
        <v>776</v>
      </c>
      <c r="BL179" s="1">
        <v>875</v>
      </c>
    </row>
    <row r="180" spans="1:64" x14ac:dyDescent="0.25">
      <c r="A180" s="1" t="s">
        <v>64</v>
      </c>
      <c r="B180" s="1" t="s">
        <v>202</v>
      </c>
      <c r="C180" s="1">
        <v>0</v>
      </c>
      <c r="D180" s="1">
        <v>0</v>
      </c>
      <c r="E180" s="1">
        <v>0</v>
      </c>
      <c r="F180" s="1">
        <v>0</v>
      </c>
      <c r="G180" s="1">
        <v>0</v>
      </c>
      <c r="H180" s="1">
        <v>0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0</v>
      </c>
      <c r="AD180" s="1">
        <v>0</v>
      </c>
      <c r="AE180" s="1">
        <v>0</v>
      </c>
      <c r="AF180" s="1">
        <v>0</v>
      </c>
      <c r="AG180" s="1">
        <v>0</v>
      </c>
      <c r="AH180" s="1">
        <v>0</v>
      </c>
      <c r="AI180" s="1">
        <v>0</v>
      </c>
      <c r="AJ180" s="1">
        <v>0</v>
      </c>
      <c r="AK180" s="1">
        <v>0</v>
      </c>
      <c r="AL180" s="1">
        <v>0</v>
      </c>
      <c r="AM180" s="1">
        <v>0</v>
      </c>
      <c r="AN180" s="1">
        <v>0</v>
      </c>
      <c r="AO180" s="1">
        <v>0</v>
      </c>
      <c r="AP180" s="1">
        <v>0</v>
      </c>
      <c r="AQ180" s="1">
        <v>0</v>
      </c>
      <c r="AR180" s="1">
        <v>0</v>
      </c>
      <c r="AS180" s="1">
        <v>0</v>
      </c>
      <c r="AT180" s="1">
        <v>0</v>
      </c>
      <c r="AU180" s="1">
        <v>0</v>
      </c>
      <c r="AV180" s="1">
        <v>0</v>
      </c>
      <c r="AW180" s="1">
        <v>0</v>
      </c>
      <c r="AX180" s="1">
        <v>0</v>
      </c>
      <c r="AY180" s="1">
        <v>1</v>
      </c>
      <c r="AZ180" s="1">
        <v>8</v>
      </c>
      <c r="BA180" s="1">
        <v>11</v>
      </c>
      <c r="BB180" s="1">
        <v>27</v>
      </c>
      <c r="BC180" s="1">
        <v>36</v>
      </c>
      <c r="BD180" s="1">
        <v>43</v>
      </c>
      <c r="BE180" s="1">
        <v>55</v>
      </c>
      <c r="BF180" s="1">
        <v>69</v>
      </c>
      <c r="BG180" s="1">
        <v>86</v>
      </c>
      <c r="BH180" s="1">
        <v>109</v>
      </c>
      <c r="BI180" s="1">
        <v>137</v>
      </c>
      <c r="BJ180" s="1">
        <v>200</v>
      </c>
      <c r="BK180" s="1">
        <v>313</v>
      </c>
      <c r="BL180" s="1">
        <v>345</v>
      </c>
    </row>
    <row r="181" spans="1:64" x14ac:dyDescent="0.25">
      <c r="A181" s="1" t="s">
        <v>64</v>
      </c>
      <c r="B181" s="1" t="s">
        <v>540</v>
      </c>
      <c r="C181" s="1">
        <v>0</v>
      </c>
      <c r="D181" s="1">
        <v>0</v>
      </c>
      <c r="E181" s="1">
        <v>0</v>
      </c>
      <c r="F181" s="1">
        <v>0</v>
      </c>
      <c r="G181" s="1">
        <v>0</v>
      </c>
      <c r="H181" s="1">
        <v>0</v>
      </c>
      <c r="I181" s="1">
        <v>0</v>
      </c>
      <c r="J181" s="1">
        <v>0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0</v>
      </c>
      <c r="AD181" s="1">
        <v>0</v>
      </c>
      <c r="AE181" s="1">
        <v>0</v>
      </c>
      <c r="AF181" s="1">
        <v>0</v>
      </c>
      <c r="AG181" s="1">
        <v>0</v>
      </c>
      <c r="AH181" s="1">
        <v>0</v>
      </c>
      <c r="AI181" s="1">
        <v>0</v>
      </c>
      <c r="AJ181" s="1">
        <v>0</v>
      </c>
      <c r="AK181" s="1">
        <v>0</v>
      </c>
      <c r="AL181" s="1">
        <v>0</v>
      </c>
      <c r="AM181" s="1">
        <v>0</v>
      </c>
      <c r="AN181" s="1">
        <v>0</v>
      </c>
      <c r="AO181" s="1">
        <v>0</v>
      </c>
      <c r="AP181" s="1">
        <v>0</v>
      </c>
      <c r="AQ181" s="1">
        <v>0</v>
      </c>
      <c r="AR181" s="1">
        <v>0</v>
      </c>
      <c r="AS181" s="1">
        <v>0</v>
      </c>
      <c r="AT181" s="1">
        <v>0</v>
      </c>
      <c r="AU181" s="1">
        <v>0</v>
      </c>
      <c r="AV181" s="1">
        <v>0</v>
      </c>
      <c r="AW181" s="1">
        <v>0</v>
      </c>
      <c r="AX181" s="1">
        <v>0</v>
      </c>
      <c r="AY181" s="1">
        <v>0</v>
      </c>
      <c r="AZ181" s="1">
        <v>0</v>
      </c>
      <c r="BA181" s="1">
        <v>0</v>
      </c>
      <c r="BB181" s="1">
        <v>0</v>
      </c>
      <c r="BC181" s="1">
        <v>0</v>
      </c>
      <c r="BD181" s="1">
        <v>0</v>
      </c>
      <c r="BE181" s="1">
        <v>0</v>
      </c>
      <c r="BF181" s="1">
        <v>0</v>
      </c>
      <c r="BG181" s="1">
        <v>0</v>
      </c>
      <c r="BH181" s="1">
        <v>0</v>
      </c>
      <c r="BI181" s="1">
        <v>1</v>
      </c>
      <c r="BJ181" s="1">
        <v>1</v>
      </c>
      <c r="BK181" s="1">
        <v>1</v>
      </c>
      <c r="BL181" s="1">
        <v>1</v>
      </c>
    </row>
    <row r="182" spans="1:64" x14ac:dyDescent="0.25">
      <c r="A182" s="1" t="s">
        <v>64</v>
      </c>
      <c r="B182" s="1" t="s">
        <v>157</v>
      </c>
      <c r="C182" s="1">
        <v>0</v>
      </c>
      <c r="D182" s="1">
        <v>0</v>
      </c>
      <c r="E182" s="1">
        <v>0</v>
      </c>
      <c r="F182" s="1">
        <v>0</v>
      </c>
      <c r="G182" s="1">
        <v>0</v>
      </c>
      <c r="H182" s="1">
        <v>0</v>
      </c>
      <c r="I182" s="1">
        <v>0</v>
      </c>
      <c r="J182" s="1">
        <v>0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0</v>
      </c>
      <c r="AD182" s="1">
        <v>0</v>
      </c>
      <c r="AE182" s="1">
        <v>0</v>
      </c>
      <c r="AF182" s="1">
        <v>0</v>
      </c>
      <c r="AG182" s="1">
        <v>0</v>
      </c>
      <c r="AH182" s="1">
        <v>0</v>
      </c>
      <c r="AI182" s="1">
        <v>0</v>
      </c>
      <c r="AJ182" s="1">
        <v>0</v>
      </c>
      <c r="AK182" s="1">
        <v>0</v>
      </c>
      <c r="AL182" s="1">
        <v>0</v>
      </c>
      <c r="AM182" s="1">
        <v>0</v>
      </c>
      <c r="AN182" s="1">
        <v>0</v>
      </c>
      <c r="AO182" s="1">
        <v>0</v>
      </c>
      <c r="AP182" s="1">
        <v>0</v>
      </c>
      <c r="AQ182" s="1">
        <v>0</v>
      </c>
      <c r="AR182" s="1">
        <v>0</v>
      </c>
      <c r="AS182" s="1">
        <v>0</v>
      </c>
      <c r="AT182" s="1">
        <v>0</v>
      </c>
      <c r="AU182" s="1">
        <v>0</v>
      </c>
      <c r="AV182" s="1">
        <v>0</v>
      </c>
      <c r="AW182" s="1">
        <v>1</v>
      </c>
      <c r="AX182" s="1">
        <v>1</v>
      </c>
      <c r="AY182" s="1">
        <v>1</v>
      </c>
      <c r="AZ182" s="1">
        <v>5</v>
      </c>
      <c r="BA182" s="1">
        <v>5</v>
      </c>
      <c r="BB182" s="1">
        <v>6</v>
      </c>
      <c r="BC182" s="1">
        <v>6</v>
      </c>
      <c r="BD182" s="1">
        <v>6</v>
      </c>
      <c r="BE182" s="1">
        <v>8</v>
      </c>
      <c r="BF182" s="1">
        <v>9</v>
      </c>
      <c r="BG182" s="1">
        <v>11</v>
      </c>
      <c r="BH182" s="1">
        <v>11</v>
      </c>
      <c r="BI182" s="1">
        <v>13</v>
      </c>
      <c r="BJ182" s="1">
        <v>18</v>
      </c>
      <c r="BK182" s="1">
        <v>22</v>
      </c>
      <c r="BL182" s="1">
        <v>22</v>
      </c>
    </row>
    <row r="183" spans="1:64" x14ac:dyDescent="0.25">
      <c r="A183" s="1" t="s">
        <v>64</v>
      </c>
      <c r="B183" s="1" t="s">
        <v>148</v>
      </c>
      <c r="C183" s="1">
        <v>0</v>
      </c>
      <c r="D183" s="1">
        <v>0</v>
      </c>
      <c r="E183" s="1">
        <v>0</v>
      </c>
      <c r="F183" s="1">
        <v>0</v>
      </c>
      <c r="G183" s="1">
        <v>0</v>
      </c>
      <c r="H183" s="1">
        <v>0</v>
      </c>
      <c r="I183" s="1">
        <v>0</v>
      </c>
      <c r="J183" s="1">
        <v>0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0</v>
      </c>
      <c r="AD183" s="1">
        <v>0</v>
      </c>
      <c r="AE183" s="1">
        <v>0</v>
      </c>
      <c r="AF183" s="1">
        <v>0</v>
      </c>
      <c r="AG183" s="1">
        <v>0</v>
      </c>
      <c r="AH183" s="1">
        <v>0</v>
      </c>
      <c r="AI183" s="1">
        <v>0</v>
      </c>
      <c r="AJ183" s="1">
        <v>0</v>
      </c>
      <c r="AK183" s="1">
        <v>0</v>
      </c>
      <c r="AL183" s="1">
        <v>0</v>
      </c>
      <c r="AM183" s="1">
        <v>0</v>
      </c>
      <c r="AN183" s="1">
        <v>0</v>
      </c>
      <c r="AO183" s="1">
        <v>0</v>
      </c>
      <c r="AP183" s="1">
        <v>0</v>
      </c>
      <c r="AQ183" s="1">
        <v>0</v>
      </c>
      <c r="AR183" s="1">
        <v>0</v>
      </c>
      <c r="AS183" s="1">
        <v>0</v>
      </c>
      <c r="AT183" s="1">
        <v>0</v>
      </c>
      <c r="AU183" s="1">
        <v>1</v>
      </c>
      <c r="AV183" s="1">
        <v>1</v>
      </c>
      <c r="AW183" s="1">
        <v>6</v>
      </c>
      <c r="AX183" s="1">
        <v>7</v>
      </c>
      <c r="AY183" s="1">
        <v>11</v>
      </c>
      <c r="AZ183" s="1">
        <v>11</v>
      </c>
      <c r="BA183" s="1">
        <v>15</v>
      </c>
      <c r="BB183" s="1">
        <v>28</v>
      </c>
      <c r="BC183" s="1">
        <v>38</v>
      </c>
      <c r="BD183" s="1">
        <v>43</v>
      </c>
      <c r="BE183" s="1">
        <v>86</v>
      </c>
      <c r="BF183" s="1">
        <v>117</v>
      </c>
      <c r="BG183" s="1">
        <v>145</v>
      </c>
      <c r="BH183" s="1">
        <v>234</v>
      </c>
      <c r="BI183" s="1">
        <v>234</v>
      </c>
      <c r="BJ183" s="1">
        <v>318</v>
      </c>
      <c r="BK183" s="1">
        <v>363</v>
      </c>
      <c r="BL183" s="1">
        <v>395</v>
      </c>
    </row>
    <row r="184" spans="1:64" x14ac:dyDescent="0.25">
      <c r="A184" s="1" t="s">
        <v>64</v>
      </c>
      <c r="B184" s="1" t="s">
        <v>80</v>
      </c>
      <c r="C184" s="1">
        <v>0</v>
      </c>
      <c r="D184" s="1">
        <v>0</v>
      </c>
      <c r="E184" s="1">
        <v>0</v>
      </c>
      <c r="F184" s="1">
        <v>0</v>
      </c>
      <c r="G184" s="1">
        <v>0</v>
      </c>
      <c r="H184" s="1">
        <v>0</v>
      </c>
      <c r="I184" s="1">
        <v>0</v>
      </c>
      <c r="J184" s="1">
        <v>0</v>
      </c>
      <c r="K184" s="1">
        <v>1</v>
      </c>
      <c r="L184" s="1">
        <v>1</v>
      </c>
      <c r="M184" s="1">
        <v>1</v>
      </c>
      <c r="N184" s="1">
        <v>2</v>
      </c>
      <c r="O184" s="1">
        <v>2</v>
      </c>
      <c r="P184" s="1">
        <v>2</v>
      </c>
      <c r="Q184" s="1">
        <v>2</v>
      </c>
      <c r="R184" s="1">
        <v>2</v>
      </c>
      <c r="S184" s="1">
        <v>3</v>
      </c>
      <c r="T184" s="1">
        <v>3</v>
      </c>
      <c r="U184" s="1">
        <v>3</v>
      </c>
      <c r="V184" s="1">
        <v>3</v>
      </c>
      <c r="W184" s="1">
        <v>3</v>
      </c>
      <c r="X184" s="1">
        <v>3</v>
      </c>
      <c r="Y184" s="1">
        <v>3</v>
      </c>
      <c r="Z184" s="1">
        <v>3</v>
      </c>
      <c r="AA184" s="1">
        <v>3</v>
      </c>
      <c r="AB184" s="1">
        <v>3</v>
      </c>
      <c r="AC184" s="1">
        <v>3</v>
      </c>
      <c r="AD184" s="1">
        <v>3</v>
      </c>
      <c r="AE184" s="1">
        <v>3</v>
      </c>
      <c r="AF184" s="1">
        <v>3</v>
      </c>
      <c r="AG184" s="1">
        <v>3</v>
      </c>
      <c r="AH184" s="1">
        <v>3</v>
      </c>
      <c r="AI184" s="1">
        <v>3</v>
      </c>
      <c r="AJ184" s="1">
        <v>3</v>
      </c>
      <c r="AK184" s="1">
        <v>3</v>
      </c>
      <c r="AL184" s="1">
        <v>3</v>
      </c>
      <c r="AM184" s="1">
        <v>3</v>
      </c>
      <c r="AN184" s="1">
        <v>3</v>
      </c>
      <c r="AO184" s="1">
        <v>3</v>
      </c>
      <c r="AP184" s="1">
        <v>3</v>
      </c>
      <c r="AQ184" s="1">
        <v>3</v>
      </c>
      <c r="AR184" s="1">
        <v>3</v>
      </c>
      <c r="AS184" s="1">
        <v>3</v>
      </c>
      <c r="AT184" s="1">
        <v>3</v>
      </c>
      <c r="AU184" s="1">
        <v>5</v>
      </c>
      <c r="AV184" s="1">
        <v>6</v>
      </c>
      <c r="AW184" s="1">
        <v>10</v>
      </c>
      <c r="AX184" s="1">
        <v>20</v>
      </c>
      <c r="AY184" s="1">
        <v>33</v>
      </c>
      <c r="AZ184" s="1">
        <v>49</v>
      </c>
      <c r="BA184" s="1">
        <v>52</v>
      </c>
      <c r="BB184" s="1">
        <v>64</v>
      </c>
      <c r="BC184" s="1">
        <v>111</v>
      </c>
      <c r="BD184" s="1">
        <v>140</v>
      </c>
      <c r="BE184" s="1">
        <v>142</v>
      </c>
      <c r="BF184" s="1">
        <v>187</v>
      </c>
      <c r="BG184" s="1">
        <v>202</v>
      </c>
      <c r="BH184" s="1">
        <v>217</v>
      </c>
      <c r="BI184" s="1">
        <v>230</v>
      </c>
      <c r="BJ184" s="1">
        <v>307</v>
      </c>
      <c r="BK184" s="1">
        <v>380</v>
      </c>
      <c r="BL184" s="1">
        <v>462</v>
      </c>
    </row>
    <row r="185" spans="1:64" x14ac:dyDescent="0.25">
      <c r="A185" s="1" t="s">
        <v>64</v>
      </c>
      <c r="B185" s="1" t="s">
        <v>139</v>
      </c>
      <c r="C185" s="1">
        <v>0</v>
      </c>
      <c r="D185" s="1">
        <v>0</v>
      </c>
      <c r="E185" s="1">
        <v>0</v>
      </c>
      <c r="F185" s="1">
        <v>0</v>
      </c>
      <c r="G185" s="1">
        <v>0</v>
      </c>
      <c r="H185" s="1">
        <v>0</v>
      </c>
      <c r="I185" s="1">
        <v>0</v>
      </c>
      <c r="J185" s="1">
        <v>0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0</v>
      </c>
      <c r="AD185" s="1">
        <v>0</v>
      </c>
      <c r="AE185" s="1">
        <v>0</v>
      </c>
      <c r="AF185" s="1">
        <v>0</v>
      </c>
      <c r="AG185" s="1">
        <v>0</v>
      </c>
      <c r="AH185" s="1">
        <v>0</v>
      </c>
      <c r="AI185" s="1">
        <v>0</v>
      </c>
      <c r="AJ185" s="1">
        <v>0</v>
      </c>
      <c r="AK185" s="1">
        <v>0</v>
      </c>
      <c r="AL185" s="1">
        <v>0</v>
      </c>
      <c r="AM185" s="1">
        <v>0</v>
      </c>
      <c r="AN185" s="1">
        <v>0</v>
      </c>
      <c r="AO185" s="1">
        <v>0</v>
      </c>
      <c r="AP185" s="1">
        <v>0</v>
      </c>
      <c r="AQ185" s="1">
        <v>0</v>
      </c>
      <c r="AR185" s="1">
        <v>0</v>
      </c>
      <c r="AS185" s="1">
        <v>1</v>
      </c>
      <c r="AT185" s="1">
        <v>1</v>
      </c>
      <c r="AU185" s="1">
        <v>5</v>
      </c>
      <c r="AV185" s="1">
        <v>5</v>
      </c>
      <c r="AW185" s="1">
        <v>11</v>
      </c>
      <c r="AX185" s="1">
        <v>16</v>
      </c>
      <c r="AY185" s="1">
        <v>22</v>
      </c>
      <c r="AZ185" s="1">
        <v>31</v>
      </c>
      <c r="BA185" s="1">
        <v>49</v>
      </c>
      <c r="BB185" s="1">
        <v>68</v>
      </c>
      <c r="BC185" s="1">
        <v>103</v>
      </c>
      <c r="BD185" s="1">
        <v>119</v>
      </c>
      <c r="BE185" s="1">
        <v>177</v>
      </c>
      <c r="BF185" s="1">
        <v>238</v>
      </c>
      <c r="BG185" s="1">
        <v>251</v>
      </c>
      <c r="BH185" s="1">
        <v>355</v>
      </c>
      <c r="BI185" s="1">
        <v>425</v>
      </c>
      <c r="BJ185" s="1">
        <v>536</v>
      </c>
      <c r="BK185" s="1">
        <v>634</v>
      </c>
      <c r="BL185" s="1">
        <v>749</v>
      </c>
    </row>
    <row r="186" spans="1:64" x14ac:dyDescent="0.25">
      <c r="A186" s="1" t="s">
        <v>64</v>
      </c>
      <c r="B186" s="1" t="s">
        <v>125</v>
      </c>
      <c r="C186" s="1">
        <v>0</v>
      </c>
      <c r="D186" s="1">
        <v>0</v>
      </c>
      <c r="E186" s="1">
        <v>0</v>
      </c>
      <c r="F186" s="1">
        <v>0</v>
      </c>
      <c r="G186" s="1">
        <v>0</v>
      </c>
      <c r="H186" s="1">
        <v>0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0</v>
      </c>
      <c r="AD186" s="1">
        <v>0</v>
      </c>
      <c r="AE186" s="1">
        <v>0</v>
      </c>
      <c r="AF186" s="1">
        <v>0</v>
      </c>
      <c r="AG186" s="1">
        <v>0</v>
      </c>
      <c r="AH186" s="1">
        <v>0</v>
      </c>
      <c r="AI186" s="1">
        <v>0</v>
      </c>
      <c r="AJ186" s="1">
        <v>0</v>
      </c>
      <c r="AK186" s="1">
        <v>0</v>
      </c>
      <c r="AL186" s="1">
        <v>0</v>
      </c>
      <c r="AM186" s="1">
        <v>0</v>
      </c>
      <c r="AN186" s="1">
        <v>0</v>
      </c>
      <c r="AO186" s="1">
        <v>0</v>
      </c>
      <c r="AP186" s="1">
        <v>0</v>
      </c>
      <c r="AQ186" s="1">
        <v>2</v>
      </c>
      <c r="AR186" s="1">
        <v>2</v>
      </c>
      <c r="AS186" s="1">
        <v>5</v>
      </c>
      <c r="AT186" s="1">
        <v>8</v>
      </c>
      <c r="AU186" s="1">
        <v>13</v>
      </c>
      <c r="AV186" s="1">
        <v>20</v>
      </c>
      <c r="AW186" s="1">
        <v>30</v>
      </c>
      <c r="AX186" s="1">
        <v>30</v>
      </c>
      <c r="AY186" s="1">
        <v>41</v>
      </c>
      <c r="AZ186" s="1">
        <v>59</v>
      </c>
      <c r="BA186" s="1">
        <v>59</v>
      </c>
      <c r="BB186" s="1">
        <v>112</v>
      </c>
      <c r="BC186" s="1">
        <v>169</v>
      </c>
      <c r="BD186" s="1">
        <v>245</v>
      </c>
      <c r="BE186" s="1">
        <v>331</v>
      </c>
      <c r="BF186" s="1">
        <v>448</v>
      </c>
      <c r="BG186" s="1">
        <v>448</v>
      </c>
      <c r="BH186" s="1">
        <v>785</v>
      </c>
      <c r="BI186" s="1">
        <v>1020</v>
      </c>
      <c r="BJ186" s="1">
        <v>1280</v>
      </c>
      <c r="BK186" s="1">
        <v>1600</v>
      </c>
      <c r="BL186" s="1">
        <v>2060</v>
      </c>
    </row>
    <row r="187" spans="1:64" x14ac:dyDescent="0.25">
      <c r="A187" s="1" t="s">
        <v>64</v>
      </c>
      <c r="B187" s="1" t="s">
        <v>119</v>
      </c>
      <c r="C187" s="1">
        <v>0</v>
      </c>
      <c r="D187" s="1">
        <v>0</v>
      </c>
      <c r="E187" s="1">
        <v>0</v>
      </c>
      <c r="F187" s="1">
        <v>0</v>
      </c>
      <c r="G187" s="1">
        <v>0</v>
      </c>
      <c r="H187" s="1">
        <v>0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0</v>
      </c>
      <c r="AH187" s="1">
        <v>0</v>
      </c>
      <c r="AI187" s="1">
        <v>0</v>
      </c>
      <c r="AJ187" s="1">
        <v>0</v>
      </c>
      <c r="AK187" s="1">
        <v>0</v>
      </c>
      <c r="AL187" s="1">
        <v>0</v>
      </c>
      <c r="AM187" s="1">
        <v>0</v>
      </c>
      <c r="AN187" s="1">
        <v>0</v>
      </c>
      <c r="AO187" s="1">
        <v>1</v>
      </c>
      <c r="AP187" s="1">
        <v>3</v>
      </c>
      <c r="AQ187" s="1">
        <v>3</v>
      </c>
      <c r="AR187" s="1">
        <v>7</v>
      </c>
      <c r="AS187" s="1">
        <v>8</v>
      </c>
      <c r="AT187" s="1">
        <v>8</v>
      </c>
      <c r="AU187" s="1">
        <v>8</v>
      </c>
      <c r="AV187" s="1">
        <v>8</v>
      </c>
      <c r="AW187" s="1">
        <v>15</v>
      </c>
      <c r="AX187" s="1">
        <v>18</v>
      </c>
      <c r="AY187" s="1">
        <v>24</v>
      </c>
      <c r="AZ187" s="1">
        <v>262</v>
      </c>
      <c r="BA187" s="1">
        <v>262</v>
      </c>
      <c r="BB187" s="1">
        <v>320</v>
      </c>
      <c r="BC187" s="1">
        <v>337</v>
      </c>
      <c r="BD187" s="1">
        <v>401</v>
      </c>
      <c r="BE187" s="1">
        <v>439</v>
      </c>
      <c r="BF187" s="1">
        <v>439</v>
      </c>
      <c r="BG187" s="1">
        <v>452</v>
      </c>
      <c r="BH187" s="1">
        <v>460</v>
      </c>
      <c r="BI187" s="1">
        <v>470</v>
      </c>
      <c r="BJ187" s="1">
        <v>481</v>
      </c>
      <c r="BK187" s="1">
        <v>494</v>
      </c>
      <c r="BL187" s="1">
        <v>501</v>
      </c>
    </row>
    <row r="188" spans="1:64" x14ac:dyDescent="0.25">
      <c r="A188" s="1" t="s">
        <v>64</v>
      </c>
      <c r="B188" s="1" t="s">
        <v>106</v>
      </c>
      <c r="C188" s="1">
        <v>0</v>
      </c>
      <c r="D188" s="1">
        <v>0</v>
      </c>
      <c r="E188" s="1">
        <v>0</v>
      </c>
      <c r="F188" s="1">
        <v>0</v>
      </c>
      <c r="G188" s="1">
        <v>0</v>
      </c>
      <c r="H188" s="1">
        <v>0</v>
      </c>
      <c r="I188" s="1">
        <v>0</v>
      </c>
      <c r="J188" s="1">
        <v>0</v>
      </c>
      <c r="K188" s="1">
        <v>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0</v>
      </c>
      <c r="AD188" s="1">
        <v>0</v>
      </c>
      <c r="AE188" s="1">
        <v>0</v>
      </c>
      <c r="AF188" s="1">
        <v>0</v>
      </c>
      <c r="AG188" s="1">
        <v>0</v>
      </c>
      <c r="AH188" s="1">
        <v>0</v>
      </c>
      <c r="AI188" s="1">
        <v>0</v>
      </c>
      <c r="AJ188" s="1">
        <v>0</v>
      </c>
      <c r="AK188" s="1">
        <v>0</v>
      </c>
      <c r="AL188" s="1">
        <v>1</v>
      </c>
      <c r="AM188" s="1">
        <v>1</v>
      </c>
      <c r="AN188" s="1">
        <v>3</v>
      </c>
      <c r="AO188" s="1">
        <v>3</v>
      </c>
      <c r="AP188" s="1">
        <v>3</v>
      </c>
      <c r="AQ188" s="1">
        <v>3</v>
      </c>
      <c r="AR188" s="1">
        <v>3</v>
      </c>
      <c r="AS188" s="1">
        <v>4</v>
      </c>
      <c r="AT188" s="1">
        <v>6</v>
      </c>
      <c r="AU188" s="1">
        <v>9</v>
      </c>
      <c r="AV188" s="1">
        <v>9</v>
      </c>
      <c r="AW188" s="1">
        <v>15</v>
      </c>
      <c r="AX188" s="1">
        <v>15</v>
      </c>
      <c r="AY188" s="1">
        <v>25</v>
      </c>
      <c r="AZ188" s="1">
        <v>45</v>
      </c>
      <c r="BA188" s="1">
        <v>49</v>
      </c>
      <c r="BB188" s="1">
        <v>89</v>
      </c>
      <c r="BC188" s="1">
        <v>123</v>
      </c>
      <c r="BD188" s="1">
        <v>131</v>
      </c>
      <c r="BE188" s="1">
        <v>158</v>
      </c>
      <c r="BF188" s="1">
        <v>184</v>
      </c>
      <c r="BG188" s="1">
        <v>260</v>
      </c>
      <c r="BH188" s="1">
        <v>277</v>
      </c>
      <c r="BI188" s="1">
        <v>308</v>
      </c>
      <c r="BJ188" s="1">
        <v>367</v>
      </c>
      <c r="BK188" s="1">
        <v>433</v>
      </c>
      <c r="BL188" s="1">
        <v>576</v>
      </c>
    </row>
    <row r="189" spans="1:64" x14ac:dyDescent="0.25">
      <c r="A189" s="1" t="s">
        <v>64</v>
      </c>
      <c r="B189" s="1" t="s">
        <v>259</v>
      </c>
      <c r="C189" s="1">
        <v>0</v>
      </c>
      <c r="D189" s="1">
        <v>0</v>
      </c>
      <c r="E189" s="1">
        <v>0</v>
      </c>
      <c r="F189" s="1">
        <v>0</v>
      </c>
      <c r="G189" s="1">
        <v>0</v>
      </c>
      <c r="H189" s="1">
        <v>0</v>
      </c>
      <c r="I189" s="1">
        <v>0</v>
      </c>
      <c r="J189" s="1">
        <v>0</v>
      </c>
      <c r="K189" s="1">
        <v>0</v>
      </c>
      <c r="L189" s="1">
        <v>2</v>
      </c>
      <c r="M189" s="1">
        <v>2</v>
      </c>
      <c r="N189" s="1">
        <v>2</v>
      </c>
      <c r="O189" s="1">
        <v>2</v>
      </c>
      <c r="P189" s="1">
        <v>2</v>
      </c>
      <c r="Q189" s="1">
        <v>2</v>
      </c>
      <c r="R189" s="1">
        <v>2</v>
      </c>
      <c r="S189" s="1">
        <v>2</v>
      </c>
      <c r="T189" s="1">
        <v>2</v>
      </c>
      <c r="U189" s="1">
        <v>2</v>
      </c>
      <c r="V189" s="1">
        <v>2</v>
      </c>
      <c r="W189" s="1">
        <v>2</v>
      </c>
      <c r="X189" s="1">
        <v>2</v>
      </c>
      <c r="Y189" s="1">
        <v>2</v>
      </c>
      <c r="Z189" s="1">
        <v>2</v>
      </c>
      <c r="AA189" s="1">
        <v>2</v>
      </c>
      <c r="AB189" s="1">
        <v>2</v>
      </c>
      <c r="AC189" s="1">
        <v>2</v>
      </c>
      <c r="AD189" s="1">
        <v>2</v>
      </c>
      <c r="AE189" s="1">
        <v>2</v>
      </c>
      <c r="AF189" s="1">
        <v>2</v>
      </c>
      <c r="AG189" s="1">
        <v>2</v>
      </c>
      <c r="AH189" s="1">
        <v>2</v>
      </c>
      <c r="AI189" s="1">
        <v>2</v>
      </c>
      <c r="AJ189" s="1">
        <v>2</v>
      </c>
      <c r="AK189" s="1">
        <v>2</v>
      </c>
      <c r="AL189" s="1">
        <v>2</v>
      </c>
      <c r="AM189" s="1">
        <v>2</v>
      </c>
      <c r="AN189" s="1">
        <v>2</v>
      </c>
      <c r="AO189" s="1">
        <v>2</v>
      </c>
      <c r="AP189" s="1">
        <v>2</v>
      </c>
      <c r="AQ189" s="1">
        <v>3</v>
      </c>
      <c r="AR189" s="1">
        <v>3</v>
      </c>
      <c r="AS189" s="1">
        <v>3</v>
      </c>
      <c r="AT189" s="1">
        <v>4</v>
      </c>
      <c r="AU189" s="1">
        <v>13</v>
      </c>
      <c r="AV189" s="1">
        <v>13</v>
      </c>
      <c r="AW189" s="1">
        <v>17</v>
      </c>
      <c r="AX189" s="1">
        <v>17</v>
      </c>
      <c r="AY189" s="1">
        <v>20</v>
      </c>
      <c r="AZ189" s="1">
        <v>20</v>
      </c>
      <c r="BA189" s="1">
        <v>28</v>
      </c>
      <c r="BB189" s="1">
        <v>45</v>
      </c>
      <c r="BC189" s="1">
        <v>59</v>
      </c>
      <c r="BD189" s="1">
        <v>63</v>
      </c>
      <c r="BE189" s="1">
        <v>90</v>
      </c>
      <c r="BF189" s="1">
        <v>114</v>
      </c>
      <c r="BG189" s="1">
        <v>147</v>
      </c>
      <c r="BH189" s="1">
        <v>199</v>
      </c>
      <c r="BI189" s="1">
        <v>253</v>
      </c>
      <c r="BJ189" s="1">
        <v>306</v>
      </c>
      <c r="BK189" s="1">
        <v>367</v>
      </c>
      <c r="BL189" s="1">
        <v>438</v>
      </c>
    </row>
    <row r="190" spans="1:64" x14ac:dyDescent="0.25">
      <c r="A190" s="1" t="s">
        <v>64</v>
      </c>
      <c r="B190" s="1" t="s">
        <v>492</v>
      </c>
      <c r="C190" s="1">
        <v>0</v>
      </c>
      <c r="D190" s="1">
        <v>0</v>
      </c>
      <c r="E190" s="1">
        <v>0</v>
      </c>
      <c r="F190" s="1">
        <v>0</v>
      </c>
      <c r="G190" s="1">
        <v>0</v>
      </c>
      <c r="H190" s="1">
        <v>0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0</v>
      </c>
      <c r="AD190" s="1">
        <v>0</v>
      </c>
      <c r="AE190" s="1">
        <v>0</v>
      </c>
      <c r="AF190" s="1">
        <v>0</v>
      </c>
      <c r="AG190" s="1">
        <v>0</v>
      </c>
      <c r="AH190" s="1">
        <v>0</v>
      </c>
      <c r="AI190" s="1">
        <v>0</v>
      </c>
      <c r="AJ190" s="1">
        <v>0</v>
      </c>
      <c r="AK190" s="1">
        <v>0</v>
      </c>
      <c r="AL190" s="1">
        <v>0</v>
      </c>
      <c r="AM190" s="1">
        <v>0</v>
      </c>
      <c r="AN190" s="1">
        <v>0</v>
      </c>
      <c r="AO190" s="1">
        <v>0</v>
      </c>
      <c r="AP190" s="1">
        <v>0</v>
      </c>
      <c r="AQ190" s="1">
        <v>0</v>
      </c>
      <c r="AR190" s="1">
        <v>0</v>
      </c>
      <c r="AS190" s="1">
        <v>0</v>
      </c>
      <c r="AT190" s="1">
        <v>0</v>
      </c>
      <c r="AU190" s="1">
        <v>0</v>
      </c>
      <c r="AV190" s="1">
        <v>0</v>
      </c>
      <c r="AW190" s="1">
        <v>0</v>
      </c>
      <c r="AX190" s="1">
        <v>0</v>
      </c>
      <c r="AY190" s="1">
        <v>0</v>
      </c>
      <c r="AZ190" s="1">
        <v>0</v>
      </c>
      <c r="BA190" s="1">
        <v>0</v>
      </c>
      <c r="BB190" s="1">
        <v>0</v>
      </c>
      <c r="BC190" s="1">
        <v>1</v>
      </c>
      <c r="BD190" s="1">
        <v>1</v>
      </c>
      <c r="BE190" s="1">
        <v>5</v>
      </c>
      <c r="BF190" s="1">
        <v>7</v>
      </c>
      <c r="BG190" s="1">
        <v>8</v>
      </c>
      <c r="BH190" s="1">
        <v>8</v>
      </c>
      <c r="BI190" s="1">
        <v>17</v>
      </c>
      <c r="BJ190" s="1">
        <v>17</v>
      </c>
      <c r="BK190" s="1">
        <v>19</v>
      </c>
      <c r="BL190" s="1">
        <v>36</v>
      </c>
    </row>
    <row r="191" spans="1:64" x14ac:dyDescent="0.25">
      <c r="A191" s="1" t="s">
        <v>64</v>
      </c>
      <c r="B191" s="1" t="s">
        <v>493</v>
      </c>
      <c r="C191" s="1">
        <v>0</v>
      </c>
      <c r="D191" s="1">
        <v>0</v>
      </c>
      <c r="E191" s="1">
        <v>0</v>
      </c>
      <c r="F191" s="1">
        <v>0</v>
      </c>
      <c r="G191" s="1">
        <v>0</v>
      </c>
      <c r="H191" s="1">
        <v>0</v>
      </c>
      <c r="I191" s="1">
        <v>0</v>
      </c>
      <c r="J191" s="1">
        <v>0</v>
      </c>
      <c r="K191" s="1">
        <v>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  <c r="AG191" s="1">
        <v>0</v>
      </c>
      <c r="AH191" s="1">
        <v>0</v>
      </c>
      <c r="AI191" s="1">
        <v>0</v>
      </c>
      <c r="AJ191" s="1">
        <v>0</v>
      </c>
      <c r="AK191" s="1">
        <v>0</v>
      </c>
      <c r="AL191" s="1">
        <v>0</v>
      </c>
      <c r="AM191" s="1">
        <v>0</v>
      </c>
      <c r="AN191" s="1">
        <v>0</v>
      </c>
      <c r="AO191" s="1">
        <v>0</v>
      </c>
      <c r="AP191" s="1">
        <v>0</v>
      </c>
      <c r="AQ191" s="1">
        <v>0</v>
      </c>
      <c r="AR191" s="1">
        <v>0</v>
      </c>
      <c r="AS191" s="1">
        <v>0</v>
      </c>
      <c r="AT191" s="1">
        <v>0</v>
      </c>
      <c r="AU191" s="1">
        <v>0</v>
      </c>
      <c r="AV191" s="1">
        <v>0</v>
      </c>
      <c r="AW191" s="1">
        <v>0</v>
      </c>
      <c r="AX191" s="1">
        <v>0</v>
      </c>
      <c r="AY191" s="1">
        <v>0</v>
      </c>
      <c r="AZ191" s="1">
        <v>0</v>
      </c>
      <c r="BA191" s="1">
        <v>0</v>
      </c>
      <c r="BB191" s="1">
        <v>0</v>
      </c>
      <c r="BC191" s="1">
        <v>1</v>
      </c>
      <c r="BD191" s="1">
        <v>2</v>
      </c>
      <c r="BE191" s="1">
        <v>2</v>
      </c>
      <c r="BF191" s="1">
        <v>2</v>
      </c>
      <c r="BG191" s="1">
        <v>2</v>
      </c>
      <c r="BH191" s="1">
        <v>2</v>
      </c>
      <c r="BI191" s="1">
        <v>2</v>
      </c>
      <c r="BJ191" s="1">
        <v>2</v>
      </c>
      <c r="BK191" s="1">
        <v>2</v>
      </c>
      <c r="BL191" s="1">
        <v>3</v>
      </c>
    </row>
    <row r="192" spans="1:64" x14ac:dyDescent="0.25">
      <c r="A192" s="1" t="s">
        <v>64</v>
      </c>
      <c r="B192" s="1" t="s">
        <v>494</v>
      </c>
      <c r="C192" s="1">
        <v>0</v>
      </c>
      <c r="D192" s="1">
        <v>0</v>
      </c>
      <c r="E192" s="1">
        <v>0</v>
      </c>
      <c r="F192" s="1">
        <v>0</v>
      </c>
      <c r="G192" s="1">
        <v>0</v>
      </c>
      <c r="H192" s="1">
        <v>0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1">
        <v>0</v>
      </c>
      <c r="AK192" s="1">
        <v>0</v>
      </c>
      <c r="AL192" s="1">
        <v>0</v>
      </c>
      <c r="AM192" s="1">
        <v>0</v>
      </c>
      <c r="AN192" s="1">
        <v>0</v>
      </c>
      <c r="AO192" s="1">
        <v>0</v>
      </c>
      <c r="AP192" s="1">
        <v>0</v>
      </c>
      <c r="AQ192" s="1">
        <v>0</v>
      </c>
      <c r="AR192" s="1">
        <v>0</v>
      </c>
      <c r="AS192" s="1">
        <v>0</v>
      </c>
      <c r="AT192" s="1">
        <v>0</v>
      </c>
      <c r="AU192" s="1">
        <v>0</v>
      </c>
      <c r="AV192" s="1">
        <v>0</v>
      </c>
      <c r="AW192" s="1">
        <v>0</v>
      </c>
      <c r="AX192" s="1">
        <v>0</v>
      </c>
      <c r="AY192" s="1">
        <v>0</v>
      </c>
      <c r="AZ192" s="1">
        <v>0</v>
      </c>
      <c r="BA192" s="1">
        <v>0</v>
      </c>
      <c r="BB192" s="1">
        <v>0</v>
      </c>
      <c r="BC192" s="1">
        <v>1</v>
      </c>
      <c r="BD192" s="1">
        <v>1</v>
      </c>
      <c r="BE192" s="1">
        <v>1</v>
      </c>
      <c r="BF192" s="1">
        <v>1</v>
      </c>
      <c r="BG192" s="1">
        <v>1</v>
      </c>
      <c r="BH192" s="1">
        <v>1</v>
      </c>
      <c r="BI192" s="1">
        <v>1</v>
      </c>
      <c r="BJ192" s="1">
        <v>1</v>
      </c>
      <c r="BK192" s="1">
        <v>1</v>
      </c>
      <c r="BL192" s="1">
        <v>1</v>
      </c>
    </row>
    <row r="193" spans="1:64" x14ac:dyDescent="0.25">
      <c r="A193" s="1" t="s">
        <v>64</v>
      </c>
      <c r="B193" s="1" t="s">
        <v>108</v>
      </c>
      <c r="C193" s="1">
        <v>0</v>
      </c>
      <c r="D193" s="1">
        <v>0</v>
      </c>
      <c r="E193" s="1">
        <v>0</v>
      </c>
      <c r="F193" s="1">
        <v>0</v>
      </c>
      <c r="G193" s="1">
        <v>0</v>
      </c>
      <c r="H193" s="1">
        <v>0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I193" s="1">
        <v>0</v>
      </c>
      <c r="AJ193" s="1">
        <v>0</v>
      </c>
      <c r="AK193" s="1">
        <v>0</v>
      </c>
      <c r="AL193" s="1">
        <v>0</v>
      </c>
      <c r="AM193" s="1">
        <v>1</v>
      </c>
      <c r="AN193" s="1">
        <v>1</v>
      </c>
      <c r="AO193" s="1">
        <v>1</v>
      </c>
      <c r="AP193" s="1">
        <v>1</v>
      </c>
      <c r="AQ193" s="1">
        <v>8</v>
      </c>
      <c r="AR193" s="1">
        <v>10</v>
      </c>
      <c r="AS193" s="1">
        <v>16</v>
      </c>
      <c r="AT193" s="1">
        <v>21</v>
      </c>
      <c r="AU193" s="1">
        <v>21</v>
      </c>
      <c r="AV193" s="1">
        <v>23</v>
      </c>
      <c r="AW193" s="1">
        <v>36</v>
      </c>
      <c r="AX193" s="1">
        <v>36</v>
      </c>
      <c r="AY193" s="1">
        <v>51</v>
      </c>
      <c r="AZ193" s="1">
        <v>62</v>
      </c>
      <c r="BA193" s="1">
        <v>69</v>
      </c>
      <c r="BB193" s="1">
        <v>80</v>
      </c>
      <c r="BC193" s="1">
        <v>80</v>
      </c>
      <c r="BD193" s="1">
        <v>101</v>
      </c>
      <c r="BE193" s="1">
        <v>109</v>
      </c>
      <c r="BF193" s="1">
        <v>109</v>
      </c>
      <c r="BG193" s="1">
        <v>119</v>
      </c>
      <c r="BH193" s="1">
        <v>119</v>
      </c>
      <c r="BI193" s="1">
        <v>144</v>
      </c>
      <c r="BJ193" s="1">
        <v>144</v>
      </c>
      <c r="BK193" s="1">
        <v>175</v>
      </c>
      <c r="BL193" s="1">
        <v>187</v>
      </c>
    </row>
    <row r="194" spans="1:64" x14ac:dyDescent="0.25">
      <c r="A194" s="1" t="s">
        <v>64</v>
      </c>
      <c r="B194" s="1" t="s">
        <v>130</v>
      </c>
      <c r="C194" s="1">
        <v>0</v>
      </c>
      <c r="D194" s="1">
        <v>0</v>
      </c>
      <c r="E194" s="1">
        <v>0</v>
      </c>
      <c r="F194" s="1">
        <v>0</v>
      </c>
      <c r="G194" s="1">
        <v>0</v>
      </c>
      <c r="H194" s="1">
        <v>0</v>
      </c>
      <c r="I194" s="1">
        <v>0</v>
      </c>
      <c r="J194" s="1">
        <v>0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0</v>
      </c>
      <c r="AG194" s="1">
        <v>0</v>
      </c>
      <c r="AH194" s="1">
        <v>0</v>
      </c>
      <c r="AI194" s="1">
        <v>0</v>
      </c>
      <c r="AJ194" s="1">
        <v>0</v>
      </c>
      <c r="AK194" s="1">
        <v>0</v>
      </c>
      <c r="AL194" s="1">
        <v>0</v>
      </c>
      <c r="AM194" s="1">
        <v>0</v>
      </c>
      <c r="AN194" s="1">
        <v>0</v>
      </c>
      <c r="AO194" s="1">
        <v>0</v>
      </c>
      <c r="AP194" s="1">
        <v>0</v>
      </c>
      <c r="AQ194" s="1">
        <v>1</v>
      </c>
      <c r="AR194" s="1">
        <v>1</v>
      </c>
      <c r="AS194" s="1">
        <v>1</v>
      </c>
      <c r="AT194" s="1">
        <v>5</v>
      </c>
      <c r="AU194" s="1">
        <v>5</v>
      </c>
      <c r="AV194" s="1">
        <v>5</v>
      </c>
      <c r="AW194" s="1">
        <v>11</v>
      </c>
      <c r="AX194" s="1">
        <v>15</v>
      </c>
      <c r="AY194" s="1">
        <v>20</v>
      </c>
      <c r="AZ194" s="1">
        <v>21</v>
      </c>
      <c r="BA194" s="1">
        <v>45</v>
      </c>
      <c r="BB194" s="1">
        <v>86</v>
      </c>
      <c r="BC194" s="1">
        <v>103</v>
      </c>
      <c r="BD194" s="1">
        <v>103</v>
      </c>
      <c r="BE194" s="1">
        <v>118</v>
      </c>
      <c r="BF194" s="1">
        <v>171</v>
      </c>
      <c r="BG194" s="1">
        <v>171</v>
      </c>
      <c r="BH194" s="1">
        <v>274</v>
      </c>
      <c r="BI194" s="1">
        <v>344</v>
      </c>
      <c r="BJ194" s="1">
        <v>392</v>
      </c>
      <c r="BK194" s="1">
        <v>511</v>
      </c>
      <c r="BL194" s="1">
        <v>562</v>
      </c>
    </row>
    <row r="195" spans="1:64" x14ac:dyDescent="0.25">
      <c r="A195" s="1" t="s">
        <v>64</v>
      </c>
      <c r="B195" s="1" t="s">
        <v>131</v>
      </c>
      <c r="C195" s="1">
        <v>0</v>
      </c>
      <c r="D195" s="1">
        <v>0</v>
      </c>
      <c r="E195" s="1">
        <v>0</v>
      </c>
      <c r="F195" s="1">
        <v>0</v>
      </c>
      <c r="G195" s="1">
        <v>0</v>
      </c>
      <c r="H195" s="1">
        <v>0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1">
        <v>0</v>
      </c>
      <c r="AK195" s="1">
        <v>0</v>
      </c>
      <c r="AL195" s="1">
        <v>0</v>
      </c>
      <c r="AM195" s="1">
        <v>0</v>
      </c>
      <c r="AN195" s="1">
        <v>0</v>
      </c>
      <c r="AO195" s="1">
        <v>0</v>
      </c>
      <c r="AP195" s="1">
        <v>0</v>
      </c>
      <c r="AQ195" s="1">
        <v>1</v>
      </c>
      <c r="AR195" s="1">
        <v>2</v>
      </c>
      <c r="AS195" s="1">
        <v>4</v>
      </c>
      <c r="AT195" s="1">
        <v>4</v>
      </c>
      <c r="AU195" s="1">
        <v>4</v>
      </c>
      <c r="AV195" s="1">
        <v>4</v>
      </c>
      <c r="AW195" s="1">
        <v>4</v>
      </c>
      <c r="AX195" s="1">
        <v>4</v>
      </c>
      <c r="AY195" s="1">
        <v>4</v>
      </c>
      <c r="AZ195" s="1">
        <v>4</v>
      </c>
      <c r="BA195" s="1">
        <v>4</v>
      </c>
      <c r="BB195" s="1">
        <v>10</v>
      </c>
      <c r="BC195" s="1">
        <v>10</v>
      </c>
      <c r="BD195" s="1">
        <v>24</v>
      </c>
      <c r="BE195" s="1">
        <v>24</v>
      </c>
      <c r="BF195" s="1">
        <v>26</v>
      </c>
      <c r="BG195" s="1">
        <v>31</v>
      </c>
      <c r="BH195" s="1">
        <v>31</v>
      </c>
      <c r="BI195" s="1">
        <v>38</v>
      </c>
      <c r="BJ195" s="1">
        <v>47</v>
      </c>
      <c r="BK195" s="1">
        <v>67</v>
      </c>
      <c r="BL195" s="1">
        <v>79</v>
      </c>
    </row>
    <row r="196" spans="1:64" x14ac:dyDescent="0.25">
      <c r="A196" s="1" t="s">
        <v>64</v>
      </c>
      <c r="B196" s="1" t="s">
        <v>149</v>
      </c>
      <c r="C196" s="1">
        <v>0</v>
      </c>
      <c r="D196" s="1">
        <v>0</v>
      </c>
      <c r="E196" s="1">
        <v>0</v>
      </c>
      <c r="F196" s="1">
        <v>0</v>
      </c>
      <c r="G196" s="1">
        <v>0</v>
      </c>
      <c r="H196" s="1">
        <v>0</v>
      </c>
      <c r="I196" s="1">
        <v>0</v>
      </c>
      <c r="J196" s="1">
        <v>0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v>0</v>
      </c>
      <c r="AH196" s="1">
        <v>0</v>
      </c>
      <c r="AI196" s="1">
        <v>0</v>
      </c>
      <c r="AJ196" s="1">
        <v>0</v>
      </c>
      <c r="AK196" s="1">
        <v>0</v>
      </c>
      <c r="AL196" s="1">
        <v>0</v>
      </c>
      <c r="AM196" s="1">
        <v>0</v>
      </c>
      <c r="AN196" s="1">
        <v>0</v>
      </c>
      <c r="AO196" s="1">
        <v>0</v>
      </c>
      <c r="AP196" s="1">
        <v>0</v>
      </c>
      <c r="AQ196" s="1">
        <v>0</v>
      </c>
      <c r="AR196" s="1">
        <v>0</v>
      </c>
      <c r="AS196" s="1">
        <v>0</v>
      </c>
      <c r="AT196" s="1">
        <v>0</v>
      </c>
      <c r="AU196" s="1">
        <v>1</v>
      </c>
      <c r="AV196" s="1">
        <v>1</v>
      </c>
      <c r="AW196" s="1">
        <v>1</v>
      </c>
      <c r="AX196" s="1">
        <v>1</v>
      </c>
      <c r="AY196" s="1">
        <v>5</v>
      </c>
      <c r="AZ196" s="1">
        <v>12</v>
      </c>
      <c r="BA196" s="1">
        <v>19</v>
      </c>
      <c r="BB196" s="1">
        <v>35</v>
      </c>
      <c r="BC196" s="1">
        <v>46</v>
      </c>
      <c r="BD196" s="1">
        <v>48</v>
      </c>
      <c r="BE196" s="1">
        <v>55</v>
      </c>
      <c r="BF196" s="1">
        <v>65</v>
      </c>
      <c r="BG196" s="1">
        <v>83</v>
      </c>
      <c r="BH196" s="1">
        <v>103</v>
      </c>
      <c r="BI196" s="1">
        <v>135</v>
      </c>
      <c r="BJ196" s="1">
        <v>171</v>
      </c>
      <c r="BK196" s="1">
        <v>222</v>
      </c>
      <c r="BL196" s="1">
        <v>249</v>
      </c>
    </row>
    <row r="197" spans="1:64" x14ac:dyDescent="0.25">
      <c r="A197" s="1" t="s">
        <v>64</v>
      </c>
      <c r="B197" s="1" t="s">
        <v>485</v>
      </c>
      <c r="C197" s="1">
        <v>0</v>
      </c>
      <c r="D197" s="1">
        <v>0</v>
      </c>
      <c r="E197" s="1">
        <v>0</v>
      </c>
      <c r="F197" s="1">
        <v>0</v>
      </c>
      <c r="G197" s="1">
        <v>0</v>
      </c>
      <c r="H197" s="1">
        <v>0</v>
      </c>
      <c r="I197" s="1">
        <v>0</v>
      </c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v>0</v>
      </c>
      <c r="AH197" s="1">
        <v>0</v>
      </c>
      <c r="AI197" s="1">
        <v>0</v>
      </c>
      <c r="AJ197" s="1">
        <v>0</v>
      </c>
      <c r="AK197" s="1">
        <v>0</v>
      </c>
      <c r="AL197" s="1">
        <v>0</v>
      </c>
      <c r="AM197" s="1">
        <v>0</v>
      </c>
      <c r="AN197" s="1">
        <v>0</v>
      </c>
      <c r="AO197" s="1">
        <v>0</v>
      </c>
      <c r="AP197" s="1">
        <v>0</v>
      </c>
      <c r="AQ197" s="1">
        <v>0</v>
      </c>
      <c r="AR197" s="1">
        <v>0</v>
      </c>
      <c r="AS197" s="1">
        <v>0</v>
      </c>
      <c r="AT197" s="1">
        <v>0</v>
      </c>
      <c r="AU197" s="1">
        <v>0</v>
      </c>
      <c r="AV197" s="1">
        <v>0</v>
      </c>
      <c r="AW197" s="1">
        <v>0</v>
      </c>
      <c r="AX197" s="1">
        <v>0</v>
      </c>
      <c r="AY197" s="1">
        <v>0</v>
      </c>
      <c r="AZ197" s="1">
        <v>0</v>
      </c>
      <c r="BA197" s="1">
        <v>0</v>
      </c>
      <c r="BB197" s="1">
        <v>0</v>
      </c>
      <c r="BC197" s="1">
        <v>2</v>
      </c>
      <c r="BD197" s="1">
        <v>2</v>
      </c>
      <c r="BE197" s="1">
        <v>3</v>
      </c>
      <c r="BF197" s="1">
        <v>4</v>
      </c>
      <c r="BG197" s="1">
        <v>4</v>
      </c>
      <c r="BH197" s="1">
        <v>6</v>
      </c>
      <c r="BI197" s="1">
        <v>7</v>
      </c>
      <c r="BJ197" s="1">
        <v>7</v>
      </c>
      <c r="BK197" s="1">
        <v>7</v>
      </c>
      <c r="BL197" s="1">
        <v>7</v>
      </c>
    </row>
    <row r="198" spans="1:64" x14ac:dyDescent="0.25">
      <c r="A198" s="1" t="s">
        <v>64</v>
      </c>
      <c r="B198" s="1" t="s">
        <v>66</v>
      </c>
      <c r="C198" s="1">
        <v>0</v>
      </c>
      <c r="D198" s="1">
        <v>1</v>
      </c>
      <c r="E198" s="1">
        <v>3</v>
      </c>
      <c r="F198" s="1">
        <v>3</v>
      </c>
      <c r="G198" s="1">
        <v>4</v>
      </c>
      <c r="H198" s="1">
        <v>5</v>
      </c>
      <c r="I198" s="1">
        <v>7</v>
      </c>
      <c r="J198" s="1">
        <v>7</v>
      </c>
      <c r="K198" s="1">
        <v>10</v>
      </c>
      <c r="L198" s="1">
        <v>13</v>
      </c>
      <c r="M198" s="1">
        <v>16</v>
      </c>
      <c r="N198" s="1">
        <v>18</v>
      </c>
      <c r="O198" s="1">
        <v>18</v>
      </c>
      <c r="P198" s="1">
        <v>24</v>
      </c>
      <c r="Q198" s="1">
        <v>28</v>
      </c>
      <c r="R198" s="1">
        <v>28</v>
      </c>
      <c r="S198" s="1">
        <v>30</v>
      </c>
      <c r="T198" s="1">
        <v>33</v>
      </c>
      <c r="U198" s="1">
        <v>40</v>
      </c>
      <c r="V198" s="1">
        <v>45</v>
      </c>
      <c r="W198" s="1">
        <v>47</v>
      </c>
      <c r="X198" s="1">
        <v>50</v>
      </c>
      <c r="Y198" s="1">
        <v>58</v>
      </c>
      <c r="Z198" s="1">
        <v>67</v>
      </c>
      <c r="AA198" s="1">
        <v>72</v>
      </c>
      <c r="AB198" s="1">
        <v>75</v>
      </c>
      <c r="AC198" s="1">
        <v>77</v>
      </c>
      <c r="AD198" s="1">
        <v>81</v>
      </c>
      <c r="AE198" s="1">
        <v>84</v>
      </c>
      <c r="AF198" s="1">
        <v>84</v>
      </c>
      <c r="AG198" s="1">
        <v>85</v>
      </c>
      <c r="AH198" s="1">
        <v>85</v>
      </c>
      <c r="AI198" s="1">
        <v>89</v>
      </c>
      <c r="AJ198" s="1">
        <v>89</v>
      </c>
      <c r="AK198" s="1">
        <v>91</v>
      </c>
      <c r="AL198" s="1">
        <v>93</v>
      </c>
      <c r="AM198" s="1">
        <v>93</v>
      </c>
      <c r="AN198" s="1">
        <v>93</v>
      </c>
      <c r="AO198" s="1">
        <v>102</v>
      </c>
      <c r="AP198" s="1">
        <v>106</v>
      </c>
      <c r="AQ198" s="1">
        <v>108</v>
      </c>
      <c r="AR198" s="1">
        <v>110</v>
      </c>
      <c r="AS198" s="1">
        <v>110</v>
      </c>
      <c r="AT198" s="1">
        <v>117</v>
      </c>
      <c r="AU198" s="1">
        <v>130</v>
      </c>
      <c r="AV198" s="1">
        <v>138</v>
      </c>
      <c r="AW198" s="1">
        <v>150</v>
      </c>
      <c r="AX198" s="1">
        <v>150</v>
      </c>
      <c r="AY198" s="1">
        <v>160</v>
      </c>
      <c r="AZ198" s="1">
        <v>178</v>
      </c>
      <c r="BA198" s="1">
        <v>178</v>
      </c>
      <c r="BB198" s="1">
        <v>200</v>
      </c>
      <c r="BC198" s="1">
        <v>212</v>
      </c>
      <c r="BD198" s="1">
        <v>226</v>
      </c>
      <c r="BE198" s="1">
        <v>243</v>
      </c>
      <c r="BF198" s="1">
        <v>266</v>
      </c>
      <c r="BG198" s="1">
        <v>313</v>
      </c>
      <c r="BH198" s="1">
        <v>345</v>
      </c>
      <c r="BI198" s="1">
        <v>385</v>
      </c>
      <c r="BJ198" s="1">
        <v>432</v>
      </c>
      <c r="BK198" s="1">
        <v>455</v>
      </c>
      <c r="BL198" s="1">
        <v>509</v>
      </c>
    </row>
    <row r="199" spans="1:64" x14ac:dyDescent="0.25">
      <c r="A199" s="1" t="s">
        <v>64</v>
      </c>
      <c r="B199" s="1" t="s">
        <v>150</v>
      </c>
      <c r="C199" s="1">
        <v>0</v>
      </c>
      <c r="D199" s="1">
        <v>0</v>
      </c>
      <c r="E199" s="1">
        <v>0</v>
      </c>
      <c r="F199" s="1">
        <v>0</v>
      </c>
      <c r="G199" s="1">
        <v>0</v>
      </c>
      <c r="H199" s="1">
        <v>0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I199" s="1">
        <v>0</v>
      </c>
      <c r="AJ199" s="1">
        <v>0</v>
      </c>
      <c r="AK199" s="1">
        <v>0</v>
      </c>
      <c r="AL199" s="1">
        <v>0</v>
      </c>
      <c r="AM199" s="1">
        <v>0</v>
      </c>
      <c r="AN199" s="1">
        <v>0</v>
      </c>
      <c r="AO199" s="1">
        <v>0</v>
      </c>
      <c r="AP199" s="1">
        <v>0</v>
      </c>
      <c r="AQ199" s="1">
        <v>0</v>
      </c>
      <c r="AR199" s="1">
        <v>0</v>
      </c>
      <c r="AS199" s="1">
        <v>0</v>
      </c>
      <c r="AT199" s="1">
        <v>0</v>
      </c>
      <c r="AU199" s="1">
        <v>1</v>
      </c>
      <c r="AV199" s="1">
        <v>1</v>
      </c>
      <c r="AW199" s="1">
        <v>3</v>
      </c>
      <c r="AX199" s="1">
        <v>3</v>
      </c>
      <c r="AY199" s="1">
        <v>7</v>
      </c>
      <c r="AZ199" s="1">
        <v>10</v>
      </c>
      <c r="BA199" s="1">
        <v>16</v>
      </c>
      <c r="BB199" s="1">
        <v>32</v>
      </c>
      <c r="BC199" s="1">
        <v>44</v>
      </c>
      <c r="BD199" s="1">
        <v>54</v>
      </c>
      <c r="BE199" s="1">
        <v>63</v>
      </c>
      <c r="BF199" s="1">
        <v>72</v>
      </c>
      <c r="BG199" s="1">
        <v>105</v>
      </c>
      <c r="BH199" s="1">
        <v>123</v>
      </c>
      <c r="BI199" s="1">
        <v>137</v>
      </c>
      <c r="BJ199" s="1">
        <v>178</v>
      </c>
      <c r="BK199" s="1">
        <v>185</v>
      </c>
      <c r="BL199" s="1">
        <v>186</v>
      </c>
    </row>
    <row r="200" spans="1:64" x14ac:dyDescent="0.25">
      <c r="A200" s="1" t="s">
        <v>64</v>
      </c>
      <c r="B200" s="1" t="s">
        <v>142</v>
      </c>
      <c r="C200" s="1">
        <v>0</v>
      </c>
      <c r="D200" s="1">
        <v>0</v>
      </c>
      <c r="E200" s="1">
        <v>0</v>
      </c>
      <c r="F200" s="1">
        <v>0</v>
      </c>
      <c r="G200" s="1">
        <v>0</v>
      </c>
      <c r="H200" s="1">
        <v>0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I200" s="1">
        <v>0</v>
      </c>
      <c r="AJ200" s="1">
        <v>0</v>
      </c>
      <c r="AK200" s="1">
        <v>0</v>
      </c>
      <c r="AL200" s="1">
        <v>0</v>
      </c>
      <c r="AM200" s="1">
        <v>0</v>
      </c>
      <c r="AN200" s="1">
        <v>0</v>
      </c>
      <c r="AO200" s="1">
        <v>0</v>
      </c>
      <c r="AP200" s="1">
        <v>0</v>
      </c>
      <c r="AQ200" s="1">
        <v>0</v>
      </c>
      <c r="AR200" s="1">
        <v>0</v>
      </c>
      <c r="AS200" s="1">
        <v>0</v>
      </c>
      <c r="AT200" s="1">
        <v>2</v>
      </c>
      <c r="AU200" s="1">
        <v>7</v>
      </c>
      <c r="AV200" s="1">
        <v>7</v>
      </c>
      <c r="AW200" s="1">
        <v>16</v>
      </c>
      <c r="AX200" s="1">
        <v>16</v>
      </c>
      <c r="AY200" s="1">
        <v>31</v>
      </c>
      <c r="AZ200" s="1">
        <v>57</v>
      </c>
      <c r="BA200" s="1">
        <v>89</v>
      </c>
      <c r="BB200" s="1">
        <v>141</v>
      </c>
      <c r="BC200" s="1">
        <v>181</v>
      </c>
      <c r="BD200" s="1">
        <v>219</v>
      </c>
      <c r="BE200" s="1">
        <v>253</v>
      </c>
      <c r="BF200" s="1">
        <v>275</v>
      </c>
      <c r="BG200" s="1">
        <v>275</v>
      </c>
      <c r="BH200" s="1">
        <v>286</v>
      </c>
      <c r="BI200" s="1">
        <v>341</v>
      </c>
      <c r="BJ200" s="1">
        <v>383</v>
      </c>
      <c r="BK200" s="1">
        <v>414</v>
      </c>
      <c r="BL200" s="1">
        <v>442</v>
      </c>
    </row>
    <row r="201" spans="1:64" x14ac:dyDescent="0.25">
      <c r="A201" s="1" t="s">
        <v>64</v>
      </c>
      <c r="B201" s="1" t="s">
        <v>512</v>
      </c>
      <c r="C201" s="1">
        <v>0</v>
      </c>
      <c r="D201" s="1">
        <v>0</v>
      </c>
      <c r="E201" s="1">
        <v>0</v>
      </c>
      <c r="F201" s="1">
        <v>0</v>
      </c>
      <c r="G201" s="1">
        <v>0</v>
      </c>
      <c r="H201" s="1">
        <v>0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1">
        <v>0</v>
      </c>
      <c r="AK201" s="1">
        <v>0</v>
      </c>
      <c r="AL201" s="1">
        <v>0</v>
      </c>
      <c r="AM201" s="1">
        <v>0</v>
      </c>
      <c r="AN201" s="1">
        <v>0</v>
      </c>
      <c r="AO201" s="1">
        <v>0</v>
      </c>
      <c r="AP201" s="1">
        <v>0</v>
      </c>
      <c r="AQ201" s="1">
        <v>0</v>
      </c>
      <c r="AR201" s="1">
        <v>0</v>
      </c>
      <c r="AS201" s="1">
        <v>0</v>
      </c>
      <c r="AT201" s="1">
        <v>0</v>
      </c>
      <c r="AU201" s="1">
        <v>0</v>
      </c>
      <c r="AV201" s="1">
        <v>0</v>
      </c>
      <c r="AW201" s="1">
        <v>0</v>
      </c>
      <c r="AX201" s="1">
        <v>0</v>
      </c>
      <c r="AY201" s="1">
        <v>0</v>
      </c>
      <c r="AZ201" s="1">
        <v>0</v>
      </c>
      <c r="BA201" s="1">
        <v>0</v>
      </c>
      <c r="BB201" s="1">
        <v>0</v>
      </c>
      <c r="BC201" s="1">
        <v>0</v>
      </c>
      <c r="BD201" s="1">
        <v>0</v>
      </c>
      <c r="BE201" s="1">
        <v>1</v>
      </c>
      <c r="BF201" s="1">
        <v>1</v>
      </c>
      <c r="BG201" s="1">
        <v>1</v>
      </c>
      <c r="BH201" s="1">
        <v>1</v>
      </c>
      <c r="BI201" s="1">
        <v>1</v>
      </c>
      <c r="BJ201" s="1">
        <v>1</v>
      </c>
      <c r="BK201" s="1">
        <v>1</v>
      </c>
      <c r="BL201" s="1">
        <v>1</v>
      </c>
    </row>
    <row r="202" spans="1:64" x14ac:dyDescent="0.25">
      <c r="A202" s="1" t="s">
        <v>64</v>
      </c>
      <c r="B202" s="1" t="s">
        <v>143</v>
      </c>
      <c r="C202" s="1">
        <v>0</v>
      </c>
      <c r="D202" s="1">
        <v>0</v>
      </c>
      <c r="E202" s="1">
        <v>0</v>
      </c>
      <c r="F202" s="1">
        <v>0</v>
      </c>
      <c r="G202" s="1">
        <v>0</v>
      </c>
      <c r="H202" s="1">
        <v>0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I202" s="1">
        <v>0</v>
      </c>
      <c r="AJ202" s="1">
        <v>0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P202" s="1">
        <v>0</v>
      </c>
      <c r="AQ202" s="1">
        <v>0</v>
      </c>
      <c r="AR202" s="1">
        <v>0</v>
      </c>
      <c r="AS202" s="1">
        <v>0</v>
      </c>
      <c r="AT202" s="1">
        <v>1</v>
      </c>
      <c r="AU202" s="1">
        <v>1</v>
      </c>
      <c r="AV202" s="1">
        <v>1</v>
      </c>
      <c r="AW202" s="1">
        <v>3</v>
      </c>
      <c r="AX202" s="1">
        <v>3</v>
      </c>
      <c r="AY202" s="1">
        <v>7</v>
      </c>
      <c r="AZ202" s="1">
        <v>13</v>
      </c>
      <c r="BA202" s="1">
        <v>17</v>
      </c>
      <c r="BB202" s="1">
        <v>24</v>
      </c>
      <c r="BC202" s="1">
        <v>38</v>
      </c>
      <c r="BD202" s="1">
        <v>51</v>
      </c>
      <c r="BE202" s="1">
        <v>62</v>
      </c>
      <c r="BF202" s="1">
        <v>62</v>
      </c>
      <c r="BG202" s="1">
        <v>116</v>
      </c>
      <c r="BH202" s="1">
        <v>150</v>
      </c>
      <c r="BI202" s="1">
        <v>202</v>
      </c>
      <c r="BJ202" s="1">
        <v>240</v>
      </c>
      <c r="BK202" s="1">
        <v>274</v>
      </c>
      <c r="BL202" s="1">
        <v>402</v>
      </c>
    </row>
    <row r="203" spans="1:64" x14ac:dyDescent="0.25">
      <c r="A203" s="1" t="s">
        <v>64</v>
      </c>
      <c r="B203" s="1" t="s">
        <v>84</v>
      </c>
      <c r="C203" s="1">
        <v>0</v>
      </c>
      <c r="D203" s="1">
        <v>0</v>
      </c>
      <c r="E203" s="1">
        <v>0</v>
      </c>
      <c r="F203" s="1">
        <v>0</v>
      </c>
      <c r="G203" s="1">
        <v>0</v>
      </c>
      <c r="H203" s="1">
        <v>0</v>
      </c>
      <c r="I203" s="1">
        <v>0</v>
      </c>
      <c r="J203" s="1">
        <v>0</v>
      </c>
      <c r="K203" s="1">
        <v>0</v>
      </c>
      <c r="L203" s="1">
        <v>0</v>
      </c>
      <c r="M203" s="1">
        <v>1</v>
      </c>
      <c r="N203" s="1">
        <v>1</v>
      </c>
      <c r="O203" s="1">
        <v>1</v>
      </c>
      <c r="P203" s="1">
        <v>1</v>
      </c>
      <c r="Q203" s="1">
        <v>1</v>
      </c>
      <c r="R203" s="1">
        <v>1</v>
      </c>
      <c r="S203" s="1">
        <v>1</v>
      </c>
      <c r="T203" s="1">
        <v>1</v>
      </c>
      <c r="U203" s="1">
        <v>2</v>
      </c>
      <c r="V203" s="1">
        <v>2</v>
      </c>
      <c r="W203" s="1">
        <v>2</v>
      </c>
      <c r="X203" s="1">
        <v>2</v>
      </c>
      <c r="Y203" s="1">
        <v>2</v>
      </c>
      <c r="Z203" s="1">
        <v>2</v>
      </c>
      <c r="AA203" s="1">
        <v>2</v>
      </c>
      <c r="AB203" s="1">
        <v>2</v>
      </c>
      <c r="AC203" s="1">
        <v>2</v>
      </c>
      <c r="AD203" s="1">
        <v>2</v>
      </c>
      <c r="AE203" s="1">
        <v>2</v>
      </c>
      <c r="AF203" s="1">
        <v>2</v>
      </c>
      <c r="AG203" s="1">
        <v>2</v>
      </c>
      <c r="AH203" s="1">
        <v>2</v>
      </c>
      <c r="AI203" s="1">
        <v>2</v>
      </c>
      <c r="AJ203" s="1">
        <v>2</v>
      </c>
      <c r="AK203" s="1">
        <v>6</v>
      </c>
      <c r="AL203" s="1">
        <v>13</v>
      </c>
      <c r="AM203" s="1">
        <v>15</v>
      </c>
      <c r="AN203" s="1">
        <v>32</v>
      </c>
      <c r="AO203" s="1">
        <v>45</v>
      </c>
      <c r="AP203" s="1">
        <v>84</v>
      </c>
      <c r="AQ203" s="1">
        <v>120</v>
      </c>
      <c r="AR203" s="1">
        <v>165</v>
      </c>
      <c r="AS203" s="1">
        <v>222</v>
      </c>
      <c r="AT203" s="1">
        <v>259</v>
      </c>
      <c r="AU203" s="1">
        <v>400</v>
      </c>
      <c r="AV203" s="1">
        <v>500</v>
      </c>
      <c r="AW203" s="1">
        <v>673</v>
      </c>
      <c r="AX203" s="1">
        <v>1073</v>
      </c>
      <c r="AY203" s="1">
        <v>1695</v>
      </c>
      <c r="AZ203" s="1">
        <v>2277</v>
      </c>
      <c r="BA203" s="1">
        <v>2277</v>
      </c>
      <c r="BB203" s="1">
        <v>5232</v>
      </c>
      <c r="BC203" s="1">
        <v>6391</v>
      </c>
      <c r="BD203" s="1">
        <v>7798</v>
      </c>
      <c r="BE203" s="1">
        <v>9942</v>
      </c>
      <c r="BF203" s="1">
        <v>11748</v>
      </c>
      <c r="BG203" s="1">
        <v>13910</v>
      </c>
      <c r="BH203" s="1">
        <v>17963</v>
      </c>
      <c r="BI203" s="1">
        <v>20410</v>
      </c>
      <c r="BJ203" s="1">
        <v>25374</v>
      </c>
      <c r="BK203" s="1">
        <v>28768</v>
      </c>
      <c r="BL203" s="1">
        <v>35136</v>
      </c>
    </row>
    <row r="204" spans="1:64" x14ac:dyDescent="0.25">
      <c r="A204" s="1" t="s">
        <v>64</v>
      </c>
      <c r="B204" s="1" t="s">
        <v>76</v>
      </c>
      <c r="C204" s="1">
        <v>0</v>
      </c>
      <c r="D204" s="1">
        <v>0</v>
      </c>
      <c r="E204" s="1">
        <v>0</v>
      </c>
      <c r="F204" s="1">
        <v>0</v>
      </c>
      <c r="G204" s="1">
        <v>0</v>
      </c>
      <c r="H204" s="1">
        <v>1</v>
      </c>
      <c r="I204" s="1">
        <v>1</v>
      </c>
      <c r="J204" s="1">
        <v>1</v>
      </c>
      <c r="K204" s="1">
        <v>1</v>
      </c>
      <c r="L204" s="1">
        <v>1</v>
      </c>
      <c r="M204" s="1">
        <v>1</v>
      </c>
      <c r="N204" s="1">
        <v>1</v>
      </c>
      <c r="O204" s="1">
        <v>1</v>
      </c>
      <c r="P204" s="1">
        <v>1</v>
      </c>
      <c r="Q204" s="1">
        <v>1</v>
      </c>
      <c r="R204" s="1">
        <v>1</v>
      </c>
      <c r="S204" s="1">
        <v>1</v>
      </c>
      <c r="T204" s="1">
        <v>1</v>
      </c>
      <c r="U204" s="1">
        <v>1</v>
      </c>
      <c r="V204" s="1">
        <v>1</v>
      </c>
      <c r="W204" s="1">
        <v>1</v>
      </c>
      <c r="X204" s="1">
        <v>1</v>
      </c>
      <c r="Y204" s="1">
        <v>1</v>
      </c>
      <c r="Z204" s="1">
        <v>1</v>
      </c>
      <c r="AA204" s="1">
        <v>1</v>
      </c>
      <c r="AB204" s="1">
        <v>1</v>
      </c>
      <c r="AC204" s="1">
        <v>1</v>
      </c>
      <c r="AD204" s="1">
        <v>1</v>
      </c>
      <c r="AE204" s="1">
        <v>1</v>
      </c>
      <c r="AF204" s="1">
        <v>1</v>
      </c>
      <c r="AG204" s="1">
        <v>1</v>
      </c>
      <c r="AH204" s="1">
        <v>1</v>
      </c>
      <c r="AI204" s="1">
        <v>1</v>
      </c>
      <c r="AJ204" s="1">
        <v>1</v>
      </c>
      <c r="AK204" s="1">
        <v>1</v>
      </c>
      <c r="AL204" s="1">
        <v>1</v>
      </c>
      <c r="AM204" s="1">
        <v>1</v>
      </c>
      <c r="AN204" s="1">
        <v>1</v>
      </c>
      <c r="AO204" s="1">
        <v>1</v>
      </c>
      <c r="AP204" s="1">
        <v>1</v>
      </c>
      <c r="AQ204" s="1">
        <v>1</v>
      </c>
      <c r="AR204" s="1">
        <v>1</v>
      </c>
      <c r="AS204" s="1">
        <v>1</v>
      </c>
      <c r="AT204" s="1">
        <v>1</v>
      </c>
      <c r="AU204" s="1">
        <v>1</v>
      </c>
      <c r="AV204" s="1">
        <v>1</v>
      </c>
      <c r="AW204" s="1">
        <v>1</v>
      </c>
      <c r="AX204" s="1">
        <v>1</v>
      </c>
      <c r="AY204" s="1">
        <v>1</v>
      </c>
      <c r="AZ204" s="1">
        <v>2</v>
      </c>
      <c r="BA204" s="1">
        <v>2</v>
      </c>
      <c r="BB204" s="1">
        <v>6</v>
      </c>
      <c r="BC204" s="1">
        <v>10</v>
      </c>
      <c r="BD204" s="1">
        <v>18</v>
      </c>
      <c r="BE204" s="1">
        <v>28</v>
      </c>
      <c r="BF204" s="1">
        <v>44</v>
      </c>
      <c r="BG204" s="1">
        <v>51</v>
      </c>
      <c r="BH204" s="1">
        <v>60</v>
      </c>
      <c r="BI204" s="1">
        <v>73</v>
      </c>
      <c r="BJ204" s="1">
        <v>77</v>
      </c>
      <c r="BK204" s="1">
        <v>82</v>
      </c>
      <c r="BL204" s="1">
        <v>97</v>
      </c>
    </row>
    <row r="205" spans="1:64" x14ac:dyDescent="0.25">
      <c r="A205" s="1" t="s">
        <v>64</v>
      </c>
      <c r="B205" s="1" t="s">
        <v>476</v>
      </c>
      <c r="C205" s="1">
        <v>0</v>
      </c>
      <c r="D205" s="1">
        <v>0</v>
      </c>
      <c r="E205" s="1">
        <v>0</v>
      </c>
      <c r="F205" s="1">
        <v>0</v>
      </c>
      <c r="G205" s="1">
        <v>0</v>
      </c>
      <c r="H205" s="1">
        <v>0</v>
      </c>
      <c r="I205" s="1">
        <v>0</v>
      </c>
      <c r="J205" s="1">
        <v>0</v>
      </c>
      <c r="K205" s="1">
        <v>0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0</v>
      </c>
      <c r="AD205" s="1">
        <v>0</v>
      </c>
      <c r="AE205" s="1">
        <v>0</v>
      </c>
      <c r="AF205" s="1">
        <v>0</v>
      </c>
      <c r="AG205" s="1">
        <v>0</v>
      </c>
      <c r="AH205" s="1">
        <v>0</v>
      </c>
      <c r="AI205" s="1">
        <v>0</v>
      </c>
      <c r="AJ205" s="1">
        <v>0</v>
      </c>
      <c r="AK205" s="1">
        <v>0</v>
      </c>
      <c r="AL205" s="1">
        <v>0</v>
      </c>
      <c r="AM205" s="1">
        <v>0</v>
      </c>
      <c r="AN205" s="1">
        <v>0</v>
      </c>
      <c r="AO205" s="1">
        <v>0</v>
      </c>
      <c r="AP205" s="1">
        <v>0</v>
      </c>
      <c r="AQ205" s="1">
        <v>0</v>
      </c>
      <c r="AR205" s="1">
        <v>0</v>
      </c>
      <c r="AS205" s="1">
        <v>0</v>
      </c>
      <c r="AT205" s="1">
        <v>0</v>
      </c>
      <c r="AU205" s="1">
        <v>0</v>
      </c>
      <c r="AV205" s="1">
        <v>0</v>
      </c>
      <c r="AW205" s="1">
        <v>0</v>
      </c>
      <c r="AX205" s="1">
        <v>0</v>
      </c>
      <c r="AY205" s="1">
        <v>0</v>
      </c>
      <c r="AZ205" s="1">
        <v>0</v>
      </c>
      <c r="BA205" s="1">
        <v>0</v>
      </c>
      <c r="BB205" s="1">
        <v>1</v>
      </c>
      <c r="BC205" s="1">
        <v>1</v>
      </c>
      <c r="BD205" s="1">
        <v>1</v>
      </c>
      <c r="BE205" s="1">
        <v>1</v>
      </c>
      <c r="BF205" s="1">
        <v>1</v>
      </c>
      <c r="BG205" s="1">
        <v>2</v>
      </c>
      <c r="BH205" s="1">
        <v>2</v>
      </c>
      <c r="BI205" s="1">
        <v>2</v>
      </c>
      <c r="BJ205" s="1">
        <v>2</v>
      </c>
      <c r="BK205" s="1">
        <v>2</v>
      </c>
      <c r="BL205" s="1">
        <v>2</v>
      </c>
    </row>
    <row r="206" spans="1:64" x14ac:dyDescent="0.25">
      <c r="A206" s="1" t="s">
        <v>64</v>
      </c>
      <c r="B206" s="1" t="s">
        <v>495</v>
      </c>
      <c r="C206" s="1">
        <v>0</v>
      </c>
      <c r="D206" s="1">
        <v>0</v>
      </c>
      <c r="E206" s="1">
        <v>0</v>
      </c>
      <c r="F206" s="1">
        <v>0</v>
      </c>
      <c r="G206" s="1">
        <v>0</v>
      </c>
      <c r="H206" s="1">
        <v>0</v>
      </c>
      <c r="I206" s="1">
        <v>0</v>
      </c>
      <c r="J206" s="1">
        <v>0</v>
      </c>
      <c r="K206" s="1">
        <v>0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0</v>
      </c>
      <c r="AD206" s="1">
        <v>0</v>
      </c>
      <c r="AE206" s="1">
        <v>0</v>
      </c>
      <c r="AF206" s="1">
        <v>0</v>
      </c>
      <c r="AG206" s="1">
        <v>0</v>
      </c>
      <c r="AH206" s="1">
        <v>0</v>
      </c>
      <c r="AI206" s="1">
        <v>0</v>
      </c>
      <c r="AJ206" s="1">
        <v>0</v>
      </c>
      <c r="AK206" s="1">
        <v>0</v>
      </c>
      <c r="AL206" s="1">
        <v>0</v>
      </c>
      <c r="AM206" s="1">
        <v>0</v>
      </c>
      <c r="AN206" s="1">
        <v>0</v>
      </c>
      <c r="AO206" s="1">
        <v>0</v>
      </c>
      <c r="AP206" s="1">
        <v>0</v>
      </c>
      <c r="AQ206" s="1">
        <v>0</v>
      </c>
      <c r="AR206" s="1">
        <v>0</v>
      </c>
      <c r="AS206" s="1">
        <v>0</v>
      </c>
      <c r="AT206" s="1">
        <v>0</v>
      </c>
      <c r="AU206" s="1">
        <v>0</v>
      </c>
      <c r="AV206" s="1">
        <v>0</v>
      </c>
      <c r="AW206" s="1">
        <v>0</v>
      </c>
      <c r="AX206" s="1">
        <v>0</v>
      </c>
      <c r="AY206" s="1">
        <v>0</v>
      </c>
      <c r="AZ206" s="1">
        <v>0</v>
      </c>
      <c r="BA206" s="1">
        <v>0</v>
      </c>
      <c r="BB206" s="1">
        <v>0</v>
      </c>
      <c r="BC206" s="1">
        <v>1</v>
      </c>
      <c r="BD206" s="1">
        <v>1</v>
      </c>
      <c r="BE206" s="1">
        <v>1</v>
      </c>
      <c r="BF206" s="1">
        <v>1</v>
      </c>
      <c r="BG206" s="1">
        <v>1</v>
      </c>
      <c r="BH206" s="1">
        <v>1</v>
      </c>
      <c r="BI206" s="1">
        <v>4</v>
      </c>
      <c r="BJ206" s="1">
        <v>4</v>
      </c>
      <c r="BK206" s="1">
        <v>5</v>
      </c>
      <c r="BL206" s="1">
        <v>5</v>
      </c>
    </row>
    <row r="207" spans="1:64" x14ac:dyDescent="0.25">
      <c r="A207" s="1" t="s">
        <v>64</v>
      </c>
      <c r="B207" s="1" t="s">
        <v>83</v>
      </c>
      <c r="C207" s="1">
        <v>0</v>
      </c>
      <c r="D207" s="1">
        <v>0</v>
      </c>
      <c r="E207" s="1">
        <v>0</v>
      </c>
      <c r="F207" s="1">
        <v>0</v>
      </c>
      <c r="G207" s="1">
        <v>0</v>
      </c>
      <c r="H207" s="1">
        <v>0</v>
      </c>
      <c r="I207" s="1">
        <v>0</v>
      </c>
      <c r="J207" s="1">
        <v>0</v>
      </c>
      <c r="K207" s="1">
        <v>0</v>
      </c>
      <c r="L207" s="1">
        <v>1</v>
      </c>
      <c r="M207" s="1">
        <v>1</v>
      </c>
      <c r="N207" s="1">
        <v>1</v>
      </c>
      <c r="O207" s="1">
        <v>1</v>
      </c>
      <c r="P207" s="1">
        <v>1</v>
      </c>
      <c r="Q207" s="1">
        <v>1</v>
      </c>
      <c r="R207" s="1">
        <v>1</v>
      </c>
      <c r="S207" s="1">
        <v>1</v>
      </c>
      <c r="T207" s="1">
        <v>1</v>
      </c>
      <c r="U207" s="1">
        <v>1</v>
      </c>
      <c r="V207" s="1">
        <v>1</v>
      </c>
      <c r="W207" s="1">
        <v>1</v>
      </c>
      <c r="X207" s="1">
        <v>1</v>
      </c>
      <c r="Y207" s="1">
        <v>1</v>
      </c>
      <c r="Z207" s="1">
        <v>1</v>
      </c>
      <c r="AA207" s="1">
        <v>1</v>
      </c>
      <c r="AB207" s="1">
        <v>1</v>
      </c>
      <c r="AC207" s="1">
        <v>1</v>
      </c>
      <c r="AD207" s="1">
        <v>1</v>
      </c>
      <c r="AE207" s="1">
        <v>1</v>
      </c>
      <c r="AF207" s="1">
        <v>1</v>
      </c>
      <c r="AG207" s="1">
        <v>1</v>
      </c>
      <c r="AH207" s="1">
        <v>1</v>
      </c>
      <c r="AI207" s="1">
        <v>1</v>
      </c>
      <c r="AJ207" s="1">
        <v>1</v>
      </c>
      <c r="AK207" s="1">
        <v>1</v>
      </c>
      <c r="AL207" s="1">
        <v>2</v>
      </c>
      <c r="AM207" s="1">
        <v>7</v>
      </c>
      <c r="AN207" s="1">
        <v>7</v>
      </c>
      <c r="AO207" s="1">
        <v>12</v>
      </c>
      <c r="AP207" s="1">
        <v>14</v>
      </c>
      <c r="AQ207" s="1">
        <v>15</v>
      </c>
      <c r="AR207" s="1">
        <v>21</v>
      </c>
      <c r="AS207" s="1">
        <v>35</v>
      </c>
      <c r="AT207" s="1">
        <v>94</v>
      </c>
      <c r="AU207" s="1">
        <v>101</v>
      </c>
      <c r="AV207" s="1">
        <v>161</v>
      </c>
      <c r="AW207" s="1">
        <v>203</v>
      </c>
      <c r="AX207" s="1">
        <v>248</v>
      </c>
      <c r="AY207" s="1">
        <v>355</v>
      </c>
      <c r="AZ207" s="1">
        <v>500</v>
      </c>
      <c r="BA207" s="1">
        <v>599</v>
      </c>
      <c r="BB207" s="1">
        <v>814</v>
      </c>
      <c r="BC207" s="1">
        <v>961</v>
      </c>
      <c r="BD207" s="1">
        <v>1022</v>
      </c>
      <c r="BE207" s="1">
        <v>1103</v>
      </c>
      <c r="BF207" s="1">
        <v>1190</v>
      </c>
      <c r="BG207" s="1">
        <v>1279</v>
      </c>
      <c r="BH207" s="1">
        <v>1439</v>
      </c>
      <c r="BI207" s="1">
        <v>1639</v>
      </c>
      <c r="BJ207" s="1">
        <v>1763</v>
      </c>
      <c r="BK207" s="1">
        <v>1934</v>
      </c>
      <c r="BL207" s="1">
        <v>2046</v>
      </c>
    </row>
    <row r="208" spans="1:64" x14ac:dyDescent="0.25">
      <c r="A208" s="1" t="s">
        <v>64</v>
      </c>
      <c r="B208" s="1" t="s">
        <v>97</v>
      </c>
      <c r="C208" s="1">
        <v>0</v>
      </c>
      <c r="D208" s="1">
        <v>0</v>
      </c>
      <c r="E208" s="1">
        <v>0</v>
      </c>
      <c r="F208" s="1">
        <v>0</v>
      </c>
      <c r="G208" s="1">
        <v>0</v>
      </c>
      <c r="H208" s="1">
        <v>0</v>
      </c>
      <c r="I208" s="1">
        <v>0</v>
      </c>
      <c r="J208" s="1">
        <v>0</v>
      </c>
      <c r="K208" s="1">
        <v>0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>
        <v>0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0</v>
      </c>
      <c r="AD208" s="1">
        <v>0</v>
      </c>
      <c r="AE208" s="1">
        <v>0</v>
      </c>
      <c r="AF208" s="1">
        <v>0</v>
      </c>
      <c r="AG208" s="1">
        <v>0</v>
      </c>
      <c r="AH208" s="1">
        <v>0</v>
      </c>
      <c r="AI208" s="1">
        <v>0</v>
      </c>
      <c r="AJ208" s="1">
        <v>0</v>
      </c>
      <c r="AK208" s="1">
        <v>1</v>
      </c>
      <c r="AL208" s="1">
        <v>1</v>
      </c>
      <c r="AM208" s="1">
        <v>8</v>
      </c>
      <c r="AN208" s="1">
        <v>8</v>
      </c>
      <c r="AO208" s="1">
        <v>18</v>
      </c>
      <c r="AP208" s="1">
        <v>27</v>
      </c>
      <c r="AQ208" s="1">
        <v>42</v>
      </c>
      <c r="AR208" s="1">
        <v>56</v>
      </c>
      <c r="AS208" s="1">
        <v>90</v>
      </c>
      <c r="AT208" s="1">
        <v>114</v>
      </c>
      <c r="AU208" s="1">
        <v>214</v>
      </c>
      <c r="AV208" s="1">
        <v>268</v>
      </c>
      <c r="AW208" s="1">
        <v>337</v>
      </c>
      <c r="AX208" s="1">
        <v>374</v>
      </c>
      <c r="AY208" s="1">
        <v>491</v>
      </c>
      <c r="AZ208" s="1">
        <v>652</v>
      </c>
      <c r="BA208" s="1">
        <v>652</v>
      </c>
      <c r="BB208" s="1">
        <v>1139</v>
      </c>
      <c r="BC208" s="1">
        <v>1359</v>
      </c>
      <c r="BD208" s="1">
        <v>2200</v>
      </c>
      <c r="BE208" s="1">
        <v>2200</v>
      </c>
      <c r="BF208" s="1">
        <v>2700</v>
      </c>
      <c r="BG208" s="1">
        <v>3028</v>
      </c>
      <c r="BH208" s="1">
        <v>4075</v>
      </c>
      <c r="BI208" s="1">
        <v>5294</v>
      </c>
      <c r="BJ208" s="1">
        <v>6575</v>
      </c>
      <c r="BK208" s="1">
        <v>7474</v>
      </c>
      <c r="BL208" s="1">
        <v>8795</v>
      </c>
    </row>
    <row r="209" spans="1:64" x14ac:dyDescent="0.25">
      <c r="A209" s="1" t="s">
        <v>64</v>
      </c>
      <c r="B209" s="1" t="s">
        <v>257</v>
      </c>
      <c r="C209" s="1">
        <v>1</v>
      </c>
      <c r="D209" s="1">
        <v>1</v>
      </c>
      <c r="E209" s="1">
        <v>3</v>
      </c>
      <c r="F209" s="1">
        <v>3</v>
      </c>
      <c r="G209" s="1">
        <v>4</v>
      </c>
      <c r="H209" s="1">
        <v>5</v>
      </c>
      <c r="I209" s="1">
        <v>8</v>
      </c>
      <c r="J209" s="1">
        <v>8</v>
      </c>
      <c r="K209" s="1">
        <v>9</v>
      </c>
      <c r="L209" s="1">
        <v>10</v>
      </c>
      <c r="M209" s="1">
        <v>10</v>
      </c>
      <c r="N209" s="1">
        <v>10</v>
      </c>
      <c r="O209" s="1">
        <v>10</v>
      </c>
      <c r="P209" s="1">
        <v>11</v>
      </c>
      <c r="Q209" s="1">
        <v>11</v>
      </c>
      <c r="R209" s="1">
        <v>16</v>
      </c>
      <c r="S209" s="1">
        <v>16</v>
      </c>
      <c r="T209" s="1">
        <v>17</v>
      </c>
      <c r="U209" s="1">
        <v>18</v>
      </c>
      <c r="V209" s="1">
        <v>18</v>
      </c>
      <c r="W209" s="1">
        <v>18</v>
      </c>
      <c r="X209" s="1">
        <v>18</v>
      </c>
      <c r="Y209" s="1">
        <v>18</v>
      </c>
      <c r="Z209" s="1">
        <v>18</v>
      </c>
      <c r="AA209" s="1">
        <v>18</v>
      </c>
      <c r="AB209" s="1">
        <v>20</v>
      </c>
      <c r="AC209" s="1">
        <v>22</v>
      </c>
      <c r="AD209" s="1">
        <v>22</v>
      </c>
      <c r="AE209" s="1">
        <v>23</v>
      </c>
      <c r="AF209" s="1">
        <v>24</v>
      </c>
      <c r="AG209" s="1">
        <v>26</v>
      </c>
      <c r="AH209" s="1">
        <v>26</v>
      </c>
      <c r="AI209" s="1">
        <v>28</v>
      </c>
      <c r="AJ209" s="1">
        <v>30</v>
      </c>
      <c r="AK209" s="1">
        <v>31</v>
      </c>
      <c r="AL209" s="1">
        <v>32</v>
      </c>
      <c r="AM209" s="1">
        <v>32</v>
      </c>
      <c r="AN209" s="1">
        <v>34</v>
      </c>
      <c r="AO209" s="1">
        <v>39</v>
      </c>
      <c r="AP209" s="1">
        <v>40</v>
      </c>
      <c r="AQ209" s="1">
        <v>41</v>
      </c>
      <c r="AR209" s="1">
        <v>42</v>
      </c>
      <c r="AS209" s="1">
        <v>42</v>
      </c>
      <c r="AT209" s="1">
        <v>44</v>
      </c>
      <c r="AU209" s="1">
        <v>45</v>
      </c>
      <c r="AV209" s="1">
        <v>45</v>
      </c>
      <c r="AW209" s="1">
        <v>45</v>
      </c>
      <c r="AX209" s="1">
        <v>45</v>
      </c>
      <c r="AY209" s="1">
        <v>47</v>
      </c>
      <c r="AZ209" s="1">
        <v>48</v>
      </c>
      <c r="BA209" s="1">
        <v>49</v>
      </c>
      <c r="BB209" s="1">
        <v>50</v>
      </c>
      <c r="BC209" s="1">
        <v>53</v>
      </c>
      <c r="BD209" s="1">
        <v>59</v>
      </c>
      <c r="BE209" s="1">
        <v>67</v>
      </c>
      <c r="BF209" s="1">
        <v>77</v>
      </c>
      <c r="BG209" s="1">
        <v>100</v>
      </c>
      <c r="BH209" s="1">
        <v>108</v>
      </c>
      <c r="BI209" s="1">
        <v>135</v>
      </c>
      <c r="BJ209" s="1">
        <v>153</v>
      </c>
      <c r="BK209" s="1">
        <v>169</v>
      </c>
      <c r="BL209" s="1">
        <v>195</v>
      </c>
    </row>
    <row r="210" spans="1:64" x14ac:dyDescent="0.25">
      <c r="A210" s="1" t="s">
        <v>64</v>
      </c>
      <c r="B210" s="1" t="s">
        <v>513</v>
      </c>
      <c r="C210" s="1">
        <v>0</v>
      </c>
      <c r="D210" s="1">
        <v>0</v>
      </c>
      <c r="E210" s="1">
        <v>0</v>
      </c>
      <c r="F210" s="1">
        <v>0</v>
      </c>
      <c r="G210" s="1">
        <v>0</v>
      </c>
      <c r="H210" s="1">
        <v>0</v>
      </c>
      <c r="I210" s="1">
        <v>0</v>
      </c>
      <c r="J210" s="1">
        <v>0</v>
      </c>
      <c r="K210" s="1">
        <v>0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0</v>
      </c>
      <c r="AE210" s="1">
        <v>0</v>
      </c>
      <c r="AF210" s="1">
        <v>0</v>
      </c>
      <c r="AG210" s="1">
        <v>0</v>
      </c>
      <c r="AH210" s="1">
        <v>0</v>
      </c>
      <c r="AI210" s="1">
        <v>0</v>
      </c>
      <c r="AJ210" s="1">
        <v>0</v>
      </c>
      <c r="AK210" s="1">
        <v>0</v>
      </c>
      <c r="AL210" s="1">
        <v>0</v>
      </c>
      <c r="AM210" s="1">
        <v>0</v>
      </c>
      <c r="AN210" s="1">
        <v>0</v>
      </c>
      <c r="AO210" s="1">
        <v>0</v>
      </c>
      <c r="AP210" s="1">
        <v>0</v>
      </c>
      <c r="AQ210" s="1">
        <v>0</v>
      </c>
      <c r="AR210" s="1">
        <v>0</v>
      </c>
      <c r="AS210" s="1">
        <v>0</v>
      </c>
      <c r="AT210" s="1">
        <v>0</v>
      </c>
      <c r="AU210" s="1">
        <v>0</v>
      </c>
      <c r="AV210" s="1">
        <v>0</v>
      </c>
      <c r="AW210" s="1">
        <v>0</v>
      </c>
      <c r="AX210" s="1">
        <v>0</v>
      </c>
      <c r="AY210" s="1">
        <v>0</v>
      </c>
      <c r="AZ210" s="1">
        <v>0</v>
      </c>
      <c r="BA210" s="1">
        <v>0</v>
      </c>
      <c r="BB210" s="1">
        <v>0</v>
      </c>
      <c r="BC210" s="1">
        <v>0</v>
      </c>
      <c r="BD210" s="1">
        <v>0</v>
      </c>
      <c r="BE210" s="1">
        <v>1</v>
      </c>
      <c r="BF210" s="1">
        <v>1</v>
      </c>
      <c r="BG210" s="1">
        <v>3</v>
      </c>
      <c r="BH210" s="1">
        <v>6</v>
      </c>
      <c r="BI210" s="1">
        <v>6</v>
      </c>
      <c r="BJ210" s="1">
        <v>6</v>
      </c>
      <c r="BK210" s="1">
        <v>12</v>
      </c>
      <c r="BL210" s="1">
        <v>12</v>
      </c>
    </row>
    <row r="211" spans="1:64" x14ac:dyDescent="0.25">
      <c r="A211" s="1" t="s">
        <v>64</v>
      </c>
      <c r="B211" s="1" t="s">
        <v>63</v>
      </c>
      <c r="C211" s="1">
        <v>2</v>
      </c>
      <c r="D211" s="1">
        <v>3</v>
      </c>
      <c r="E211" s="1">
        <v>5</v>
      </c>
      <c r="F211" s="1">
        <v>7</v>
      </c>
      <c r="G211" s="1">
        <v>8</v>
      </c>
      <c r="H211" s="1">
        <v>8</v>
      </c>
      <c r="I211" s="1">
        <v>14</v>
      </c>
      <c r="J211" s="1">
        <v>14</v>
      </c>
      <c r="K211" s="1">
        <v>14</v>
      </c>
      <c r="L211" s="1">
        <v>19</v>
      </c>
      <c r="M211" s="1">
        <v>19</v>
      </c>
      <c r="N211" s="1">
        <v>19</v>
      </c>
      <c r="O211" s="1">
        <v>19</v>
      </c>
      <c r="P211" s="1">
        <v>25</v>
      </c>
      <c r="Q211" s="1">
        <v>25</v>
      </c>
      <c r="R211" s="1">
        <v>25</v>
      </c>
      <c r="S211" s="1">
        <v>25</v>
      </c>
      <c r="T211" s="1">
        <v>32</v>
      </c>
      <c r="U211" s="1">
        <v>32</v>
      </c>
      <c r="V211" s="1">
        <v>32</v>
      </c>
      <c r="W211" s="1">
        <v>33</v>
      </c>
      <c r="X211" s="1">
        <v>33</v>
      </c>
      <c r="Y211" s="1">
        <v>33</v>
      </c>
      <c r="Z211" s="1">
        <v>33</v>
      </c>
      <c r="AA211" s="1">
        <v>33</v>
      </c>
      <c r="AB211" s="1">
        <v>34</v>
      </c>
      <c r="AC211" s="1">
        <v>35</v>
      </c>
      <c r="AD211" s="1">
        <v>35</v>
      </c>
      <c r="AE211" s="1">
        <v>35</v>
      </c>
      <c r="AF211" s="1">
        <v>35</v>
      </c>
      <c r="AG211" s="1">
        <v>35</v>
      </c>
      <c r="AH211" s="1">
        <v>35</v>
      </c>
      <c r="AI211" s="1">
        <v>35</v>
      </c>
      <c r="AJ211" s="1">
        <v>35</v>
      </c>
      <c r="AK211" s="1">
        <v>37</v>
      </c>
      <c r="AL211" s="1">
        <v>40</v>
      </c>
      <c r="AM211" s="1">
        <v>40</v>
      </c>
      <c r="AN211" s="1">
        <v>41</v>
      </c>
      <c r="AO211" s="1">
        <v>42</v>
      </c>
      <c r="AP211" s="1">
        <v>42</v>
      </c>
      <c r="AQ211" s="1">
        <v>43</v>
      </c>
      <c r="AR211" s="1">
        <v>43</v>
      </c>
      <c r="AS211" s="1">
        <v>43</v>
      </c>
      <c r="AT211" s="1">
        <v>47</v>
      </c>
      <c r="AU211" s="1">
        <v>48</v>
      </c>
      <c r="AV211" s="1">
        <v>50</v>
      </c>
      <c r="AW211" s="1">
        <v>50</v>
      </c>
      <c r="AX211" s="1">
        <v>50</v>
      </c>
      <c r="AY211" s="1">
        <v>53</v>
      </c>
      <c r="AZ211" s="1">
        <v>59</v>
      </c>
      <c r="BA211" s="1">
        <v>70</v>
      </c>
      <c r="BB211" s="1">
        <v>75</v>
      </c>
      <c r="BC211" s="1">
        <v>82</v>
      </c>
      <c r="BD211" s="1">
        <v>114</v>
      </c>
      <c r="BE211" s="1">
        <v>147</v>
      </c>
      <c r="BF211" s="1">
        <v>177</v>
      </c>
      <c r="BG211" s="1">
        <v>212</v>
      </c>
      <c r="BH211" s="1">
        <v>272</v>
      </c>
      <c r="BI211" s="1">
        <v>322</v>
      </c>
      <c r="BJ211" s="1">
        <v>411</v>
      </c>
      <c r="BK211" s="1">
        <v>599</v>
      </c>
      <c r="BL211" s="1">
        <v>721</v>
      </c>
    </row>
    <row r="212" spans="1:64" x14ac:dyDescent="0.25">
      <c r="A212" s="1" t="s">
        <v>64</v>
      </c>
      <c r="B212" s="1" t="s">
        <v>151</v>
      </c>
      <c r="C212" s="1">
        <v>0</v>
      </c>
      <c r="D212" s="1">
        <v>0</v>
      </c>
      <c r="E212" s="1">
        <v>0</v>
      </c>
      <c r="F212" s="1">
        <v>0</v>
      </c>
      <c r="G212" s="1">
        <v>0</v>
      </c>
      <c r="H212" s="1">
        <v>0</v>
      </c>
      <c r="I212" s="1">
        <v>0</v>
      </c>
      <c r="J212" s="1">
        <v>0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0</v>
      </c>
      <c r="AD212" s="1">
        <v>0</v>
      </c>
      <c r="AE212" s="1">
        <v>0</v>
      </c>
      <c r="AF212" s="1">
        <v>0</v>
      </c>
      <c r="AG212" s="1">
        <v>0</v>
      </c>
      <c r="AH212" s="1">
        <v>0</v>
      </c>
      <c r="AI212" s="1">
        <v>0</v>
      </c>
      <c r="AJ212" s="1">
        <v>0</v>
      </c>
      <c r="AK212" s="1">
        <v>0</v>
      </c>
      <c r="AL212" s="1">
        <v>0</v>
      </c>
      <c r="AM212" s="1">
        <v>0</v>
      </c>
      <c r="AN212" s="1">
        <v>0</v>
      </c>
      <c r="AO212" s="1">
        <v>0</v>
      </c>
      <c r="AP212" s="1">
        <v>0</v>
      </c>
      <c r="AQ212" s="1">
        <v>0</v>
      </c>
      <c r="AR212" s="1">
        <v>0</v>
      </c>
      <c r="AS212" s="1">
        <v>0</v>
      </c>
      <c r="AT212" s="1">
        <v>0</v>
      </c>
      <c r="AU212" s="1">
        <v>1</v>
      </c>
      <c r="AV212" s="1">
        <v>1</v>
      </c>
      <c r="AW212" s="1">
        <v>1</v>
      </c>
      <c r="AX212" s="1">
        <v>1</v>
      </c>
      <c r="AY212" s="1">
        <v>1</v>
      </c>
      <c r="AZ212" s="1">
        <v>1</v>
      </c>
      <c r="BA212" s="1">
        <v>1</v>
      </c>
      <c r="BB212" s="1">
        <v>1</v>
      </c>
      <c r="BC212" s="1">
        <v>1</v>
      </c>
      <c r="BD212" s="1">
        <v>1</v>
      </c>
      <c r="BE212" s="1">
        <v>1</v>
      </c>
      <c r="BF212" s="1">
        <v>1</v>
      </c>
      <c r="BG212" s="1">
        <v>1</v>
      </c>
      <c r="BH212" s="1">
        <v>1</v>
      </c>
      <c r="BI212" s="1">
        <v>9</v>
      </c>
      <c r="BJ212" s="1">
        <v>16</v>
      </c>
      <c r="BK212" s="1">
        <v>16</v>
      </c>
      <c r="BL212" s="1">
        <v>18</v>
      </c>
    </row>
    <row r="213" spans="1:64" x14ac:dyDescent="0.25">
      <c r="A213" s="1" t="s">
        <v>64</v>
      </c>
      <c r="B213" s="1" t="s">
        <v>486</v>
      </c>
      <c r="C213" s="1">
        <v>0</v>
      </c>
      <c r="D213" s="1">
        <v>0</v>
      </c>
      <c r="E213" s="1">
        <v>0</v>
      </c>
      <c r="F213" s="1">
        <v>0</v>
      </c>
      <c r="G213" s="1">
        <v>0</v>
      </c>
      <c r="H213" s="1">
        <v>0</v>
      </c>
      <c r="I213" s="1">
        <v>0</v>
      </c>
      <c r="J213" s="1">
        <v>0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0</v>
      </c>
      <c r="AD213" s="1">
        <v>0</v>
      </c>
      <c r="AE213" s="1">
        <v>0</v>
      </c>
      <c r="AF213" s="1">
        <v>0</v>
      </c>
      <c r="AG213" s="1">
        <v>0</v>
      </c>
      <c r="AH213" s="1">
        <v>0</v>
      </c>
      <c r="AI213" s="1">
        <v>0</v>
      </c>
      <c r="AJ213" s="1">
        <v>0</v>
      </c>
      <c r="AK213" s="1">
        <v>0</v>
      </c>
      <c r="AL213" s="1">
        <v>0</v>
      </c>
      <c r="AM213" s="1">
        <v>0</v>
      </c>
      <c r="AN213" s="1">
        <v>0</v>
      </c>
      <c r="AO213" s="1">
        <v>0</v>
      </c>
      <c r="AP213" s="1">
        <v>0</v>
      </c>
      <c r="AQ213" s="1">
        <v>0</v>
      </c>
      <c r="AR213" s="1">
        <v>0</v>
      </c>
      <c r="AS213" s="1">
        <v>0</v>
      </c>
      <c r="AT213" s="1">
        <v>0</v>
      </c>
      <c r="AU213" s="1">
        <v>0</v>
      </c>
      <c r="AV213" s="1">
        <v>0</v>
      </c>
      <c r="AW213" s="1">
        <v>0</v>
      </c>
      <c r="AX213" s="1">
        <v>0</v>
      </c>
      <c r="AY213" s="1">
        <v>0</v>
      </c>
      <c r="AZ213" s="1">
        <v>0</v>
      </c>
      <c r="BA213" s="1">
        <v>0</v>
      </c>
      <c r="BB213" s="1">
        <v>0</v>
      </c>
      <c r="BC213" s="1">
        <v>2</v>
      </c>
      <c r="BD213" s="1">
        <v>2</v>
      </c>
      <c r="BE213" s="1">
        <v>4</v>
      </c>
      <c r="BF213" s="1">
        <v>5</v>
      </c>
      <c r="BG213" s="1">
        <v>7</v>
      </c>
      <c r="BH213" s="1">
        <v>9</v>
      </c>
      <c r="BI213" s="1">
        <v>9</v>
      </c>
      <c r="BJ213" s="1">
        <v>49</v>
      </c>
      <c r="BK213" s="1">
        <v>50</v>
      </c>
      <c r="BL213" s="1">
        <v>51</v>
      </c>
    </row>
    <row r="214" spans="1:64" x14ac:dyDescent="0.25">
      <c r="A214" s="1" t="s">
        <v>64</v>
      </c>
      <c r="B214" s="1" t="s">
        <v>140</v>
      </c>
      <c r="C214" s="1">
        <v>0</v>
      </c>
      <c r="D214" s="1">
        <v>0</v>
      </c>
      <c r="E214" s="1">
        <v>0</v>
      </c>
      <c r="F214" s="1">
        <v>0</v>
      </c>
      <c r="G214" s="1">
        <v>0</v>
      </c>
      <c r="H214" s="1">
        <v>0</v>
      </c>
      <c r="I214" s="1">
        <v>0</v>
      </c>
      <c r="J214" s="1">
        <v>0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0</v>
      </c>
      <c r="AE214" s="1">
        <v>0</v>
      </c>
      <c r="AF214" s="1">
        <v>0</v>
      </c>
      <c r="AG214" s="1">
        <v>0</v>
      </c>
      <c r="AH214" s="1">
        <v>0</v>
      </c>
      <c r="AI214" s="1">
        <v>0</v>
      </c>
      <c r="AJ214" s="1">
        <v>0</v>
      </c>
      <c r="AK214" s="1">
        <v>0</v>
      </c>
      <c r="AL214" s="1">
        <v>0</v>
      </c>
      <c r="AM214" s="1">
        <v>0</v>
      </c>
      <c r="AN214" s="1">
        <v>0</v>
      </c>
      <c r="AO214" s="1">
        <v>0</v>
      </c>
      <c r="AP214" s="1">
        <v>0</v>
      </c>
      <c r="AQ214" s="1">
        <v>0</v>
      </c>
      <c r="AR214" s="1">
        <v>0</v>
      </c>
      <c r="AS214" s="1">
        <v>1</v>
      </c>
      <c r="AT214" s="1">
        <v>1</v>
      </c>
      <c r="AU214" s="1">
        <v>1</v>
      </c>
      <c r="AV214" s="1">
        <v>1</v>
      </c>
      <c r="AW214" s="1">
        <v>2</v>
      </c>
      <c r="AX214" s="1">
        <v>2</v>
      </c>
      <c r="AY214" s="1">
        <v>5</v>
      </c>
      <c r="AZ214" s="1">
        <v>7</v>
      </c>
      <c r="BA214" s="1">
        <v>7</v>
      </c>
      <c r="BB214" s="1">
        <v>16</v>
      </c>
      <c r="BC214" s="1">
        <v>18</v>
      </c>
      <c r="BD214" s="1">
        <v>18</v>
      </c>
      <c r="BE214" s="1">
        <v>20</v>
      </c>
      <c r="BF214" s="1">
        <v>24</v>
      </c>
      <c r="BG214" s="1">
        <v>29</v>
      </c>
      <c r="BH214" s="1">
        <v>39</v>
      </c>
      <c r="BI214" s="1">
        <v>54</v>
      </c>
      <c r="BJ214" s="1">
        <v>60</v>
      </c>
      <c r="BK214" s="1">
        <v>75</v>
      </c>
      <c r="BL214" s="1">
        <v>89</v>
      </c>
    </row>
    <row r="215" spans="1:64" x14ac:dyDescent="0.25">
      <c r="A215" s="1" t="s">
        <v>64</v>
      </c>
      <c r="B215" s="1" t="s">
        <v>275</v>
      </c>
      <c r="C215" s="1">
        <v>0</v>
      </c>
      <c r="D215" s="1">
        <v>0</v>
      </c>
      <c r="E215" s="1">
        <v>0</v>
      </c>
      <c r="F215" s="1">
        <v>0</v>
      </c>
      <c r="G215" s="1">
        <v>0</v>
      </c>
      <c r="H215" s="1">
        <v>0</v>
      </c>
      <c r="I215" s="1">
        <v>0</v>
      </c>
      <c r="J215" s="1">
        <v>0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0</v>
      </c>
      <c r="AD215" s="1">
        <v>0</v>
      </c>
      <c r="AE215" s="1">
        <v>0</v>
      </c>
      <c r="AF215" s="1">
        <v>0</v>
      </c>
      <c r="AG215" s="1">
        <v>0</v>
      </c>
      <c r="AH215" s="1">
        <v>0</v>
      </c>
      <c r="AI215" s="1">
        <v>0</v>
      </c>
      <c r="AJ215" s="1">
        <v>0</v>
      </c>
      <c r="AK215" s="1">
        <v>0</v>
      </c>
      <c r="AL215" s="1">
        <v>0</v>
      </c>
      <c r="AM215" s="1">
        <v>0</v>
      </c>
      <c r="AN215" s="1">
        <v>0</v>
      </c>
      <c r="AO215" s="1">
        <v>0</v>
      </c>
      <c r="AP215" s="1">
        <v>0</v>
      </c>
      <c r="AQ215" s="1">
        <v>0</v>
      </c>
      <c r="AR215" s="1">
        <v>0</v>
      </c>
      <c r="AS215" s="1">
        <v>0</v>
      </c>
      <c r="AT215" s="1">
        <v>0</v>
      </c>
      <c r="AU215" s="1">
        <v>0</v>
      </c>
      <c r="AV215" s="1">
        <v>0</v>
      </c>
      <c r="AW215" s="1">
        <v>0</v>
      </c>
      <c r="AX215" s="1">
        <v>0</v>
      </c>
      <c r="AY215" s="1">
        <v>0</v>
      </c>
      <c r="AZ215" s="1">
        <v>1</v>
      </c>
      <c r="BA215" s="1">
        <v>1</v>
      </c>
      <c r="BB215" s="1">
        <v>5</v>
      </c>
      <c r="BC215" s="1">
        <v>5</v>
      </c>
      <c r="BD215" s="1">
        <v>6</v>
      </c>
      <c r="BE215" s="1">
        <v>18</v>
      </c>
      <c r="BF215" s="1">
        <v>47</v>
      </c>
      <c r="BG215" s="1">
        <v>98</v>
      </c>
      <c r="BH215" s="1">
        <v>192</v>
      </c>
      <c r="BI215" s="1">
        <v>359</v>
      </c>
      <c r="BJ215" s="1">
        <v>670</v>
      </c>
      <c r="BK215" s="1">
        <v>1236</v>
      </c>
      <c r="BL215" s="1">
        <v>1529</v>
      </c>
    </row>
    <row r="216" spans="1:64" x14ac:dyDescent="0.25">
      <c r="A216" s="1" t="s">
        <v>64</v>
      </c>
      <c r="B216" s="1" t="s">
        <v>547</v>
      </c>
      <c r="C216" s="1">
        <v>0</v>
      </c>
      <c r="D216" s="1">
        <v>0</v>
      </c>
      <c r="E216" s="1">
        <v>0</v>
      </c>
      <c r="F216" s="1">
        <v>0</v>
      </c>
      <c r="G216" s="1">
        <v>0</v>
      </c>
      <c r="H216" s="1">
        <v>0</v>
      </c>
      <c r="I216" s="1">
        <v>0</v>
      </c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0</v>
      </c>
      <c r="AD216" s="1">
        <v>0</v>
      </c>
      <c r="AE216" s="1">
        <v>0</v>
      </c>
      <c r="AF216" s="1">
        <v>0</v>
      </c>
      <c r="AG216" s="1">
        <v>0</v>
      </c>
      <c r="AH216" s="1">
        <v>0</v>
      </c>
      <c r="AI216" s="1">
        <v>0</v>
      </c>
      <c r="AJ216" s="1">
        <v>0</v>
      </c>
      <c r="AK216" s="1">
        <v>0</v>
      </c>
      <c r="AL216" s="1">
        <v>0</v>
      </c>
      <c r="AM216" s="1">
        <v>0</v>
      </c>
      <c r="AN216" s="1">
        <v>0</v>
      </c>
      <c r="AO216" s="1">
        <v>0</v>
      </c>
      <c r="AP216" s="1">
        <v>0</v>
      </c>
      <c r="AQ216" s="1">
        <v>0</v>
      </c>
      <c r="AR216" s="1">
        <v>0</v>
      </c>
      <c r="AS216" s="1">
        <v>0</v>
      </c>
      <c r="AT216" s="1">
        <v>0</v>
      </c>
      <c r="AU216" s="1">
        <v>0</v>
      </c>
      <c r="AV216" s="1">
        <v>0</v>
      </c>
      <c r="AW216" s="1">
        <v>0</v>
      </c>
      <c r="AX216" s="1">
        <v>0</v>
      </c>
      <c r="AY216" s="1">
        <v>0</v>
      </c>
      <c r="AZ216" s="1">
        <v>0</v>
      </c>
      <c r="BA216" s="1">
        <v>0</v>
      </c>
      <c r="BB216" s="1">
        <v>0</v>
      </c>
      <c r="BC216" s="1">
        <v>0</v>
      </c>
      <c r="BD216" s="1">
        <v>0</v>
      </c>
      <c r="BE216" s="1">
        <v>0</v>
      </c>
      <c r="BF216" s="1">
        <v>0</v>
      </c>
      <c r="BG216" s="1">
        <v>0</v>
      </c>
      <c r="BH216" s="1">
        <v>0</v>
      </c>
      <c r="BI216" s="1">
        <v>0</v>
      </c>
      <c r="BJ216" s="1">
        <v>1</v>
      </c>
      <c r="BK216" s="1">
        <v>1</v>
      </c>
      <c r="BL216" s="1">
        <v>9</v>
      </c>
    </row>
    <row r="217" spans="1:64" x14ac:dyDescent="0.25">
      <c r="A217" s="1" t="s">
        <v>64</v>
      </c>
      <c r="B217" s="1" t="s">
        <v>135</v>
      </c>
      <c r="C217" s="1">
        <v>0</v>
      </c>
      <c r="D217" s="1">
        <v>0</v>
      </c>
      <c r="E217" s="1">
        <v>0</v>
      </c>
      <c r="F217" s="1">
        <v>0</v>
      </c>
      <c r="G217" s="1">
        <v>0</v>
      </c>
      <c r="H217" s="1">
        <v>0</v>
      </c>
      <c r="I217" s="1">
        <v>0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0</v>
      </c>
      <c r="AD217" s="1">
        <v>0</v>
      </c>
      <c r="AE217" s="1">
        <v>0</v>
      </c>
      <c r="AF217" s="1">
        <v>0</v>
      </c>
      <c r="AG217" s="1">
        <v>0</v>
      </c>
      <c r="AH217" s="1">
        <v>0</v>
      </c>
      <c r="AI217" s="1">
        <v>0</v>
      </c>
      <c r="AJ217" s="1">
        <v>0</v>
      </c>
      <c r="AK217" s="1">
        <v>0</v>
      </c>
      <c r="AL217" s="1">
        <v>0</v>
      </c>
      <c r="AM217" s="1">
        <v>0</v>
      </c>
      <c r="AN217" s="1">
        <v>0</v>
      </c>
      <c r="AO217" s="1">
        <v>0</v>
      </c>
      <c r="AP217" s="1">
        <v>0</v>
      </c>
      <c r="AQ217" s="1">
        <v>0</v>
      </c>
      <c r="AR217" s="1">
        <v>1</v>
      </c>
      <c r="AS217" s="1">
        <v>1</v>
      </c>
      <c r="AT217" s="1">
        <v>1</v>
      </c>
      <c r="AU217" s="1">
        <v>1</v>
      </c>
      <c r="AV217" s="1">
        <v>1</v>
      </c>
      <c r="AW217" s="1">
        <v>1</v>
      </c>
      <c r="AX217" s="1">
        <v>1</v>
      </c>
      <c r="AY217" s="1">
        <v>1</v>
      </c>
      <c r="AZ217" s="1">
        <v>1</v>
      </c>
      <c r="BA217" s="1">
        <v>1</v>
      </c>
      <c r="BB217" s="1">
        <v>3</v>
      </c>
      <c r="BC217" s="1">
        <v>3</v>
      </c>
      <c r="BD217" s="1">
        <v>3</v>
      </c>
      <c r="BE217" s="1">
        <v>7</v>
      </c>
      <c r="BF217" s="1">
        <v>14</v>
      </c>
      <c r="BG217" s="1">
        <v>14</v>
      </c>
      <c r="BH217" s="1">
        <v>16</v>
      </c>
      <c r="BI217" s="1">
        <v>29</v>
      </c>
      <c r="BJ217" s="1">
        <v>47</v>
      </c>
      <c r="BK217" s="1">
        <v>73</v>
      </c>
      <c r="BL217" s="1">
        <v>73</v>
      </c>
    </row>
    <row r="218" spans="1:64" x14ac:dyDescent="0.25">
      <c r="A218" s="1" t="s">
        <v>64</v>
      </c>
      <c r="B218" s="1" t="s">
        <v>79</v>
      </c>
      <c r="C218" s="1">
        <v>0</v>
      </c>
      <c r="D218" s="1">
        <v>0</v>
      </c>
      <c r="E218" s="1">
        <v>0</v>
      </c>
      <c r="F218" s="1">
        <v>0</v>
      </c>
      <c r="G218" s="1">
        <v>0</v>
      </c>
      <c r="H218" s="1">
        <v>0</v>
      </c>
      <c r="I218" s="1">
        <v>0</v>
      </c>
      <c r="J218" s="1">
        <v>4</v>
      </c>
      <c r="K218" s="1">
        <v>4</v>
      </c>
      <c r="L218" s="1">
        <v>4</v>
      </c>
      <c r="M218" s="1">
        <v>4</v>
      </c>
      <c r="N218" s="1">
        <v>5</v>
      </c>
      <c r="O218" s="1">
        <v>5</v>
      </c>
      <c r="P218" s="1">
        <v>5</v>
      </c>
      <c r="Q218" s="1">
        <v>5</v>
      </c>
      <c r="R218" s="1">
        <v>5</v>
      </c>
      <c r="S218" s="1">
        <v>5</v>
      </c>
      <c r="T218" s="1">
        <v>7</v>
      </c>
      <c r="U218" s="1">
        <v>7</v>
      </c>
      <c r="V218" s="1">
        <v>8</v>
      </c>
      <c r="W218" s="1">
        <v>8</v>
      </c>
      <c r="X218" s="1">
        <v>8</v>
      </c>
      <c r="Y218" s="1">
        <v>8</v>
      </c>
      <c r="Z218" s="1">
        <v>8</v>
      </c>
      <c r="AA218" s="1">
        <v>8</v>
      </c>
      <c r="AB218" s="1">
        <v>9</v>
      </c>
      <c r="AC218" s="1">
        <v>9</v>
      </c>
      <c r="AD218" s="1">
        <v>9</v>
      </c>
      <c r="AE218" s="1">
        <v>9</v>
      </c>
      <c r="AF218" s="1">
        <v>9</v>
      </c>
      <c r="AG218" s="1">
        <v>9</v>
      </c>
      <c r="AH218" s="1">
        <v>13</v>
      </c>
      <c r="AI218" s="1">
        <v>13</v>
      </c>
      <c r="AJ218" s="1">
        <v>13</v>
      </c>
      <c r="AK218" s="1">
        <v>13</v>
      </c>
      <c r="AL218" s="1">
        <v>13</v>
      </c>
      <c r="AM218" s="1">
        <v>13</v>
      </c>
      <c r="AN218" s="1">
        <v>19</v>
      </c>
      <c r="AO218" s="1">
        <v>21</v>
      </c>
      <c r="AP218" s="1">
        <v>21</v>
      </c>
      <c r="AQ218" s="1">
        <v>21</v>
      </c>
      <c r="AR218" s="1">
        <v>27</v>
      </c>
      <c r="AS218" s="1">
        <v>27</v>
      </c>
      <c r="AT218" s="1">
        <v>29</v>
      </c>
      <c r="AU218" s="1">
        <v>29</v>
      </c>
      <c r="AV218" s="1">
        <v>45</v>
      </c>
      <c r="AW218" s="1">
        <v>45</v>
      </c>
      <c r="AX218" s="1">
        <v>45</v>
      </c>
      <c r="AY218" s="1">
        <v>74</v>
      </c>
      <c r="AZ218" s="1">
        <v>74</v>
      </c>
      <c r="BA218" s="1">
        <v>85</v>
      </c>
      <c r="BB218" s="1">
        <v>85</v>
      </c>
      <c r="BC218" s="1">
        <v>85</v>
      </c>
      <c r="BD218" s="1">
        <v>98</v>
      </c>
      <c r="BE218" s="1">
        <v>98</v>
      </c>
      <c r="BF218" s="1">
        <v>98</v>
      </c>
      <c r="BG218" s="1">
        <v>113</v>
      </c>
      <c r="BH218" s="1">
        <v>140</v>
      </c>
      <c r="BI218" s="1">
        <v>140</v>
      </c>
      <c r="BJ218" s="1">
        <v>153</v>
      </c>
      <c r="BK218" s="1">
        <v>153</v>
      </c>
      <c r="BL218" s="1">
        <v>198</v>
      </c>
    </row>
    <row r="219" spans="1:64" x14ac:dyDescent="0.25">
      <c r="A219" s="1" t="s">
        <v>529</v>
      </c>
      <c r="B219" s="1" t="s">
        <v>268</v>
      </c>
      <c r="C219" s="1">
        <v>0</v>
      </c>
      <c r="D219" s="1">
        <v>0</v>
      </c>
      <c r="E219" s="1">
        <v>0</v>
      </c>
      <c r="F219" s="1">
        <v>0</v>
      </c>
      <c r="G219" s="1">
        <v>0</v>
      </c>
      <c r="H219" s="1">
        <v>0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0</v>
      </c>
      <c r="AD219" s="1">
        <v>0</v>
      </c>
      <c r="AE219" s="1">
        <v>0</v>
      </c>
      <c r="AF219" s="1">
        <v>0</v>
      </c>
      <c r="AG219" s="1">
        <v>0</v>
      </c>
      <c r="AH219" s="1">
        <v>0</v>
      </c>
      <c r="AI219" s="1">
        <v>0</v>
      </c>
      <c r="AJ219" s="1">
        <v>0</v>
      </c>
      <c r="AK219" s="1">
        <v>0</v>
      </c>
      <c r="AL219" s="1">
        <v>0</v>
      </c>
      <c r="AM219" s="1">
        <v>0</v>
      </c>
      <c r="AN219" s="1">
        <v>0</v>
      </c>
      <c r="AO219" s="1">
        <v>0</v>
      </c>
      <c r="AP219" s="1">
        <v>0</v>
      </c>
      <c r="AQ219" s="1">
        <v>0</v>
      </c>
      <c r="AR219" s="1">
        <v>0</v>
      </c>
      <c r="AS219" s="1">
        <v>0</v>
      </c>
      <c r="AT219" s="1">
        <v>0</v>
      </c>
      <c r="AU219" s="1">
        <v>0</v>
      </c>
      <c r="AV219" s="1">
        <v>0</v>
      </c>
      <c r="AW219" s="1">
        <v>0</v>
      </c>
      <c r="AX219" s="1">
        <v>0</v>
      </c>
      <c r="AY219" s="1">
        <v>0</v>
      </c>
      <c r="AZ219" s="1">
        <v>0</v>
      </c>
      <c r="BA219" s="1">
        <v>0</v>
      </c>
      <c r="BB219" s="1">
        <v>0</v>
      </c>
      <c r="BC219" s="1">
        <v>0</v>
      </c>
      <c r="BD219" s="1">
        <v>0</v>
      </c>
      <c r="BE219" s="1">
        <v>0</v>
      </c>
      <c r="BF219" s="1">
        <v>0</v>
      </c>
      <c r="BG219" s="1">
        <v>0</v>
      </c>
      <c r="BH219" s="1">
        <v>2</v>
      </c>
      <c r="BI219" s="1">
        <v>2</v>
      </c>
      <c r="BJ219" s="1">
        <v>2</v>
      </c>
      <c r="BK219" s="1">
        <v>6</v>
      </c>
      <c r="BL219" s="1">
        <v>6</v>
      </c>
    </row>
    <row r="220" spans="1:64" x14ac:dyDescent="0.25">
      <c r="A220" s="1" t="s">
        <v>515</v>
      </c>
      <c r="B220" s="1" t="s">
        <v>268</v>
      </c>
      <c r="C220" s="1">
        <v>0</v>
      </c>
      <c r="D220" s="1">
        <v>0</v>
      </c>
      <c r="E220" s="1">
        <v>0</v>
      </c>
      <c r="F220" s="1">
        <v>0</v>
      </c>
      <c r="G220" s="1">
        <v>0</v>
      </c>
      <c r="H220" s="1">
        <v>0</v>
      </c>
      <c r="I220" s="1">
        <v>0</v>
      </c>
      <c r="J220" s="1">
        <v>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0</v>
      </c>
      <c r="AE220" s="1">
        <v>0</v>
      </c>
      <c r="AF220" s="1">
        <v>0</v>
      </c>
      <c r="AG220" s="1">
        <v>0</v>
      </c>
      <c r="AH220" s="1">
        <v>0</v>
      </c>
      <c r="AI220" s="1">
        <v>0</v>
      </c>
      <c r="AJ220" s="1">
        <v>0</v>
      </c>
      <c r="AK220" s="1">
        <v>0</v>
      </c>
      <c r="AL220" s="1">
        <v>0</v>
      </c>
      <c r="AM220" s="1">
        <v>0</v>
      </c>
      <c r="AN220" s="1">
        <v>0</v>
      </c>
      <c r="AO220" s="1">
        <v>0</v>
      </c>
      <c r="AP220" s="1">
        <v>0</v>
      </c>
      <c r="AQ220" s="1">
        <v>0</v>
      </c>
      <c r="AR220" s="1">
        <v>0</v>
      </c>
      <c r="AS220" s="1">
        <v>0</v>
      </c>
      <c r="AT220" s="1">
        <v>0</v>
      </c>
      <c r="AU220" s="1">
        <v>0</v>
      </c>
      <c r="AV220" s="1">
        <v>0</v>
      </c>
      <c r="AW220" s="1">
        <v>0</v>
      </c>
      <c r="AX220" s="1">
        <v>0</v>
      </c>
      <c r="AY220" s="1">
        <v>0</v>
      </c>
      <c r="AZ220" s="1">
        <v>0</v>
      </c>
      <c r="BA220" s="1">
        <v>0</v>
      </c>
      <c r="BB220" s="1">
        <v>1</v>
      </c>
      <c r="BC220" s="1">
        <v>1</v>
      </c>
      <c r="BD220" s="1">
        <v>1</v>
      </c>
      <c r="BE220" s="1">
        <v>1</v>
      </c>
      <c r="BF220" s="1">
        <v>1</v>
      </c>
      <c r="BG220" s="1">
        <v>1</v>
      </c>
      <c r="BH220" s="1">
        <v>3</v>
      </c>
      <c r="BI220" s="1">
        <v>3</v>
      </c>
      <c r="BJ220" s="1">
        <v>3</v>
      </c>
      <c r="BK220" s="1">
        <v>3</v>
      </c>
      <c r="BL220" s="1">
        <v>5</v>
      </c>
    </row>
    <row r="221" spans="1:64" x14ac:dyDescent="0.25">
      <c r="A221" s="1" t="s">
        <v>267</v>
      </c>
      <c r="B221" s="1" t="s">
        <v>268</v>
      </c>
      <c r="C221" s="1">
        <v>0</v>
      </c>
      <c r="D221" s="1">
        <v>0</v>
      </c>
      <c r="E221" s="1">
        <v>0</v>
      </c>
      <c r="F221" s="1">
        <v>0</v>
      </c>
      <c r="G221" s="1">
        <v>0</v>
      </c>
      <c r="H221" s="1">
        <v>0</v>
      </c>
      <c r="I221" s="1">
        <v>0</v>
      </c>
      <c r="J221" s="1">
        <v>0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0</v>
      </c>
      <c r="AD221" s="1">
        <v>0</v>
      </c>
      <c r="AE221" s="1">
        <v>0</v>
      </c>
      <c r="AF221" s="1">
        <v>0</v>
      </c>
      <c r="AG221" s="1">
        <v>0</v>
      </c>
      <c r="AH221" s="1">
        <v>0</v>
      </c>
      <c r="AI221" s="1">
        <v>0</v>
      </c>
      <c r="AJ221" s="1">
        <v>0</v>
      </c>
      <c r="AK221" s="1">
        <v>0</v>
      </c>
      <c r="AL221" s="1">
        <v>0</v>
      </c>
      <c r="AM221" s="1">
        <v>0</v>
      </c>
      <c r="AN221" s="1">
        <v>0</v>
      </c>
      <c r="AO221" s="1">
        <v>0</v>
      </c>
      <c r="AP221" s="1">
        <v>0</v>
      </c>
      <c r="AQ221" s="1">
        <v>0</v>
      </c>
      <c r="AR221" s="1">
        <v>0</v>
      </c>
      <c r="AS221" s="1">
        <v>0</v>
      </c>
      <c r="AT221" s="1">
        <v>0</v>
      </c>
      <c r="AU221" s="1">
        <v>0</v>
      </c>
      <c r="AV221" s="1">
        <v>0</v>
      </c>
      <c r="AW221" s="1">
        <v>0</v>
      </c>
      <c r="AX221" s="1">
        <v>0</v>
      </c>
      <c r="AY221" s="1">
        <v>1</v>
      </c>
      <c r="AZ221" s="1">
        <v>2</v>
      </c>
      <c r="BA221" s="1">
        <v>2</v>
      </c>
      <c r="BB221" s="1">
        <v>2</v>
      </c>
      <c r="BC221" s="1">
        <v>2</v>
      </c>
      <c r="BD221" s="1">
        <v>3</v>
      </c>
      <c r="BE221" s="1">
        <v>6</v>
      </c>
      <c r="BF221" s="1">
        <v>6</v>
      </c>
      <c r="BG221" s="1">
        <v>6</v>
      </c>
      <c r="BH221" s="1">
        <v>11</v>
      </c>
      <c r="BI221" s="1">
        <v>14</v>
      </c>
      <c r="BJ221" s="1">
        <v>32</v>
      </c>
      <c r="BK221" s="1">
        <v>32</v>
      </c>
      <c r="BL221" s="1">
        <v>36</v>
      </c>
    </row>
    <row r="222" spans="1:64" x14ac:dyDescent="0.25">
      <c r="A222" s="1" t="s">
        <v>276</v>
      </c>
      <c r="B222" s="1" t="s">
        <v>268</v>
      </c>
      <c r="C222" s="1">
        <v>0</v>
      </c>
      <c r="D222" s="1">
        <v>0</v>
      </c>
      <c r="E222" s="1">
        <v>0</v>
      </c>
      <c r="F222" s="1">
        <v>0</v>
      </c>
      <c r="G222" s="1">
        <v>0</v>
      </c>
      <c r="H222" s="1">
        <v>0</v>
      </c>
      <c r="I222" s="1">
        <v>0</v>
      </c>
      <c r="J222" s="1">
        <v>0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0</v>
      </c>
      <c r="AD222" s="1">
        <v>0</v>
      </c>
      <c r="AE222" s="1">
        <v>0</v>
      </c>
      <c r="AF222" s="1">
        <v>0</v>
      </c>
      <c r="AG222" s="1">
        <v>0</v>
      </c>
      <c r="AH222" s="1">
        <v>0</v>
      </c>
      <c r="AI222" s="1">
        <v>0</v>
      </c>
      <c r="AJ222" s="1">
        <v>0</v>
      </c>
      <c r="AK222" s="1">
        <v>0</v>
      </c>
      <c r="AL222" s="1">
        <v>0</v>
      </c>
      <c r="AM222" s="1">
        <v>0</v>
      </c>
      <c r="AN222" s="1">
        <v>0</v>
      </c>
      <c r="AO222" s="1">
        <v>0</v>
      </c>
      <c r="AP222" s="1">
        <v>0</v>
      </c>
      <c r="AQ222" s="1">
        <v>0</v>
      </c>
      <c r="AR222" s="1">
        <v>0</v>
      </c>
      <c r="AS222" s="1">
        <v>1</v>
      </c>
      <c r="AT222" s="1">
        <v>1</v>
      </c>
      <c r="AU222" s="1">
        <v>1</v>
      </c>
      <c r="AV222" s="1">
        <v>1</v>
      </c>
      <c r="AW222" s="1">
        <v>1</v>
      </c>
      <c r="AX222" s="1">
        <v>1</v>
      </c>
      <c r="AY222" s="1">
        <v>1</v>
      </c>
      <c r="AZ222" s="1">
        <v>1</v>
      </c>
      <c r="BA222" s="1">
        <v>1</v>
      </c>
      <c r="BB222" s="1">
        <v>1</v>
      </c>
      <c r="BC222" s="1">
        <v>1</v>
      </c>
      <c r="BD222" s="1">
        <v>1</v>
      </c>
      <c r="BE222" s="1">
        <v>1</v>
      </c>
      <c r="BF222" s="1">
        <v>3</v>
      </c>
      <c r="BG222" s="1">
        <v>8</v>
      </c>
      <c r="BH222" s="1">
        <v>10</v>
      </c>
      <c r="BI222" s="1">
        <v>10</v>
      </c>
      <c r="BJ222" s="1">
        <v>10</v>
      </c>
      <c r="BK222" s="1">
        <v>15</v>
      </c>
      <c r="BL222" s="1">
        <v>15</v>
      </c>
    </row>
    <row r="223" spans="1:64" x14ac:dyDescent="0.25">
      <c r="A223" s="1" t="s">
        <v>541</v>
      </c>
      <c r="B223" s="1" t="s">
        <v>268</v>
      </c>
      <c r="C223" s="1">
        <v>0</v>
      </c>
      <c r="D223" s="1">
        <v>0</v>
      </c>
      <c r="E223" s="1">
        <v>0</v>
      </c>
      <c r="F223" s="1">
        <v>0</v>
      </c>
      <c r="G223" s="1">
        <v>0</v>
      </c>
      <c r="H223" s="1">
        <v>0</v>
      </c>
      <c r="I223" s="1">
        <v>0</v>
      </c>
      <c r="J223" s="1">
        <v>0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0</v>
      </c>
      <c r="AD223" s="1">
        <v>0</v>
      </c>
      <c r="AE223" s="1">
        <v>0</v>
      </c>
      <c r="AF223" s="1">
        <v>0</v>
      </c>
      <c r="AG223" s="1">
        <v>0</v>
      </c>
      <c r="AH223" s="1">
        <v>0</v>
      </c>
      <c r="AI223" s="1">
        <v>0</v>
      </c>
      <c r="AJ223" s="1">
        <v>0</v>
      </c>
      <c r="AK223" s="1">
        <v>0</v>
      </c>
      <c r="AL223" s="1">
        <v>0</v>
      </c>
      <c r="AM223" s="1">
        <v>0</v>
      </c>
      <c r="AN223" s="1">
        <v>0</v>
      </c>
      <c r="AO223" s="1">
        <v>0</v>
      </c>
      <c r="AP223" s="1">
        <v>0</v>
      </c>
      <c r="AQ223" s="1">
        <v>0</v>
      </c>
      <c r="AR223" s="1">
        <v>0</v>
      </c>
      <c r="AS223" s="1">
        <v>0</v>
      </c>
      <c r="AT223" s="1">
        <v>0</v>
      </c>
      <c r="AU223" s="1">
        <v>0</v>
      </c>
      <c r="AV223" s="1">
        <v>0</v>
      </c>
      <c r="AW223" s="1">
        <v>0</v>
      </c>
      <c r="AX223" s="1">
        <v>0</v>
      </c>
      <c r="AY223" s="1">
        <v>0</v>
      </c>
      <c r="AZ223" s="1">
        <v>0</v>
      </c>
      <c r="BA223" s="1">
        <v>0</v>
      </c>
      <c r="BB223" s="1">
        <v>0</v>
      </c>
      <c r="BC223" s="1">
        <v>0</v>
      </c>
      <c r="BD223" s="1">
        <v>0</v>
      </c>
      <c r="BE223" s="1">
        <v>0</v>
      </c>
      <c r="BF223" s="1">
        <v>0</v>
      </c>
      <c r="BG223" s="1">
        <v>0</v>
      </c>
      <c r="BH223" s="1">
        <v>0</v>
      </c>
      <c r="BI223" s="1">
        <v>1</v>
      </c>
      <c r="BJ223" s="1">
        <v>1</v>
      </c>
      <c r="BK223" s="1">
        <v>5</v>
      </c>
      <c r="BL223" s="1">
        <v>13</v>
      </c>
    </row>
    <row r="224" spans="1:64" x14ac:dyDescent="0.25">
      <c r="A224" s="1" t="s">
        <v>525</v>
      </c>
      <c r="B224" s="1" t="s">
        <v>268</v>
      </c>
      <c r="C224" s="1">
        <v>0</v>
      </c>
      <c r="D224" s="1">
        <v>0</v>
      </c>
      <c r="E224" s="1">
        <v>0</v>
      </c>
      <c r="F224" s="1">
        <v>0</v>
      </c>
      <c r="G224" s="1">
        <v>0</v>
      </c>
      <c r="H224" s="1">
        <v>0</v>
      </c>
      <c r="I224" s="1">
        <v>0</v>
      </c>
      <c r="J224" s="1">
        <v>0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0</v>
      </c>
      <c r="AD224" s="1">
        <v>0</v>
      </c>
      <c r="AE224" s="1">
        <v>0</v>
      </c>
      <c r="AF224" s="1">
        <v>0</v>
      </c>
      <c r="AG224" s="1">
        <v>0</v>
      </c>
      <c r="AH224" s="1">
        <v>0</v>
      </c>
      <c r="AI224" s="1">
        <v>0</v>
      </c>
      <c r="AJ224" s="1">
        <v>0</v>
      </c>
      <c r="AK224" s="1">
        <v>0</v>
      </c>
      <c r="AL224" s="1">
        <v>0</v>
      </c>
      <c r="AM224" s="1">
        <v>0</v>
      </c>
      <c r="AN224" s="1">
        <v>0</v>
      </c>
      <c r="AO224" s="1">
        <v>0</v>
      </c>
      <c r="AP224" s="1">
        <v>0</v>
      </c>
      <c r="AQ224" s="1">
        <v>0</v>
      </c>
      <c r="AR224" s="1">
        <v>0</v>
      </c>
      <c r="AS224" s="1">
        <v>0</v>
      </c>
      <c r="AT224" s="1">
        <v>0</v>
      </c>
      <c r="AU224" s="1">
        <v>0</v>
      </c>
      <c r="AV224" s="1">
        <v>0</v>
      </c>
      <c r="AW224" s="1">
        <v>0</v>
      </c>
      <c r="AX224" s="1">
        <v>0</v>
      </c>
      <c r="AY224" s="1">
        <v>0</v>
      </c>
      <c r="AZ224" s="1">
        <v>0</v>
      </c>
      <c r="BA224" s="1">
        <v>0</v>
      </c>
      <c r="BB224" s="1">
        <v>0</v>
      </c>
      <c r="BC224" s="1">
        <v>0</v>
      </c>
      <c r="BD224" s="1">
        <v>0</v>
      </c>
      <c r="BE224" s="1">
        <v>0</v>
      </c>
      <c r="BF224" s="1">
        <v>0</v>
      </c>
      <c r="BG224" s="1">
        <v>1</v>
      </c>
      <c r="BH224" s="1">
        <v>1</v>
      </c>
      <c r="BI224" s="1">
        <v>1</v>
      </c>
      <c r="BJ224" s="1">
        <v>1</v>
      </c>
      <c r="BK224" s="1">
        <v>1</v>
      </c>
      <c r="BL224" s="1">
        <v>1</v>
      </c>
    </row>
    <row r="225" spans="1:64" x14ac:dyDescent="0.25">
      <c r="A225" s="1" t="s">
        <v>64</v>
      </c>
      <c r="B225" s="1" t="s">
        <v>268</v>
      </c>
      <c r="C225" s="1">
        <v>0</v>
      </c>
      <c r="D225" s="1">
        <v>0</v>
      </c>
      <c r="E225" s="1">
        <v>0</v>
      </c>
      <c r="F225" s="1">
        <v>0</v>
      </c>
      <c r="G225" s="1">
        <v>0</v>
      </c>
      <c r="H225" s="1">
        <v>0</v>
      </c>
      <c r="I225" s="1">
        <v>0</v>
      </c>
      <c r="J225" s="1">
        <v>0</v>
      </c>
      <c r="K225" s="1">
        <v>0</v>
      </c>
      <c r="L225" s="1">
        <v>2</v>
      </c>
      <c r="M225" s="1">
        <v>2</v>
      </c>
      <c r="N225" s="1">
        <v>2</v>
      </c>
      <c r="O225" s="1">
        <v>2</v>
      </c>
      <c r="P225" s="1">
        <v>2</v>
      </c>
      <c r="Q225" s="1">
        <v>2</v>
      </c>
      <c r="R225" s="1">
        <v>2</v>
      </c>
      <c r="S225" s="1">
        <v>3</v>
      </c>
      <c r="T225" s="1">
        <v>3</v>
      </c>
      <c r="U225" s="1">
        <v>3</v>
      </c>
      <c r="V225" s="1">
        <v>8</v>
      </c>
      <c r="W225" s="1">
        <v>8</v>
      </c>
      <c r="X225" s="1">
        <v>9</v>
      </c>
      <c r="Y225" s="1">
        <v>9</v>
      </c>
      <c r="Z225" s="1">
        <v>9</v>
      </c>
      <c r="AA225" s="1">
        <v>9</v>
      </c>
      <c r="AB225" s="1">
        <v>9</v>
      </c>
      <c r="AC225" s="1">
        <v>9</v>
      </c>
      <c r="AD225" s="1">
        <v>9</v>
      </c>
      <c r="AE225" s="1">
        <v>9</v>
      </c>
      <c r="AF225" s="1">
        <v>9</v>
      </c>
      <c r="AG225" s="1">
        <v>9</v>
      </c>
      <c r="AH225" s="1">
        <v>9</v>
      </c>
      <c r="AI225" s="1">
        <v>9</v>
      </c>
      <c r="AJ225" s="1">
        <v>13</v>
      </c>
      <c r="AK225" s="1">
        <v>13</v>
      </c>
      <c r="AL225" s="1">
        <v>13</v>
      </c>
      <c r="AM225" s="1">
        <v>15</v>
      </c>
      <c r="AN225" s="1">
        <v>20</v>
      </c>
      <c r="AO225" s="1">
        <v>23</v>
      </c>
      <c r="AP225" s="1">
        <v>36</v>
      </c>
      <c r="AQ225" s="1">
        <v>40</v>
      </c>
      <c r="AR225" s="1">
        <v>51</v>
      </c>
      <c r="AS225" s="1">
        <v>85</v>
      </c>
      <c r="AT225" s="1">
        <v>115</v>
      </c>
      <c r="AU225" s="1">
        <v>163</v>
      </c>
      <c r="AV225" s="1">
        <v>206</v>
      </c>
      <c r="AW225" s="1">
        <v>273</v>
      </c>
      <c r="AX225" s="1">
        <v>321</v>
      </c>
      <c r="AY225" s="1">
        <v>382</v>
      </c>
      <c r="AZ225" s="1">
        <v>456</v>
      </c>
      <c r="BA225" s="1">
        <v>456</v>
      </c>
      <c r="BB225" s="1">
        <v>798</v>
      </c>
      <c r="BC225" s="1">
        <v>1140</v>
      </c>
      <c r="BD225" s="1">
        <v>1140</v>
      </c>
      <c r="BE225" s="1">
        <v>1543</v>
      </c>
      <c r="BF225" s="1">
        <v>1950</v>
      </c>
      <c r="BG225" s="1">
        <v>2626</v>
      </c>
      <c r="BH225" s="1">
        <v>2689</v>
      </c>
      <c r="BI225" s="1">
        <v>3983</v>
      </c>
      <c r="BJ225" s="1">
        <v>5018</v>
      </c>
      <c r="BK225" s="1">
        <v>5683</v>
      </c>
      <c r="BL225" s="1">
        <v>6650</v>
      </c>
    </row>
    <row r="226" spans="1:64" x14ac:dyDescent="0.25">
      <c r="A226" s="1" t="s">
        <v>64</v>
      </c>
      <c r="B226" s="1" t="s">
        <v>481</v>
      </c>
      <c r="C226" s="1">
        <v>0</v>
      </c>
      <c r="D226" s="1">
        <v>0</v>
      </c>
      <c r="E226" s="1">
        <v>0</v>
      </c>
      <c r="F226" s="1">
        <v>0</v>
      </c>
      <c r="G226" s="1">
        <v>0</v>
      </c>
      <c r="H226" s="1">
        <v>0</v>
      </c>
      <c r="I226" s="1">
        <v>0</v>
      </c>
      <c r="J226" s="1">
        <v>0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0</v>
      </c>
      <c r="AE226" s="1">
        <v>0</v>
      </c>
      <c r="AF226" s="1">
        <v>0</v>
      </c>
      <c r="AG226" s="1">
        <v>0</v>
      </c>
      <c r="AH226" s="1">
        <v>0</v>
      </c>
      <c r="AI226" s="1">
        <v>0</v>
      </c>
      <c r="AJ226" s="1">
        <v>0</v>
      </c>
      <c r="AK226" s="1">
        <v>0</v>
      </c>
      <c r="AL226" s="1">
        <v>0</v>
      </c>
      <c r="AM226" s="1">
        <v>0</v>
      </c>
      <c r="AN226" s="1">
        <v>0</v>
      </c>
      <c r="AO226" s="1">
        <v>0</v>
      </c>
      <c r="AP226" s="1">
        <v>0</v>
      </c>
      <c r="AQ226" s="1">
        <v>0</v>
      </c>
      <c r="AR226" s="1">
        <v>0</v>
      </c>
      <c r="AS226" s="1">
        <v>0</v>
      </c>
      <c r="AT226" s="1">
        <v>0</v>
      </c>
      <c r="AU226" s="1">
        <v>0</v>
      </c>
      <c r="AV226" s="1">
        <v>0</v>
      </c>
      <c r="AW226" s="1">
        <v>0</v>
      </c>
      <c r="AX226" s="1">
        <v>0</v>
      </c>
      <c r="AY226" s="1">
        <v>0</v>
      </c>
      <c r="AZ226" s="1">
        <v>0</v>
      </c>
      <c r="BA226" s="1">
        <v>0</v>
      </c>
      <c r="BB226" s="1">
        <v>0</v>
      </c>
      <c r="BC226" s="1">
        <v>4</v>
      </c>
      <c r="BD226" s="1">
        <v>4</v>
      </c>
      <c r="BE226" s="1">
        <v>8</v>
      </c>
      <c r="BF226" s="1">
        <v>29</v>
      </c>
      <c r="BG226" s="1">
        <v>50</v>
      </c>
      <c r="BH226" s="1">
        <v>79</v>
      </c>
      <c r="BI226" s="1">
        <v>94</v>
      </c>
      <c r="BJ226" s="1">
        <v>110</v>
      </c>
      <c r="BK226" s="1">
        <v>158</v>
      </c>
      <c r="BL226" s="1">
        <v>162</v>
      </c>
    </row>
    <row r="227" spans="1:64" x14ac:dyDescent="0.25">
      <c r="A227" s="1" t="s">
        <v>64</v>
      </c>
      <c r="B227" s="1" t="s">
        <v>165</v>
      </c>
      <c r="C227" s="1">
        <v>1</v>
      </c>
      <c r="D227" s="1">
        <v>1</v>
      </c>
      <c r="E227" s="1">
        <v>2</v>
      </c>
      <c r="F227" s="1">
        <v>2</v>
      </c>
      <c r="G227" s="1">
        <v>5</v>
      </c>
      <c r="H227" s="1">
        <v>5</v>
      </c>
      <c r="I227" s="1">
        <v>5</v>
      </c>
      <c r="J227" s="1">
        <v>5</v>
      </c>
      <c r="K227" s="1">
        <v>5</v>
      </c>
      <c r="L227" s="1">
        <v>7</v>
      </c>
      <c r="M227" s="1">
        <v>8</v>
      </c>
      <c r="N227" s="1">
        <v>8</v>
      </c>
      <c r="O227" s="1">
        <v>11</v>
      </c>
      <c r="P227" s="1">
        <v>11</v>
      </c>
      <c r="Q227" s="1">
        <v>11</v>
      </c>
      <c r="R227" s="1">
        <v>11</v>
      </c>
      <c r="S227" s="1">
        <v>11</v>
      </c>
      <c r="T227" s="1">
        <v>11</v>
      </c>
      <c r="U227" s="1">
        <v>11</v>
      </c>
      <c r="V227" s="1">
        <v>11</v>
      </c>
      <c r="W227" s="1">
        <v>12</v>
      </c>
      <c r="X227" s="1">
        <v>12</v>
      </c>
      <c r="Y227" s="1">
        <v>13</v>
      </c>
      <c r="Z227" s="1">
        <v>13</v>
      </c>
      <c r="AA227" s="1">
        <v>13</v>
      </c>
      <c r="AB227" s="1">
        <v>13</v>
      </c>
      <c r="AC227" s="1">
        <v>13</v>
      </c>
      <c r="AD227" s="1">
        <v>13</v>
      </c>
      <c r="AE227" s="1">
        <v>13</v>
      </c>
      <c r="AF227" s="1">
        <v>13</v>
      </c>
      <c r="AG227" s="1">
        <v>15</v>
      </c>
      <c r="AH227" s="1">
        <v>15</v>
      </c>
      <c r="AI227" s="1">
        <v>15</v>
      </c>
      <c r="AJ227" s="1">
        <v>51</v>
      </c>
      <c r="AK227" s="1">
        <v>51</v>
      </c>
      <c r="AL227" s="1">
        <v>57</v>
      </c>
      <c r="AM227" s="1">
        <v>58</v>
      </c>
      <c r="AN227" s="1">
        <v>60</v>
      </c>
      <c r="AO227" s="1">
        <v>68</v>
      </c>
      <c r="AP227" s="1">
        <v>74</v>
      </c>
      <c r="AQ227" s="1">
        <v>98</v>
      </c>
      <c r="AR227" s="1">
        <v>118</v>
      </c>
      <c r="AS227" s="1">
        <v>149</v>
      </c>
      <c r="AT227" s="1">
        <v>217</v>
      </c>
      <c r="AU227" s="1">
        <v>262</v>
      </c>
      <c r="AV227" s="1">
        <v>402</v>
      </c>
      <c r="AW227" s="1">
        <v>518</v>
      </c>
      <c r="AX227" s="1">
        <v>583</v>
      </c>
      <c r="AY227" s="1">
        <v>959</v>
      </c>
      <c r="AZ227" s="1">
        <v>1281</v>
      </c>
      <c r="BA227" s="1">
        <v>1663</v>
      </c>
      <c r="BB227" s="1">
        <v>2179</v>
      </c>
      <c r="BC227" s="1">
        <v>2727</v>
      </c>
      <c r="BD227" s="1">
        <v>3499</v>
      </c>
      <c r="BE227" s="1">
        <v>4632</v>
      </c>
      <c r="BF227" s="1">
        <v>6421</v>
      </c>
      <c r="BG227" s="1">
        <v>7783</v>
      </c>
      <c r="BH227" s="1">
        <v>13677</v>
      </c>
      <c r="BI227" s="1">
        <v>19100</v>
      </c>
      <c r="BJ227" s="1">
        <v>25489</v>
      </c>
      <c r="BK227" s="1">
        <v>33276</v>
      </c>
      <c r="BL227" s="1">
        <v>43847</v>
      </c>
    </row>
    <row r="228" spans="1:64" x14ac:dyDescent="0.25">
      <c r="A228" s="1" t="s">
        <v>64</v>
      </c>
      <c r="B228" s="1" t="s">
        <v>505</v>
      </c>
      <c r="C228" s="1">
        <v>0</v>
      </c>
      <c r="D228" s="1">
        <v>0</v>
      </c>
      <c r="E228" s="1">
        <v>0</v>
      </c>
      <c r="F228" s="1">
        <v>0</v>
      </c>
      <c r="G228" s="1">
        <v>0</v>
      </c>
      <c r="H228" s="1">
        <v>0</v>
      </c>
      <c r="I228" s="1">
        <v>0</v>
      </c>
      <c r="J228" s="1">
        <v>0</v>
      </c>
      <c r="K228" s="1">
        <v>0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0</v>
      </c>
      <c r="AD228" s="1">
        <v>0</v>
      </c>
      <c r="AE228" s="1">
        <v>0</v>
      </c>
      <c r="AF228" s="1">
        <v>0</v>
      </c>
      <c r="AG228" s="1">
        <v>0</v>
      </c>
      <c r="AH228" s="1">
        <v>0</v>
      </c>
      <c r="AI228" s="1">
        <v>0</v>
      </c>
      <c r="AJ228" s="1">
        <v>0</v>
      </c>
      <c r="AK228" s="1">
        <v>0</v>
      </c>
      <c r="AL228" s="1">
        <v>0</v>
      </c>
      <c r="AM228" s="1">
        <v>0</v>
      </c>
      <c r="AN228" s="1">
        <v>0</v>
      </c>
      <c r="AO228" s="1">
        <v>0</v>
      </c>
      <c r="AP228" s="1">
        <v>0</v>
      </c>
      <c r="AQ228" s="1">
        <v>0</v>
      </c>
      <c r="AR228" s="1">
        <v>0</v>
      </c>
      <c r="AS228" s="1">
        <v>0</v>
      </c>
      <c r="AT228" s="1">
        <v>0</v>
      </c>
      <c r="AU228" s="1">
        <v>0</v>
      </c>
      <c r="AV228" s="1">
        <v>0</v>
      </c>
      <c r="AW228" s="1">
        <v>0</v>
      </c>
      <c r="AX228" s="1">
        <v>0</v>
      </c>
      <c r="AY228" s="1">
        <v>0</v>
      </c>
      <c r="AZ228" s="1">
        <v>0</v>
      </c>
      <c r="BA228" s="1">
        <v>0</v>
      </c>
      <c r="BB228" s="1">
        <v>0</v>
      </c>
      <c r="BC228" s="1">
        <v>0</v>
      </c>
      <c r="BD228" s="1">
        <v>1</v>
      </c>
      <c r="BE228" s="1">
        <v>6</v>
      </c>
      <c r="BF228" s="1">
        <v>10</v>
      </c>
      <c r="BG228" s="1">
        <v>15</v>
      </c>
      <c r="BH228" s="1">
        <v>23</v>
      </c>
      <c r="BI228" s="1">
        <v>33</v>
      </c>
      <c r="BJ228" s="1">
        <v>43</v>
      </c>
      <c r="BK228" s="1">
        <v>43</v>
      </c>
      <c r="BL228" s="1">
        <v>46</v>
      </c>
    </row>
    <row r="229" spans="1:64" x14ac:dyDescent="0.25">
      <c r="A229" s="1" t="s">
        <v>64</v>
      </c>
      <c r="B229" s="1" t="s">
        <v>487</v>
      </c>
      <c r="C229" s="1">
        <v>0</v>
      </c>
      <c r="D229" s="1">
        <v>0</v>
      </c>
      <c r="E229" s="1">
        <v>0</v>
      </c>
      <c r="F229" s="1">
        <v>0</v>
      </c>
      <c r="G229" s="1">
        <v>0</v>
      </c>
      <c r="H229" s="1">
        <v>0</v>
      </c>
      <c r="I229" s="1">
        <v>0</v>
      </c>
      <c r="J229" s="1">
        <v>0</v>
      </c>
      <c r="K229" s="1">
        <v>0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S229" s="1">
        <v>0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0</v>
      </c>
      <c r="AD229" s="1">
        <v>0</v>
      </c>
      <c r="AE229" s="1">
        <v>0</v>
      </c>
      <c r="AF229" s="1">
        <v>0</v>
      </c>
      <c r="AG229" s="1">
        <v>0</v>
      </c>
      <c r="AH229" s="1">
        <v>0</v>
      </c>
      <c r="AI229" s="1">
        <v>0</v>
      </c>
      <c r="AJ229" s="1">
        <v>0</v>
      </c>
      <c r="AK229" s="1">
        <v>0</v>
      </c>
      <c r="AL229" s="1">
        <v>0</v>
      </c>
      <c r="AM229" s="1">
        <v>0</v>
      </c>
      <c r="AN229" s="1">
        <v>0</v>
      </c>
      <c r="AO229" s="1">
        <v>0</v>
      </c>
      <c r="AP229" s="1">
        <v>0</v>
      </c>
      <c r="AQ229" s="1">
        <v>0</v>
      </c>
      <c r="AR229" s="1">
        <v>0</v>
      </c>
      <c r="AS229" s="1">
        <v>0</v>
      </c>
      <c r="AT229" s="1">
        <v>0</v>
      </c>
      <c r="AU229" s="1">
        <v>0</v>
      </c>
      <c r="AV229" s="1">
        <v>0</v>
      </c>
      <c r="AW229" s="1">
        <v>0</v>
      </c>
      <c r="AX229" s="1">
        <v>0</v>
      </c>
      <c r="AY229" s="1">
        <v>0</v>
      </c>
      <c r="AZ229" s="1">
        <v>0</v>
      </c>
      <c r="BA229" s="1">
        <v>0</v>
      </c>
      <c r="BB229" s="1">
        <v>0</v>
      </c>
      <c r="BC229" s="1">
        <v>2</v>
      </c>
      <c r="BD229" s="1">
        <v>10</v>
      </c>
      <c r="BE229" s="1">
        <v>17</v>
      </c>
      <c r="BF229" s="1">
        <v>33</v>
      </c>
      <c r="BG229" s="1">
        <v>36</v>
      </c>
      <c r="BH229" s="1">
        <v>42</v>
      </c>
      <c r="BI229" s="1">
        <v>42</v>
      </c>
      <c r="BJ229" s="1">
        <v>70</v>
      </c>
      <c r="BK229" s="1">
        <v>70</v>
      </c>
      <c r="BL229" s="1">
        <v>77</v>
      </c>
    </row>
    <row r="230" spans="1:64" x14ac:dyDescent="0.25">
      <c r="A230" s="1" t="s">
        <v>64</v>
      </c>
      <c r="B230" s="1" t="s">
        <v>258</v>
      </c>
      <c r="C230" s="1">
        <v>0</v>
      </c>
      <c r="D230" s="1">
        <v>2</v>
      </c>
      <c r="E230" s="1">
        <v>2</v>
      </c>
      <c r="F230" s="1">
        <v>2</v>
      </c>
      <c r="G230" s="1">
        <v>2</v>
      </c>
      <c r="H230" s="1">
        <v>2</v>
      </c>
      <c r="I230" s="1">
        <v>2</v>
      </c>
      <c r="J230" s="1">
        <v>2</v>
      </c>
      <c r="K230" s="1">
        <v>2</v>
      </c>
      <c r="L230" s="1">
        <v>2</v>
      </c>
      <c r="M230" s="1">
        <v>6</v>
      </c>
      <c r="N230" s="1">
        <v>6</v>
      </c>
      <c r="O230" s="1">
        <v>8</v>
      </c>
      <c r="P230" s="1">
        <v>8</v>
      </c>
      <c r="Q230" s="1">
        <v>8</v>
      </c>
      <c r="R230" s="1">
        <v>10</v>
      </c>
      <c r="S230" s="1">
        <v>10</v>
      </c>
      <c r="T230" s="1">
        <v>13</v>
      </c>
      <c r="U230" s="1">
        <v>13</v>
      </c>
      <c r="V230" s="1">
        <v>14</v>
      </c>
      <c r="W230" s="1">
        <v>15</v>
      </c>
      <c r="X230" s="1">
        <v>15</v>
      </c>
      <c r="Y230" s="1">
        <v>16</v>
      </c>
      <c r="Z230" s="1">
        <v>16</v>
      </c>
      <c r="AA230" s="1">
        <v>16</v>
      </c>
      <c r="AB230" s="1">
        <v>16</v>
      </c>
      <c r="AC230" s="1">
        <v>16</v>
      </c>
      <c r="AD230" s="1">
        <v>16</v>
      </c>
      <c r="AE230" s="1">
        <v>16</v>
      </c>
      <c r="AF230" s="1">
        <v>16</v>
      </c>
      <c r="AG230" s="1">
        <v>16</v>
      </c>
      <c r="AH230" s="1">
        <v>16</v>
      </c>
      <c r="AI230" s="1">
        <v>16</v>
      </c>
      <c r="AJ230" s="1">
        <v>16</v>
      </c>
      <c r="AK230" s="1">
        <v>16</v>
      </c>
      <c r="AL230" s="1">
        <v>16</v>
      </c>
      <c r="AM230" s="1">
        <v>16</v>
      </c>
      <c r="AN230" s="1">
        <v>16</v>
      </c>
      <c r="AO230" s="1">
        <v>16</v>
      </c>
      <c r="AP230" s="1">
        <v>16</v>
      </c>
      <c r="AQ230" s="1">
        <v>16</v>
      </c>
      <c r="AR230" s="1">
        <v>16</v>
      </c>
      <c r="AS230" s="1">
        <v>16</v>
      </c>
      <c r="AT230" s="1">
        <v>16</v>
      </c>
      <c r="AU230" s="1">
        <v>16</v>
      </c>
      <c r="AV230" s="1">
        <v>18</v>
      </c>
      <c r="AW230" s="1">
        <v>30</v>
      </c>
      <c r="AX230" s="1">
        <v>30</v>
      </c>
      <c r="AY230" s="1">
        <v>31</v>
      </c>
      <c r="AZ230" s="1">
        <v>38</v>
      </c>
      <c r="BA230" s="1">
        <v>39</v>
      </c>
      <c r="BB230" s="1">
        <v>47</v>
      </c>
      <c r="BC230" s="1">
        <v>53</v>
      </c>
      <c r="BD230" s="1">
        <v>56</v>
      </c>
      <c r="BE230" s="1">
        <v>61</v>
      </c>
      <c r="BF230" s="1">
        <v>66</v>
      </c>
      <c r="BG230" s="1">
        <v>75</v>
      </c>
      <c r="BH230" s="1">
        <v>85</v>
      </c>
      <c r="BI230" s="1">
        <v>91</v>
      </c>
      <c r="BJ230" s="1">
        <v>94</v>
      </c>
      <c r="BK230" s="1">
        <v>113</v>
      </c>
      <c r="BL230" s="1">
        <v>123</v>
      </c>
    </row>
    <row r="231" spans="1:64" x14ac:dyDescent="0.25">
      <c r="A231" s="1" t="s">
        <v>64</v>
      </c>
      <c r="B231" s="1" t="s">
        <v>522</v>
      </c>
      <c r="C231" s="1">
        <v>0</v>
      </c>
      <c r="D231" s="1">
        <v>0</v>
      </c>
      <c r="E231" s="1">
        <v>0</v>
      </c>
      <c r="F231" s="1">
        <v>0</v>
      </c>
      <c r="G231" s="1">
        <v>0</v>
      </c>
      <c r="H231" s="1">
        <v>0</v>
      </c>
      <c r="I231" s="1">
        <v>0</v>
      </c>
      <c r="J231" s="1">
        <v>0</v>
      </c>
      <c r="K231" s="1">
        <v>0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0</v>
      </c>
      <c r="R231" s="1">
        <v>0</v>
      </c>
      <c r="S231" s="1">
        <v>0</v>
      </c>
      <c r="T231" s="1">
        <v>0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0</v>
      </c>
      <c r="AD231" s="1">
        <v>0</v>
      </c>
      <c r="AE231" s="1">
        <v>0</v>
      </c>
      <c r="AF231" s="1">
        <v>0</v>
      </c>
      <c r="AG231" s="1">
        <v>0</v>
      </c>
      <c r="AH231" s="1">
        <v>0</v>
      </c>
      <c r="AI231" s="1">
        <v>0</v>
      </c>
      <c r="AJ231" s="1">
        <v>0</v>
      </c>
      <c r="AK231" s="1">
        <v>0</v>
      </c>
      <c r="AL231" s="1">
        <v>0</v>
      </c>
      <c r="AM231" s="1">
        <v>0</v>
      </c>
      <c r="AN231" s="1">
        <v>0</v>
      </c>
      <c r="AO231" s="1">
        <v>0</v>
      </c>
      <c r="AP231" s="1">
        <v>0</v>
      </c>
      <c r="AQ231" s="1">
        <v>0</v>
      </c>
      <c r="AR231" s="1">
        <v>0</v>
      </c>
      <c r="AS231" s="1">
        <v>0</v>
      </c>
      <c r="AT231" s="1">
        <v>0</v>
      </c>
      <c r="AU231" s="1">
        <v>0</v>
      </c>
      <c r="AV231" s="1">
        <v>0</v>
      </c>
      <c r="AW231" s="1">
        <v>0</v>
      </c>
      <c r="AX231" s="1">
        <v>0</v>
      </c>
      <c r="AY231" s="1">
        <v>0</v>
      </c>
      <c r="AZ231" s="1">
        <v>0</v>
      </c>
      <c r="BA231" s="1">
        <v>0</v>
      </c>
      <c r="BB231" s="1">
        <v>0</v>
      </c>
      <c r="BC231" s="1">
        <v>0</v>
      </c>
      <c r="BD231" s="1">
        <v>0</v>
      </c>
      <c r="BE231" s="1">
        <v>0</v>
      </c>
      <c r="BF231" s="1">
        <v>0</v>
      </c>
      <c r="BG231" s="1">
        <v>2</v>
      </c>
      <c r="BH231" s="1">
        <v>2</v>
      </c>
      <c r="BI231" s="1">
        <v>2</v>
      </c>
      <c r="BJ231" s="1">
        <v>2</v>
      </c>
      <c r="BK231" s="1">
        <v>3</v>
      </c>
      <c r="BL231" s="1">
        <v>3</v>
      </c>
    </row>
    <row r="232" spans="1:64" x14ac:dyDescent="0.25">
      <c r="A232" s="1" t="s">
        <v>64</v>
      </c>
      <c r="B232" s="1" t="s">
        <v>542</v>
      </c>
      <c r="C232" s="1">
        <v>0</v>
      </c>
      <c r="D232" s="1">
        <v>0</v>
      </c>
      <c r="E232" s="1">
        <v>0</v>
      </c>
      <c r="F232" s="1">
        <v>0</v>
      </c>
      <c r="G232" s="1">
        <v>0</v>
      </c>
      <c r="H232" s="1">
        <v>0</v>
      </c>
      <c r="I232" s="1">
        <v>0</v>
      </c>
      <c r="J232" s="1">
        <v>0</v>
      </c>
      <c r="K232" s="1">
        <v>0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>
        <v>0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0</v>
      </c>
      <c r="AD232" s="1">
        <v>0</v>
      </c>
      <c r="AE232" s="1">
        <v>0</v>
      </c>
      <c r="AF232" s="1">
        <v>0</v>
      </c>
      <c r="AG232" s="1">
        <v>0</v>
      </c>
      <c r="AH232" s="1">
        <v>0</v>
      </c>
      <c r="AI232" s="1">
        <v>0</v>
      </c>
      <c r="AJ232" s="1">
        <v>0</v>
      </c>
      <c r="AK232" s="1">
        <v>0</v>
      </c>
      <c r="AL232" s="1">
        <v>0</v>
      </c>
      <c r="AM232" s="1">
        <v>0</v>
      </c>
      <c r="AN232" s="1">
        <v>0</v>
      </c>
      <c r="AO232" s="1">
        <v>0</v>
      </c>
      <c r="AP232" s="1">
        <v>0</v>
      </c>
      <c r="AQ232" s="1">
        <v>0</v>
      </c>
      <c r="AR232" s="1">
        <v>0</v>
      </c>
      <c r="AS232" s="1">
        <v>0</v>
      </c>
      <c r="AT232" s="1">
        <v>0</v>
      </c>
      <c r="AU232" s="1">
        <v>0</v>
      </c>
      <c r="AV232" s="1">
        <v>0</v>
      </c>
      <c r="AW232" s="1">
        <v>0</v>
      </c>
      <c r="AX232" s="1">
        <v>0</v>
      </c>
      <c r="AY232" s="1">
        <v>0</v>
      </c>
      <c r="AZ232" s="1">
        <v>0</v>
      </c>
      <c r="BA232" s="1">
        <v>0</v>
      </c>
      <c r="BB232" s="1">
        <v>0</v>
      </c>
      <c r="BC232" s="1">
        <v>0</v>
      </c>
      <c r="BD232" s="1">
        <v>0</v>
      </c>
      <c r="BE232" s="1">
        <v>0</v>
      </c>
      <c r="BF232" s="1">
        <v>0</v>
      </c>
      <c r="BG232" s="1">
        <v>0</v>
      </c>
      <c r="BH232" s="1">
        <v>0</v>
      </c>
      <c r="BI232" s="1">
        <v>1</v>
      </c>
      <c r="BJ232" s="1">
        <v>3</v>
      </c>
      <c r="BK232" s="1">
        <v>3</v>
      </c>
      <c r="BL232" s="1">
        <v>3</v>
      </c>
    </row>
    <row r="233" spans="1:64" x14ac:dyDescent="0.25">
      <c r="A233" s="1" t="s">
        <v>169</v>
      </c>
      <c r="B233" s="1" t="s">
        <v>70</v>
      </c>
      <c r="C233" s="1">
        <v>0</v>
      </c>
      <c r="D233" s="1">
        <v>0</v>
      </c>
      <c r="E233" s="1">
        <v>0</v>
      </c>
      <c r="F233" s="1">
        <v>0</v>
      </c>
      <c r="G233" s="1">
        <v>0</v>
      </c>
      <c r="H233" s="1">
        <v>0</v>
      </c>
      <c r="I233" s="1">
        <v>0</v>
      </c>
      <c r="J233" s="1">
        <v>0</v>
      </c>
      <c r="K233" s="1">
        <v>0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0</v>
      </c>
      <c r="AD233" s="1">
        <v>0</v>
      </c>
      <c r="AE233" s="1">
        <v>0</v>
      </c>
      <c r="AF233" s="1">
        <v>0</v>
      </c>
      <c r="AG233" s="1">
        <v>0</v>
      </c>
      <c r="AH233" s="1">
        <v>0</v>
      </c>
      <c r="AI233" s="1">
        <v>0</v>
      </c>
      <c r="AJ233" s="1">
        <v>0</v>
      </c>
      <c r="AK233" s="1">
        <v>0</v>
      </c>
      <c r="AL233" s="1">
        <v>0</v>
      </c>
      <c r="AM233" s="1">
        <v>0</v>
      </c>
      <c r="AN233" s="1">
        <v>0</v>
      </c>
      <c r="AO233" s="1">
        <v>0</v>
      </c>
      <c r="AP233" s="1">
        <v>0</v>
      </c>
      <c r="AQ233" s="1">
        <v>0</v>
      </c>
      <c r="AR233" s="1">
        <v>0</v>
      </c>
      <c r="AS233" s="1">
        <v>0</v>
      </c>
      <c r="AT233" s="1">
        <v>0</v>
      </c>
      <c r="AU233" s="1">
        <v>0</v>
      </c>
      <c r="AV233" s="1">
        <v>0</v>
      </c>
      <c r="AW233" s="1">
        <v>0</v>
      </c>
      <c r="AX233" s="1">
        <v>0</v>
      </c>
      <c r="AY233" s="1">
        <v>0</v>
      </c>
      <c r="AZ233" s="1">
        <v>0</v>
      </c>
      <c r="BA233" s="1">
        <v>0</v>
      </c>
      <c r="BB233" s="1">
        <v>0</v>
      </c>
      <c r="BC233" s="1">
        <v>0</v>
      </c>
      <c r="BD233" s="1">
        <v>0</v>
      </c>
      <c r="BE233" s="1">
        <v>0</v>
      </c>
      <c r="BF233" s="1">
        <v>0</v>
      </c>
      <c r="BG233" s="1">
        <v>0</v>
      </c>
      <c r="BH233" s="1">
        <v>0</v>
      </c>
      <c r="BI233" s="1">
        <v>0</v>
      </c>
      <c r="BJ233" s="1">
        <v>0</v>
      </c>
      <c r="BK233" s="1">
        <v>0</v>
      </c>
      <c r="BL233" s="1">
        <v>0</v>
      </c>
    </row>
    <row r="234" spans="1:64" x14ac:dyDescent="0.25">
      <c r="A234" s="1" t="s">
        <v>64</v>
      </c>
      <c r="B234" s="1" t="s">
        <v>548</v>
      </c>
      <c r="C234" s="1">
        <v>0</v>
      </c>
      <c r="D234" s="1">
        <v>0</v>
      </c>
      <c r="E234" s="1">
        <v>0</v>
      </c>
      <c r="F234" s="1">
        <v>0</v>
      </c>
      <c r="G234" s="1">
        <v>0</v>
      </c>
      <c r="H234" s="1">
        <v>0</v>
      </c>
      <c r="I234" s="1">
        <v>0</v>
      </c>
      <c r="J234" s="1">
        <v>0</v>
      </c>
      <c r="K234" s="1">
        <v>0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>
        <v>0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0</v>
      </c>
      <c r="AD234" s="1">
        <v>0</v>
      </c>
      <c r="AE234" s="1">
        <v>0</v>
      </c>
      <c r="AF234" s="1">
        <v>0</v>
      </c>
      <c r="AG234" s="1">
        <v>0</v>
      </c>
      <c r="AH234" s="1">
        <v>0</v>
      </c>
      <c r="AI234" s="1">
        <v>0</v>
      </c>
      <c r="AJ234" s="1">
        <v>0</v>
      </c>
      <c r="AK234" s="1">
        <v>0</v>
      </c>
      <c r="AL234" s="1">
        <v>0</v>
      </c>
      <c r="AM234" s="1">
        <v>0</v>
      </c>
      <c r="AN234" s="1">
        <v>0</v>
      </c>
      <c r="AO234" s="1">
        <v>0</v>
      </c>
      <c r="AP234" s="1">
        <v>0</v>
      </c>
      <c r="AQ234" s="1">
        <v>0</v>
      </c>
      <c r="AR234" s="1">
        <v>0</v>
      </c>
      <c r="AS234" s="1">
        <v>0</v>
      </c>
      <c r="AT234" s="1">
        <v>0</v>
      </c>
      <c r="AU234" s="1">
        <v>0</v>
      </c>
      <c r="AV234" s="1">
        <v>0</v>
      </c>
      <c r="AW234" s="1">
        <v>0</v>
      </c>
      <c r="AX234" s="1">
        <v>0</v>
      </c>
      <c r="AY234" s="1">
        <v>0</v>
      </c>
      <c r="AZ234" s="1">
        <v>0</v>
      </c>
      <c r="BA234" s="1">
        <v>0</v>
      </c>
      <c r="BB234" s="1">
        <v>0</v>
      </c>
      <c r="BC234" s="1">
        <v>0</v>
      </c>
      <c r="BD234" s="1">
        <v>0</v>
      </c>
      <c r="BE234" s="1">
        <v>0</v>
      </c>
      <c r="BF234" s="1">
        <v>0</v>
      </c>
      <c r="BG234" s="1">
        <v>0</v>
      </c>
      <c r="BH234" s="1">
        <v>0</v>
      </c>
      <c r="BI234" s="1">
        <v>0</v>
      </c>
      <c r="BJ234" s="1">
        <v>0</v>
      </c>
      <c r="BK234" s="1">
        <v>1</v>
      </c>
      <c r="BL234" s="1">
        <v>2</v>
      </c>
    </row>
    <row r="235" spans="1:64" x14ac:dyDescent="0.25">
      <c r="A235" s="1" t="s">
        <v>64</v>
      </c>
      <c r="B235" s="1" t="s">
        <v>549</v>
      </c>
      <c r="C235" s="1">
        <v>0</v>
      </c>
      <c r="D235" s="1">
        <v>0</v>
      </c>
      <c r="E235" s="1">
        <v>0</v>
      </c>
      <c r="F235" s="1">
        <v>0</v>
      </c>
      <c r="G235" s="1">
        <v>0</v>
      </c>
      <c r="H235" s="1">
        <v>0</v>
      </c>
      <c r="I235" s="1">
        <v>0</v>
      </c>
      <c r="J235" s="1">
        <v>0</v>
      </c>
      <c r="K235" s="1">
        <v>0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>
        <v>0</v>
      </c>
      <c r="S235" s="1">
        <v>0</v>
      </c>
      <c r="T235" s="1">
        <v>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0</v>
      </c>
      <c r="AD235" s="1">
        <v>0</v>
      </c>
      <c r="AE235" s="1">
        <v>0</v>
      </c>
      <c r="AF235" s="1">
        <v>0</v>
      </c>
      <c r="AG235" s="1">
        <v>0</v>
      </c>
      <c r="AH235" s="1">
        <v>0</v>
      </c>
      <c r="AI235" s="1">
        <v>0</v>
      </c>
      <c r="AJ235" s="1">
        <v>0</v>
      </c>
      <c r="AK235" s="1">
        <v>0</v>
      </c>
      <c r="AL235" s="1">
        <v>0</v>
      </c>
      <c r="AM235" s="1">
        <v>0</v>
      </c>
      <c r="AN235" s="1">
        <v>0</v>
      </c>
      <c r="AO235" s="1">
        <v>0</v>
      </c>
      <c r="AP235" s="1">
        <v>0</v>
      </c>
      <c r="AQ235" s="1">
        <v>0</v>
      </c>
      <c r="AR235" s="1">
        <v>0</v>
      </c>
      <c r="AS235" s="1">
        <v>0</v>
      </c>
      <c r="AT235" s="1">
        <v>0</v>
      </c>
      <c r="AU235" s="1">
        <v>0</v>
      </c>
      <c r="AV235" s="1">
        <v>0</v>
      </c>
      <c r="AW235" s="1">
        <v>0</v>
      </c>
      <c r="AX235" s="1">
        <v>0</v>
      </c>
      <c r="AY235" s="1">
        <v>0</v>
      </c>
      <c r="AZ235" s="1">
        <v>0</v>
      </c>
      <c r="BA235" s="1">
        <v>0</v>
      </c>
      <c r="BB235" s="1">
        <v>0</v>
      </c>
      <c r="BC235" s="1">
        <v>0</v>
      </c>
      <c r="BD235" s="1">
        <v>0</v>
      </c>
      <c r="BE235" s="1">
        <v>0</v>
      </c>
      <c r="BF235" s="1">
        <v>0</v>
      </c>
      <c r="BG235" s="1">
        <v>0</v>
      </c>
      <c r="BH235" s="1">
        <v>0</v>
      </c>
      <c r="BI235" s="1">
        <v>0</v>
      </c>
      <c r="BJ235" s="1">
        <v>0</v>
      </c>
      <c r="BK235" s="1">
        <v>1</v>
      </c>
      <c r="BL235" s="1">
        <v>1</v>
      </c>
    </row>
    <row r="236" spans="1:64" x14ac:dyDescent="0.25">
      <c r="A236" s="1" t="s">
        <v>64</v>
      </c>
      <c r="B236" s="1" t="s">
        <v>550</v>
      </c>
      <c r="C236" s="1">
        <v>0</v>
      </c>
      <c r="D236" s="1">
        <v>0</v>
      </c>
      <c r="E236" s="1">
        <v>0</v>
      </c>
      <c r="F236" s="1">
        <v>0</v>
      </c>
      <c r="G236" s="1">
        <v>0</v>
      </c>
      <c r="H236" s="1">
        <v>0</v>
      </c>
      <c r="I236" s="1">
        <v>0</v>
      </c>
      <c r="J236" s="1">
        <v>0</v>
      </c>
      <c r="K236" s="1">
        <v>0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S236" s="1">
        <v>0</v>
      </c>
      <c r="T236" s="1">
        <v>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0</v>
      </c>
      <c r="AD236" s="1">
        <v>0</v>
      </c>
      <c r="AE236" s="1">
        <v>0</v>
      </c>
      <c r="AF236" s="1">
        <v>0</v>
      </c>
      <c r="AG236" s="1">
        <v>0</v>
      </c>
      <c r="AH236" s="1">
        <v>0</v>
      </c>
      <c r="AI236" s="1">
        <v>0</v>
      </c>
      <c r="AJ236" s="1">
        <v>0</v>
      </c>
      <c r="AK236" s="1">
        <v>0</v>
      </c>
      <c r="AL236" s="1">
        <v>0</v>
      </c>
      <c r="AM236" s="1">
        <v>0</v>
      </c>
      <c r="AN236" s="1">
        <v>0</v>
      </c>
      <c r="AO236" s="1">
        <v>0</v>
      </c>
      <c r="AP236" s="1">
        <v>0</v>
      </c>
      <c r="AQ236" s="1">
        <v>0</v>
      </c>
      <c r="AR236" s="1">
        <v>0</v>
      </c>
      <c r="AS236" s="1">
        <v>0</v>
      </c>
      <c r="AT236" s="1">
        <v>0</v>
      </c>
      <c r="AU236" s="1">
        <v>0</v>
      </c>
      <c r="AV236" s="1">
        <v>0</v>
      </c>
      <c r="AW236" s="1">
        <v>0</v>
      </c>
      <c r="AX236" s="1">
        <v>0</v>
      </c>
      <c r="AY236" s="1">
        <v>0</v>
      </c>
      <c r="AZ236" s="1">
        <v>0</v>
      </c>
      <c r="BA236" s="1">
        <v>0</v>
      </c>
      <c r="BB236" s="1">
        <v>0</v>
      </c>
      <c r="BC236" s="1">
        <v>0</v>
      </c>
      <c r="BD236" s="1">
        <v>0</v>
      </c>
      <c r="BE236" s="1">
        <v>0</v>
      </c>
      <c r="BF236" s="1">
        <v>0</v>
      </c>
      <c r="BG236" s="1">
        <v>0</v>
      </c>
      <c r="BH236" s="1">
        <v>0</v>
      </c>
      <c r="BI236" s="1">
        <v>0</v>
      </c>
      <c r="BJ236" s="1">
        <v>0</v>
      </c>
      <c r="BK236" s="1">
        <v>1</v>
      </c>
      <c r="BL236" s="1">
        <v>1</v>
      </c>
    </row>
    <row r="237" spans="1:64" x14ac:dyDescent="0.25">
      <c r="A237" s="1" t="s">
        <v>64</v>
      </c>
      <c r="B237" s="1" t="s">
        <v>551</v>
      </c>
      <c r="C237" s="1">
        <v>0</v>
      </c>
      <c r="D237" s="1">
        <v>0</v>
      </c>
      <c r="E237" s="1">
        <v>0</v>
      </c>
      <c r="F237" s="1">
        <v>0</v>
      </c>
      <c r="G237" s="1">
        <v>0</v>
      </c>
      <c r="H237" s="1">
        <v>0</v>
      </c>
      <c r="I237" s="1">
        <v>0</v>
      </c>
      <c r="J237" s="1">
        <v>0</v>
      </c>
      <c r="K237" s="1">
        <v>0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>
        <v>0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0</v>
      </c>
      <c r="AD237" s="1">
        <v>0</v>
      </c>
      <c r="AE237" s="1">
        <v>0</v>
      </c>
      <c r="AF237" s="1">
        <v>0</v>
      </c>
      <c r="AG237" s="1">
        <v>0</v>
      </c>
      <c r="AH237" s="1">
        <v>0</v>
      </c>
      <c r="AI237" s="1">
        <v>0</v>
      </c>
      <c r="AJ237" s="1">
        <v>0</v>
      </c>
      <c r="AK237" s="1">
        <v>0</v>
      </c>
      <c r="AL237" s="1">
        <v>0</v>
      </c>
      <c r="AM237" s="1">
        <v>0</v>
      </c>
      <c r="AN237" s="1">
        <v>0</v>
      </c>
      <c r="AO237" s="1">
        <v>0</v>
      </c>
      <c r="AP237" s="1">
        <v>0</v>
      </c>
      <c r="AQ237" s="1">
        <v>0</v>
      </c>
      <c r="AR237" s="1">
        <v>0</v>
      </c>
      <c r="AS237" s="1">
        <v>0</v>
      </c>
      <c r="AT237" s="1">
        <v>0</v>
      </c>
      <c r="AU237" s="1">
        <v>0</v>
      </c>
      <c r="AV237" s="1">
        <v>0</v>
      </c>
      <c r="AW237" s="1">
        <v>0</v>
      </c>
      <c r="AX237" s="1">
        <v>0</v>
      </c>
      <c r="AY237" s="1">
        <v>0</v>
      </c>
      <c r="AZ237" s="1">
        <v>0</v>
      </c>
      <c r="BA237" s="1">
        <v>0</v>
      </c>
      <c r="BB237" s="1">
        <v>0</v>
      </c>
      <c r="BC237" s="1">
        <v>0</v>
      </c>
      <c r="BD237" s="1">
        <v>0</v>
      </c>
      <c r="BE237" s="1">
        <v>0</v>
      </c>
      <c r="BF237" s="1">
        <v>0</v>
      </c>
      <c r="BG237" s="1">
        <v>0</v>
      </c>
      <c r="BH237" s="1">
        <v>0</v>
      </c>
      <c r="BI237" s="1">
        <v>0</v>
      </c>
      <c r="BJ237" s="1">
        <v>0</v>
      </c>
      <c r="BK237" s="1">
        <v>1</v>
      </c>
      <c r="BL237" s="1">
        <v>1</v>
      </c>
    </row>
    <row r="238" spans="1:64" x14ac:dyDescent="0.25">
      <c r="A238" s="1" t="s">
        <v>64</v>
      </c>
      <c r="B238" s="1" t="s">
        <v>552</v>
      </c>
      <c r="C238" s="1">
        <v>0</v>
      </c>
      <c r="D238" s="1">
        <v>0</v>
      </c>
      <c r="E238" s="1">
        <v>0</v>
      </c>
      <c r="F238" s="1">
        <v>0</v>
      </c>
      <c r="G238" s="1">
        <v>0</v>
      </c>
      <c r="H238" s="1">
        <v>0</v>
      </c>
      <c r="I238" s="1">
        <v>0</v>
      </c>
      <c r="J238" s="1">
        <v>0</v>
      </c>
      <c r="K238" s="1">
        <v>0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>
        <v>0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0</v>
      </c>
      <c r="AE238" s="1">
        <v>0</v>
      </c>
      <c r="AF238" s="1">
        <v>0</v>
      </c>
      <c r="AG238" s="1">
        <v>0</v>
      </c>
      <c r="AH238" s="1">
        <v>0</v>
      </c>
      <c r="AI238" s="1">
        <v>0</v>
      </c>
      <c r="AJ238" s="1">
        <v>0</v>
      </c>
      <c r="AK238" s="1">
        <v>0</v>
      </c>
      <c r="AL238" s="1">
        <v>0</v>
      </c>
      <c r="AM238" s="1">
        <v>0</v>
      </c>
      <c r="AN238" s="1">
        <v>0</v>
      </c>
      <c r="AO238" s="1">
        <v>0</v>
      </c>
      <c r="AP238" s="1">
        <v>0</v>
      </c>
      <c r="AQ238" s="1">
        <v>0</v>
      </c>
      <c r="AR238" s="1">
        <v>0</v>
      </c>
      <c r="AS238" s="1">
        <v>0</v>
      </c>
      <c r="AT238" s="1">
        <v>0</v>
      </c>
      <c r="AU238" s="1">
        <v>0</v>
      </c>
      <c r="AV238" s="1">
        <v>0</v>
      </c>
      <c r="AW238" s="1">
        <v>0</v>
      </c>
      <c r="AX238" s="1">
        <v>0</v>
      </c>
      <c r="AY238" s="1">
        <v>0</v>
      </c>
      <c r="AZ238" s="1">
        <v>0</v>
      </c>
      <c r="BA238" s="1">
        <v>0</v>
      </c>
      <c r="BB238" s="1">
        <v>0</v>
      </c>
      <c r="BC238" s="1">
        <v>0</v>
      </c>
      <c r="BD238" s="1">
        <v>0</v>
      </c>
      <c r="BE238" s="1">
        <v>0</v>
      </c>
      <c r="BF238" s="1">
        <v>0</v>
      </c>
      <c r="BG238" s="1">
        <v>0</v>
      </c>
      <c r="BH238" s="1">
        <v>0</v>
      </c>
      <c r="BI238" s="1">
        <v>0</v>
      </c>
      <c r="BJ238" s="1">
        <v>0</v>
      </c>
      <c r="BK238" s="1">
        <v>1</v>
      </c>
      <c r="BL238" s="1">
        <v>1</v>
      </c>
    </row>
    <row r="239" spans="1:64" x14ac:dyDescent="0.25">
      <c r="A239" s="1" t="s">
        <v>64</v>
      </c>
      <c r="B239" s="1" t="s">
        <v>651</v>
      </c>
      <c r="C239" s="1">
        <v>0</v>
      </c>
      <c r="D239" s="1">
        <v>0</v>
      </c>
      <c r="E239" s="1">
        <v>0</v>
      </c>
      <c r="F239" s="1">
        <v>0</v>
      </c>
      <c r="G239" s="1">
        <v>0</v>
      </c>
      <c r="H239" s="1">
        <v>0</v>
      </c>
      <c r="I239" s="1">
        <v>0</v>
      </c>
      <c r="J239" s="1">
        <v>0</v>
      </c>
      <c r="K239" s="1">
        <v>0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>
        <v>0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0</v>
      </c>
      <c r="AD239" s="1">
        <v>0</v>
      </c>
      <c r="AE239" s="1">
        <v>0</v>
      </c>
      <c r="AF239" s="1">
        <v>0</v>
      </c>
      <c r="AG239" s="1">
        <v>0</v>
      </c>
      <c r="AH239" s="1">
        <v>0</v>
      </c>
      <c r="AI239" s="1">
        <v>0</v>
      </c>
      <c r="AJ239" s="1">
        <v>0</v>
      </c>
      <c r="AK239" s="1">
        <v>0</v>
      </c>
      <c r="AL239" s="1">
        <v>0</v>
      </c>
      <c r="AM239" s="1">
        <v>0</v>
      </c>
      <c r="AN239" s="1">
        <v>0</v>
      </c>
      <c r="AO239" s="1">
        <v>0</v>
      </c>
      <c r="AP239" s="1">
        <v>0</v>
      </c>
      <c r="AQ239" s="1">
        <v>0</v>
      </c>
      <c r="AR239" s="1">
        <v>0</v>
      </c>
      <c r="AS239" s="1">
        <v>0</v>
      </c>
      <c r="AT239" s="1">
        <v>0</v>
      </c>
      <c r="AU239" s="1">
        <v>0</v>
      </c>
      <c r="AV239" s="1">
        <v>0</v>
      </c>
      <c r="AW239" s="1">
        <v>0</v>
      </c>
      <c r="AX239" s="1">
        <v>0</v>
      </c>
      <c r="AY239" s="1">
        <v>0</v>
      </c>
      <c r="AZ239" s="1">
        <v>0</v>
      </c>
      <c r="BA239" s="1">
        <v>0</v>
      </c>
      <c r="BB239" s="1">
        <v>0</v>
      </c>
      <c r="BC239" s="1">
        <v>0</v>
      </c>
      <c r="BD239" s="1">
        <v>0</v>
      </c>
      <c r="BE239" s="1">
        <v>0</v>
      </c>
      <c r="BF239" s="1">
        <v>0</v>
      </c>
      <c r="BG239" s="1">
        <v>0</v>
      </c>
      <c r="BH239" s="1">
        <v>0</v>
      </c>
      <c r="BI239" s="1">
        <v>0</v>
      </c>
      <c r="BJ239" s="1">
        <v>0</v>
      </c>
      <c r="BK239" s="1">
        <v>0</v>
      </c>
      <c r="BL239" s="1">
        <v>1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F4AC5-B6CE-440B-A6CA-45413F000EA7}">
  <sheetPr codeName="Tabelle3"/>
  <dimension ref="A1:BL239"/>
  <sheetViews>
    <sheetView workbookViewId="0">
      <selection sqref="A1:BK502"/>
    </sheetView>
  </sheetViews>
  <sheetFormatPr baseColWidth="10" defaultRowHeight="15" x14ac:dyDescent="0.25"/>
  <cols>
    <col min="1" max="1" width="26.5703125" bestFit="1" customWidth="1"/>
    <col min="2" max="2" width="30.85546875" bestFit="1" customWidth="1"/>
    <col min="3" max="12" width="10" bestFit="1" customWidth="1"/>
    <col min="13" max="21" width="9" bestFit="1" customWidth="1"/>
    <col min="22" max="41" width="10" bestFit="1" customWidth="1"/>
    <col min="42" max="50" width="9" bestFit="1" customWidth="1"/>
    <col min="51" max="63" width="10" bestFit="1" customWidth="1"/>
    <col min="64" max="64" width="10" customWidth="1"/>
  </cols>
  <sheetData>
    <row r="1" spans="1:64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  <c r="BL1" t="s">
        <v>648</v>
      </c>
    </row>
    <row r="2" spans="1:64" x14ac:dyDescent="0.25">
      <c r="A2" s="1" t="s">
        <v>64</v>
      </c>
      <c r="B2" s="1" t="s">
        <v>92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1</v>
      </c>
      <c r="BL2">
        <v>1</v>
      </c>
    </row>
    <row r="3" spans="1:64" x14ac:dyDescent="0.25">
      <c r="A3" s="1" t="s">
        <v>64</v>
      </c>
      <c r="B3" s="1" t="s">
        <v>161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1</v>
      </c>
      <c r="BA3" s="1">
        <v>1</v>
      </c>
      <c r="BB3" s="1">
        <v>1</v>
      </c>
      <c r="BC3" s="1">
        <v>1</v>
      </c>
      <c r="BD3" s="1">
        <v>1</v>
      </c>
      <c r="BE3" s="1">
        <v>1</v>
      </c>
      <c r="BF3" s="1">
        <v>1</v>
      </c>
      <c r="BG3" s="1">
        <v>2</v>
      </c>
      <c r="BH3" s="1">
        <v>2</v>
      </c>
      <c r="BI3" s="1">
        <v>2</v>
      </c>
      <c r="BJ3" s="1">
        <v>2</v>
      </c>
      <c r="BK3" s="1">
        <v>2</v>
      </c>
      <c r="BL3">
        <v>4</v>
      </c>
    </row>
    <row r="4" spans="1:64" x14ac:dyDescent="0.25">
      <c r="A4" s="1" t="s">
        <v>64</v>
      </c>
      <c r="B4" s="1" t="s">
        <v>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1</v>
      </c>
      <c r="BB4">
        <v>2</v>
      </c>
      <c r="BC4">
        <v>3</v>
      </c>
      <c r="BD4">
        <v>4</v>
      </c>
      <c r="BE4">
        <v>4</v>
      </c>
      <c r="BF4">
        <v>4</v>
      </c>
      <c r="BG4">
        <v>7</v>
      </c>
      <c r="BH4">
        <v>9</v>
      </c>
      <c r="BI4">
        <v>11</v>
      </c>
      <c r="BJ4">
        <v>15</v>
      </c>
      <c r="BK4">
        <v>17</v>
      </c>
      <c r="BL4">
        <v>17</v>
      </c>
    </row>
    <row r="5" spans="1:64" x14ac:dyDescent="0.25">
      <c r="A5" s="1" t="s">
        <v>64</v>
      </c>
      <c r="B5" s="1" t="s">
        <v>126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1</v>
      </c>
      <c r="BL5">
        <v>1</v>
      </c>
    </row>
    <row r="6" spans="1:64" x14ac:dyDescent="0.25">
      <c r="A6" s="1" t="s">
        <v>64</v>
      </c>
      <c r="B6" s="1" t="s">
        <v>536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</row>
    <row r="7" spans="1:64" x14ac:dyDescent="0.25">
      <c r="A7" s="1" t="s">
        <v>64</v>
      </c>
      <c r="B7" s="1" t="s">
        <v>479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</row>
    <row r="8" spans="1:64" x14ac:dyDescent="0.25">
      <c r="A8" s="1" t="s">
        <v>64</v>
      </c>
      <c r="B8" s="1" t="s">
        <v>132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1</v>
      </c>
      <c r="AX8">
        <v>1</v>
      </c>
      <c r="AY8">
        <v>1</v>
      </c>
      <c r="AZ8">
        <v>1</v>
      </c>
      <c r="BA8">
        <v>1</v>
      </c>
      <c r="BB8">
        <v>2</v>
      </c>
      <c r="BC8">
        <v>2</v>
      </c>
      <c r="BD8">
        <v>2</v>
      </c>
      <c r="BE8">
        <v>2</v>
      </c>
      <c r="BF8">
        <v>2</v>
      </c>
      <c r="BG8">
        <v>2</v>
      </c>
      <c r="BH8">
        <v>3</v>
      </c>
      <c r="BI8">
        <v>3</v>
      </c>
      <c r="BJ8">
        <v>4</v>
      </c>
      <c r="BK8">
        <v>4</v>
      </c>
      <c r="BL8">
        <v>4</v>
      </c>
    </row>
    <row r="9" spans="1:64" x14ac:dyDescent="0.25">
      <c r="A9" s="1" t="s">
        <v>64</v>
      </c>
      <c r="B9" s="1" t="s">
        <v>122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</row>
    <row r="10" spans="1:64" x14ac:dyDescent="0.25">
      <c r="A10" s="1" t="s">
        <v>470</v>
      </c>
      <c r="B10" s="1" t="s">
        <v>72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</row>
    <row r="11" spans="1:64" x14ac:dyDescent="0.25">
      <c r="A11" s="1" t="s">
        <v>71</v>
      </c>
      <c r="B11" s="1" t="s">
        <v>72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1</v>
      </c>
      <c r="AT11">
        <v>1</v>
      </c>
      <c r="AU11">
        <v>1</v>
      </c>
      <c r="AV11">
        <v>1</v>
      </c>
      <c r="AW11">
        <v>2</v>
      </c>
      <c r="AX11">
        <v>2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4</v>
      </c>
      <c r="BG11">
        <v>5</v>
      </c>
      <c r="BH11">
        <v>5</v>
      </c>
      <c r="BI11">
        <v>6</v>
      </c>
      <c r="BJ11">
        <v>6</v>
      </c>
      <c r="BK11">
        <v>6</v>
      </c>
      <c r="BL11">
        <v>6</v>
      </c>
    </row>
    <row r="12" spans="1:64" x14ac:dyDescent="0.25">
      <c r="A12" s="1" t="s">
        <v>137</v>
      </c>
      <c r="B12" s="1" t="s">
        <v>72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</row>
    <row r="13" spans="1:64" x14ac:dyDescent="0.25">
      <c r="A13" s="1" t="s">
        <v>74</v>
      </c>
      <c r="B13" s="1" t="s">
        <v>72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</row>
    <row r="14" spans="1:64" x14ac:dyDescent="0.25">
      <c r="A14" s="1" t="s">
        <v>85</v>
      </c>
      <c r="B14" s="1" t="s">
        <v>72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</row>
    <row r="15" spans="1:64" x14ac:dyDescent="0.25">
      <c r="A15" s="1" t="s">
        <v>127</v>
      </c>
      <c r="B15" s="1" t="s">
        <v>72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</row>
    <row r="16" spans="1:64" x14ac:dyDescent="0.25">
      <c r="A16" s="1" t="s">
        <v>73</v>
      </c>
      <c r="B16" s="1" t="s">
        <v>72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</row>
    <row r="17" spans="1:64" x14ac:dyDescent="0.25">
      <c r="A17" s="1" t="s">
        <v>115</v>
      </c>
      <c r="B17" s="1" t="s">
        <v>72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</row>
    <row r="18" spans="1:64" x14ac:dyDescent="0.25">
      <c r="A18" s="1" t="s">
        <v>64</v>
      </c>
      <c r="B18" s="1" t="s">
        <v>98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1</v>
      </c>
      <c r="BB18">
        <v>1</v>
      </c>
      <c r="BC18">
        <v>1</v>
      </c>
      <c r="BD18">
        <v>1</v>
      </c>
      <c r="BE18">
        <v>3</v>
      </c>
      <c r="BF18">
        <v>3</v>
      </c>
      <c r="BG18">
        <v>4</v>
      </c>
      <c r="BH18">
        <v>6</v>
      </c>
      <c r="BI18">
        <v>6</v>
      </c>
      <c r="BJ18">
        <v>8</v>
      </c>
      <c r="BK18">
        <v>16</v>
      </c>
      <c r="BL18">
        <v>21</v>
      </c>
    </row>
    <row r="19" spans="1:64" x14ac:dyDescent="0.25">
      <c r="A19" s="1" t="s">
        <v>64</v>
      </c>
      <c r="B19" s="1" t="s">
        <v>121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</row>
    <row r="20" spans="1:64" x14ac:dyDescent="0.25">
      <c r="A20" s="1" t="s">
        <v>64</v>
      </c>
      <c r="B20" s="1" t="s">
        <v>649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</row>
    <row r="21" spans="1:64" x14ac:dyDescent="0.25">
      <c r="A21" s="1" t="s">
        <v>64</v>
      </c>
      <c r="B21" s="1" t="s">
        <v>93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1</v>
      </c>
      <c r="BF21">
        <v>1</v>
      </c>
      <c r="BG21">
        <v>1</v>
      </c>
      <c r="BH21">
        <v>1</v>
      </c>
      <c r="BI21">
        <v>1</v>
      </c>
      <c r="BJ21">
        <v>1</v>
      </c>
      <c r="BK21">
        <v>2</v>
      </c>
      <c r="BL21">
        <v>2</v>
      </c>
    </row>
    <row r="22" spans="1:64" x14ac:dyDescent="0.25">
      <c r="A22" s="1" t="s">
        <v>64</v>
      </c>
      <c r="B22" s="1" t="s">
        <v>156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1</v>
      </c>
      <c r="BI22">
        <v>1</v>
      </c>
      <c r="BJ22">
        <v>2</v>
      </c>
      <c r="BK22">
        <v>2</v>
      </c>
      <c r="BL22">
        <v>3</v>
      </c>
    </row>
    <row r="23" spans="1:64" x14ac:dyDescent="0.25">
      <c r="A23" s="1" t="s">
        <v>64</v>
      </c>
      <c r="B23" s="1" t="s">
        <v>517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</row>
    <row r="24" spans="1:64" x14ac:dyDescent="0.25">
      <c r="A24" s="1" t="s">
        <v>64</v>
      </c>
      <c r="B24" s="1" t="s">
        <v>109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</row>
    <row r="25" spans="1:64" x14ac:dyDescent="0.25">
      <c r="A25" s="1" t="s">
        <v>64</v>
      </c>
      <c r="B25" s="1" t="s">
        <v>86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3</v>
      </c>
      <c r="BA25">
        <v>3</v>
      </c>
      <c r="BB25">
        <v>3</v>
      </c>
      <c r="BC25">
        <v>4</v>
      </c>
      <c r="BD25">
        <v>4</v>
      </c>
      <c r="BE25">
        <v>5</v>
      </c>
      <c r="BF25">
        <v>10</v>
      </c>
      <c r="BG25">
        <v>14</v>
      </c>
      <c r="BH25">
        <v>21</v>
      </c>
      <c r="BI25">
        <v>37</v>
      </c>
      <c r="BJ25">
        <v>67</v>
      </c>
      <c r="BK25">
        <v>75</v>
      </c>
      <c r="BL25">
        <v>88</v>
      </c>
    </row>
    <row r="26" spans="1:64" x14ac:dyDescent="0.25">
      <c r="A26" s="1" t="s">
        <v>64</v>
      </c>
      <c r="B26" s="1" t="s">
        <v>509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</row>
    <row r="27" spans="1:64" x14ac:dyDescent="0.25">
      <c r="A27" s="1" t="s">
        <v>64</v>
      </c>
      <c r="B27" s="1" t="s">
        <v>144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</row>
    <row r="28" spans="1:64" x14ac:dyDescent="0.25">
      <c r="A28" s="1" t="s">
        <v>64</v>
      </c>
      <c r="B28" s="1" t="s">
        <v>263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</row>
    <row r="29" spans="1:64" x14ac:dyDescent="0.25">
      <c r="A29" s="1" t="s">
        <v>64</v>
      </c>
      <c r="B29" s="1" t="s">
        <v>141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1</v>
      </c>
      <c r="BK29">
        <v>1</v>
      </c>
      <c r="BL29">
        <v>1</v>
      </c>
    </row>
    <row r="30" spans="1:64" x14ac:dyDescent="0.25">
      <c r="A30" s="1" t="s">
        <v>64</v>
      </c>
      <c r="B30" s="1" t="s">
        <v>101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3</v>
      </c>
      <c r="BH30">
        <v>6</v>
      </c>
      <c r="BI30">
        <v>11</v>
      </c>
      <c r="BJ30">
        <v>15</v>
      </c>
      <c r="BK30">
        <v>25</v>
      </c>
      <c r="BL30">
        <v>34</v>
      </c>
    </row>
    <row r="31" spans="1:64" x14ac:dyDescent="0.25">
      <c r="A31" s="1" t="s">
        <v>64</v>
      </c>
      <c r="B31" s="1" t="s">
        <v>163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</row>
    <row r="32" spans="1:64" x14ac:dyDescent="0.25">
      <c r="A32" s="1" t="s">
        <v>64</v>
      </c>
      <c r="B32" s="1" t="s">
        <v>154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1</v>
      </c>
      <c r="BA32">
        <v>1</v>
      </c>
      <c r="BB32">
        <v>1</v>
      </c>
      <c r="BC32">
        <v>2</v>
      </c>
      <c r="BD32">
        <v>2</v>
      </c>
      <c r="BE32">
        <v>2</v>
      </c>
      <c r="BF32">
        <v>2</v>
      </c>
      <c r="BG32">
        <v>2</v>
      </c>
      <c r="BH32">
        <v>3</v>
      </c>
      <c r="BI32">
        <v>3</v>
      </c>
      <c r="BJ32">
        <v>3</v>
      </c>
      <c r="BK32">
        <v>3</v>
      </c>
      <c r="BL32">
        <v>3</v>
      </c>
    </row>
    <row r="33" spans="1:64" x14ac:dyDescent="0.25">
      <c r="A33" s="1" t="s">
        <v>64</v>
      </c>
      <c r="B33" s="1" t="s">
        <v>199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1</v>
      </c>
      <c r="BH33">
        <v>1</v>
      </c>
      <c r="BI33">
        <v>1</v>
      </c>
      <c r="BJ33">
        <v>2</v>
      </c>
      <c r="BK33">
        <v>4</v>
      </c>
      <c r="BL33">
        <v>4</v>
      </c>
    </row>
    <row r="34" spans="1:64" x14ac:dyDescent="0.25">
      <c r="A34" s="1" t="s">
        <v>64</v>
      </c>
      <c r="B34" s="1" t="s">
        <v>537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</row>
    <row r="35" spans="1:64" x14ac:dyDescent="0.25">
      <c r="A35" s="1" t="s">
        <v>64</v>
      </c>
      <c r="B35" s="1" t="s">
        <v>75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</row>
    <row r="36" spans="1:64" x14ac:dyDescent="0.25">
      <c r="A36" s="1" t="s">
        <v>64</v>
      </c>
      <c r="B36" s="1" t="s">
        <v>145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</row>
    <row r="37" spans="1:64" x14ac:dyDescent="0.25">
      <c r="A37" s="1" t="s">
        <v>159</v>
      </c>
      <c r="B37" s="1" t="s">
        <v>70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1</v>
      </c>
      <c r="BJ37">
        <v>1</v>
      </c>
      <c r="BK37">
        <v>1</v>
      </c>
      <c r="BL37">
        <v>1</v>
      </c>
    </row>
    <row r="38" spans="1:64" x14ac:dyDescent="0.25">
      <c r="A38" s="1" t="s">
        <v>69</v>
      </c>
      <c r="B38" s="1" t="s">
        <v>70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1</v>
      </c>
      <c r="AY38">
        <v>1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4</v>
      </c>
      <c r="BF38">
        <v>4</v>
      </c>
      <c r="BG38">
        <v>7</v>
      </c>
      <c r="BH38">
        <v>7</v>
      </c>
      <c r="BI38">
        <v>8</v>
      </c>
      <c r="BJ38">
        <v>10</v>
      </c>
      <c r="BK38">
        <v>10</v>
      </c>
      <c r="BL38">
        <v>13</v>
      </c>
    </row>
    <row r="39" spans="1:64" x14ac:dyDescent="0.25">
      <c r="A39" s="1" t="s">
        <v>170</v>
      </c>
      <c r="B39" s="1" t="s">
        <v>70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</row>
    <row r="40" spans="1:64" x14ac:dyDescent="0.25">
      <c r="A40" s="1" t="s">
        <v>473</v>
      </c>
      <c r="B40" s="1" t="s">
        <v>70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</row>
    <row r="41" spans="1:64" x14ac:dyDescent="0.25">
      <c r="A41" s="1" t="s">
        <v>269</v>
      </c>
      <c r="B41" s="1" t="s">
        <v>70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</row>
    <row r="42" spans="1:64" x14ac:dyDescent="0.25">
      <c r="A42" s="1" t="s">
        <v>499</v>
      </c>
      <c r="B42" s="1" t="s">
        <v>70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</row>
    <row r="43" spans="1:64" x14ac:dyDescent="0.25">
      <c r="A43" s="1" t="s">
        <v>507</v>
      </c>
      <c r="B43" s="1" t="s">
        <v>70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</row>
    <row r="44" spans="1:64" x14ac:dyDescent="0.25">
      <c r="A44" s="1" t="s">
        <v>158</v>
      </c>
      <c r="B44" s="1" t="s">
        <v>70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1</v>
      </c>
      <c r="BG44">
        <v>1</v>
      </c>
      <c r="BH44">
        <v>1</v>
      </c>
      <c r="BI44">
        <v>2</v>
      </c>
      <c r="BJ44">
        <v>3</v>
      </c>
      <c r="BK44">
        <v>5</v>
      </c>
      <c r="BL44">
        <v>6</v>
      </c>
    </row>
    <row r="45" spans="1:64" x14ac:dyDescent="0.25">
      <c r="A45" s="1" t="s">
        <v>500</v>
      </c>
      <c r="B45" s="1" t="s">
        <v>70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</row>
    <row r="46" spans="1:64" x14ac:dyDescent="0.25">
      <c r="A46" s="1" t="s">
        <v>160</v>
      </c>
      <c r="B46" s="1" t="s">
        <v>70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1</v>
      </c>
      <c r="BI46">
        <v>1</v>
      </c>
      <c r="BJ46">
        <v>5</v>
      </c>
      <c r="BK46">
        <v>4</v>
      </c>
      <c r="BL46">
        <v>4</v>
      </c>
    </row>
    <row r="47" spans="1:64" x14ac:dyDescent="0.25">
      <c r="A47" s="1" t="s">
        <v>474</v>
      </c>
      <c r="B47" s="1" t="s">
        <v>70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</row>
    <row r="48" spans="1:64" x14ac:dyDescent="0.25">
      <c r="A48" s="1" t="s">
        <v>64</v>
      </c>
      <c r="B48" s="1" t="s">
        <v>501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</row>
    <row r="49" spans="1:64" x14ac:dyDescent="0.25">
      <c r="A49" s="1" t="s">
        <v>64</v>
      </c>
      <c r="B49" s="1" t="s">
        <v>530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</row>
    <row r="50" spans="1:64" x14ac:dyDescent="0.25">
      <c r="A50" s="1" t="s">
        <v>64</v>
      </c>
      <c r="B50" s="1" t="s">
        <v>133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1</v>
      </c>
      <c r="BL50">
        <v>2</v>
      </c>
    </row>
    <row r="51" spans="1:64" x14ac:dyDescent="0.25">
      <c r="A51" s="1" t="s">
        <v>229</v>
      </c>
      <c r="B51" s="1" t="s">
        <v>221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1</v>
      </c>
      <c r="V51">
        <v>3</v>
      </c>
      <c r="W51">
        <v>4</v>
      </c>
      <c r="X51">
        <v>4</v>
      </c>
      <c r="Y51">
        <v>5</v>
      </c>
      <c r="Z51">
        <v>6</v>
      </c>
      <c r="AA51">
        <v>6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</row>
    <row r="52" spans="1:64" x14ac:dyDescent="0.25">
      <c r="A52" s="1" t="s">
        <v>238</v>
      </c>
      <c r="B52" s="1" t="s">
        <v>221</v>
      </c>
      <c r="C52">
        <v>0</v>
      </c>
      <c r="D52">
        <v>0</v>
      </c>
      <c r="E52">
        <v>0</v>
      </c>
      <c r="F52">
        <v>0</v>
      </c>
      <c r="G52">
        <v>0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2</v>
      </c>
      <c r="U52">
        <v>2</v>
      </c>
      <c r="V52">
        <v>2</v>
      </c>
      <c r="W52">
        <v>3</v>
      </c>
      <c r="X52">
        <v>3</v>
      </c>
      <c r="Y52">
        <v>3</v>
      </c>
      <c r="Z52">
        <v>3</v>
      </c>
      <c r="AA52">
        <v>4</v>
      </c>
      <c r="AB52">
        <v>4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5</v>
      </c>
      <c r="AN52">
        <v>7</v>
      </c>
      <c r="AO52">
        <v>8</v>
      </c>
      <c r="AP52">
        <v>8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</row>
    <row r="53" spans="1:64" x14ac:dyDescent="0.25">
      <c r="A53" s="1" t="s">
        <v>234</v>
      </c>
      <c r="B53" s="1" t="s">
        <v>221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1</v>
      </c>
      <c r="N53">
        <v>2</v>
      </c>
      <c r="O53">
        <v>2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3</v>
      </c>
      <c r="X53">
        <v>3</v>
      </c>
      <c r="Y53">
        <v>4</v>
      </c>
      <c r="Z53">
        <v>5</v>
      </c>
      <c r="AA53">
        <v>5</v>
      </c>
      <c r="AB53">
        <v>5</v>
      </c>
      <c r="AC53">
        <v>5</v>
      </c>
      <c r="AD53">
        <v>5</v>
      </c>
      <c r="AE53">
        <v>5</v>
      </c>
      <c r="AF53">
        <v>6</v>
      </c>
      <c r="AG53">
        <v>6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</row>
    <row r="54" spans="1:64" x14ac:dyDescent="0.25">
      <c r="A54" s="1" t="s">
        <v>241</v>
      </c>
      <c r="B54" s="1" t="s">
        <v>221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1</v>
      </c>
      <c r="AG54">
        <v>1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</row>
    <row r="55" spans="1:64" x14ac:dyDescent="0.25">
      <c r="A55" s="1" t="s">
        <v>249</v>
      </c>
      <c r="B55" s="1" t="s">
        <v>221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1</v>
      </c>
      <c r="U55">
        <v>2</v>
      </c>
      <c r="V55">
        <v>2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</row>
    <row r="56" spans="1:64" x14ac:dyDescent="0.25">
      <c r="A56" s="1" t="s">
        <v>225</v>
      </c>
      <c r="B56" s="1" t="s">
        <v>221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2</v>
      </c>
      <c r="Z56">
        <v>2</v>
      </c>
      <c r="AA56">
        <v>2</v>
      </c>
      <c r="AB56">
        <v>2</v>
      </c>
      <c r="AC56">
        <v>4</v>
      </c>
      <c r="AD56">
        <v>4</v>
      </c>
      <c r="AE56">
        <v>5</v>
      </c>
      <c r="AF56">
        <v>5</v>
      </c>
      <c r="AG56">
        <v>5</v>
      </c>
      <c r="AH56">
        <v>5</v>
      </c>
      <c r="AI56">
        <v>6</v>
      </c>
      <c r="AJ56">
        <v>6</v>
      </c>
      <c r="AK56">
        <v>7</v>
      </c>
      <c r="AL56">
        <v>7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8</v>
      </c>
      <c r="AY56">
        <v>8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</row>
    <row r="57" spans="1:64" x14ac:dyDescent="0.25">
      <c r="A57" s="1" t="s">
        <v>242</v>
      </c>
      <c r="B57" s="1" t="s">
        <v>221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1</v>
      </c>
      <c r="V57">
        <v>1</v>
      </c>
      <c r="W57">
        <v>1</v>
      </c>
      <c r="X57">
        <v>1</v>
      </c>
      <c r="Y57">
        <v>2</v>
      </c>
      <c r="Z57">
        <v>2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</row>
    <row r="58" spans="1:64" x14ac:dyDescent="0.25">
      <c r="A58" s="1" t="s">
        <v>246</v>
      </c>
      <c r="B58" s="1" t="s">
        <v>221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2</v>
      </c>
      <c r="AE58">
        <v>2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</row>
    <row r="59" spans="1:64" x14ac:dyDescent="0.25">
      <c r="A59" s="1" t="s">
        <v>245</v>
      </c>
      <c r="B59" s="1" t="s">
        <v>221</v>
      </c>
      <c r="C59">
        <v>0</v>
      </c>
      <c r="D59">
        <v>0</v>
      </c>
      <c r="E59">
        <v>0</v>
      </c>
      <c r="F59">
        <v>0</v>
      </c>
      <c r="G59">
        <v>0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2</v>
      </c>
      <c r="T59">
        <v>2</v>
      </c>
      <c r="U59">
        <v>3</v>
      </c>
      <c r="V59">
        <v>3</v>
      </c>
      <c r="W59">
        <v>3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5</v>
      </c>
      <c r="AJ59">
        <v>5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6</v>
      </c>
      <c r="AU59">
        <v>6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</row>
    <row r="60" spans="1:64" x14ac:dyDescent="0.25">
      <c r="A60" s="1" t="s">
        <v>240</v>
      </c>
      <c r="B60" s="1" t="s">
        <v>221</v>
      </c>
      <c r="C60">
        <v>0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2</v>
      </c>
      <c r="V60">
        <v>2</v>
      </c>
      <c r="W60">
        <v>2</v>
      </c>
      <c r="X60">
        <v>2</v>
      </c>
      <c r="Y60">
        <v>3</v>
      </c>
      <c r="Z60">
        <v>3</v>
      </c>
      <c r="AA60">
        <v>3</v>
      </c>
      <c r="AB60">
        <v>3</v>
      </c>
      <c r="AC60">
        <v>3</v>
      </c>
      <c r="AD60">
        <v>4</v>
      </c>
      <c r="AE60">
        <v>4</v>
      </c>
      <c r="AF60">
        <v>5</v>
      </c>
      <c r="AG60">
        <v>5</v>
      </c>
      <c r="AH60">
        <v>6</v>
      </c>
      <c r="AI60">
        <v>6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</row>
    <row r="61" spans="1:64" x14ac:dyDescent="0.25">
      <c r="A61" s="1" t="s">
        <v>236</v>
      </c>
      <c r="B61" s="1" t="s">
        <v>221</v>
      </c>
      <c r="C61">
        <v>0</v>
      </c>
      <c r="D61">
        <v>0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2</v>
      </c>
      <c r="R61">
        <v>3</v>
      </c>
      <c r="S61">
        <v>3</v>
      </c>
      <c r="T61">
        <v>5</v>
      </c>
      <c r="U61">
        <v>6</v>
      </c>
      <c r="V61">
        <v>7</v>
      </c>
      <c r="W61">
        <v>8</v>
      </c>
      <c r="X61">
        <v>8</v>
      </c>
      <c r="Y61">
        <v>9</v>
      </c>
      <c r="Z61">
        <v>11</v>
      </c>
      <c r="AA61">
        <v>11</v>
      </c>
      <c r="AB61">
        <v>11</v>
      </c>
      <c r="AC61">
        <v>11</v>
      </c>
      <c r="AD61">
        <v>11</v>
      </c>
      <c r="AE61">
        <v>12</v>
      </c>
      <c r="AF61">
        <v>12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13</v>
      </c>
      <c r="AN61">
        <v>13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</row>
    <row r="62" spans="1:64" x14ac:dyDescent="0.25">
      <c r="A62" s="1" t="s">
        <v>226</v>
      </c>
      <c r="B62" s="1" t="s">
        <v>221</v>
      </c>
      <c r="C62">
        <v>0</v>
      </c>
      <c r="D62">
        <v>0</v>
      </c>
      <c r="E62">
        <v>0</v>
      </c>
      <c r="F62">
        <v>0</v>
      </c>
      <c r="G62">
        <v>1</v>
      </c>
      <c r="H62">
        <v>1</v>
      </c>
      <c r="I62">
        <v>1</v>
      </c>
      <c r="J62">
        <v>2</v>
      </c>
      <c r="K62">
        <v>2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3</v>
      </c>
      <c r="T62">
        <v>4</v>
      </c>
      <c r="U62">
        <v>6</v>
      </c>
      <c r="V62">
        <v>6</v>
      </c>
      <c r="W62">
        <v>7</v>
      </c>
      <c r="X62">
        <v>8</v>
      </c>
      <c r="Y62">
        <v>10</v>
      </c>
      <c r="Z62">
        <v>11</v>
      </c>
      <c r="AA62">
        <v>13</v>
      </c>
      <c r="AB62">
        <v>13</v>
      </c>
      <c r="AC62">
        <v>16</v>
      </c>
      <c r="AD62">
        <v>19</v>
      </c>
      <c r="AE62">
        <v>19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20</v>
      </c>
      <c r="AN62">
        <v>20</v>
      </c>
      <c r="AO62">
        <v>21</v>
      </c>
      <c r="AP62">
        <v>22</v>
      </c>
      <c r="AQ62">
        <v>22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</row>
    <row r="63" spans="1:64" x14ac:dyDescent="0.25">
      <c r="A63" s="1" t="s">
        <v>250</v>
      </c>
      <c r="B63" s="1" t="s">
        <v>221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1</v>
      </c>
      <c r="Q63">
        <v>1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2</v>
      </c>
      <c r="AF63">
        <v>2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3</v>
      </c>
      <c r="AX63">
        <v>3</v>
      </c>
      <c r="AY63">
        <v>3</v>
      </c>
      <c r="AZ63">
        <v>3</v>
      </c>
      <c r="BA63">
        <v>3</v>
      </c>
      <c r="BB63">
        <v>4</v>
      </c>
      <c r="BC63">
        <v>4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</row>
    <row r="64" spans="1:64" x14ac:dyDescent="0.25">
      <c r="A64" s="1" t="s">
        <v>220</v>
      </c>
      <c r="B64" s="1" t="s">
        <v>221</v>
      </c>
      <c r="C64">
        <v>17</v>
      </c>
      <c r="D64">
        <v>17</v>
      </c>
      <c r="E64">
        <v>24</v>
      </c>
      <c r="F64">
        <v>40</v>
      </c>
      <c r="G64">
        <v>52</v>
      </c>
      <c r="H64">
        <v>76</v>
      </c>
      <c r="I64">
        <v>125</v>
      </c>
      <c r="J64">
        <v>125</v>
      </c>
      <c r="K64">
        <v>162</v>
      </c>
      <c r="L64">
        <v>204</v>
      </c>
      <c r="M64">
        <v>249</v>
      </c>
      <c r="N64">
        <v>350</v>
      </c>
      <c r="O64">
        <v>414</v>
      </c>
      <c r="P64">
        <v>479</v>
      </c>
      <c r="Q64">
        <v>549</v>
      </c>
      <c r="R64">
        <v>618</v>
      </c>
      <c r="S64">
        <v>699</v>
      </c>
      <c r="T64">
        <v>780</v>
      </c>
      <c r="U64">
        <v>871</v>
      </c>
      <c r="V64">
        <v>974</v>
      </c>
      <c r="W64">
        <v>1068</v>
      </c>
      <c r="X64">
        <v>1068</v>
      </c>
      <c r="Y64">
        <v>1310</v>
      </c>
      <c r="Z64">
        <v>1457</v>
      </c>
      <c r="AA64">
        <v>1596</v>
      </c>
      <c r="AB64">
        <v>1696</v>
      </c>
      <c r="AC64">
        <v>1789</v>
      </c>
      <c r="AD64">
        <v>1921</v>
      </c>
      <c r="AE64">
        <v>2029</v>
      </c>
      <c r="AF64">
        <v>2144</v>
      </c>
      <c r="AG64">
        <v>2144</v>
      </c>
      <c r="AH64">
        <v>2346</v>
      </c>
      <c r="AI64">
        <v>2346</v>
      </c>
      <c r="AJ64">
        <v>2495</v>
      </c>
      <c r="AK64">
        <v>2563</v>
      </c>
      <c r="AL64">
        <v>2615</v>
      </c>
      <c r="AM64">
        <v>2641</v>
      </c>
      <c r="AN64">
        <v>2682</v>
      </c>
      <c r="AO64">
        <v>2727</v>
      </c>
      <c r="AP64">
        <v>2761</v>
      </c>
      <c r="AQ64">
        <v>2803</v>
      </c>
      <c r="AR64">
        <v>2835</v>
      </c>
      <c r="AS64">
        <v>2871</v>
      </c>
      <c r="AT64">
        <v>2902</v>
      </c>
      <c r="AU64">
        <v>2931</v>
      </c>
      <c r="AV64">
        <v>2959</v>
      </c>
      <c r="AW64">
        <v>2986</v>
      </c>
      <c r="AX64">
        <v>3008</v>
      </c>
      <c r="AY64">
        <v>3024</v>
      </c>
      <c r="AZ64">
        <v>3046</v>
      </c>
      <c r="BA64">
        <v>3056</v>
      </c>
      <c r="BB64">
        <v>3062</v>
      </c>
      <c r="BC64">
        <v>3075</v>
      </c>
      <c r="BD64">
        <v>3085</v>
      </c>
      <c r="BE64">
        <v>3099</v>
      </c>
      <c r="BF64">
        <v>3111</v>
      </c>
      <c r="BG64">
        <v>3122</v>
      </c>
      <c r="BH64">
        <v>3130</v>
      </c>
      <c r="BI64">
        <v>3133</v>
      </c>
      <c r="BJ64">
        <v>3139</v>
      </c>
      <c r="BK64">
        <v>3153</v>
      </c>
      <c r="BL64">
        <v>3153</v>
      </c>
    </row>
    <row r="65" spans="1:64" x14ac:dyDescent="0.25">
      <c r="A65" s="1" t="s">
        <v>228</v>
      </c>
      <c r="B65" s="1" t="s">
        <v>221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1</v>
      </c>
      <c r="U65">
        <v>1</v>
      </c>
      <c r="V65">
        <v>1</v>
      </c>
      <c r="W65">
        <v>1</v>
      </c>
      <c r="X65">
        <v>2</v>
      </c>
      <c r="Y65">
        <v>2</v>
      </c>
      <c r="Z65">
        <v>2</v>
      </c>
      <c r="AA65">
        <v>2</v>
      </c>
      <c r="AB65">
        <v>3</v>
      </c>
      <c r="AC65">
        <v>3</v>
      </c>
      <c r="AD65">
        <v>4</v>
      </c>
      <c r="AE65">
        <v>4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</row>
    <row r="66" spans="1:64" x14ac:dyDescent="0.25">
      <c r="A66" s="1" t="s">
        <v>255</v>
      </c>
      <c r="B66" s="1" t="s">
        <v>221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1</v>
      </c>
      <c r="AS66">
        <v>1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</row>
    <row r="67" spans="1:64" x14ac:dyDescent="0.25">
      <c r="A67" s="1" t="s">
        <v>233</v>
      </c>
      <c r="B67" s="1" t="s">
        <v>221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</row>
    <row r="68" spans="1:64" x14ac:dyDescent="0.25">
      <c r="A68" s="1" t="s">
        <v>230</v>
      </c>
      <c r="B68" s="1" t="s">
        <v>221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</row>
    <row r="69" spans="1:64" x14ac:dyDescent="0.25">
      <c r="A69" s="1" t="s">
        <v>252</v>
      </c>
      <c r="B69" s="1" t="s">
        <v>221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</row>
    <row r="70" spans="1:64" x14ac:dyDescent="0.25">
      <c r="A70" s="1" t="s">
        <v>251</v>
      </c>
      <c r="B70" s="1" t="s">
        <v>221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2</v>
      </c>
      <c r="BJ70">
        <v>2</v>
      </c>
      <c r="BK70">
        <v>2</v>
      </c>
      <c r="BL70">
        <v>2</v>
      </c>
    </row>
    <row r="71" spans="1:64" x14ac:dyDescent="0.25">
      <c r="A71" s="1" t="s">
        <v>261</v>
      </c>
      <c r="B71" s="1" t="s">
        <v>221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</row>
    <row r="72" spans="1:64" x14ac:dyDescent="0.25">
      <c r="A72" s="1" t="s">
        <v>256</v>
      </c>
      <c r="B72" s="1" t="s">
        <v>221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</row>
    <row r="73" spans="1:64" x14ac:dyDescent="0.25">
      <c r="A73" s="1" t="s">
        <v>260</v>
      </c>
      <c r="B73" s="1" t="s">
        <v>221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</row>
    <row r="74" spans="1:64" x14ac:dyDescent="0.25">
      <c r="A74" s="1" t="s">
        <v>243</v>
      </c>
      <c r="B74" s="1" t="s">
        <v>221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1</v>
      </c>
      <c r="AG74">
        <v>1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2</v>
      </c>
      <c r="BB74">
        <v>2</v>
      </c>
      <c r="BC74">
        <v>2</v>
      </c>
      <c r="BD74">
        <v>2</v>
      </c>
      <c r="BE74">
        <v>2</v>
      </c>
      <c r="BF74">
        <v>3</v>
      </c>
      <c r="BG74">
        <v>3</v>
      </c>
      <c r="BH74">
        <v>3</v>
      </c>
      <c r="BI74">
        <v>3</v>
      </c>
      <c r="BJ74">
        <v>3</v>
      </c>
      <c r="BK74">
        <v>3</v>
      </c>
      <c r="BL74">
        <v>3</v>
      </c>
    </row>
    <row r="75" spans="1:64" x14ac:dyDescent="0.25">
      <c r="A75" s="1" t="s">
        <v>231</v>
      </c>
      <c r="B75" s="1" t="s">
        <v>221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1</v>
      </c>
      <c r="V75">
        <v>1</v>
      </c>
      <c r="W75">
        <v>1</v>
      </c>
      <c r="X75">
        <v>2</v>
      </c>
      <c r="Y75">
        <v>2</v>
      </c>
      <c r="Z75">
        <v>2</v>
      </c>
      <c r="AA75">
        <v>2</v>
      </c>
      <c r="AB75">
        <v>2</v>
      </c>
      <c r="AC75">
        <v>2</v>
      </c>
      <c r="AD75">
        <v>3</v>
      </c>
      <c r="AE75">
        <v>3</v>
      </c>
      <c r="AF75">
        <v>4</v>
      </c>
      <c r="AG75">
        <v>4</v>
      </c>
      <c r="AH75">
        <v>4</v>
      </c>
      <c r="AI75">
        <v>4</v>
      </c>
      <c r="AJ75">
        <v>5</v>
      </c>
      <c r="AK75">
        <v>6</v>
      </c>
      <c r="AL75">
        <v>6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7</v>
      </c>
      <c r="BC75">
        <v>7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</row>
    <row r="76" spans="1:64" x14ac:dyDescent="0.25">
      <c r="A76" s="1" t="s">
        <v>239</v>
      </c>
      <c r="B76" s="1" t="s">
        <v>221</v>
      </c>
      <c r="C76">
        <v>0</v>
      </c>
      <c r="D76">
        <v>0</v>
      </c>
      <c r="E76">
        <v>0</v>
      </c>
      <c r="F76">
        <v>0</v>
      </c>
      <c r="G76">
        <v>1</v>
      </c>
      <c r="H76">
        <v>1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2</v>
      </c>
      <c r="AF76">
        <v>2</v>
      </c>
      <c r="AG76">
        <v>2</v>
      </c>
      <c r="AH76">
        <v>3</v>
      </c>
      <c r="AI76">
        <v>3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4</v>
      </c>
      <c r="BL76">
        <v>4</v>
      </c>
    </row>
    <row r="77" spans="1:64" x14ac:dyDescent="0.25">
      <c r="A77" s="1" t="s">
        <v>248</v>
      </c>
      <c r="B77" s="1" t="s">
        <v>221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</row>
    <row r="78" spans="1:64" x14ac:dyDescent="0.25">
      <c r="A78" s="1" t="s">
        <v>235</v>
      </c>
      <c r="B78" s="1" t="s">
        <v>221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1</v>
      </c>
      <c r="K78">
        <v>1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3</v>
      </c>
      <c r="AC78">
        <v>3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</row>
    <row r="79" spans="1:64" x14ac:dyDescent="0.25">
      <c r="A79" s="1" t="s">
        <v>247</v>
      </c>
      <c r="B79" s="1" t="s">
        <v>221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1</v>
      </c>
      <c r="R79">
        <v>1</v>
      </c>
      <c r="S79">
        <v>1</v>
      </c>
      <c r="T79">
        <v>1</v>
      </c>
      <c r="U79">
        <v>1</v>
      </c>
      <c r="V79">
        <v>1</v>
      </c>
      <c r="W79">
        <v>2</v>
      </c>
      <c r="X79">
        <v>2</v>
      </c>
      <c r="Y79">
        <v>3</v>
      </c>
      <c r="Z79">
        <v>3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</row>
    <row r="80" spans="1:64" x14ac:dyDescent="0.25">
      <c r="A80" s="1" t="s">
        <v>270</v>
      </c>
      <c r="B80" s="1" t="s">
        <v>221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</row>
    <row r="81" spans="1:64" x14ac:dyDescent="0.25">
      <c r="A81" s="1" t="s">
        <v>254</v>
      </c>
      <c r="B81" s="1" t="s">
        <v>221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2</v>
      </c>
      <c r="AI81">
        <v>2</v>
      </c>
      <c r="AJ81">
        <v>2</v>
      </c>
      <c r="AK81">
        <v>2</v>
      </c>
      <c r="AL81">
        <v>2</v>
      </c>
      <c r="AM81">
        <v>2</v>
      </c>
      <c r="AN81">
        <v>3</v>
      </c>
      <c r="AO81">
        <v>3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</row>
    <row r="82" spans="1:64" x14ac:dyDescent="0.25">
      <c r="A82" s="1" t="s">
        <v>244</v>
      </c>
      <c r="B82" s="1" t="s">
        <v>221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1</v>
      </c>
      <c r="AF82">
        <v>2</v>
      </c>
      <c r="AG82">
        <v>2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</row>
    <row r="83" spans="1:64" x14ac:dyDescent="0.25">
      <c r="A83" s="1" t="s">
        <v>227</v>
      </c>
      <c r="B83" s="1" t="s">
        <v>221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1</v>
      </c>
      <c r="AG83">
        <v>1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</row>
    <row r="84" spans="1:64" x14ac:dyDescent="0.25">
      <c r="A84" s="1" t="s">
        <v>64</v>
      </c>
      <c r="B84" s="1" t="s">
        <v>146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2</v>
      </c>
      <c r="BL84">
        <v>3</v>
      </c>
    </row>
    <row r="85" spans="1:64" x14ac:dyDescent="0.25">
      <c r="A85" s="1" t="s">
        <v>64</v>
      </c>
      <c r="B85" s="1" t="s">
        <v>502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</row>
    <row r="86" spans="1:64" x14ac:dyDescent="0.25">
      <c r="A86" s="1" t="s">
        <v>64</v>
      </c>
      <c r="B86" s="1" t="s">
        <v>271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1</v>
      </c>
      <c r="BK86">
        <v>1</v>
      </c>
      <c r="BL86">
        <v>1</v>
      </c>
    </row>
    <row r="87" spans="1:64" x14ac:dyDescent="0.25">
      <c r="A87" s="1" t="s">
        <v>64</v>
      </c>
      <c r="B87" s="1" t="s">
        <v>147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1</v>
      </c>
      <c r="BI87">
        <v>1</v>
      </c>
      <c r="BJ87">
        <v>2</v>
      </c>
      <c r="BK87">
        <v>2</v>
      </c>
      <c r="BL87">
        <v>2</v>
      </c>
    </row>
    <row r="88" spans="1:64" x14ac:dyDescent="0.25">
      <c r="A88" s="1" t="s">
        <v>64</v>
      </c>
      <c r="B88" s="1" t="s">
        <v>272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</row>
    <row r="89" spans="1:64" x14ac:dyDescent="0.25">
      <c r="A89" s="1" t="s">
        <v>64</v>
      </c>
      <c r="B89" s="1" t="s">
        <v>96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1</v>
      </c>
      <c r="BI89">
        <v>1</v>
      </c>
      <c r="BJ89">
        <v>1</v>
      </c>
      <c r="BK89">
        <v>1</v>
      </c>
      <c r="BL89">
        <v>1</v>
      </c>
    </row>
    <row r="90" spans="1:64" x14ac:dyDescent="0.25">
      <c r="A90" s="1" t="s">
        <v>169</v>
      </c>
      <c r="B90" s="1" t="s">
        <v>232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2</v>
      </c>
      <c r="AG90">
        <v>2</v>
      </c>
      <c r="AH90">
        <v>2</v>
      </c>
      <c r="AI90">
        <v>3</v>
      </c>
      <c r="AJ90">
        <v>3</v>
      </c>
      <c r="AK90">
        <v>3</v>
      </c>
      <c r="AL90">
        <v>4</v>
      </c>
      <c r="AM90">
        <v>4</v>
      </c>
      <c r="AN90">
        <v>6</v>
      </c>
      <c r="AO90">
        <v>6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7</v>
      </c>
      <c r="BA90">
        <v>7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8</v>
      </c>
      <c r="BK90">
        <v>8</v>
      </c>
      <c r="BL90">
        <v>8</v>
      </c>
    </row>
    <row r="91" spans="1:64" x14ac:dyDescent="0.25">
      <c r="A91" s="1" t="s">
        <v>64</v>
      </c>
      <c r="B91" s="1" t="s">
        <v>468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1</v>
      </c>
      <c r="BH91">
        <v>1</v>
      </c>
      <c r="BI91">
        <v>1</v>
      </c>
      <c r="BJ91">
        <v>1</v>
      </c>
      <c r="BK91">
        <v>1</v>
      </c>
      <c r="BL91">
        <v>1</v>
      </c>
    </row>
    <row r="92" spans="1:64" x14ac:dyDescent="0.25">
      <c r="A92" s="1" t="s">
        <v>64</v>
      </c>
      <c r="B92" s="1" t="s">
        <v>162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1</v>
      </c>
      <c r="BL92">
        <v>1</v>
      </c>
    </row>
    <row r="93" spans="1:64" x14ac:dyDescent="0.25">
      <c r="A93" s="1" t="s">
        <v>64</v>
      </c>
      <c r="B93" s="1" t="s">
        <v>253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1</v>
      </c>
      <c r="BL93">
        <v>1</v>
      </c>
    </row>
    <row r="94" spans="1:64" x14ac:dyDescent="0.25">
      <c r="A94" s="1" t="s">
        <v>264</v>
      </c>
      <c r="B94" s="1" t="s">
        <v>237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</row>
    <row r="95" spans="1:64" x14ac:dyDescent="0.25">
      <c r="A95" s="1" t="s">
        <v>527</v>
      </c>
      <c r="B95" s="1" t="s">
        <v>237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</row>
    <row r="96" spans="1:64" x14ac:dyDescent="0.25">
      <c r="A96" s="1" t="s">
        <v>64</v>
      </c>
      <c r="B96" s="1" t="s">
        <v>237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1</v>
      </c>
      <c r="BD96">
        <v>2</v>
      </c>
      <c r="BE96">
        <v>3</v>
      </c>
      <c r="BF96">
        <v>4</v>
      </c>
      <c r="BG96">
        <v>4</v>
      </c>
      <c r="BH96">
        <v>6</v>
      </c>
      <c r="BI96">
        <v>9</v>
      </c>
      <c r="BJ96">
        <v>13</v>
      </c>
      <c r="BK96">
        <v>13</v>
      </c>
      <c r="BL96">
        <v>24</v>
      </c>
    </row>
    <row r="97" spans="1:64" x14ac:dyDescent="0.25">
      <c r="A97" s="1" t="s">
        <v>64</v>
      </c>
      <c r="B97" s="1" t="s">
        <v>523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</row>
    <row r="98" spans="1:64" x14ac:dyDescent="0.25">
      <c r="A98" s="1" t="s">
        <v>64</v>
      </c>
      <c r="B98" s="1" t="s">
        <v>123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1</v>
      </c>
      <c r="BG98">
        <v>1</v>
      </c>
      <c r="BH98">
        <v>2</v>
      </c>
      <c r="BI98">
        <v>2</v>
      </c>
      <c r="BJ98">
        <v>2</v>
      </c>
      <c r="BK98">
        <v>3</v>
      </c>
      <c r="BL98">
        <v>3</v>
      </c>
    </row>
    <row r="99" spans="1:64" x14ac:dyDescent="0.25">
      <c r="A99" s="1" t="s">
        <v>64</v>
      </c>
      <c r="B99" s="1" t="s">
        <v>120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2</v>
      </c>
      <c r="BD99">
        <v>2</v>
      </c>
      <c r="BE99">
        <v>2</v>
      </c>
      <c r="BF99">
        <v>2</v>
      </c>
      <c r="BG99">
        <v>2</v>
      </c>
      <c r="BH99">
        <v>3</v>
      </c>
      <c r="BI99">
        <v>5</v>
      </c>
      <c r="BJ99">
        <v>7</v>
      </c>
      <c r="BK99">
        <v>14</v>
      </c>
      <c r="BL99">
        <v>18</v>
      </c>
    </row>
    <row r="100" spans="1:64" x14ac:dyDescent="0.25">
      <c r="A100" s="1" t="s">
        <v>64</v>
      </c>
      <c r="B100" s="1" t="s">
        <v>87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1</v>
      </c>
      <c r="AX100">
        <v>1</v>
      </c>
      <c r="AY100">
        <v>1</v>
      </c>
      <c r="AZ100">
        <v>1</v>
      </c>
      <c r="BA100">
        <v>1</v>
      </c>
      <c r="BB100">
        <v>2</v>
      </c>
      <c r="BC100">
        <v>2</v>
      </c>
      <c r="BD100">
        <v>2</v>
      </c>
      <c r="BE100">
        <v>2</v>
      </c>
      <c r="BF100">
        <v>4</v>
      </c>
      <c r="BG100">
        <v>6</v>
      </c>
      <c r="BH100">
        <v>6</v>
      </c>
      <c r="BI100">
        <v>8</v>
      </c>
      <c r="BJ100">
        <v>10</v>
      </c>
      <c r="BK100">
        <v>14</v>
      </c>
      <c r="BL100">
        <v>19</v>
      </c>
    </row>
    <row r="101" spans="1:64" x14ac:dyDescent="0.25">
      <c r="A101" s="1" t="s">
        <v>64</v>
      </c>
      <c r="B101" s="1" t="s">
        <v>531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</row>
    <row r="102" spans="1:64" x14ac:dyDescent="0.25">
      <c r="A102" s="1" t="s">
        <v>64</v>
      </c>
      <c r="B102" s="1" t="s">
        <v>503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</row>
    <row r="103" spans="1:64" x14ac:dyDescent="0.25">
      <c r="A103" s="1" t="s">
        <v>64</v>
      </c>
      <c r="B103" s="1" t="s">
        <v>546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</row>
    <row r="104" spans="1:64" x14ac:dyDescent="0.25">
      <c r="A104" s="1" t="s">
        <v>64</v>
      </c>
      <c r="B104" s="1" t="s">
        <v>107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</row>
    <row r="105" spans="1:64" x14ac:dyDescent="0.25">
      <c r="A105" s="1" t="s">
        <v>64</v>
      </c>
      <c r="B105" s="1" t="s">
        <v>488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</row>
    <row r="106" spans="1:64" x14ac:dyDescent="0.25">
      <c r="A106" s="1" t="s">
        <v>64</v>
      </c>
      <c r="B106" s="1" t="s">
        <v>475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</row>
    <row r="107" spans="1:64" x14ac:dyDescent="0.25">
      <c r="A107" s="1" t="s">
        <v>64</v>
      </c>
      <c r="B107" s="1" t="s">
        <v>532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</row>
    <row r="108" spans="1:64" x14ac:dyDescent="0.25">
      <c r="A108" s="1" t="s">
        <v>64</v>
      </c>
      <c r="B108" s="1" t="s">
        <v>78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1</v>
      </c>
      <c r="BK108">
        <v>1</v>
      </c>
      <c r="BL108">
        <v>1</v>
      </c>
    </row>
    <row r="109" spans="1:64" x14ac:dyDescent="0.25">
      <c r="A109" s="1" t="s">
        <v>496</v>
      </c>
      <c r="B109" s="1" t="s">
        <v>224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</row>
    <row r="110" spans="1:64" x14ac:dyDescent="0.25">
      <c r="A110" s="1" t="s">
        <v>472</v>
      </c>
      <c r="B110" s="1" t="s">
        <v>224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</row>
    <row r="111" spans="1:64" x14ac:dyDescent="0.25">
      <c r="A111" s="1" t="s">
        <v>508</v>
      </c>
      <c r="B111" s="1" t="s">
        <v>224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1</v>
      </c>
      <c r="BL111">
        <v>1</v>
      </c>
    </row>
    <row r="112" spans="1:64" x14ac:dyDescent="0.25">
      <c r="A112" s="1" t="s">
        <v>504</v>
      </c>
      <c r="B112" s="1" t="s">
        <v>224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</row>
    <row r="113" spans="1:64" x14ac:dyDescent="0.25">
      <c r="A113" s="1" t="s">
        <v>528</v>
      </c>
      <c r="B113" s="1" t="s">
        <v>224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</row>
    <row r="114" spans="1:64" x14ac:dyDescent="0.25">
      <c r="A114" s="1" t="s">
        <v>516</v>
      </c>
      <c r="B114" s="1" t="s">
        <v>224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</row>
    <row r="115" spans="1:64" x14ac:dyDescent="0.25">
      <c r="A115" s="1" t="s">
        <v>273</v>
      </c>
      <c r="B115" s="1" t="s">
        <v>224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</row>
    <row r="116" spans="1:64" x14ac:dyDescent="0.25">
      <c r="A116" s="1" t="s">
        <v>265</v>
      </c>
      <c r="B116" s="1" t="s">
        <v>224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</row>
    <row r="117" spans="1:64" x14ac:dyDescent="0.25">
      <c r="A117" s="1" t="s">
        <v>153</v>
      </c>
      <c r="B117" s="1" t="s">
        <v>224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</row>
    <row r="118" spans="1:64" x14ac:dyDescent="0.25">
      <c r="A118" s="1" t="s">
        <v>64</v>
      </c>
      <c r="B118" s="1" t="s">
        <v>224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2</v>
      </c>
      <c r="AM118">
        <v>2</v>
      </c>
      <c r="AN118">
        <v>2</v>
      </c>
      <c r="AO118">
        <v>2</v>
      </c>
      <c r="AP118">
        <v>2</v>
      </c>
      <c r="AQ118">
        <v>3</v>
      </c>
      <c r="AR118">
        <v>4</v>
      </c>
      <c r="AS118">
        <v>4</v>
      </c>
      <c r="AT118">
        <v>6</v>
      </c>
      <c r="AU118">
        <v>9</v>
      </c>
      <c r="AV118">
        <v>11</v>
      </c>
      <c r="AW118">
        <v>19</v>
      </c>
      <c r="AX118">
        <v>19</v>
      </c>
      <c r="AY118">
        <v>33</v>
      </c>
      <c r="AZ118">
        <v>48</v>
      </c>
      <c r="BA118">
        <v>48</v>
      </c>
      <c r="BB118">
        <v>79</v>
      </c>
      <c r="BC118">
        <v>91</v>
      </c>
      <c r="BD118">
        <v>91</v>
      </c>
      <c r="BE118">
        <v>148</v>
      </c>
      <c r="BF118">
        <v>148</v>
      </c>
      <c r="BG118">
        <v>148</v>
      </c>
      <c r="BH118">
        <v>243</v>
      </c>
      <c r="BI118">
        <v>450</v>
      </c>
      <c r="BJ118">
        <v>562</v>
      </c>
      <c r="BK118">
        <v>674</v>
      </c>
      <c r="BL118">
        <v>860</v>
      </c>
    </row>
    <row r="119" spans="1:64" x14ac:dyDescent="0.25">
      <c r="A119" s="1" t="s">
        <v>64</v>
      </c>
      <c r="B119" s="1" t="s">
        <v>489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1</v>
      </c>
      <c r="BJ119">
        <v>1</v>
      </c>
      <c r="BK119">
        <v>1</v>
      </c>
      <c r="BL119">
        <v>1</v>
      </c>
    </row>
    <row r="120" spans="1:64" x14ac:dyDescent="0.25">
      <c r="A120" s="1" t="s">
        <v>64</v>
      </c>
      <c r="B120" s="1" t="s">
        <v>650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1</v>
      </c>
    </row>
    <row r="121" spans="1:64" x14ac:dyDescent="0.25">
      <c r="A121" s="1" t="s">
        <v>64</v>
      </c>
      <c r="B121" s="1" t="s">
        <v>102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</row>
    <row r="122" spans="1:64" x14ac:dyDescent="0.25">
      <c r="A122" s="1" t="s">
        <v>64</v>
      </c>
      <c r="B122" s="1" t="s">
        <v>77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2</v>
      </c>
      <c r="AY122">
        <v>2</v>
      </c>
      <c r="AZ122">
        <v>3</v>
      </c>
      <c r="BA122">
        <v>3</v>
      </c>
      <c r="BB122">
        <v>7</v>
      </c>
      <c r="BC122">
        <v>9</v>
      </c>
      <c r="BD122">
        <v>11</v>
      </c>
      <c r="BE122">
        <v>17</v>
      </c>
      <c r="BF122">
        <v>24</v>
      </c>
      <c r="BG122">
        <v>28</v>
      </c>
      <c r="BH122">
        <v>44</v>
      </c>
      <c r="BI122">
        <v>67</v>
      </c>
      <c r="BJ122">
        <v>84</v>
      </c>
      <c r="BK122">
        <v>94</v>
      </c>
      <c r="BL122">
        <v>123</v>
      </c>
    </row>
    <row r="123" spans="1:64" x14ac:dyDescent="0.25">
      <c r="A123" s="1" t="s">
        <v>64</v>
      </c>
      <c r="B123" s="1" t="s">
        <v>482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1</v>
      </c>
      <c r="BK123">
        <v>1</v>
      </c>
      <c r="BL123">
        <v>2</v>
      </c>
    </row>
    <row r="124" spans="1:64" x14ac:dyDescent="0.25">
      <c r="A124" s="1" t="s">
        <v>64</v>
      </c>
      <c r="B124" s="1" t="s">
        <v>103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1</v>
      </c>
      <c r="BA124">
        <v>1</v>
      </c>
      <c r="BB124">
        <v>1</v>
      </c>
      <c r="BC124">
        <v>3</v>
      </c>
      <c r="BD124">
        <v>4</v>
      </c>
      <c r="BE124">
        <v>4</v>
      </c>
      <c r="BF124">
        <v>5</v>
      </c>
      <c r="BG124">
        <v>5</v>
      </c>
      <c r="BH124">
        <v>6</v>
      </c>
      <c r="BI124">
        <v>6</v>
      </c>
      <c r="BJ124">
        <v>13</v>
      </c>
      <c r="BK124">
        <v>15</v>
      </c>
      <c r="BL124">
        <v>17</v>
      </c>
    </row>
    <row r="125" spans="1:64" x14ac:dyDescent="0.25">
      <c r="A125" s="1" t="s">
        <v>64</v>
      </c>
      <c r="B125" s="1" t="s">
        <v>490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</row>
    <row r="126" spans="1:64" x14ac:dyDescent="0.25">
      <c r="A126" s="1" t="s">
        <v>64</v>
      </c>
      <c r="B126" s="1" t="s">
        <v>477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</row>
    <row r="127" spans="1:64" x14ac:dyDescent="0.25">
      <c r="A127" s="1" t="s">
        <v>64</v>
      </c>
      <c r="B127" s="1" t="s">
        <v>469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1</v>
      </c>
      <c r="BB127">
        <v>1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</row>
    <row r="128" spans="1:64" x14ac:dyDescent="0.25">
      <c r="A128" s="1" t="s">
        <v>64</v>
      </c>
      <c r="B128" s="1" t="s">
        <v>535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</row>
    <row r="129" spans="1:64" x14ac:dyDescent="0.25">
      <c r="A129" s="1" t="s">
        <v>64</v>
      </c>
      <c r="B129" s="1" t="s">
        <v>200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</row>
    <row r="130" spans="1:64" x14ac:dyDescent="0.25">
      <c r="A130" s="1" t="s">
        <v>64</v>
      </c>
      <c r="B130" s="1" t="s">
        <v>266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</row>
    <row r="131" spans="1:64" x14ac:dyDescent="0.25">
      <c r="A131" s="1" t="s">
        <v>64</v>
      </c>
      <c r="B131" s="1" t="s">
        <v>136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1</v>
      </c>
      <c r="BE131">
        <v>1</v>
      </c>
      <c r="BF131">
        <v>1</v>
      </c>
      <c r="BG131">
        <v>1</v>
      </c>
      <c r="BH131">
        <v>1</v>
      </c>
      <c r="BI131">
        <v>3</v>
      </c>
      <c r="BJ131">
        <v>4</v>
      </c>
      <c r="BK131">
        <v>6</v>
      </c>
      <c r="BL131">
        <v>7</v>
      </c>
    </row>
    <row r="132" spans="1:64" x14ac:dyDescent="0.25">
      <c r="A132" s="1" t="s">
        <v>64</v>
      </c>
      <c r="B132" s="1" t="s">
        <v>110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5</v>
      </c>
      <c r="BE132">
        <v>0</v>
      </c>
      <c r="BF132">
        <v>1</v>
      </c>
      <c r="BG132">
        <v>1</v>
      </c>
      <c r="BH132">
        <v>1</v>
      </c>
      <c r="BI132">
        <v>0</v>
      </c>
      <c r="BJ132">
        <v>1</v>
      </c>
      <c r="BK132">
        <v>1</v>
      </c>
      <c r="BL132">
        <v>1</v>
      </c>
    </row>
    <row r="133" spans="1:64" x14ac:dyDescent="0.25">
      <c r="A133" s="1" t="s">
        <v>64</v>
      </c>
      <c r="B133" s="1" t="s">
        <v>81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1</v>
      </c>
      <c r="BA133">
        <v>1</v>
      </c>
      <c r="BB133">
        <v>2</v>
      </c>
      <c r="BC133">
        <v>2</v>
      </c>
      <c r="BD133">
        <v>2</v>
      </c>
      <c r="BE133">
        <v>2</v>
      </c>
      <c r="BF133">
        <v>3</v>
      </c>
      <c r="BG133">
        <v>3</v>
      </c>
      <c r="BH133">
        <v>4</v>
      </c>
      <c r="BI133">
        <v>5</v>
      </c>
      <c r="BJ133">
        <v>4</v>
      </c>
      <c r="BK133">
        <v>7</v>
      </c>
      <c r="BL133">
        <v>10</v>
      </c>
    </row>
    <row r="134" spans="1:64" x14ac:dyDescent="0.25">
      <c r="A134" s="1" t="s">
        <v>64</v>
      </c>
      <c r="B134" s="1" t="s">
        <v>124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1</v>
      </c>
      <c r="BA134">
        <v>1</v>
      </c>
      <c r="BB134">
        <v>4</v>
      </c>
      <c r="BC134">
        <v>5</v>
      </c>
      <c r="BD134">
        <v>5</v>
      </c>
      <c r="BE134">
        <v>5</v>
      </c>
      <c r="BF134">
        <v>5</v>
      </c>
      <c r="BG134">
        <v>19</v>
      </c>
      <c r="BH134">
        <v>25</v>
      </c>
      <c r="BI134">
        <v>32</v>
      </c>
      <c r="BJ134">
        <v>38</v>
      </c>
      <c r="BK134">
        <v>48</v>
      </c>
      <c r="BL134">
        <v>49</v>
      </c>
    </row>
    <row r="135" spans="1:64" x14ac:dyDescent="0.25">
      <c r="A135" s="1" t="s">
        <v>64</v>
      </c>
      <c r="B135" s="1" t="s">
        <v>222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2</v>
      </c>
      <c r="AF135">
        <v>2</v>
      </c>
      <c r="AG135">
        <v>4</v>
      </c>
      <c r="AH135">
        <v>5</v>
      </c>
      <c r="AI135">
        <v>8</v>
      </c>
      <c r="AJ135">
        <v>12</v>
      </c>
      <c r="AK135">
        <v>16</v>
      </c>
      <c r="AL135">
        <v>19</v>
      </c>
      <c r="AM135">
        <v>26</v>
      </c>
      <c r="AN135">
        <v>34</v>
      </c>
      <c r="AO135">
        <v>43</v>
      </c>
      <c r="AP135">
        <v>54</v>
      </c>
      <c r="AQ135">
        <v>66</v>
      </c>
      <c r="AR135">
        <v>77</v>
      </c>
      <c r="AS135">
        <v>92</v>
      </c>
      <c r="AT135">
        <v>107</v>
      </c>
      <c r="AU135">
        <v>124</v>
      </c>
      <c r="AV135">
        <v>145</v>
      </c>
      <c r="AW135">
        <v>194</v>
      </c>
      <c r="AX135">
        <v>237</v>
      </c>
      <c r="AY135">
        <v>291</v>
      </c>
      <c r="AZ135">
        <v>354</v>
      </c>
      <c r="BA135">
        <v>429</v>
      </c>
      <c r="BB135">
        <v>514</v>
      </c>
      <c r="BC135">
        <v>611</v>
      </c>
      <c r="BD135">
        <v>724</v>
      </c>
      <c r="BE135">
        <v>853</v>
      </c>
      <c r="BF135">
        <v>988</v>
      </c>
      <c r="BG135">
        <v>1135</v>
      </c>
      <c r="BH135">
        <v>1284</v>
      </c>
      <c r="BI135">
        <v>1433</v>
      </c>
      <c r="BJ135">
        <v>1556</v>
      </c>
      <c r="BK135">
        <v>1685</v>
      </c>
      <c r="BL135">
        <v>1812</v>
      </c>
    </row>
    <row r="136" spans="1:64" x14ac:dyDescent="0.25">
      <c r="A136" s="1" t="s">
        <v>64</v>
      </c>
      <c r="B136" s="1" t="s">
        <v>90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2</v>
      </c>
      <c r="AT136">
        <v>2</v>
      </c>
      <c r="AU136">
        <v>3</v>
      </c>
      <c r="AV136">
        <v>4</v>
      </c>
      <c r="AW136">
        <v>6</v>
      </c>
      <c r="AX136">
        <v>6</v>
      </c>
      <c r="AY136">
        <v>7</v>
      </c>
      <c r="AZ136">
        <v>7</v>
      </c>
      <c r="BA136">
        <v>8</v>
      </c>
      <c r="BB136">
        <v>9</v>
      </c>
      <c r="BC136">
        <v>10</v>
      </c>
      <c r="BD136">
        <v>10</v>
      </c>
      <c r="BE136">
        <v>10</v>
      </c>
      <c r="BF136">
        <v>11</v>
      </c>
      <c r="BG136">
        <v>12</v>
      </c>
      <c r="BH136">
        <v>13</v>
      </c>
      <c r="BI136">
        <v>17</v>
      </c>
      <c r="BJ136">
        <v>17</v>
      </c>
      <c r="BK136">
        <v>20</v>
      </c>
      <c r="BL136">
        <v>23</v>
      </c>
    </row>
    <row r="137" spans="1:64" x14ac:dyDescent="0.25">
      <c r="A137" s="1" t="s">
        <v>64</v>
      </c>
      <c r="B137" s="1" t="s">
        <v>116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1</v>
      </c>
      <c r="BA137">
        <v>1</v>
      </c>
      <c r="BB137">
        <v>1</v>
      </c>
      <c r="BC137">
        <v>2</v>
      </c>
      <c r="BD137">
        <v>2</v>
      </c>
      <c r="BE137">
        <v>2</v>
      </c>
      <c r="BF137">
        <v>2</v>
      </c>
      <c r="BG137">
        <v>2</v>
      </c>
      <c r="BH137">
        <v>3</v>
      </c>
      <c r="BI137">
        <v>3</v>
      </c>
      <c r="BJ137">
        <v>3</v>
      </c>
      <c r="BK137">
        <v>4</v>
      </c>
      <c r="BL137">
        <v>6</v>
      </c>
    </row>
    <row r="138" spans="1:64" x14ac:dyDescent="0.25">
      <c r="A138" s="1" t="s">
        <v>64</v>
      </c>
      <c r="B138" s="1" t="s">
        <v>99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1</v>
      </c>
      <c r="BK138">
        <v>1</v>
      </c>
      <c r="BL138">
        <v>1</v>
      </c>
    </row>
    <row r="139" spans="1:64" x14ac:dyDescent="0.25">
      <c r="A139" s="1" t="s">
        <v>64</v>
      </c>
      <c r="B139" s="1" t="s">
        <v>82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1</v>
      </c>
      <c r="AH139">
        <v>2</v>
      </c>
      <c r="AI139">
        <v>3</v>
      </c>
      <c r="AJ139">
        <v>7</v>
      </c>
      <c r="AK139">
        <v>10</v>
      </c>
      <c r="AL139">
        <v>12</v>
      </c>
      <c r="AM139">
        <v>17</v>
      </c>
      <c r="AN139">
        <v>21</v>
      </c>
      <c r="AO139">
        <v>29</v>
      </c>
      <c r="AP139">
        <v>34</v>
      </c>
      <c r="AQ139">
        <v>52</v>
      </c>
      <c r="AR139">
        <v>79</v>
      </c>
      <c r="AS139">
        <v>107</v>
      </c>
      <c r="AT139">
        <v>148</v>
      </c>
      <c r="AU139">
        <v>197</v>
      </c>
      <c r="AV139">
        <v>233</v>
      </c>
      <c r="AW139">
        <v>366</v>
      </c>
      <c r="AX139">
        <v>463</v>
      </c>
      <c r="AY139">
        <v>631</v>
      </c>
      <c r="AZ139">
        <v>827</v>
      </c>
      <c r="BA139">
        <v>827</v>
      </c>
      <c r="BB139">
        <v>1266</v>
      </c>
      <c r="BC139">
        <v>1441</v>
      </c>
      <c r="BD139">
        <v>1809</v>
      </c>
      <c r="BE139">
        <v>2158</v>
      </c>
      <c r="BF139">
        <v>2503</v>
      </c>
      <c r="BG139">
        <v>2978</v>
      </c>
      <c r="BH139">
        <v>3405</v>
      </c>
      <c r="BI139">
        <v>4032</v>
      </c>
      <c r="BJ139">
        <v>4825</v>
      </c>
      <c r="BK139">
        <v>5476</v>
      </c>
      <c r="BL139">
        <v>6077</v>
      </c>
    </row>
    <row r="140" spans="1:64" x14ac:dyDescent="0.25">
      <c r="A140" s="1" t="s">
        <v>64</v>
      </c>
      <c r="B140" s="1" t="s">
        <v>274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1</v>
      </c>
      <c r="BI140">
        <v>1</v>
      </c>
      <c r="BJ140">
        <v>1</v>
      </c>
      <c r="BK140">
        <v>1</v>
      </c>
      <c r="BL140">
        <v>1</v>
      </c>
    </row>
    <row r="141" spans="1:64" x14ac:dyDescent="0.25">
      <c r="A141" s="1" t="s">
        <v>64</v>
      </c>
      <c r="B141" s="1" t="s">
        <v>65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2</v>
      </c>
      <c r="AM141">
        <v>4</v>
      </c>
      <c r="AN141">
        <v>4</v>
      </c>
      <c r="AO141">
        <v>5</v>
      </c>
      <c r="AP141">
        <v>6</v>
      </c>
      <c r="AQ141">
        <v>6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10</v>
      </c>
      <c r="AY141">
        <v>10</v>
      </c>
      <c r="AZ141">
        <v>15</v>
      </c>
      <c r="BA141">
        <v>16</v>
      </c>
      <c r="BB141">
        <v>19</v>
      </c>
      <c r="BC141">
        <v>22</v>
      </c>
      <c r="BD141">
        <v>22</v>
      </c>
      <c r="BE141">
        <v>27</v>
      </c>
      <c r="BF141">
        <v>29</v>
      </c>
      <c r="BG141">
        <v>29</v>
      </c>
      <c r="BH141">
        <v>29</v>
      </c>
      <c r="BI141">
        <v>33</v>
      </c>
      <c r="BJ141">
        <v>35</v>
      </c>
      <c r="BK141">
        <v>41</v>
      </c>
      <c r="BL141">
        <v>42</v>
      </c>
    </row>
    <row r="142" spans="1:64" x14ac:dyDescent="0.25">
      <c r="A142" s="1" t="s">
        <v>64</v>
      </c>
      <c r="B142" s="1" t="s">
        <v>134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</row>
    <row r="143" spans="1:64" x14ac:dyDescent="0.25">
      <c r="A143" s="1" t="s">
        <v>64</v>
      </c>
      <c r="B143" s="1" t="s">
        <v>471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3</v>
      </c>
      <c r="BJ143">
        <v>0</v>
      </c>
      <c r="BK143">
        <v>0</v>
      </c>
      <c r="BL143">
        <v>0</v>
      </c>
    </row>
    <row r="144" spans="1:64" x14ac:dyDescent="0.25">
      <c r="A144" s="1" t="s">
        <v>64</v>
      </c>
      <c r="B144" s="1" t="s">
        <v>478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</row>
    <row r="145" spans="1:64" x14ac:dyDescent="0.25">
      <c r="A145" s="1" t="s">
        <v>64</v>
      </c>
      <c r="B145" s="1" t="s">
        <v>223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1</v>
      </c>
      <c r="AG145">
        <v>2</v>
      </c>
      <c r="AH145">
        <v>2</v>
      </c>
      <c r="AI145">
        <v>6</v>
      </c>
      <c r="AJ145">
        <v>8</v>
      </c>
      <c r="AK145">
        <v>10</v>
      </c>
      <c r="AL145">
        <v>12</v>
      </c>
      <c r="AM145">
        <v>13</v>
      </c>
      <c r="AN145">
        <v>13</v>
      </c>
      <c r="AO145">
        <v>16</v>
      </c>
      <c r="AP145">
        <v>17</v>
      </c>
      <c r="AQ145">
        <v>28</v>
      </c>
      <c r="AR145">
        <v>28</v>
      </c>
      <c r="AS145">
        <v>35</v>
      </c>
      <c r="AT145">
        <v>35</v>
      </c>
      <c r="AU145">
        <v>42</v>
      </c>
      <c r="AV145">
        <v>44</v>
      </c>
      <c r="AW145">
        <v>50</v>
      </c>
      <c r="AX145">
        <v>53</v>
      </c>
      <c r="AY145">
        <v>54</v>
      </c>
      <c r="AZ145">
        <v>60</v>
      </c>
      <c r="BA145">
        <v>66</v>
      </c>
      <c r="BB145">
        <v>66</v>
      </c>
      <c r="BC145">
        <v>72</v>
      </c>
      <c r="BD145">
        <v>75</v>
      </c>
      <c r="BE145">
        <v>75</v>
      </c>
      <c r="BF145">
        <v>81</v>
      </c>
      <c r="BG145">
        <v>84</v>
      </c>
      <c r="BH145">
        <v>91</v>
      </c>
      <c r="BI145">
        <v>94</v>
      </c>
      <c r="BJ145">
        <v>102</v>
      </c>
      <c r="BK145">
        <v>111</v>
      </c>
      <c r="BL145">
        <v>111</v>
      </c>
    </row>
    <row r="146" spans="1:64" x14ac:dyDescent="0.25">
      <c r="A146" s="1" t="s">
        <v>64</v>
      </c>
      <c r="B146" s="1" t="s">
        <v>94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</row>
    <row r="147" spans="1:64" x14ac:dyDescent="0.25">
      <c r="A147" s="1" t="s">
        <v>64</v>
      </c>
      <c r="B147" s="1" t="s">
        <v>519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</row>
    <row r="148" spans="1:64" x14ac:dyDescent="0.25">
      <c r="A148" s="1" t="s">
        <v>64</v>
      </c>
      <c r="B148" s="1" t="s">
        <v>128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</row>
    <row r="149" spans="1:64" x14ac:dyDescent="0.25">
      <c r="A149" s="1" t="s">
        <v>64</v>
      </c>
      <c r="B149" s="1" t="s">
        <v>89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1</v>
      </c>
      <c r="AZ149">
        <v>3</v>
      </c>
      <c r="BA149">
        <v>3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4</v>
      </c>
      <c r="BI149">
        <v>4</v>
      </c>
      <c r="BJ149">
        <v>4</v>
      </c>
      <c r="BK149">
        <v>4</v>
      </c>
      <c r="BL149">
        <v>4</v>
      </c>
    </row>
    <row r="150" spans="1:64" x14ac:dyDescent="0.25">
      <c r="A150" s="1" t="s">
        <v>64</v>
      </c>
      <c r="B150" s="1" t="s">
        <v>510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</row>
    <row r="151" spans="1:64" x14ac:dyDescent="0.25">
      <c r="A151" s="1" t="s">
        <v>64</v>
      </c>
      <c r="B151" s="1" t="s">
        <v>138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</row>
    <row r="152" spans="1:64" x14ac:dyDescent="0.25">
      <c r="A152" s="1" t="s">
        <v>64</v>
      </c>
      <c r="B152" s="1" t="s">
        <v>111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1</v>
      </c>
      <c r="BK152">
        <v>1</v>
      </c>
      <c r="BL152">
        <v>1</v>
      </c>
    </row>
    <row r="153" spans="1:64" x14ac:dyDescent="0.25">
      <c r="A153" s="1" t="s">
        <v>64</v>
      </c>
      <c r="B153" s="1" t="s">
        <v>117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1</v>
      </c>
      <c r="BD153">
        <v>1</v>
      </c>
      <c r="BE153">
        <v>1</v>
      </c>
      <c r="BF153">
        <v>1</v>
      </c>
      <c r="BG153">
        <v>2</v>
      </c>
      <c r="BH153">
        <v>4</v>
      </c>
      <c r="BI153">
        <v>4</v>
      </c>
      <c r="BJ153">
        <v>8</v>
      </c>
      <c r="BK153">
        <v>8</v>
      </c>
      <c r="BL153">
        <v>8</v>
      </c>
    </row>
    <row r="154" spans="1:64" x14ac:dyDescent="0.25">
      <c r="A154" s="1" t="s">
        <v>64</v>
      </c>
      <c r="B154" s="1" t="s">
        <v>534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</row>
    <row r="155" spans="1:64" x14ac:dyDescent="0.25">
      <c r="A155" s="1" t="s">
        <v>64</v>
      </c>
      <c r="B155" s="1" t="s">
        <v>68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2</v>
      </c>
      <c r="BG155">
        <v>2</v>
      </c>
      <c r="BH155">
        <v>2</v>
      </c>
      <c r="BI155">
        <v>3</v>
      </c>
      <c r="BJ155">
        <v>4</v>
      </c>
      <c r="BK155">
        <v>10</v>
      </c>
      <c r="BL155">
        <v>14</v>
      </c>
    </row>
    <row r="156" spans="1:64" x14ac:dyDescent="0.25">
      <c r="A156" s="1" t="s">
        <v>64</v>
      </c>
      <c r="B156" s="1" t="s">
        <v>155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</row>
    <row r="157" spans="1:64" x14ac:dyDescent="0.25">
      <c r="A157" s="1" t="s">
        <v>64</v>
      </c>
      <c r="B157" s="1" t="s">
        <v>152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</row>
    <row r="158" spans="1:64" x14ac:dyDescent="0.25">
      <c r="A158" s="1" t="s">
        <v>64</v>
      </c>
      <c r="B158" s="1" t="s">
        <v>491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</row>
    <row r="159" spans="1:64" x14ac:dyDescent="0.25">
      <c r="A159" s="1" t="s">
        <v>64</v>
      </c>
      <c r="B159" s="1" t="s">
        <v>520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1</v>
      </c>
      <c r="BK159">
        <v>2</v>
      </c>
      <c r="BL159">
        <v>2</v>
      </c>
    </row>
    <row r="160" spans="1:64" x14ac:dyDescent="0.25">
      <c r="A160" s="1" t="s">
        <v>64</v>
      </c>
      <c r="B160" s="1" t="s">
        <v>112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1</v>
      </c>
      <c r="BI160">
        <v>1</v>
      </c>
      <c r="BJ160">
        <v>2</v>
      </c>
      <c r="BK160">
        <v>2</v>
      </c>
      <c r="BL160">
        <v>3</v>
      </c>
    </row>
    <row r="161" spans="1:64" x14ac:dyDescent="0.25">
      <c r="A161" s="1" t="s">
        <v>64</v>
      </c>
      <c r="B161" s="1" t="s">
        <v>262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1</v>
      </c>
      <c r="BH161">
        <v>1</v>
      </c>
      <c r="BI161">
        <v>1</v>
      </c>
      <c r="BJ161">
        <v>1</v>
      </c>
      <c r="BK161">
        <v>1</v>
      </c>
      <c r="BL161">
        <v>1</v>
      </c>
    </row>
    <row r="162" spans="1:64" x14ac:dyDescent="0.25">
      <c r="A162" s="1" t="s">
        <v>64</v>
      </c>
      <c r="B162" s="1" t="s">
        <v>118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</row>
    <row r="163" spans="1:64" x14ac:dyDescent="0.25">
      <c r="A163" s="1" t="s">
        <v>64</v>
      </c>
      <c r="B163" s="1" t="s">
        <v>201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</row>
    <row r="164" spans="1:64" x14ac:dyDescent="0.25">
      <c r="A164" s="1" t="s">
        <v>64</v>
      </c>
      <c r="B164" s="1" t="s">
        <v>518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1</v>
      </c>
    </row>
    <row r="165" spans="1:64" x14ac:dyDescent="0.25">
      <c r="A165" s="1" t="s">
        <v>64</v>
      </c>
      <c r="B165" s="1" t="s">
        <v>129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1</v>
      </c>
      <c r="AZ165">
        <v>1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2</v>
      </c>
      <c r="BG165">
        <v>2</v>
      </c>
      <c r="BH165">
        <v>2</v>
      </c>
      <c r="BI165">
        <v>3</v>
      </c>
      <c r="BJ165">
        <v>3</v>
      </c>
      <c r="BK165">
        <v>4</v>
      </c>
      <c r="BL165">
        <v>4</v>
      </c>
    </row>
    <row r="166" spans="1:64" x14ac:dyDescent="0.25">
      <c r="A166" s="1" t="s">
        <v>64</v>
      </c>
      <c r="B166" s="1" t="s">
        <v>484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</row>
    <row r="167" spans="1:64" x14ac:dyDescent="0.25">
      <c r="A167" s="1" t="s">
        <v>64</v>
      </c>
      <c r="B167" s="1" t="s">
        <v>67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</row>
    <row r="168" spans="1:64" x14ac:dyDescent="0.25">
      <c r="A168" s="1" t="s">
        <v>521</v>
      </c>
      <c r="B168" s="1" t="s">
        <v>506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</row>
    <row r="169" spans="1:64" x14ac:dyDescent="0.25">
      <c r="A169" s="1" t="s">
        <v>511</v>
      </c>
      <c r="B169" s="1" t="s">
        <v>506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1</v>
      </c>
      <c r="BI169">
        <v>1</v>
      </c>
      <c r="BJ169">
        <v>1</v>
      </c>
      <c r="BK169">
        <v>1</v>
      </c>
      <c r="BL169">
        <v>1</v>
      </c>
    </row>
    <row r="170" spans="1:64" x14ac:dyDescent="0.25">
      <c r="A170" s="1" t="s">
        <v>538</v>
      </c>
      <c r="B170" s="1" t="s">
        <v>506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</row>
    <row r="171" spans="1:64" x14ac:dyDescent="0.25">
      <c r="A171" s="1" t="s">
        <v>64</v>
      </c>
      <c r="B171" s="1" t="s">
        <v>506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1</v>
      </c>
      <c r="AV171">
        <v>1</v>
      </c>
      <c r="AW171">
        <v>3</v>
      </c>
      <c r="AX171">
        <v>3</v>
      </c>
      <c r="AY171">
        <v>4</v>
      </c>
      <c r="AZ171">
        <v>5</v>
      </c>
      <c r="BA171">
        <v>5</v>
      </c>
      <c r="BB171">
        <v>10</v>
      </c>
      <c r="BC171">
        <v>12</v>
      </c>
      <c r="BD171">
        <v>20</v>
      </c>
      <c r="BE171">
        <v>24</v>
      </c>
      <c r="BF171">
        <v>43</v>
      </c>
      <c r="BG171">
        <v>58</v>
      </c>
      <c r="BH171">
        <v>76</v>
      </c>
      <c r="BI171">
        <v>106</v>
      </c>
      <c r="BJ171">
        <v>136</v>
      </c>
      <c r="BK171">
        <v>179</v>
      </c>
      <c r="BL171">
        <v>213</v>
      </c>
    </row>
    <row r="172" spans="1:64" x14ac:dyDescent="0.25">
      <c r="A172" s="1" t="s">
        <v>64</v>
      </c>
      <c r="B172" s="1" t="s">
        <v>113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</row>
    <row r="173" spans="1:64" x14ac:dyDescent="0.25">
      <c r="A173" s="1" t="s">
        <v>64</v>
      </c>
      <c r="B173" s="1" t="s">
        <v>533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</row>
    <row r="174" spans="1:64" x14ac:dyDescent="0.25">
      <c r="A174" s="1" t="s">
        <v>64</v>
      </c>
      <c r="B174" s="1" t="s">
        <v>539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</row>
    <row r="175" spans="1:64" x14ac:dyDescent="0.25">
      <c r="A175" s="1" t="s">
        <v>64</v>
      </c>
      <c r="B175" s="1" t="s">
        <v>114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1</v>
      </c>
    </row>
    <row r="176" spans="1:64" x14ac:dyDescent="0.25">
      <c r="A176" s="1" t="s">
        <v>64</v>
      </c>
      <c r="B176" s="1" t="s">
        <v>104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1</v>
      </c>
      <c r="BL176">
        <v>2</v>
      </c>
    </row>
    <row r="177" spans="1:64" x14ac:dyDescent="0.25">
      <c r="A177" s="1" t="s">
        <v>64</v>
      </c>
      <c r="B177" s="1" t="s">
        <v>105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3</v>
      </c>
      <c r="BD177">
        <v>3</v>
      </c>
      <c r="BE177">
        <v>3</v>
      </c>
      <c r="BF177">
        <v>3</v>
      </c>
      <c r="BG177">
        <v>6</v>
      </c>
      <c r="BH177">
        <v>7</v>
      </c>
      <c r="BI177">
        <v>7</v>
      </c>
      <c r="BJ177">
        <v>7</v>
      </c>
      <c r="BK177">
        <v>7</v>
      </c>
      <c r="BL177">
        <v>10</v>
      </c>
    </row>
    <row r="178" spans="1:64" x14ac:dyDescent="0.25">
      <c r="A178" s="1" t="s">
        <v>64</v>
      </c>
      <c r="B178" s="1" t="s">
        <v>91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</row>
    <row r="179" spans="1:64" x14ac:dyDescent="0.25">
      <c r="A179" s="1" t="s">
        <v>64</v>
      </c>
      <c r="B179" s="1" t="s">
        <v>100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2</v>
      </c>
      <c r="BI179">
        <v>3</v>
      </c>
      <c r="BJ179">
        <v>3</v>
      </c>
      <c r="BK179">
        <v>5</v>
      </c>
      <c r="BL179">
        <v>6</v>
      </c>
    </row>
    <row r="180" spans="1:64" x14ac:dyDescent="0.25">
      <c r="A180" s="1" t="s">
        <v>64</v>
      </c>
      <c r="B180" s="1" t="s">
        <v>202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1</v>
      </c>
      <c r="BA180">
        <v>1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3</v>
      </c>
      <c r="BL180">
        <v>6</v>
      </c>
    </row>
    <row r="181" spans="1:64" x14ac:dyDescent="0.25">
      <c r="A181" s="1" t="s">
        <v>64</v>
      </c>
      <c r="B181" s="1" t="s">
        <v>540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</row>
    <row r="182" spans="1:64" x14ac:dyDescent="0.25">
      <c r="A182" s="1" t="s">
        <v>64</v>
      </c>
      <c r="B182" s="1" t="s">
        <v>157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1</v>
      </c>
      <c r="BK182">
        <v>1</v>
      </c>
      <c r="BL182">
        <v>1</v>
      </c>
    </row>
    <row r="183" spans="1:64" x14ac:dyDescent="0.25">
      <c r="A183" s="1" t="s">
        <v>64</v>
      </c>
      <c r="B183" s="1" t="s">
        <v>148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3</v>
      </c>
      <c r="BJ183">
        <v>5</v>
      </c>
      <c r="BK183">
        <v>5</v>
      </c>
      <c r="BL183">
        <v>5</v>
      </c>
    </row>
    <row r="184" spans="1:64" x14ac:dyDescent="0.25">
      <c r="A184" s="1" t="s">
        <v>64</v>
      </c>
      <c r="B184" s="1" t="s">
        <v>80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1</v>
      </c>
      <c r="O184">
        <v>1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2</v>
      </c>
      <c r="BB184">
        <v>5</v>
      </c>
      <c r="BC184">
        <v>8</v>
      </c>
      <c r="BD184">
        <v>11</v>
      </c>
      <c r="BE184">
        <v>12</v>
      </c>
      <c r="BF184">
        <v>12</v>
      </c>
      <c r="BG184">
        <v>19</v>
      </c>
      <c r="BH184">
        <v>17</v>
      </c>
      <c r="BI184">
        <v>18</v>
      </c>
      <c r="BJ184">
        <v>19</v>
      </c>
      <c r="BK184">
        <v>25</v>
      </c>
      <c r="BL184">
        <v>33</v>
      </c>
    </row>
    <row r="185" spans="1:64" x14ac:dyDescent="0.25">
      <c r="A185" s="1" t="s">
        <v>64</v>
      </c>
      <c r="B185" s="1" t="s">
        <v>139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1</v>
      </c>
      <c r="BB185">
        <v>2</v>
      </c>
      <c r="BC185">
        <v>3</v>
      </c>
      <c r="BD185">
        <v>3</v>
      </c>
      <c r="BE185">
        <v>4</v>
      </c>
      <c r="BF185">
        <v>5</v>
      </c>
      <c r="BG185">
        <v>5</v>
      </c>
      <c r="BH185">
        <v>5</v>
      </c>
      <c r="BI185">
        <v>5</v>
      </c>
      <c r="BJ185">
        <v>5</v>
      </c>
      <c r="BK185">
        <v>7</v>
      </c>
      <c r="BL185">
        <v>8</v>
      </c>
    </row>
    <row r="186" spans="1:64" x14ac:dyDescent="0.25">
      <c r="A186" s="1" t="s">
        <v>64</v>
      </c>
      <c r="B186" s="1" t="s">
        <v>125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1</v>
      </c>
      <c r="BG186">
        <v>2</v>
      </c>
      <c r="BH186">
        <v>3</v>
      </c>
      <c r="BI186">
        <v>6</v>
      </c>
      <c r="BJ186">
        <v>12</v>
      </c>
      <c r="BK186">
        <v>14</v>
      </c>
      <c r="BL186">
        <v>23</v>
      </c>
    </row>
    <row r="187" spans="1:64" x14ac:dyDescent="0.25">
      <c r="A187" s="1" t="s">
        <v>64</v>
      </c>
      <c r="B187" s="1" t="s">
        <v>119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</row>
    <row r="188" spans="1:64" x14ac:dyDescent="0.25">
      <c r="A188" s="1" t="s">
        <v>64</v>
      </c>
      <c r="B188" s="1" t="s">
        <v>106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3</v>
      </c>
      <c r="BL188">
        <v>7</v>
      </c>
    </row>
    <row r="189" spans="1:64" x14ac:dyDescent="0.25">
      <c r="A189" s="1" t="s">
        <v>64</v>
      </c>
      <c r="B189" s="1" t="s">
        <v>259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1</v>
      </c>
      <c r="BI189">
        <v>1</v>
      </c>
      <c r="BJ189">
        <v>1</v>
      </c>
      <c r="BK189">
        <v>1</v>
      </c>
      <c r="BL189">
        <v>1</v>
      </c>
    </row>
    <row r="190" spans="1:64" x14ac:dyDescent="0.25">
      <c r="A190" s="1" t="s">
        <v>64</v>
      </c>
      <c r="B190" s="1" t="s">
        <v>492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</row>
    <row r="191" spans="1:64" x14ac:dyDescent="0.25">
      <c r="A191" s="1" t="s">
        <v>64</v>
      </c>
      <c r="B191" s="1" t="s">
        <v>493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</row>
    <row r="192" spans="1:64" x14ac:dyDescent="0.25">
      <c r="A192" s="1" t="s">
        <v>64</v>
      </c>
      <c r="B192" s="1" t="s">
        <v>494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</row>
    <row r="193" spans="1:64" x14ac:dyDescent="0.25">
      <c r="A193" s="1" t="s">
        <v>64</v>
      </c>
      <c r="B193" s="1" t="s">
        <v>108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1</v>
      </c>
      <c r="AS193">
        <v>1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2</v>
      </c>
      <c r="AZ193">
        <v>2</v>
      </c>
      <c r="BA193">
        <v>3</v>
      </c>
      <c r="BB193">
        <v>5</v>
      </c>
      <c r="BC193">
        <v>5</v>
      </c>
      <c r="BD193">
        <v>5</v>
      </c>
      <c r="BE193">
        <v>7</v>
      </c>
      <c r="BF193">
        <v>7</v>
      </c>
      <c r="BG193">
        <v>11</v>
      </c>
      <c r="BH193">
        <v>11</v>
      </c>
      <c r="BI193">
        <v>14</v>
      </c>
      <c r="BJ193">
        <v>20</v>
      </c>
      <c r="BK193">
        <v>20</v>
      </c>
      <c r="BL193">
        <v>20</v>
      </c>
    </row>
    <row r="194" spans="1:64" x14ac:dyDescent="0.25">
      <c r="A194" s="1" t="s">
        <v>64</v>
      </c>
      <c r="B194" s="1" t="s">
        <v>130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</row>
    <row r="195" spans="1:64" x14ac:dyDescent="0.25">
      <c r="A195" s="1" t="s">
        <v>64</v>
      </c>
      <c r="B195" s="1" t="s">
        <v>131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</row>
    <row r="196" spans="1:64" x14ac:dyDescent="0.25">
      <c r="A196" s="1" t="s">
        <v>64</v>
      </c>
      <c r="B196" s="1" t="s">
        <v>149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1</v>
      </c>
      <c r="BJ196">
        <v>1</v>
      </c>
      <c r="BK196">
        <v>2</v>
      </c>
      <c r="BL196">
        <v>3</v>
      </c>
    </row>
    <row r="197" spans="1:64" x14ac:dyDescent="0.25">
      <c r="A197" s="1" t="s">
        <v>64</v>
      </c>
      <c r="B197" s="1" t="s">
        <v>485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</row>
    <row r="198" spans="1:64" x14ac:dyDescent="0.25">
      <c r="A198" s="1" t="s">
        <v>64</v>
      </c>
      <c r="B198" s="1" t="s">
        <v>66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2</v>
      </c>
      <c r="BK198">
        <v>2</v>
      </c>
      <c r="BL198">
        <v>2</v>
      </c>
    </row>
    <row r="199" spans="1:64" x14ac:dyDescent="0.25">
      <c r="A199" s="1" t="s">
        <v>64</v>
      </c>
      <c r="B199" s="1" t="s">
        <v>150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1</v>
      </c>
      <c r="BH199">
        <v>1</v>
      </c>
      <c r="BI199">
        <v>1</v>
      </c>
      <c r="BJ199">
        <v>1</v>
      </c>
      <c r="BK199">
        <v>0</v>
      </c>
      <c r="BL199">
        <v>0</v>
      </c>
    </row>
    <row r="200" spans="1:64" x14ac:dyDescent="0.25">
      <c r="A200" s="1" t="s">
        <v>64</v>
      </c>
      <c r="B200" s="1" t="s">
        <v>142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1</v>
      </c>
      <c r="BD200">
        <v>1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2</v>
      </c>
      <c r="BL200">
        <v>3</v>
      </c>
    </row>
    <row r="201" spans="1:64" x14ac:dyDescent="0.25">
      <c r="A201" s="1" t="s">
        <v>64</v>
      </c>
      <c r="B201" s="1" t="s">
        <v>512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</row>
    <row r="202" spans="1:64" x14ac:dyDescent="0.25">
      <c r="A202" s="1" t="s">
        <v>64</v>
      </c>
      <c r="B202" s="1" t="s">
        <v>143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</row>
    <row r="203" spans="1:64" x14ac:dyDescent="0.25">
      <c r="A203" s="1" t="s">
        <v>64</v>
      </c>
      <c r="B203" s="1" t="s">
        <v>84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1</v>
      </c>
      <c r="AS203">
        <v>2</v>
      </c>
      <c r="AT203">
        <v>3</v>
      </c>
      <c r="AU203">
        <v>5</v>
      </c>
      <c r="AV203">
        <v>10</v>
      </c>
      <c r="AW203">
        <v>17</v>
      </c>
      <c r="AX203">
        <v>28</v>
      </c>
      <c r="AY203">
        <v>35</v>
      </c>
      <c r="AZ203">
        <v>54</v>
      </c>
      <c r="BA203">
        <v>55</v>
      </c>
      <c r="BB203">
        <v>133</v>
      </c>
      <c r="BC203">
        <v>195</v>
      </c>
      <c r="BD203">
        <v>289</v>
      </c>
      <c r="BE203">
        <v>342</v>
      </c>
      <c r="BF203">
        <v>533</v>
      </c>
      <c r="BG203">
        <v>623</v>
      </c>
      <c r="BH203">
        <v>830</v>
      </c>
      <c r="BI203">
        <v>1043</v>
      </c>
      <c r="BJ203">
        <v>1375</v>
      </c>
      <c r="BK203">
        <v>1772</v>
      </c>
      <c r="BL203">
        <v>2311</v>
      </c>
    </row>
    <row r="204" spans="1:64" x14ac:dyDescent="0.25">
      <c r="A204" s="1" t="s">
        <v>64</v>
      </c>
      <c r="B204" s="1" t="s">
        <v>76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</row>
    <row r="205" spans="1:64" x14ac:dyDescent="0.25">
      <c r="A205" s="1" t="s">
        <v>64</v>
      </c>
      <c r="B205" s="1" t="s">
        <v>476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</row>
    <row r="206" spans="1:64" x14ac:dyDescent="0.25">
      <c r="A206" s="1" t="s">
        <v>64</v>
      </c>
      <c r="B206" s="1" t="s">
        <v>495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</row>
    <row r="207" spans="1:64" x14ac:dyDescent="0.25">
      <c r="A207" s="1" t="s">
        <v>64</v>
      </c>
      <c r="B207" s="1" t="s">
        <v>83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1</v>
      </c>
      <c r="BA207">
        <v>1</v>
      </c>
      <c r="BB207">
        <v>1</v>
      </c>
      <c r="BC207">
        <v>2</v>
      </c>
      <c r="BD207">
        <v>3</v>
      </c>
      <c r="BE207">
        <v>6</v>
      </c>
      <c r="BF207">
        <v>7</v>
      </c>
      <c r="BG207">
        <v>10</v>
      </c>
      <c r="BH207">
        <v>11</v>
      </c>
      <c r="BI207">
        <v>16</v>
      </c>
      <c r="BJ207">
        <v>20</v>
      </c>
      <c r="BK207">
        <v>21</v>
      </c>
      <c r="BL207">
        <v>25</v>
      </c>
    </row>
    <row r="208" spans="1:64" x14ac:dyDescent="0.25">
      <c r="A208" s="1" t="s">
        <v>64</v>
      </c>
      <c r="B208" s="1" t="s">
        <v>97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1</v>
      </c>
      <c r="AU208">
        <v>1</v>
      </c>
      <c r="AV208">
        <v>1</v>
      </c>
      <c r="AW208">
        <v>2</v>
      </c>
      <c r="AX208">
        <v>2</v>
      </c>
      <c r="AY208">
        <v>3</v>
      </c>
      <c r="AZ208">
        <v>4</v>
      </c>
      <c r="BA208">
        <v>4</v>
      </c>
      <c r="BB208">
        <v>11</v>
      </c>
      <c r="BC208">
        <v>13</v>
      </c>
      <c r="BD208">
        <v>14</v>
      </c>
      <c r="BE208">
        <v>14</v>
      </c>
      <c r="BF208">
        <v>27</v>
      </c>
      <c r="BG208">
        <v>28</v>
      </c>
      <c r="BH208">
        <v>41</v>
      </c>
      <c r="BI208">
        <v>54</v>
      </c>
      <c r="BJ208">
        <v>75</v>
      </c>
      <c r="BK208">
        <v>98</v>
      </c>
      <c r="BL208">
        <v>120</v>
      </c>
    </row>
    <row r="209" spans="1:64" x14ac:dyDescent="0.25">
      <c r="A209" s="1" t="s">
        <v>64</v>
      </c>
      <c r="B209" s="1" t="s">
        <v>257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</v>
      </c>
      <c r="AC209">
        <v>1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2</v>
      </c>
      <c r="BJ209">
        <v>2</v>
      </c>
      <c r="BK209">
        <v>2</v>
      </c>
      <c r="BL209">
        <v>2</v>
      </c>
    </row>
    <row r="210" spans="1:64" x14ac:dyDescent="0.25">
      <c r="A210" s="1" t="s">
        <v>64</v>
      </c>
      <c r="B210" s="1" t="s">
        <v>513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</row>
    <row r="211" spans="1:64" x14ac:dyDescent="0.25">
      <c r="A211" s="1" t="s">
        <v>64</v>
      </c>
      <c r="B211" s="1" t="s">
        <v>63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1</v>
      </c>
      <c r="AQ211">
        <v>1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</row>
    <row r="212" spans="1:64" x14ac:dyDescent="0.25">
      <c r="A212" s="1" t="s">
        <v>64</v>
      </c>
      <c r="B212" s="1" t="s">
        <v>151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</row>
    <row r="213" spans="1:64" x14ac:dyDescent="0.25">
      <c r="A213" s="1" t="s">
        <v>64</v>
      </c>
      <c r="B213" s="1" t="s">
        <v>486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</row>
    <row r="214" spans="1:64" x14ac:dyDescent="0.25">
      <c r="A214" s="1" t="s">
        <v>64</v>
      </c>
      <c r="B214" s="1" t="s">
        <v>140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1</v>
      </c>
      <c r="BI214">
        <v>1</v>
      </c>
      <c r="BJ214">
        <v>1</v>
      </c>
      <c r="BK214">
        <v>3</v>
      </c>
      <c r="BL214">
        <v>3</v>
      </c>
    </row>
    <row r="215" spans="1:64" x14ac:dyDescent="0.25">
      <c r="A215" s="1" t="s">
        <v>64</v>
      </c>
      <c r="B215" s="1" t="s">
        <v>275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1</v>
      </c>
      <c r="BG215">
        <v>1</v>
      </c>
      <c r="BH215">
        <v>3</v>
      </c>
      <c r="BI215">
        <v>4</v>
      </c>
      <c r="BJ215">
        <v>9</v>
      </c>
      <c r="BK215">
        <v>30</v>
      </c>
      <c r="BL215">
        <v>37</v>
      </c>
    </row>
    <row r="216" spans="1:64" x14ac:dyDescent="0.25">
      <c r="A216" s="1" t="s">
        <v>64</v>
      </c>
      <c r="B216" s="1" t="s">
        <v>547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</row>
    <row r="217" spans="1:64" x14ac:dyDescent="0.25">
      <c r="A217" s="1" t="s">
        <v>64</v>
      </c>
      <c r="B217" s="1" t="s">
        <v>135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1</v>
      </c>
      <c r="BC217">
        <v>1</v>
      </c>
      <c r="BD217">
        <v>1</v>
      </c>
      <c r="BE217">
        <v>1</v>
      </c>
      <c r="BF217">
        <v>2</v>
      </c>
      <c r="BG217">
        <v>2</v>
      </c>
      <c r="BH217">
        <v>2</v>
      </c>
      <c r="BI217">
        <v>3</v>
      </c>
      <c r="BJ217">
        <v>3</v>
      </c>
      <c r="BK217">
        <v>3</v>
      </c>
      <c r="BL217">
        <v>3</v>
      </c>
    </row>
    <row r="218" spans="1:64" x14ac:dyDescent="0.25">
      <c r="A218" s="1" t="s">
        <v>64</v>
      </c>
      <c r="B218" s="1" t="s">
        <v>79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2</v>
      </c>
      <c r="BJ218">
        <v>2</v>
      </c>
      <c r="BK218">
        <v>2</v>
      </c>
      <c r="BL218">
        <v>2</v>
      </c>
    </row>
    <row r="219" spans="1:64" x14ac:dyDescent="0.25">
      <c r="A219" s="1" t="s">
        <v>529</v>
      </c>
      <c r="B219" s="1" t="s">
        <v>268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</row>
    <row r="220" spans="1:64" x14ac:dyDescent="0.25">
      <c r="A220" s="1" t="s">
        <v>515</v>
      </c>
      <c r="B220" s="1" t="s">
        <v>268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</row>
    <row r="221" spans="1:64" x14ac:dyDescent="0.25">
      <c r="A221" s="1" t="s">
        <v>267</v>
      </c>
      <c r="B221" s="1" t="s">
        <v>268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</row>
    <row r="222" spans="1:64" x14ac:dyDescent="0.25">
      <c r="A222" s="1" t="s">
        <v>276</v>
      </c>
      <c r="B222" s="1" t="s">
        <v>268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</row>
    <row r="223" spans="1:64" x14ac:dyDescent="0.25">
      <c r="A223" s="1" t="s">
        <v>541</v>
      </c>
      <c r="B223" s="1" t="s">
        <v>268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</row>
    <row r="224" spans="1:64" x14ac:dyDescent="0.25">
      <c r="A224" s="1" t="s">
        <v>525</v>
      </c>
      <c r="B224" s="1" t="s">
        <v>268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</row>
    <row r="225" spans="1:64" x14ac:dyDescent="0.25">
      <c r="A225" s="1" t="s">
        <v>64</v>
      </c>
      <c r="B225" s="1" t="s">
        <v>268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1</v>
      </c>
      <c r="AU225">
        <v>2</v>
      </c>
      <c r="AV225">
        <v>2</v>
      </c>
      <c r="AW225">
        <v>3</v>
      </c>
      <c r="AX225">
        <v>4</v>
      </c>
      <c r="AY225">
        <v>6</v>
      </c>
      <c r="AZ225">
        <v>8</v>
      </c>
      <c r="BA225">
        <v>8</v>
      </c>
      <c r="BB225">
        <v>8</v>
      </c>
      <c r="BC225">
        <v>21</v>
      </c>
      <c r="BD225">
        <v>21</v>
      </c>
      <c r="BE225">
        <v>55</v>
      </c>
      <c r="BF225">
        <v>55</v>
      </c>
      <c r="BG225">
        <v>71</v>
      </c>
      <c r="BH225">
        <v>137</v>
      </c>
      <c r="BI225">
        <v>177</v>
      </c>
      <c r="BJ225">
        <v>233</v>
      </c>
      <c r="BK225">
        <v>281</v>
      </c>
      <c r="BL225">
        <v>335</v>
      </c>
    </row>
    <row r="226" spans="1:64" x14ac:dyDescent="0.25">
      <c r="A226" s="1" t="s">
        <v>64</v>
      </c>
      <c r="B226" s="1" t="s">
        <v>481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</row>
    <row r="227" spans="1:64" x14ac:dyDescent="0.25">
      <c r="A227" s="1" t="s">
        <v>64</v>
      </c>
      <c r="B227" s="1" t="s">
        <v>165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1</v>
      </c>
      <c r="AP227">
        <v>1</v>
      </c>
      <c r="AQ227">
        <v>6</v>
      </c>
      <c r="AR227">
        <v>7</v>
      </c>
      <c r="AS227">
        <v>11</v>
      </c>
      <c r="AT227">
        <v>12</v>
      </c>
      <c r="AU227">
        <v>14</v>
      </c>
      <c r="AV227">
        <v>17</v>
      </c>
      <c r="AW227">
        <v>21</v>
      </c>
      <c r="AX227">
        <v>22</v>
      </c>
      <c r="AY227">
        <v>28</v>
      </c>
      <c r="AZ227">
        <v>36</v>
      </c>
      <c r="BA227">
        <v>40</v>
      </c>
      <c r="BB227">
        <v>47</v>
      </c>
      <c r="BC227">
        <v>54</v>
      </c>
      <c r="BD227">
        <v>63</v>
      </c>
      <c r="BE227">
        <v>85</v>
      </c>
      <c r="BF227">
        <v>108</v>
      </c>
      <c r="BG227">
        <v>118</v>
      </c>
      <c r="BH227">
        <v>200</v>
      </c>
      <c r="BI227">
        <v>244</v>
      </c>
      <c r="BJ227">
        <v>307</v>
      </c>
      <c r="BK227">
        <v>417</v>
      </c>
      <c r="BL227">
        <v>557</v>
      </c>
    </row>
    <row r="228" spans="1:64" x14ac:dyDescent="0.25">
      <c r="A228" s="1" t="s">
        <v>64</v>
      </c>
      <c r="B228" s="1" t="s">
        <v>505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</row>
    <row r="229" spans="1:64" x14ac:dyDescent="0.25">
      <c r="A229" s="1" t="s">
        <v>64</v>
      </c>
      <c r="B229" s="1" t="s">
        <v>487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</row>
    <row r="230" spans="1:64" x14ac:dyDescent="0.25">
      <c r="A230" s="1" t="s">
        <v>64</v>
      </c>
      <c r="B230" s="1" t="s">
        <v>258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</row>
    <row r="231" spans="1:64" x14ac:dyDescent="0.25">
      <c r="A231" s="1" t="s">
        <v>64</v>
      </c>
      <c r="B231" s="1" t="s">
        <v>522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</row>
    <row r="232" spans="1:64" x14ac:dyDescent="0.25">
      <c r="A232" s="1" t="s">
        <v>64</v>
      </c>
      <c r="B232" s="1" t="s">
        <v>542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1</v>
      </c>
    </row>
    <row r="233" spans="1:64" x14ac:dyDescent="0.25">
      <c r="A233" s="1" t="s">
        <v>169</v>
      </c>
      <c r="B233" s="1" t="s">
        <v>70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1</v>
      </c>
      <c r="BL233">
        <v>1</v>
      </c>
    </row>
    <row r="234" spans="1:64" x14ac:dyDescent="0.25">
      <c r="A234" s="1" t="s">
        <v>64</v>
      </c>
      <c r="B234" s="1" t="s">
        <v>548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</row>
    <row r="235" spans="1:64" x14ac:dyDescent="0.25">
      <c r="A235" s="1" t="s">
        <v>64</v>
      </c>
      <c r="B235" s="1" t="s">
        <v>549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</row>
    <row r="236" spans="1:64" x14ac:dyDescent="0.25">
      <c r="A236" s="1" t="s">
        <v>64</v>
      </c>
      <c r="B236" s="1" t="s">
        <v>550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</row>
    <row r="237" spans="1:64" x14ac:dyDescent="0.25">
      <c r="A237" s="1" t="s">
        <v>64</v>
      </c>
      <c r="B237" s="1" t="s">
        <v>551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</row>
    <row r="238" spans="1:64" x14ac:dyDescent="0.25">
      <c r="A238" s="1" t="s">
        <v>64</v>
      </c>
      <c r="B238" s="1" t="s">
        <v>552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</row>
    <row r="239" spans="1:64" x14ac:dyDescent="0.25">
      <c r="A239" s="1" t="s">
        <v>64</v>
      </c>
      <c r="B239" s="1" t="s">
        <v>651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DB7FF-BC99-4FA3-B127-F96962CABE4B}">
  <sheetPr codeName="Tabelle4"/>
  <dimension ref="A1:BK502"/>
  <sheetViews>
    <sheetView workbookViewId="0">
      <selection sqref="A1:BK488"/>
    </sheetView>
  </sheetViews>
  <sheetFormatPr baseColWidth="10" defaultRowHeight="15" x14ac:dyDescent="0.25"/>
  <cols>
    <col min="1" max="1" width="26.5703125" bestFit="1" customWidth="1"/>
    <col min="2" max="2" width="30.85546875" bestFit="1" customWidth="1"/>
    <col min="3" max="12" width="10" bestFit="1" customWidth="1"/>
    <col min="13" max="21" width="9" bestFit="1" customWidth="1"/>
    <col min="22" max="41" width="10" bestFit="1" customWidth="1"/>
    <col min="42" max="50" width="9" bestFit="1" customWidth="1"/>
    <col min="51" max="63" width="10" bestFit="1" customWidth="1"/>
  </cols>
  <sheetData>
    <row r="1" spans="1:6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</row>
    <row r="2" spans="1:63" x14ac:dyDescent="0.25">
      <c r="A2" s="1" t="s">
        <v>64</v>
      </c>
      <c r="B2" s="1" t="s">
        <v>63</v>
      </c>
      <c r="C2" s="1">
        <v>0</v>
      </c>
      <c r="D2" s="1">
        <v>0</v>
      </c>
      <c r="E2" s="1">
        <v>0</v>
      </c>
      <c r="F2" s="1">
        <v>0</v>
      </c>
      <c r="G2" s="1">
        <v>2</v>
      </c>
      <c r="H2" s="1">
        <v>2</v>
      </c>
      <c r="I2" s="1">
        <v>5</v>
      </c>
      <c r="J2" s="1">
        <v>5</v>
      </c>
      <c r="K2" s="1">
        <v>5</v>
      </c>
      <c r="L2" s="1">
        <v>5</v>
      </c>
      <c r="M2" s="1">
        <v>5</v>
      </c>
      <c r="N2" s="1">
        <v>5</v>
      </c>
      <c r="O2" s="1">
        <v>5</v>
      </c>
      <c r="P2" s="1">
        <v>5</v>
      </c>
      <c r="Q2" s="1">
        <v>5</v>
      </c>
      <c r="R2" s="1">
        <v>5</v>
      </c>
      <c r="S2" s="1">
        <v>5</v>
      </c>
      <c r="T2" s="1">
        <v>10</v>
      </c>
      <c r="U2" s="1">
        <v>10</v>
      </c>
      <c r="V2" s="1">
        <v>10</v>
      </c>
      <c r="W2" s="1">
        <v>10</v>
      </c>
      <c r="X2" s="1">
        <v>10</v>
      </c>
      <c r="Y2" s="1">
        <v>12</v>
      </c>
      <c r="Z2" s="1">
        <v>12</v>
      </c>
      <c r="AA2" s="1">
        <v>12</v>
      </c>
      <c r="AB2" s="1">
        <v>14</v>
      </c>
      <c r="AC2" s="1">
        <v>15</v>
      </c>
      <c r="AD2" s="1">
        <v>15</v>
      </c>
      <c r="AE2" s="1">
        <v>15</v>
      </c>
      <c r="AF2" s="1">
        <v>15</v>
      </c>
      <c r="AG2" s="1">
        <v>17</v>
      </c>
      <c r="AH2" s="1">
        <v>17</v>
      </c>
      <c r="AI2" s="1">
        <v>21</v>
      </c>
      <c r="AJ2" s="1">
        <v>21</v>
      </c>
      <c r="AK2" s="1">
        <v>22</v>
      </c>
      <c r="AL2" s="1">
        <v>22</v>
      </c>
      <c r="AM2" s="1">
        <v>22</v>
      </c>
      <c r="AN2" s="1">
        <v>28</v>
      </c>
      <c r="AO2" s="1">
        <v>28</v>
      </c>
      <c r="AP2" s="1">
        <v>28</v>
      </c>
      <c r="AQ2" s="1">
        <v>31</v>
      </c>
      <c r="AR2" s="1">
        <v>31</v>
      </c>
      <c r="AS2" s="1">
        <v>31</v>
      </c>
      <c r="AT2" s="1">
        <v>31</v>
      </c>
      <c r="AU2" s="1">
        <v>31</v>
      </c>
      <c r="AV2" s="1">
        <v>31</v>
      </c>
      <c r="AW2" s="1">
        <v>31</v>
      </c>
      <c r="AX2" s="1">
        <v>31</v>
      </c>
      <c r="AY2" s="1">
        <v>33</v>
      </c>
      <c r="AZ2" s="1">
        <v>34</v>
      </c>
      <c r="BA2" s="1">
        <v>34</v>
      </c>
      <c r="BB2" s="1">
        <v>35</v>
      </c>
      <c r="BC2" s="1">
        <v>35</v>
      </c>
      <c r="BD2" s="1">
        <v>35</v>
      </c>
      <c r="BE2" s="1">
        <v>35</v>
      </c>
      <c r="BF2" s="1">
        <v>41</v>
      </c>
      <c r="BG2" s="1">
        <v>42</v>
      </c>
      <c r="BH2" s="1">
        <v>42</v>
      </c>
      <c r="BI2" s="1">
        <v>42</v>
      </c>
      <c r="BJ2" s="1">
        <v>42</v>
      </c>
      <c r="BK2" s="1">
        <v>44</v>
      </c>
    </row>
    <row r="3" spans="1:63" x14ac:dyDescent="0.25">
      <c r="A3" s="1" t="s">
        <v>64</v>
      </c>
      <c r="B3" s="1" t="s">
        <v>65</v>
      </c>
      <c r="C3" s="1">
        <v>0</v>
      </c>
      <c r="D3" s="1">
        <v>0</v>
      </c>
      <c r="E3" s="1">
        <v>0</v>
      </c>
      <c r="F3" s="1">
        <v>0</v>
      </c>
      <c r="G3" s="1">
        <v>1</v>
      </c>
      <c r="H3" s="1">
        <v>1</v>
      </c>
      <c r="I3" s="1">
        <v>1</v>
      </c>
      <c r="J3" s="1">
        <v>1</v>
      </c>
      <c r="K3" s="1">
        <v>1</v>
      </c>
      <c r="L3" s="1">
        <v>1</v>
      </c>
      <c r="M3" s="1">
        <v>1</v>
      </c>
      <c r="N3" s="1">
        <v>1</v>
      </c>
      <c r="O3" s="1">
        <v>1</v>
      </c>
      <c r="P3" s="1">
        <v>1</v>
      </c>
      <c r="Q3" s="1">
        <v>1</v>
      </c>
      <c r="R3" s="1">
        <v>1</v>
      </c>
      <c r="S3" s="1">
        <v>1</v>
      </c>
      <c r="T3" s="1">
        <v>1</v>
      </c>
      <c r="U3" s="1">
        <v>1</v>
      </c>
      <c r="V3" s="1">
        <v>4</v>
      </c>
      <c r="W3" s="1">
        <v>9</v>
      </c>
      <c r="X3" s="1">
        <v>9</v>
      </c>
      <c r="Y3" s="1">
        <v>9</v>
      </c>
      <c r="Z3" s="1">
        <v>9</v>
      </c>
      <c r="AA3" s="1">
        <v>12</v>
      </c>
      <c r="AB3" s="1">
        <v>12</v>
      </c>
      <c r="AC3" s="1">
        <v>12</v>
      </c>
      <c r="AD3" s="1">
        <v>13</v>
      </c>
      <c r="AE3" s="1">
        <v>18</v>
      </c>
      <c r="AF3" s="1">
        <v>18</v>
      </c>
      <c r="AG3" s="1">
        <v>22</v>
      </c>
      <c r="AH3" s="1">
        <v>22</v>
      </c>
      <c r="AI3" s="1">
        <v>22</v>
      </c>
      <c r="AJ3" s="1">
        <v>22</v>
      </c>
      <c r="AK3" s="1">
        <v>22</v>
      </c>
      <c r="AL3" s="1">
        <v>22</v>
      </c>
      <c r="AM3" s="1">
        <v>22</v>
      </c>
      <c r="AN3" s="1">
        <v>22</v>
      </c>
      <c r="AO3" s="1">
        <v>32</v>
      </c>
      <c r="AP3" s="1">
        <v>32</v>
      </c>
      <c r="AQ3" s="1">
        <v>32</v>
      </c>
      <c r="AR3" s="1">
        <v>43</v>
      </c>
      <c r="AS3" s="1">
        <v>43</v>
      </c>
      <c r="AT3" s="1">
        <v>43</v>
      </c>
      <c r="AU3" s="1">
        <v>46</v>
      </c>
      <c r="AV3" s="1">
        <v>76</v>
      </c>
      <c r="AW3" s="1">
        <v>76</v>
      </c>
      <c r="AX3" s="1">
        <v>76</v>
      </c>
      <c r="AY3" s="1">
        <v>101</v>
      </c>
      <c r="AZ3" s="1">
        <v>118</v>
      </c>
      <c r="BA3" s="1">
        <v>118</v>
      </c>
      <c r="BB3" s="1">
        <v>118</v>
      </c>
      <c r="BC3" s="1">
        <v>118</v>
      </c>
      <c r="BD3" s="1">
        <v>118</v>
      </c>
      <c r="BE3" s="1">
        <v>144</v>
      </c>
      <c r="BF3" s="1">
        <v>144</v>
      </c>
      <c r="BG3" s="1">
        <v>144</v>
      </c>
      <c r="BH3" s="1">
        <v>150</v>
      </c>
      <c r="BI3" s="1">
        <v>191</v>
      </c>
      <c r="BJ3" s="1">
        <v>232</v>
      </c>
      <c r="BK3" s="1">
        <v>235</v>
      </c>
    </row>
    <row r="4" spans="1:63" x14ac:dyDescent="0.25">
      <c r="A4" s="1" t="s">
        <v>64</v>
      </c>
      <c r="B4" s="1" t="s">
        <v>66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2</v>
      </c>
      <c r="U4">
        <v>2</v>
      </c>
      <c r="V4">
        <v>2</v>
      </c>
      <c r="W4">
        <v>9</v>
      </c>
      <c r="X4">
        <v>15</v>
      </c>
      <c r="Y4">
        <v>15</v>
      </c>
      <c r="Z4">
        <v>17</v>
      </c>
      <c r="AA4">
        <v>18</v>
      </c>
      <c r="AB4">
        <v>18</v>
      </c>
      <c r="AC4">
        <v>24</v>
      </c>
      <c r="AD4">
        <v>29</v>
      </c>
      <c r="AE4">
        <v>34</v>
      </c>
      <c r="AF4">
        <v>34</v>
      </c>
      <c r="AG4">
        <v>37</v>
      </c>
      <c r="AH4">
        <v>37</v>
      </c>
      <c r="AI4">
        <v>51</v>
      </c>
      <c r="AJ4">
        <v>51</v>
      </c>
      <c r="AK4">
        <v>53</v>
      </c>
      <c r="AL4">
        <v>62</v>
      </c>
      <c r="AM4">
        <v>62</v>
      </c>
      <c r="AN4">
        <v>62</v>
      </c>
      <c r="AO4">
        <v>72</v>
      </c>
      <c r="AP4">
        <v>72</v>
      </c>
      <c r="AQ4">
        <v>78</v>
      </c>
      <c r="AR4">
        <v>78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96</v>
      </c>
      <c r="BA4">
        <v>96</v>
      </c>
      <c r="BB4">
        <v>97</v>
      </c>
      <c r="BC4">
        <v>105</v>
      </c>
      <c r="BD4">
        <v>105</v>
      </c>
      <c r="BE4">
        <v>109</v>
      </c>
      <c r="BF4">
        <v>114</v>
      </c>
      <c r="BG4">
        <v>114</v>
      </c>
      <c r="BH4">
        <v>114</v>
      </c>
      <c r="BI4">
        <v>124</v>
      </c>
      <c r="BJ4">
        <v>140</v>
      </c>
      <c r="BK4">
        <v>144</v>
      </c>
    </row>
    <row r="5" spans="1:63" x14ac:dyDescent="0.25">
      <c r="A5" s="1" t="s">
        <v>64</v>
      </c>
      <c r="B5" s="1" t="s">
        <v>67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</row>
    <row r="6" spans="1:63" x14ac:dyDescent="0.25">
      <c r="A6" s="1" t="s">
        <v>64</v>
      </c>
      <c r="B6" s="1" t="s">
        <v>68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1</v>
      </c>
      <c r="T6">
        <v>1</v>
      </c>
      <c r="U6">
        <v>1</v>
      </c>
      <c r="V6">
        <v>1</v>
      </c>
      <c r="W6">
        <v>3</v>
      </c>
      <c r="X6">
        <v>3</v>
      </c>
      <c r="Y6">
        <v>3</v>
      </c>
      <c r="Z6">
        <v>3</v>
      </c>
      <c r="AA6">
        <v>7</v>
      </c>
      <c r="AB6">
        <v>7</v>
      </c>
      <c r="AC6">
        <v>7</v>
      </c>
      <c r="AD6">
        <v>13</v>
      </c>
      <c r="AE6">
        <v>15</v>
      </c>
      <c r="AF6">
        <v>15</v>
      </c>
      <c r="AG6">
        <v>15</v>
      </c>
      <c r="AH6">
        <v>15</v>
      </c>
      <c r="AI6">
        <v>15</v>
      </c>
      <c r="AJ6">
        <v>18</v>
      </c>
      <c r="AK6">
        <v>18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22</v>
      </c>
      <c r="AS6">
        <v>22</v>
      </c>
      <c r="AT6">
        <v>22</v>
      </c>
      <c r="AU6">
        <v>22</v>
      </c>
      <c r="AV6">
        <v>23</v>
      </c>
      <c r="AW6">
        <v>24</v>
      </c>
      <c r="AX6">
        <v>24</v>
      </c>
      <c r="AY6">
        <v>24</v>
      </c>
      <c r="AZ6">
        <v>26</v>
      </c>
      <c r="BA6">
        <v>26</v>
      </c>
      <c r="BB6">
        <v>26</v>
      </c>
      <c r="BC6">
        <v>35</v>
      </c>
      <c r="BD6">
        <v>42</v>
      </c>
      <c r="BE6">
        <v>42</v>
      </c>
      <c r="BF6">
        <v>49</v>
      </c>
      <c r="BG6">
        <v>60</v>
      </c>
      <c r="BH6">
        <v>75</v>
      </c>
      <c r="BI6">
        <v>87</v>
      </c>
      <c r="BJ6">
        <v>114</v>
      </c>
      <c r="BK6">
        <v>139</v>
      </c>
    </row>
    <row r="7" spans="1:63" x14ac:dyDescent="0.25">
      <c r="A7" s="1" t="s">
        <v>69</v>
      </c>
      <c r="B7" s="1" t="s">
        <v>70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3</v>
      </c>
      <c r="AN7">
        <v>3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4</v>
      </c>
      <c r="AW7">
        <v>4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</row>
    <row r="8" spans="1:63" x14ac:dyDescent="0.25">
      <c r="A8" s="1" t="s">
        <v>71</v>
      </c>
      <c r="B8" s="1" t="s">
        <v>72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2</v>
      </c>
      <c r="L8">
        <v>2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4</v>
      </c>
      <c r="Z8">
        <v>4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</row>
    <row r="9" spans="1:63" x14ac:dyDescent="0.25">
      <c r="A9" s="1" t="s">
        <v>73</v>
      </c>
      <c r="B9" s="1" t="s">
        <v>72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4</v>
      </c>
      <c r="Z9">
        <v>4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7</v>
      </c>
      <c r="AU9">
        <v>7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8</v>
      </c>
      <c r="BC9">
        <v>8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70</v>
      </c>
    </row>
    <row r="10" spans="1:63" x14ac:dyDescent="0.25">
      <c r="A10" s="1" t="s">
        <v>74</v>
      </c>
      <c r="B10" s="1" t="s">
        <v>72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8</v>
      </c>
      <c r="AU10">
        <v>8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</row>
    <row r="11" spans="1:63" x14ac:dyDescent="0.25">
      <c r="A11" s="1" t="s">
        <v>64</v>
      </c>
      <c r="B11" s="1" t="s">
        <v>75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</row>
    <row r="12" spans="1:63" x14ac:dyDescent="0.25">
      <c r="A12" s="1" t="s">
        <v>64</v>
      </c>
      <c r="B12" s="1" t="s">
        <v>76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3</v>
      </c>
      <c r="BI12">
        <v>3</v>
      </c>
      <c r="BJ12">
        <v>1</v>
      </c>
      <c r="BK12">
        <v>3</v>
      </c>
    </row>
    <row r="13" spans="1:63" x14ac:dyDescent="0.25">
      <c r="A13" s="1" t="s">
        <v>64</v>
      </c>
      <c r="B13" s="1" t="s">
        <v>77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12</v>
      </c>
      <c r="AE13">
        <v>12</v>
      </c>
      <c r="AF13">
        <v>12</v>
      </c>
      <c r="AG13">
        <v>14</v>
      </c>
      <c r="AH13">
        <v>14</v>
      </c>
      <c r="AI13">
        <v>14</v>
      </c>
      <c r="AJ13">
        <v>14</v>
      </c>
      <c r="AK13">
        <v>14</v>
      </c>
      <c r="AL13">
        <v>15</v>
      </c>
      <c r="AM13">
        <v>16</v>
      </c>
      <c r="AN13">
        <v>16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17</v>
      </c>
      <c r="AV13">
        <v>18</v>
      </c>
      <c r="AW13">
        <v>18</v>
      </c>
      <c r="AX13">
        <v>18</v>
      </c>
      <c r="AY13">
        <v>18</v>
      </c>
      <c r="AZ13">
        <v>25</v>
      </c>
      <c r="BA13">
        <v>25</v>
      </c>
      <c r="BB13">
        <v>46</v>
      </c>
      <c r="BC13">
        <v>46</v>
      </c>
      <c r="BD13">
        <v>46</v>
      </c>
      <c r="BE13">
        <v>67</v>
      </c>
      <c r="BF13">
        <v>67</v>
      </c>
      <c r="BG13">
        <v>105</v>
      </c>
      <c r="BH13">
        <v>113</v>
      </c>
      <c r="BI13">
        <v>180</v>
      </c>
      <c r="BJ13">
        <v>233</v>
      </c>
      <c r="BK13">
        <v>266</v>
      </c>
    </row>
    <row r="14" spans="1:63" x14ac:dyDescent="0.25">
      <c r="A14" s="1" t="s">
        <v>64</v>
      </c>
      <c r="B14" s="1" t="s">
        <v>78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10</v>
      </c>
      <c r="BE14">
        <v>10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</row>
    <row r="15" spans="1:63" x14ac:dyDescent="0.25">
      <c r="A15" s="1" t="s">
        <v>64</v>
      </c>
      <c r="B15" s="1" t="s">
        <v>79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1</v>
      </c>
      <c r="Y15">
        <v>1</v>
      </c>
      <c r="Z15">
        <v>1</v>
      </c>
      <c r="AA15">
        <v>3</v>
      </c>
      <c r="AB15">
        <v>4</v>
      </c>
      <c r="AC15">
        <v>4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5</v>
      </c>
      <c r="AO15">
        <v>5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7</v>
      </c>
      <c r="AW15">
        <v>7</v>
      </c>
      <c r="AX15">
        <v>7</v>
      </c>
      <c r="AY15">
        <v>12</v>
      </c>
      <c r="AZ15">
        <v>17</v>
      </c>
      <c r="BA15">
        <v>17</v>
      </c>
      <c r="BB15">
        <v>17</v>
      </c>
      <c r="BC15">
        <v>17</v>
      </c>
      <c r="BD15">
        <v>23</v>
      </c>
      <c r="BE15">
        <v>23</v>
      </c>
      <c r="BF15">
        <v>23</v>
      </c>
      <c r="BG15">
        <v>26</v>
      </c>
      <c r="BH15">
        <v>31</v>
      </c>
      <c r="BI15">
        <v>31</v>
      </c>
      <c r="BJ15">
        <v>38</v>
      </c>
      <c r="BK15">
        <v>38</v>
      </c>
    </row>
    <row r="16" spans="1:63" x14ac:dyDescent="0.25">
      <c r="A16" s="1" t="s">
        <v>64</v>
      </c>
      <c r="B16" s="1" t="s">
        <v>80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2</v>
      </c>
      <c r="AZ16">
        <v>2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5</v>
      </c>
      <c r="BG16">
        <v>5</v>
      </c>
      <c r="BH16">
        <v>8</v>
      </c>
      <c r="BI16">
        <v>8</v>
      </c>
      <c r="BJ16">
        <v>13</v>
      </c>
      <c r="BK16">
        <v>17</v>
      </c>
    </row>
    <row r="17" spans="1:63" x14ac:dyDescent="0.25">
      <c r="A17" s="1" t="s">
        <v>64</v>
      </c>
      <c r="B17" s="1" t="s">
        <v>81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3</v>
      </c>
      <c r="AC17">
        <v>3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4</v>
      </c>
      <c r="AZ17">
        <v>4</v>
      </c>
      <c r="BA17">
        <v>4</v>
      </c>
      <c r="BB17">
        <v>4</v>
      </c>
      <c r="BC17">
        <v>4</v>
      </c>
      <c r="BD17">
        <v>13</v>
      </c>
      <c r="BE17">
        <v>13</v>
      </c>
      <c r="BF17">
        <v>14</v>
      </c>
      <c r="BG17">
        <v>14</v>
      </c>
      <c r="BH17">
        <v>15</v>
      </c>
      <c r="BI17">
        <v>20</v>
      </c>
      <c r="BJ17">
        <v>23</v>
      </c>
      <c r="BK17">
        <v>27</v>
      </c>
    </row>
    <row r="18" spans="1:63" x14ac:dyDescent="0.25">
      <c r="A18" s="1" t="s">
        <v>64</v>
      </c>
      <c r="B18" s="1" t="s">
        <v>82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1</v>
      </c>
      <c r="AI18">
        <v>2</v>
      </c>
      <c r="AJ18">
        <v>1</v>
      </c>
      <c r="AK18">
        <v>1</v>
      </c>
      <c r="AL18">
        <v>3</v>
      </c>
      <c r="AM18">
        <v>45</v>
      </c>
      <c r="AN18">
        <v>46</v>
      </c>
      <c r="AO18">
        <v>46</v>
      </c>
      <c r="AP18">
        <v>83</v>
      </c>
      <c r="AQ18">
        <v>149</v>
      </c>
      <c r="AR18">
        <v>160</v>
      </c>
      <c r="AS18">
        <v>276</v>
      </c>
      <c r="AT18">
        <v>414</v>
      </c>
      <c r="AU18">
        <v>523</v>
      </c>
      <c r="AV18">
        <v>589</v>
      </c>
      <c r="AW18">
        <v>622</v>
      </c>
      <c r="AX18">
        <v>724</v>
      </c>
      <c r="AY18">
        <v>724</v>
      </c>
      <c r="AZ18">
        <v>1045</v>
      </c>
      <c r="BA18">
        <v>1045</v>
      </c>
      <c r="BB18">
        <v>1439</v>
      </c>
      <c r="BC18">
        <v>1966</v>
      </c>
      <c r="BD18">
        <v>2335</v>
      </c>
      <c r="BE18">
        <v>2749</v>
      </c>
      <c r="BF18">
        <v>2941</v>
      </c>
      <c r="BG18">
        <v>4025</v>
      </c>
      <c r="BH18">
        <v>4440</v>
      </c>
      <c r="BI18">
        <v>4440</v>
      </c>
      <c r="BJ18">
        <v>6072</v>
      </c>
      <c r="BK18">
        <v>7024</v>
      </c>
    </row>
    <row r="19" spans="1:63" x14ac:dyDescent="0.25">
      <c r="A19" s="1" t="s">
        <v>64</v>
      </c>
      <c r="B19" s="1" t="s">
        <v>83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1</v>
      </c>
      <c r="AY19">
        <v>1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16</v>
      </c>
      <c r="BI19">
        <v>16</v>
      </c>
      <c r="BJ19">
        <v>16</v>
      </c>
      <c r="BK19">
        <v>16</v>
      </c>
    </row>
    <row r="20" spans="1:63" x14ac:dyDescent="0.25">
      <c r="A20" s="1" t="s">
        <v>64</v>
      </c>
      <c r="B20" s="1" t="s">
        <v>84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2</v>
      </c>
      <c r="AB20">
        <v>2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30</v>
      </c>
      <c r="AW20">
        <v>30</v>
      </c>
      <c r="AX20">
        <v>32</v>
      </c>
      <c r="AY20">
        <v>32</v>
      </c>
      <c r="AZ20">
        <v>183</v>
      </c>
      <c r="BA20">
        <v>183</v>
      </c>
      <c r="BB20">
        <v>193</v>
      </c>
      <c r="BC20">
        <v>517</v>
      </c>
      <c r="BD20">
        <v>517</v>
      </c>
      <c r="BE20">
        <v>530</v>
      </c>
      <c r="BF20">
        <v>1028</v>
      </c>
      <c r="BG20">
        <v>1081</v>
      </c>
      <c r="BH20">
        <v>1107</v>
      </c>
      <c r="BI20">
        <v>1588</v>
      </c>
      <c r="BJ20">
        <v>2125</v>
      </c>
      <c r="BK20">
        <v>2575</v>
      </c>
    </row>
    <row r="21" spans="1:63" x14ac:dyDescent="0.25">
      <c r="A21" s="1" t="s">
        <v>85</v>
      </c>
      <c r="B21" s="1" t="s">
        <v>72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2</v>
      </c>
      <c r="AD21">
        <v>2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3</v>
      </c>
      <c r="BC21">
        <v>3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</row>
    <row r="22" spans="1:63" x14ac:dyDescent="0.25">
      <c r="A22" s="1" t="s">
        <v>64</v>
      </c>
      <c r="B22" s="1" t="s">
        <v>86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1</v>
      </c>
      <c r="AD22">
        <v>1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31</v>
      </c>
      <c r="BH22">
        <v>31</v>
      </c>
      <c r="BI22">
        <v>1</v>
      </c>
      <c r="BJ22">
        <v>263</v>
      </c>
      <c r="BK22">
        <v>263</v>
      </c>
    </row>
    <row r="23" spans="1:63" x14ac:dyDescent="0.25">
      <c r="A23" s="1" t="s">
        <v>64</v>
      </c>
      <c r="B23" s="1" t="s">
        <v>87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1</v>
      </c>
      <c r="AO23">
        <v>1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27</v>
      </c>
      <c r="BA23">
        <v>27</v>
      </c>
      <c r="BB23">
        <v>27</v>
      </c>
      <c r="BC23">
        <v>27</v>
      </c>
      <c r="BD23">
        <v>21</v>
      </c>
      <c r="BE23">
        <v>27</v>
      </c>
      <c r="BF23">
        <v>32</v>
      </c>
      <c r="BG23">
        <v>32</v>
      </c>
      <c r="BH23">
        <v>32</v>
      </c>
      <c r="BI23">
        <v>39</v>
      </c>
      <c r="BJ23">
        <v>41</v>
      </c>
      <c r="BK23">
        <v>56</v>
      </c>
    </row>
    <row r="24" spans="1:63" x14ac:dyDescent="0.25">
      <c r="A24" s="1" t="s">
        <v>88</v>
      </c>
      <c r="B24" s="1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</row>
    <row r="25" spans="1:63" x14ac:dyDescent="0.25">
      <c r="A25" s="1" t="s">
        <v>64</v>
      </c>
      <c r="B25" s="1" t="s">
        <v>89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3</v>
      </c>
      <c r="BG25">
        <v>3</v>
      </c>
      <c r="BH25">
        <v>4</v>
      </c>
      <c r="BI25">
        <v>4</v>
      </c>
      <c r="BJ25">
        <v>4</v>
      </c>
      <c r="BK25">
        <v>8</v>
      </c>
    </row>
    <row r="26" spans="1:63" x14ac:dyDescent="0.25">
      <c r="A26" s="1" t="s">
        <v>64</v>
      </c>
      <c r="B26" s="1" t="s">
        <v>90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3</v>
      </c>
      <c r="AY26">
        <v>3</v>
      </c>
      <c r="AZ26">
        <v>15</v>
      </c>
      <c r="BA26">
        <v>15</v>
      </c>
      <c r="BB26">
        <v>24</v>
      </c>
      <c r="BC26">
        <v>26</v>
      </c>
      <c r="BD26">
        <v>26</v>
      </c>
      <c r="BE26">
        <v>26</v>
      </c>
      <c r="BF26">
        <v>32</v>
      </c>
      <c r="BG26">
        <v>43</v>
      </c>
      <c r="BH26">
        <v>43</v>
      </c>
      <c r="BI26">
        <v>49</v>
      </c>
      <c r="BJ26">
        <v>51</v>
      </c>
      <c r="BK26">
        <v>57</v>
      </c>
    </row>
    <row r="27" spans="1:63" x14ac:dyDescent="0.25">
      <c r="A27" s="1" t="s">
        <v>64</v>
      </c>
      <c r="B27" s="1" t="s">
        <v>91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1</v>
      </c>
      <c r="AP27">
        <v>1</v>
      </c>
      <c r="AQ27">
        <v>1</v>
      </c>
      <c r="AR27">
        <v>2</v>
      </c>
      <c r="AS27">
        <v>2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9</v>
      </c>
      <c r="AZ27">
        <v>9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12</v>
      </c>
      <c r="BH27">
        <v>12</v>
      </c>
      <c r="BI27">
        <v>12</v>
      </c>
      <c r="BJ27">
        <v>12</v>
      </c>
      <c r="BK27">
        <v>17</v>
      </c>
    </row>
    <row r="28" spans="1:63" x14ac:dyDescent="0.25">
      <c r="A28" s="1" t="s">
        <v>64</v>
      </c>
      <c r="B28" s="1" t="s">
        <v>92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1</v>
      </c>
      <c r="BF28">
        <v>1</v>
      </c>
      <c r="BG28">
        <v>1</v>
      </c>
      <c r="BH28">
        <v>1</v>
      </c>
      <c r="BI28">
        <v>1</v>
      </c>
      <c r="BJ28">
        <v>1</v>
      </c>
      <c r="BK28">
        <v>1</v>
      </c>
    </row>
    <row r="29" spans="1:63" x14ac:dyDescent="0.25">
      <c r="A29" s="1" t="s">
        <v>64</v>
      </c>
      <c r="B29" s="1" t="s">
        <v>93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4</v>
      </c>
      <c r="AV29">
        <v>4</v>
      </c>
      <c r="AW29">
        <v>4</v>
      </c>
      <c r="AX29">
        <v>14</v>
      </c>
      <c r="AY29">
        <v>22</v>
      </c>
      <c r="AZ29">
        <v>35</v>
      </c>
      <c r="BA29">
        <v>35</v>
      </c>
      <c r="BB29">
        <v>44</v>
      </c>
      <c r="BC29">
        <v>44</v>
      </c>
      <c r="BD29">
        <v>60</v>
      </c>
      <c r="BE29">
        <v>77</v>
      </c>
      <c r="BF29">
        <v>81</v>
      </c>
      <c r="BG29">
        <v>88</v>
      </c>
      <c r="BH29">
        <v>100</v>
      </c>
      <c r="BI29">
        <v>100</v>
      </c>
      <c r="BJ29">
        <v>125</v>
      </c>
      <c r="BK29">
        <v>149</v>
      </c>
    </row>
    <row r="30" spans="1:63" x14ac:dyDescent="0.25">
      <c r="A30" s="1" t="s">
        <v>64</v>
      </c>
      <c r="B30" s="1" t="s">
        <v>94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1</v>
      </c>
      <c r="AX30">
        <v>1</v>
      </c>
      <c r="AY30">
        <v>1</v>
      </c>
      <c r="AZ30">
        <v>2</v>
      </c>
      <c r="BA30">
        <v>5</v>
      </c>
      <c r="BB30">
        <v>5</v>
      </c>
      <c r="BC30">
        <v>5</v>
      </c>
      <c r="BD30">
        <v>5</v>
      </c>
      <c r="BE30">
        <v>9</v>
      </c>
      <c r="BF30">
        <v>9</v>
      </c>
      <c r="BG30">
        <v>15</v>
      </c>
      <c r="BH30">
        <v>18</v>
      </c>
      <c r="BI30">
        <v>18</v>
      </c>
      <c r="BJ30">
        <v>27</v>
      </c>
      <c r="BK30">
        <v>27</v>
      </c>
    </row>
    <row r="31" spans="1:63" x14ac:dyDescent="0.25">
      <c r="A31" s="1" t="s">
        <v>64</v>
      </c>
      <c r="B31" s="1" t="s">
        <v>95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8</v>
      </c>
      <c r="BB31">
        <v>8</v>
      </c>
      <c r="BC31">
        <v>12</v>
      </c>
      <c r="BD31">
        <v>12</v>
      </c>
      <c r="BE31">
        <v>12</v>
      </c>
      <c r="BF31">
        <v>12</v>
      </c>
      <c r="BG31">
        <v>12</v>
      </c>
      <c r="BH31">
        <v>32</v>
      </c>
      <c r="BI31">
        <v>32</v>
      </c>
      <c r="BJ31">
        <v>32</v>
      </c>
      <c r="BK31">
        <v>65</v>
      </c>
    </row>
    <row r="32" spans="1:63" x14ac:dyDescent="0.25">
      <c r="A32" s="1" t="s">
        <v>64</v>
      </c>
      <c r="B32" s="1" t="s">
        <v>96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1</v>
      </c>
      <c r="BC32">
        <v>1</v>
      </c>
      <c r="BD32">
        <v>1</v>
      </c>
      <c r="BE32">
        <v>2</v>
      </c>
      <c r="BF32">
        <v>4</v>
      </c>
      <c r="BG32">
        <v>4</v>
      </c>
      <c r="BH32">
        <v>5</v>
      </c>
      <c r="BI32">
        <v>5</v>
      </c>
      <c r="BJ32">
        <v>5</v>
      </c>
      <c r="BK32">
        <v>5</v>
      </c>
    </row>
    <row r="33" spans="1:63" x14ac:dyDescent="0.25">
      <c r="A33" s="1" t="s">
        <v>64</v>
      </c>
      <c r="B33" s="1" t="s">
        <v>97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2</v>
      </c>
      <c r="AS33">
        <v>3</v>
      </c>
      <c r="AT33">
        <v>3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4</v>
      </c>
      <c r="BA33">
        <v>4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15</v>
      </c>
      <c r="BH33">
        <v>15</v>
      </c>
      <c r="BI33">
        <v>15</v>
      </c>
      <c r="BJ33">
        <v>15</v>
      </c>
      <c r="BK33">
        <v>131</v>
      </c>
    </row>
    <row r="34" spans="1:63" x14ac:dyDescent="0.25">
      <c r="A34" s="1" t="s">
        <v>64</v>
      </c>
      <c r="B34" s="1" t="s">
        <v>98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2</v>
      </c>
      <c r="AY34">
        <v>4</v>
      </c>
      <c r="AZ34">
        <v>4</v>
      </c>
      <c r="BA34">
        <v>4</v>
      </c>
      <c r="BB34">
        <v>6</v>
      </c>
      <c r="BC34">
        <v>6</v>
      </c>
      <c r="BD34">
        <v>6</v>
      </c>
      <c r="BE34">
        <v>6</v>
      </c>
      <c r="BF34">
        <v>1</v>
      </c>
      <c r="BG34">
        <v>9</v>
      </c>
      <c r="BH34">
        <v>9</v>
      </c>
      <c r="BI34">
        <v>9</v>
      </c>
      <c r="BJ34">
        <v>9</v>
      </c>
      <c r="BK34">
        <v>9</v>
      </c>
    </row>
    <row r="35" spans="1:63" x14ac:dyDescent="0.25">
      <c r="A35" s="1" t="s">
        <v>64</v>
      </c>
      <c r="B35" s="1" t="s">
        <v>99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2</v>
      </c>
      <c r="AV35">
        <v>2</v>
      </c>
      <c r="AW35">
        <v>2</v>
      </c>
      <c r="AX35">
        <v>2</v>
      </c>
      <c r="AY35">
        <v>4</v>
      </c>
      <c r="AZ35">
        <v>4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11</v>
      </c>
      <c r="BG35">
        <v>11</v>
      </c>
      <c r="BH35">
        <v>11</v>
      </c>
      <c r="BI35">
        <v>14</v>
      </c>
      <c r="BJ35">
        <v>36</v>
      </c>
      <c r="BK35">
        <v>37</v>
      </c>
    </row>
    <row r="36" spans="1:63" x14ac:dyDescent="0.25">
      <c r="A36" s="1" t="s">
        <v>64</v>
      </c>
      <c r="B36" s="1" t="s">
        <v>100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1</v>
      </c>
      <c r="AX36">
        <v>1</v>
      </c>
      <c r="AY36">
        <v>1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13</v>
      </c>
      <c r="BI36">
        <v>13</v>
      </c>
      <c r="BJ36">
        <v>13</v>
      </c>
      <c r="BK36">
        <v>5</v>
      </c>
    </row>
    <row r="37" spans="1:63" x14ac:dyDescent="0.25">
      <c r="A37" s="1" t="s">
        <v>64</v>
      </c>
      <c r="B37" s="1" t="s">
        <v>101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1</v>
      </c>
      <c r="BF37">
        <v>2</v>
      </c>
      <c r="BG37">
        <v>2</v>
      </c>
      <c r="BH37">
        <v>2</v>
      </c>
      <c r="BI37">
        <v>2</v>
      </c>
      <c r="BJ37">
        <v>2</v>
      </c>
      <c r="BK37">
        <v>2</v>
      </c>
    </row>
    <row r="38" spans="1:63" x14ac:dyDescent="0.25">
      <c r="A38" s="1" t="s">
        <v>64</v>
      </c>
      <c r="B38" s="1" t="s">
        <v>102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1</v>
      </c>
      <c r="BF38">
        <v>1</v>
      </c>
      <c r="BG38">
        <v>1</v>
      </c>
      <c r="BH38">
        <v>1</v>
      </c>
      <c r="BI38">
        <v>1</v>
      </c>
      <c r="BJ38">
        <v>1</v>
      </c>
      <c r="BK38">
        <v>3</v>
      </c>
    </row>
    <row r="39" spans="1:63" x14ac:dyDescent="0.25">
      <c r="A39" s="1" t="s">
        <v>64</v>
      </c>
      <c r="B39" s="1" t="s">
        <v>103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8</v>
      </c>
      <c r="BD39">
        <v>8</v>
      </c>
      <c r="BE39">
        <v>8</v>
      </c>
      <c r="BF39">
        <v>8</v>
      </c>
      <c r="BG39">
        <v>8</v>
      </c>
      <c r="BH39">
        <v>8</v>
      </c>
      <c r="BI39">
        <v>19</v>
      </c>
      <c r="BJ39">
        <v>19</v>
      </c>
      <c r="BK39">
        <v>19</v>
      </c>
    </row>
    <row r="40" spans="1:63" x14ac:dyDescent="0.25">
      <c r="A40" s="1" t="s">
        <v>64</v>
      </c>
      <c r="B40" s="1" t="s">
        <v>104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1</v>
      </c>
      <c r="BC40">
        <v>1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</row>
    <row r="41" spans="1:63" x14ac:dyDescent="0.25">
      <c r="A41" s="1" t="s">
        <v>64</v>
      </c>
      <c r="B41" s="1" t="s">
        <v>105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1</v>
      </c>
      <c r="AY41">
        <v>1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</row>
    <row r="42" spans="1:63" x14ac:dyDescent="0.25">
      <c r="A42" s="1" t="s">
        <v>64</v>
      </c>
      <c r="B42" s="1" t="s">
        <v>106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1</v>
      </c>
      <c r="AT42">
        <v>1</v>
      </c>
      <c r="AU42">
        <v>1</v>
      </c>
      <c r="AV42">
        <v>3</v>
      </c>
      <c r="AW42">
        <v>3</v>
      </c>
      <c r="AX42">
        <v>3</v>
      </c>
      <c r="AY42">
        <v>3</v>
      </c>
      <c r="AZ42">
        <v>6</v>
      </c>
      <c r="BA42">
        <v>6</v>
      </c>
      <c r="BB42">
        <v>7</v>
      </c>
      <c r="BC42">
        <v>9</v>
      </c>
      <c r="BD42">
        <v>9</v>
      </c>
      <c r="BE42">
        <v>9</v>
      </c>
      <c r="BF42">
        <v>16</v>
      </c>
      <c r="BG42">
        <v>19</v>
      </c>
      <c r="BH42">
        <v>25</v>
      </c>
      <c r="BI42">
        <v>25</v>
      </c>
      <c r="BJ42">
        <v>52</v>
      </c>
      <c r="BK42">
        <v>64</v>
      </c>
    </row>
    <row r="43" spans="1:63" x14ac:dyDescent="0.25">
      <c r="A43" s="1" t="s">
        <v>64</v>
      </c>
      <c r="B43" s="1" t="s">
        <v>107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1</v>
      </c>
      <c r="BE43">
        <v>1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2</v>
      </c>
    </row>
    <row r="44" spans="1:63" x14ac:dyDescent="0.25">
      <c r="A44" s="1" t="s">
        <v>64</v>
      </c>
      <c r="B44" s="1" t="s">
        <v>108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4</v>
      </c>
      <c r="BD44">
        <v>4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</row>
    <row r="45" spans="1:63" x14ac:dyDescent="0.25">
      <c r="A45" s="1" t="s">
        <v>64</v>
      </c>
      <c r="B45" s="1" t="s">
        <v>109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1</v>
      </c>
      <c r="AY45">
        <v>3</v>
      </c>
      <c r="AZ45">
        <v>3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5</v>
      </c>
      <c r="BH45">
        <v>5</v>
      </c>
      <c r="BI45">
        <v>5</v>
      </c>
      <c r="BJ45">
        <v>15</v>
      </c>
      <c r="BK45">
        <v>15</v>
      </c>
    </row>
    <row r="46" spans="1:63" x14ac:dyDescent="0.25">
      <c r="A46" s="1" t="s">
        <v>64</v>
      </c>
      <c r="B46" s="1" t="s">
        <v>110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1</v>
      </c>
      <c r="AZ46">
        <v>1</v>
      </c>
      <c r="BA46">
        <v>1</v>
      </c>
      <c r="BB46">
        <v>1</v>
      </c>
      <c r="BC46">
        <v>1</v>
      </c>
      <c r="BD46">
        <v>8</v>
      </c>
      <c r="BE46">
        <v>0</v>
      </c>
      <c r="BF46">
        <v>0</v>
      </c>
      <c r="BG46">
        <v>5</v>
      </c>
      <c r="BH46">
        <v>5</v>
      </c>
      <c r="BI46">
        <v>5</v>
      </c>
      <c r="BJ46">
        <v>22</v>
      </c>
      <c r="BK46">
        <v>36</v>
      </c>
    </row>
    <row r="47" spans="1:63" x14ac:dyDescent="0.25">
      <c r="A47" s="1" t="s">
        <v>64</v>
      </c>
      <c r="B47" s="1" t="s">
        <v>111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</row>
    <row r="48" spans="1:63" x14ac:dyDescent="0.25">
      <c r="A48" s="1" t="s">
        <v>64</v>
      </c>
      <c r="B48" s="1" t="s">
        <v>112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1</v>
      </c>
      <c r="AS48">
        <v>1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4</v>
      </c>
      <c r="AZ48">
        <v>4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</row>
    <row r="49" spans="1:63" x14ac:dyDescent="0.25">
      <c r="A49" s="1" t="s">
        <v>64</v>
      </c>
      <c r="B49" s="1" t="s">
        <v>113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</row>
    <row r="50" spans="1:63" x14ac:dyDescent="0.25">
      <c r="A50" s="1" t="s">
        <v>64</v>
      </c>
      <c r="B50" s="1" t="s">
        <v>114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1</v>
      </c>
      <c r="BH50">
        <v>1</v>
      </c>
      <c r="BI50">
        <v>1</v>
      </c>
      <c r="BJ50">
        <v>1</v>
      </c>
      <c r="BK50">
        <v>2</v>
      </c>
    </row>
    <row r="51" spans="1:63" x14ac:dyDescent="0.25">
      <c r="A51" s="1" t="s">
        <v>115</v>
      </c>
      <c r="B51" s="1" t="s">
        <v>72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</row>
    <row r="52" spans="1:63" x14ac:dyDescent="0.25">
      <c r="A52" s="1" t="s">
        <v>64</v>
      </c>
      <c r="B52" s="1" t="s">
        <v>116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5</v>
      </c>
      <c r="BG52">
        <v>5</v>
      </c>
      <c r="BH52">
        <v>5</v>
      </c>
      <c r="BI52">
        <v>5</v>
      </c>
      <c r="BJ52">
        <v>5</v>
      </c>
      <c r="BK52">
        <v>5</v>
      </c>
    </row>
    <row r="53" spans="1:63" x14ac:dyDescent="0.25">
      <c r="A53" s="1" t="s">
        <v>64</v>
      </c>
      <c r="B53" s="1" t="s">
        <v>117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6</v>
      </c>
    </row>
    <row r="54" spans="1:63" x14ac:dyDescent="0.25">
      <c r="A54" s="1" t="s">
        <v>64</v>
      </c>
      <c r="B54" s="1" t="s">
        <v>118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1</v>
      </c>
    </row>
    <row r="55" spans="1:63" x14ac:dyDescent="0.25">
      <c r="A55" s="1" t="s">
        <v>64</v>
      </c>
      <c r="B55" s="1" t="s">
        <v>119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4</v>
      </c>
      <c r="BD55">
        <v>4</v>
      </c>
      <c r="BE55">
        <v>4</v>
      </c>
      <c r="BF55">
        <v>4</v>
      </c>
      <c r="BG55">
        <v>4</v>
      </c>
      <c r="BH55">
        <v>4</v>
      </c>
      <c r="BI55">
        <v>10</v>
      </c>
      <c r="BJ55">
        <v>27</v>
      </c>
      <c r="BK55">
        <v>33</v>
      </c>
    </row>
    <row r="56" spans="1:63" x14ac:dyDescent="0.25">
      <c r="A56" s="1" t="s">
        <v>64</v>
      </c>
      <c r="B56" s="1" t="s">
        <v>120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3</v>
      </c>
      <c r="BK56">
        <v>3</v>
      </c>
    </row>
    <row r="57" spans="1:63" x14ac:dyDescent="0.25">
      <c r="A57" s="1" t="s">
        <v>64</v>
      </c>
      <c r="B57" s="1" t="s">
        <v>121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3</v>
      </c>
      <c r="BA57">
        <v>3</v>
      </c>
      <c r="BB57">
        <v>3</v>
      </c>
      <c r="BC57">
        <v>3</v>
      </c>
      <c r="BD57">
        <v>6</v>
      </c>
      <c r="BE57">
        <v>6</v>
      </c>
      <c r="BF57">
        <v>6</v>
      </c>
      <c r="BG57">
        <v>6</v>
      </c>
      <c r="BH57">
        <v>6</v>
      </c>
      <c r="BI57">
        <v>6</v>
      </c>
      <c r="BJ57">
        <v>11</v>
      </c>
      <c r="BK57">
        <v>10</v>
      </c>
    </row>
    <row r="58" spans="1:63" x14ac:dyDescent="0.25">
      <c r="A58" s="1" t="s">
        <v>64</v>
      </c>
      <c r="B58" s="1" t="s">
        <v>122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1</v>
      </c>
      <c r="BG58">
        <v>1</v>
      </c>
      <c r="BH58">
        <v>1</v>
      </c>
      <c r="BI58">
        <v>1</v>
      </c>
      <c r="BJ58">
        <v>1</v>
      </c>
      <c r="BK58">
        <v>2</v>
      </c>
    </row>
    <row r="59" spans="1:63" x14ac:dyDescent="0.25">
      <c r="A59" s="1" t="s">
        <v>64</v>
      </c>
      <c r="B59" s="1" t="s">
        <v>123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</row>
    <row r="60" spans="1:63" x14ac:dyDescent="0.25">
      <c r="A60" s="1" t="s">
        <v>64</v>
      </c>
      <c r="B60" s="1" t="s">
        <v>124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2</v>
      </c>
      <c r="AZ60">
        <v>2</v>
      </c>
      <c r="BA60">
        <v>2</v>
      </c>
      <c r="BB60">
        <v>2</v>
      </c>
      <c r="BC60">
        <v>8</v>
      </c>
      <c r="BD60">
        <v>8</v>
      </c>
      <c r="BE60">
        <v>8</v>
      </c>
      <c r="BF60">
        <v>8</v>
      </c>
      <c r="BG60">
        <v>11</v>
      </c>
      <c r="BH60">
        <v>11</v>
      </c>
      <c r="BI60">
        <v>15</v>
      </c>
      <c r="BJ60">
        <v>15</v>
      </c>
      <c r="BK60">
        <v>29</v>
      </c>
    </row>
    <row r="61" spans="1:63" x14ac:dyDescent="0.25">
      <c r="A61" s="1" t="s">
        <v>64</v>
      </c>
      <c r="B61" s="1" t="s">
        <v>125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1</v>
      </c>
      <c r="BC61">
        <v>2</v>
      </c>
      <c r="BD61">
        <v>2</v>
      </c>
      <c r="BE61">
        <v>3</v>
      </c>
      <c r="BF61">
        <v>3</v>
      </c>
      <c r="BG61">
        <v>3</v>
      </c>
      <c r="BH61">
        <v>3</v>
      </c>
      <c r="BI61">
        <v>5</v>
      </c>
      <c r="BJ61">
        <v>5</v>
      </c>
      <c r="BK61">
        <v>5</v>
      </c>
    </row>
    <row r="62" spans="1:63" x14ac:dyDescent="0.25">
      <c r="A62" s="1" t="s">
        <v>64</v>
      </c>
      <c r="B62" s="1" t="s">
        <v>126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1</v>
      </c>
      <c r="BB62">
        <v>0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</row>
    <row r="63" spans="1:63" x14ac:dyDescent="0.25">
      <c r="A63" s="1" t="s">
        <v>127</v>
      </c>
      <c r="B63" s="1" t="s">
        <v>72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3</v>
      </c>
      <c r="BI63">
        <v>3</v>
      </c>
      <c r="BJ63">
        <v>3</v>
      </c>
      <c r="BK63">
        <v>3</v>
      </c>
    </row>
    <row r="64" spans="1:63" x14ac:dyDescent="0.25">
      <c r="A64" s="1" t="s">
        <v>64</v>
      </c>
      <c r="B64" s="1" t="s">
        <v>128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1</v>
      </c>
      <c r="AZ64">
        <v>1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</row>
    <row r="65" spans="1:63" x14ac:dyDescent="0.25">
      <c r="A65" s="1" t="s">
        <v>64</v>
      </c>
      <c r="B65" s="1" t="s">
        <v>129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1</v>
      </c>
      <c r="BC65">
        <v>1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3</v>
      </c>
      <c r="BK65">
        <v>3</v>
      </c>
    </row>
    <row r="66" spans="1:63" x14ac:dyDescent="0.25">
      <c r="A66" s="1" t="s">
        <v>64</v>
      </c>
      <c r="B66" s="1" t="s">
        <v>130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2</v>
      </c>
      <c r="BF66">
        <v>6</v>
      </c>
      <c r="BG66">
        <v>6</v>
      </c>
      <c r="BH66">
        <v>6</v>
      </c>
      <c r="BI66">
        <v>8</v>
      </c>
      <c r="BJ66">
        <v>16</v>
      </c>
      <c r="BK66">
        <v>16</v>
      </c>
    </row>
    <row r="67" spans="1:63" x14ac:dyDescent="0.25">
      <c r="A67" s="1" t="s">
        <v>64</v>
      </c>
      <c r="B67" s="1" t="s">
        <v>131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1</v>
      </c>
      <c r="AX67">
        <v>1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2</v>
      </c>
      <c r="BF67">
        <v>2</v>
      </c>
      <c r="BG67">
        <v>2</v>
      </c>
      <c r="BH67">
        <v>2</v>
      </c>
      <c r="BI67">
        <v>2</v>
      </c>
      <c r="BJ67">
        <v>5</v>
      </c>
      <c r="BK67">
        <v>5</v>
      </c>
    </row>
    <row r="68" spans="1:63" x14ac:dyDescent="0.25">
      <c r="A68" s="1" t="s">
        <v>64</v>
      </c>
      <c r="B68" s="1" t="s">
        <v>132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1</v>
      </c>
      <c r="BD68">
        <v>1</v>
      </c>
      <c r="BE68">
        <v>1</v>
      </c>
      <c r="BF68">
        <v>3</v>
      </c>
      <c r="BG68">
        <v>3</v>
      </c>
      <c r="BH68">
        <v>3</v>
      </c>
      <c r="BI68">
        <v>3</v>
      </c>
      <c r="BJ68">
        <v>3</v>
      </c>
      <c r="BK68">
        <v>3</v>
      </c>
    </row>
    <row r="69" spans="1:63" x14ac:dyDescent="0.25">
      <c r="A69" s="1" t="s">
        <v>64</v>
      </c>
      <c r="B69" s="1" t="s">
        <v>133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6</v>
      </c>
      <c r="BJ69">
        <v>6</v>
      </c>
      <c r="BK69">
        <v>8</v>
      </c>
    </row>
    <row r="70" spans="1:63" x14ac:dyDescent="0.25">
      <c r="A70" s="1" t="s">
        <v>64</v>
      </c>
      <c r="B70" s="1" t="s">
        <v>134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</row>
    <row r="71" spans="1:63" x14ac:dyDescent="0.25">
      <c r="A71" s="1" t="s">
        <v>64</v>
      </c>
      <c r="B71" s="1" t="s">
        <v>135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1</v>
      </c>
      <c r="BK71">
        <v>1</v>
      </c>
    </row>
    <row r="72" spans="1:63" x14ac:dyDescent="0.25">
      <c r="A72" s="1" t="s">
        <v>64</v>
      </c>
      <c r="B72" s="1" t="s">
        <v>136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1</v>
      </c>
      <c r="BD72">
        <v>1</v>
      </c>
      <c r="BE72">
        <v>1</v>
      </c>
      <c r="BF72">
        <v>2</v>
      </c>
      <c r="BG72">
        <v>2</v>
      </c>
      <c r="BH72">
        <v>2</v>
      </c>
      <c r="BI72">
        <v>2</v>
      </c>
      <c r="BJ72">
        <v>7</v>
      </c>
      <c r="BK72">
        <v>16</v>
      </c>
    </row>
    <row r="73" spans="1:63" x14ac:dyDescent="0.25">
      <c r="A73" s="1" t="s">
        <v>137</v>
      </c>
      <c r="B73" s="1" t="s">
        <v>72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</row>
    <row r="74" spans="1:63" x14ac:dyDescent="0.25">
      <c r="A74" s="1" t="s">
        <v>64</v>
      </c>
      <c r="B74" s="1" t="s">
        <v>138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</row>
    <row r="75" spans="1:63" x14ac:dyDescent="0.25">
      <c r="A75" s="1" t="s">
        <v>64</v>
      </c>
      <c r="B75" s="1" t="s">
        <v>139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13</v>
      </c>
      <c r="BF75">
        <v>13</v>
      </c>
      <c r="BG75">
        <v>13</v>
      </c>
      <c r="BH75">
        <v>1</v>
      </c>
      <c r="BI75">
        <v>1</v>
      </c>
      <c r="BJ75">
        <v>1</v>
      </c>
      <c r="BK75">
        <v>1</v>
      </c>
    </row>
    <row r="76" spans="1:63" x14ac:dyDescent="0.25">
      <c r="A76" s="1" t="s">
        <v>64</v>
      </c>
      <c r="B76" s="1" t="s">
        <v>140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1</v>
      </c>
    </row>
    <row r="77" spans="1:63" x14ac:dyDescent="0.25">
      <c r="A77" s="1" t="s">
        <v>64</v>
      </c>
      <c r="B77" s="1" t="s">
        <v>141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2</v>
      </c>
      <c r="BG77">
        <v>2</v>
      </c>
      <c r="BH77">
        <v>2</v>
      </c>
      <c r="BI77">
        <v>2</v>
      </c>
      <c r="BJ77">
        <v>2</v>
      </c>
      <c r="BK77">
        <v>2</v>
      </c>
    </row>
    <row r="78" spans="1:63" x14ac:dyDescent="0.25">
      <c r="A78" s="1" t="s">
        <v>64</v>
      </c>
      <c r="B78" s="1" t="s">
        <v>142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</row>
    <row r="79" spans="1:63" x14ac:dyDescent="0.25">
      <c r="A79" s="1" t="s">
        <v>64</v>
      </c>
      <c r="B79" s="1" t="s">
        <v>143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</row>
    <row r="80" spans="1:63" x14ac:dyDescent="0.25">
      <c r="A80" s="1" t="s">
        <v>64</v>
      </c>
      <c r="B80" s="1" t="s">
        <v>144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</row>
    <row r="81" spans="1:63" x14ac:dyDescent="0.25">
      <c r="A81" s="1" t="s">
        <v>64</v>
      </c>
      <c r="B81" s="1" t="s">
        <v>145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</row>
    <row r="82" spans="1:63" x14ac:dyDescent="0.25">
      <c r="A82" s="1" t="s">
        <v>64</v>
      </c>
      <c r="B82" s="1" t="s">
        <v>146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1</v>
      </c>
      <c r="BG82">
        <v>1</v>
      </c>
      <c r="BH82">
        <v>1</v>
      </c>
      <c r="BI82">
        <v>1</v>
      </c>
      <c r="BJ82">
        <v>1</v>
      </c>
      <c r="BK82">
        <v>3</v>
      </c>
    </row>
    <row r="83" spans="1:63" x14ac:dyDescent="0.25">
      <c r="A83" s="1" t="s">
        <v>64</v>
      </c>
      <c r="B83" s="1" t="s">
        <v>147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2</v>
      </c>
      <c r="BK83">
        <v>2</v>
      </c>
    </row>
    <row r="84" spans="1:63" x14ac:dyDescent="0.25">
      <c r="A84" s="1" t="s">
        <v>64</v>
      </c>
      <c r="B84" s="1" t="s">
        <v>148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1</v>
      </c>
      <c r="BG84">
        <v>1</v>
      </c>
      <c r="BH84">
        <v>1</v>
      </c>
      <c r="BI84">
        <v>1</v>
      </c>
      <c r="BJ84">
        <v>1</v>
      </c>
      <c r="BK84">
        <v>1</v>
      </c>
    </row>
    <row r="85" spans="1:63" x14ac:dyDescent="0.25">
      <c r="A85" s="1" t="s">
        <v>64</v>
      </c>
      <c r="B85" s="1" t="s">
        <v>149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1</v>
      </c>
      <c r="BF85">
        <v>1</v>
      </c>
      <c r="BG85">
        <v>1</v>
      </c>
      <c r="BH85">
        <v>1</v>
      </c>
      <c r="BI85">
        <v>1</v>
      </c>
      <c r="BJ85">
        <v>1</v>
      </c>
      <c r="BK85">
        <v>1</v>
      </c>
    </row>
    <row r="86" spans="1:63" x14ac:dyDescent="0.25">
      <c r="A86" s="1" t="s">
        <v>64</v>
      </c>
      <c r="B86" s="1" t="s">
        <v>150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7</v>
      </c>
    </row>
    <row r="87" spans="1:63" x14ac:dyDescent="0.25">
      <c r="A87" s="1" t="s">
        <v>64</v>
      </c>
      <c r="B87" s="1" t="s">
        <v>151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1</v>
      </c>
      <c r="BJ87">
        <v>1</v>
      </c>
      <c r="BK87">
        <v>1</v>
      </c>
    </row>
    <row r="88" spans="1:63" x14ac:dyDescent="0.25">
      <c r="A88" s="1" t="s">
        <v>64</v>
      </c>
      <c r="B88" s="1" t="s">
        <v>152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1</v>
      </c>
      <c r="BC88">
        <v>1</v>
      </c>
      <c r="BD88">
        <v>1</v>
      </c>
      <c r="BE88">
        <v>2</v>
      </c>
      <c r="BF88">
        <v>2</v>
      </c>
      <c r="BG88">
        <v>2</v>
      </c>
      <c r="BH88">
        <v>2</v>
      </c>
      <c r="BI88">
        <v>2</v>
      </c>
      <c r="BJ88">
        <v>2</v>
      </c>
      <c r="BK88">
        <v>2</v>
      </c>
    </row>
    <row r="89" spans="1:63" x14ac:dyDescent="0.25">
      <c r="A89" s="1" t="s">
        <v>64</v>
      </c>
      <c r="B89" s="1" t="s">
        <v>153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</row>
    <row r="90" spans="1:63" x14ac:dyDescent="0.25">
      <c r="A90" s="1" t="s">
        <v>64</v>
      </c>
      <c r="B90" s="1" t="s">
        <v>154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3</v>
      </c>
      <c r="BK90">
        <v>3</v>
      </c>
    </row>
    <row r="91" spans="1:63" x14ac:dyDescent="0.25">
      <c r="A91" s="1" t="s">
        <v>64</v>
      </c>
      <c r="B91" s="1" t="s">
        <v>155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</row>
    <row r="92" spans="1:63" x14ac:dyDescent="0.25">
      <c r="A92" s="1" t="s">
        <v>64</v>
      </c>
      <c r="B92" s="1" t="s">
        <v>156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2</v>
      </c>
      <c r="BF92">
        <v>3</v>
      </c>
      <c r="BG92">
        <v>3</v>
      </c>
      <c r="BH92">
        <v>3</v>
      </c>
      <c r="BI92">
        <v>3</v>
      </c>
      <c r="BJ92">
        <v>3</v>
      </c>
      <c r="BK92">
        <v>3</v>
      </c>
    </row>
    <row r="93" spans="1:63" x14ac:dyDescent="0.25">
      <c r="A93" s="1" t="s">
        <v>64</v>
      </c>
      <c r="B93" s="1" t="s">
        <v>157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</row>
    <row r="94" spans="1:63" x14ac:dyDescent="0.25">
      <c r="A94" s="1" t="s">
        <v>158</v>
      </c>
      <c r="B94" s="1" t="s">
        <v>70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1</v>
      </c>
      <c r="Y94">
        <v>1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3</v>
      </c>
      <c r="AH94">
        <v>3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4</v>
      </c>
      <c r="AW94">
        <v>4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5</v>
      </c>
      <c r="BF94">
        <v>5</v>
      </c>
      <c r="BG94">
        <v>5</v>
      </c>
      <c r="BH94">
        <v>5</v>
      </c>
      <c r="BI94">
        <v>5</v>
      </c>
      <c r="BJ94">
        <v>6</v>
      </c>
      <c r="BK94">
        <v>6</v>
      </c>
    </row>
    <row r="95" spans="1:63" x14ac:dyDescent="0.25">
      <c r="A95" s="1" t="s">
        <v>159</v>
      </c>
      <c r="B95" s="1" t="s">
        <v>70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</row>
    <row r="96" spans="1:63" x14ac:dyDescent="0.25">
      <c r="A96" s="1" t="s">
        <v>160</v>
      </c>
      <c r="B96" s="1" t="s">
        <v>70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</row>
    <row r="97" spans="1:63" x14ac:dyDescent="0.25">
      <c r="A97" s="1" t="s">
        <v>64</v>
      </c>
      <c r="B97" s="1" t="s">
        <v>161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2</v>
      </c>
      <c r="BK97">
        <v>2</v>
      </c>
    </row>
    <row r="98" spans="1:63" x14ac:dyDescent="0.25">
      <c r="A98" s="1" t="s">
        <v>64</v>
      </c>
      <c r="B98" s="1" t="s">
        <v>162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3</v>
      </c>
    </row>
    <row r="99" spans="1:63" x14ac:dyDescent="0.25">
      <c r="A99" s="1" t="s">
        <v>64</v>
      </c>
      <c r="B99" s="1" t="s">
        <v>163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1</v>
      </c>
      <c r="BJ99">
        <v>2</v>
      </c>
      <c r="BK99">
        <v>2</v>
      </c>
    </row>
    <row r="100" spans="1:63" x14ac:dyDescent="0.25">
      <c r="A100" s="1" t="s">
        <v>164</v>
      </c>
      <c r="B100" s="1" t="s">
        <v>165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0</v>
      </c>
      <c r="BH100">
        <v>0</v>
      </c>
      <c r="BI100">
        <v>0</v>
      </c>
      <c r="BJ100">
        <v>0</v>
      </c>
      <c r="BK100">
        <v>0</v>
      </c>
    </row>
    <row r="101" spans="1:63" x14ac:dyDescent="0.25">
      <c r="A101" s="1" t="s">
        <v>166</v>
      </c>
      <c r="B101" s="1" t="s">
        <v>165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</row>
    <row r="102" spans="1:63" x14ac:dyDescent="0.25">
      <c r="A102" s="1" t="s">
        <v>167</v>
      </c>
      <c r="B102" s="1" t="s">
        <v>165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2</v>
      </c>
      <c r="AZ102">
        <v>2</v>
      </c>
      <c r="BA102">
        <v>6</v>
      </c>
      <c r="BB102">
        <v>6</v>
      </c>
      <c r="BC102">
        <v>6</v>
      </c>
      <c r="BD102">
        <v>6</v>
      </c>
      <c r="BE102">
        <v>6</v>
      </c>
      <c r="BF102">
        <v>6</v>
      </c>
      <c r="BG102">
        <v>0</v>
      </c>
      <c r="BH102">
        <v>0</v>
      </c>
      <c r="BI102">
        <v>0</v>
      </c>
      <c r="BJ102">
        <v>0</v>
      </c>
      <c r="BK102">
        <v>0</v>
      </c>
    </row>
    <row r="103" spans="1:63" x14ac:dyDescent="0.25">
      <c r="A103" s="1" t="s">
        <v>168</v>
      </c>
      <c r="B103" s="1" t="s">
        <v>165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1</v>
      </c>
      <c r="AZ103">
        <v>1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0</v>
      </c>
      <c r="BH103">
        <v>0</v>
      </c>
      <c r="BI103">
        <v>0</v>
      </c>
      <c r="BJ103">
        <v>0</v>
      </c>
      <c r="BK103">
        <v>0</v>
      </c>
    </row>
    <row r="104" spans="1:63" x14ac:dyDescent="0.25">
      <c r="A104" s="1" t="s">
        <v>169</v>
      </c>
      <c r="B104" s="1" t="s">
        <v>165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</row>
    <row r="105" spans="1:63" x14ac:dyDescent="0.25">
      <c r="A105" s="1" t="s">
        <v>170</v>
      </c>
      <c r="B105" s="1" t="s">
        <v>165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</row>
    <row r="106" spans="1:63" x14ac:dyDescent="0.25">
      <c r="A106" s="1" t="s">
        <v>102</v>
      </c>
      <c r="B106" s="1" t="s">
        <v>165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</row>
    <row r="107" spans="1:63" x14ac:dyDescent="0.25">
      <c r="A107" s="1" t="s">
        <v>171</v>
      </c>
      <c r="B107" s="1" t="s">
        <v>165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</row>
    <row r="108" spans="1:63" x14ac:dyDescent="0.25">
      <c r="A108" s="1" t="s">
        <v>172</v>
      </c>
      <c r="B108" s="1" t="s">
        <v>165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</row>
    <row r="109" spans="1:63" x14ac:dyDescent="0.25">
      <c r="A109" s="1" t="s">
        <v>173</v>
      </c>
      <c r="B109" s="1" t="s">
        <v>165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1</v>
      </c>
      <c r="BF109">
        <v>1</v>
      </c>
      <c r="BG109">
        <v>0</v>
      </c>
      <c r="BH109">
        <v>0</v>
      </c>
      <c r="BI109">
        <v>0</v>
      </c>
      <c r="BJ109">
        <v>0</v>
      </c>
      <c r="BK109">
        <v>0</v>
      </c>
    </row>
    <row r="110" spans="1:63" x14ac:dyDescent="0.25">
      <c r="A110" s="1" t="s">
        <v>174</v>
      </c>
      <c r="B110" s="1" t="s">
        <v>165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</row>
    <row r="111" spans="1:63" x14ac:dyDescent="0.25">
      <c r="A111" s="1" t="s">
        <v>175</v>
      </c>
      <c r="B111" s="1" t="s">
        <v>165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</row>
    <row r="112" spans="1:63" x14ac:dyDescent="0.25">
      <c r="A112" s="1" t="s">
        <v>176</v>
      </c>
      <c r="B112" s="1" t="s">
        <v>165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2</v>
      </c>
      <c r="AZ112">
        <v>2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0</v>
      </c>
      <c r="BH112">
        <v>0</v>
      </c>
      <c r="BI112">
        <v>0</v>
      </c>
      <c r="BJ112">
        <v>0</v>
      </c>
      <c r="BK112">
        <v>0</v>
      </c>
    </row>
    <row r="113" spans="1:63" x14ac:dyDescent="0.25">
      <c r="A113" s="1" t="s">
        <v>177</v>
      </c>
      <c r="B113" s="1" t="s">
        <v>165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</row>
    <row r="114" spans="1:63" x14ac:dyDescent="0.25">
      <c r="A114" s="1" t="s">
        <v>178</v>
      </c>
      <c r="B114" s="1" t="s">
        <v>165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</row>
    <row r="115" spans="1:63" x14ac:dyDescent="0.25">
      <c r="A115" s="1" t="s">
        <v>179</v>
      </c>
      <c r="B115" s="1" t="s">
        <v>165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3</v>
      </c>
      <c r="BF115">
        <v>3</v>
      </c>
      <c r="BG115">
        <v>0</v>
      </c>
      <c r="BH115">
        <v>0</v>
      </c>
      <c r="BI115">
        <v>0</v>
      </c>
      <c r="BJ115">
        <v>0</v>
      </c>
      <c r="BK115">
        <v>0</v>
      </c>
    </row>
    <row r="116" spans="1:63" x14ac:dyDescent="0.25">
      <c r="A116" s="1" t="s">
        <v>180</v>
      </c>
      <c r="B116" s="1" t="s">
        <v>165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</row>
    <row r="117" spans="1:63" x14ac:dyDescent="0.25">
      <c r="A117" s="1" t="s">
        <v>181</v>
      </c>
      <c r="B117" s="1" t="s">
        <v>165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</row>
    <row r="118" spans="1:63" x14ac:dyDescent="0.25">
      <c r="A118" s="1" t="s">
        <v>182</v>
      </c>
      <c r="B118" s="1" t="s">
        <v>165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</row>
    <row r="119" spans="1:63" x14ac:dyDescent="0.25">
      <c r="A119" s="1" t="s">
        <v>183</v>
      </c>
      <c r="B119" s="1" t="s">
        <v>165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</row>
    <row r="120" spans="1:63" x14ac:dyDescent="0.25">
      <c r="A120" s="1" t="s">
        <v>184</v>
      </c>
      <c r="B120" s="1" t="s">
        <v>165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1</v>
      </c>
      <c r="AZ120">
        <v>1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0</v>
      </c>
      <c r="BH120">
        <v>0</v>
      </c>
      <c r="BI120">
        <v>0</v>
      </c>
      <c r="BJ120">
        <v>0</v>
      </c>
      <c r="BK120">
        <v>0</v>
      </c>
    </row>
    <row r="121" spans="1:63" x14ac:dyDescent="0.25">
      <c r="A121" s="1" t="s">
        <v>185</v>
      </c>
      <c r="B121" s="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</row>
    <row r="122" spans="1:63" x14ac:dyDescent="0.25">
      <c r="A122" s="1" t="s">
        <v>186</v>
      </c>
      <c r="B122" s="1" t="s">
        <v>165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1</v>
      </c>
      <c r="BF122">
        <v>1</v>
      </c>
      <c r="BG122">
        <v>0</v>
      </c>
      <c r="BH122">
        <v>0</v>
      </c>
      <c r="BI122">
        <v>0</v>
      </c>
      <c r="BJ122">
        <v>0</v>
      </c>
      <c r="BK122">
        <v>0</v>
      </c>
    </row>
    <row r="123" spans="1:63" x14ac:dyDescent="0.25">
      <c r="A123" s="1" t="s">
        <v>187</v>
      </c>
      <c r="B123" s="1" t="s">
        <v>165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</row>
    <row r="124" spans="1:63" x14ac:dyDescent="0.25">
      <c r="A124" s="1" t="s">
        <v>188</v>
      </c>
      <c r="B124" s="1" t="s">
        <v>165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</row>
    <row r="125" spans="1:63" x14ac:dyDescent="0.25">
      <c r="A125" s="1" t="s">
        <v>189</v>
      </c>
      <c r="B125" s="1" t="s">
        <v>165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</row>
    <row r="126" spans="1:63" x14ac:dyDescent="0.25">
      <c r="A126" s="1" t="s">
        <v>190</v>
      </c>
      <c r="B126" s="1" t="s">
        <v>165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</row>
    <row r="127" spans="1:63" x14ac:dyDescent="0.25">
      <c r="A127" s="1" t="s">
        <v>191</v>
      </c>
      <c r="B127" s="1" t="s">
        <v>165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</row>
    <row r="128" spans="1:63" x14ac:dyDescent="0.25">
      <c r="A128" s="1" t="s">
        <v>192</v>
      </c>
      <c r="B128" s="1" t="s">
        <v>165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</row>
    <row r="129" spans="1:63" x14ac:dyDescent="0.25">
      <c r="A129" s="1" t="s">
        <v>193</v>
      </c>
      <c r="B129" s="1" t="s">
        <v>165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</row>
    <row r="130" spans="1:63" x14ac:dyDescent="0.25">
      <c r="A130" s="1" t="s">
        <v>194</v>
      </c>
      <c r="B130" s="1" t="s">
        <v>165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1</v>
      </c>
      <c r="AZ130">
        <v>1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0</v>
      </c>
      <c r="BH130">
        <v>0</v>
      </c>
      <c r="BI130">
        <v>0</v>
      </c>
      <c r="BJ130">
        <v>0</v>
      </c>
      <c r="BK130">
        <v>0</v>
      </c>
    </row>
    <row r="131" spans="1:63" x14ac:dyDescent="0.25">
      <c r="A131" s="1" t="s">
        <v>195</v>
      </c>
      <c r="B131" s="1" t="s">
        <v>165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</row>
    <row r="132" spans="1:63" x14ac:dyDescent="0.25">
      <c r="A132" s="1" t="s">
        <v>196</v>
      </c>
      <c r="B132" s="1" t="s">
        <v>165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</row>
    <row r="133" spans="1:63" x14ac:dyDescent="0.25">
      <c r="A133" s="1" t="s">
        <v>197</v>
      </c>
      <c r="B133" s="1" t="s">
        <v>165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</row>
    <row r="134" spans="1:63" x14ac:dyDescent="0.25">
      <c r="A134" s="1" t="s">
        <v>198</v>
      </c>
      <c r="B134" s="1" t="s">
        <v>165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</row>
    <row r="135" spans="1:63" x14ac:dyDescent="0.25">
      <c r="A135" s="1" t="s">
        <v>64</v>
      </c>
      <c r="B135" s="1" t="s">
        <v>199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5</v>
      </c>
      <c r="BK135">
        <v>5</v>
      </c>
    </row>
    <row r="136" spans="1:63" x14ac:dyDescent="0.25">
      <c r="A136" s="1" t="s">
        <v>64</v>
      </c>
      <c r="B136" s="1" t="s">
        <v>200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</row>
    <row r="137" spans="1:63" x14ac:dyDescent="0.25">
      <c r="A137" s="1" t="s">
        <v>64</v>
      </c>
      <c r="B137" s="1" t="s">
        <v>201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</row>
    <row r="138" spans="1:63" x14ac:dyDescent="0.25">
      <c r="A138" s="1" t="s">
        <v>64</v>
      </c>
      <c r="B138" s="1" t="s">
        <v>202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</row>
    <row r="139" spans="1:63" x14ac:dyDescent="0.25">
      <c r="A139" s="1" t="s">
        <v>203</v>
      </c>
      <c r="B139" s="1" t="s">
        <v>165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</row>
    <row r="140" spans="1:63" x14ac:dyDescent="0.25">
      <c r="A140" s="1" t="s">
        <v>204</v>
      </c>
      <c r="B140" s="1" t="s">
        <v>165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</row>
    <row r="141" spans="1:63" x14ac:dyDescent="0.25">
      <c r="A141" s="1" t="s">
        <v>205</v>
      </c>
      <c r="B141" s="1" t="s">
        <v>165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</row>
    <row r="142" spans="1:63" x14ac:dyDescent="0.25">
      <c r="A142" s="1" t="s">
        <v>206</v>
      </c>
      <c r="B142" s="1" t="s">
        <v>165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</row>
    <row r="143" spans="1:63" x14ac:dyDescent="0.25">
      <c r="A143" s="1" t="s">
        <v>207</v>
      </c>
      <c r="B143" s="1" t="s">
        <v>165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</row>
    <row r="144" spans="1:63" x14ac:dyDescent="0.25">
      <c r="A144" s="1" t="s">
        <v>208</v>
      </c>
      <c r="B144" s="1" t="s">
        <v>165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</row>
    <row r="145" spans="1:63" x14ac:dyDescent="0.25">
      <c r="A145" s="1" t="s">
        <v>209</v>
      </c>
      <c r="B145" s="1" t="s">
        <v>165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</row>
    <row r="146" spans="1:63" x14ac:dyDescent="0.25">
      <c r="A146" s="1" t="s">
        <v>210</v>
      </c>
      <c r="B146" s="1" t="s">
        <v>165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</row>
    <row r="147" spans="1:63" x14ac:dyDescent="0.25">
      <c r="A147" s="1" t="s">
        <v>211</v>
      </c>
      <c r="B147" s="1" t="s">
        <v>165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</row>
    <row r="148" spans="1:63" x14ac:dyDescent="0.25">
      <c r="A148" s="1" t="s">
        <v>212</v>
      </c>
      <c r="B148" s="1" t="s">
        <v>165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</row>
    <row r="149" spans="1:63" x14ac:dyDescent="0.25">
      <c r="A149" s="1" t="s">
        <v>213</v>
      </c>
      <c r="B149" s="1" t="s">
        <v>165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</row>
    <row r="150" spans="1:63" x14ac:dyDescent="0.25">
      <c r="A150" s="1" t="s">
        <v>214</v>
      </c>
      <c r="B150" s="1" t="s">
        <v>165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</row>
    <row r="151" spans="1:63" x14ac:dyDescent="0.25">
      <c r="A151" s="1" t="s">
        <v>215</v>
      </c>
      <c r="B151" s="1" t="s">
        <v>165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</row>
    <row r="152" spans="1:63" x14ac:dyDescent="0.25">
      <c r="A152" s="1" t="s">
        <v>216</v>
      </c>
      <c r="B152" s="1" t="s">
        <v>165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</row>
    <row r="153" spans="1:63" x14ac:dyDescent="0.25">
      <c r="A153" s="1" t="s">
        <v>217</v>
      </c>
      <c r="B153" s="1" t="s">
        <v>165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</row>
    <row r="154" spans="1:63" x14ac:dyDescent="0.25">
      <c r="A154" s="1" t="s">
        <v>218</v>
      </c>
      <c r="B154" s="1" t="s">
        <v>165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</row>
    <row r="155" spans="1:63" x14ac:dyDescent="0.25">
      <c r="A155" s="1" t="s">
        <v>219</v>
      </c>
      <c r="B155" s="1" t="s">
        <v>165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</row>
    <row r="156" spans="1:63" x14ac:dyDescent="0.25">
      <c r="A156" s="1" t="s">
        <v>220</v>
      </c>
      <c r="B156" s="1" t="s">
        <v>221</v>
      </c>
      <c r="C156">
        <v>28</v>
      </c>
      <c r="D156">
        <v>28</v>
      </c>
      <c r="E156">
        <v>31</v>
      </c>
      <c r="F156">
        <v>32</v>
      </c>
      <c r="G156">
        <v>42</v>
      </c>
      <c r="H156">
        <v>45</v>
      </c>
      <c r="I156">
        <v>80</v>
      </c>
      <c r="J156">
        <v>88</v>
      </c>
      <c r="K156">
        <v>90</v>
      </c>
      <c r="L156">
        <v>141</v>
      </c>
      <c r="M156">
        <v>168</v>
      </c>
      <c r="N156">
        <v>295</v>
      </c>
      <c r="O156">
        <v>386</v>
      </c>
      <c r="P156">
        <v>522</v>
      </c>
      <c r="Q156">
        <v>633</v>
      </c>
      <c r="R156">
        <v>817</v>
      </c>
      <c r="S156">
        <v>1115</v>
      </c>
      <c r="T156">
        <v>1439</v>
      </c>
      <c r="U156">
        <v>1795</v>
      </c>
      <c r="V156">
        <v>2222</v>
      </c>
      <c r="W156">
        <v>2639</v>
      </c>
      <c r="X156">
        <v>2686</v>
      </c>
      <c r="Y156">
        <v>3459</v>
      </c>
      <c r="Z156">
        <v>4774</v>
      </c>
      <c r="AA156">
        <v>5623</v>
      </c>
      <c r="AB156">
        <v>6639</v>
      </c>
      <c r="AC156">
        <v>7862</v>
      </c>
      <c r="AD156">
        <v>9128</v>
      </c>
      <c r="AE156">
        <v>10337</v>
      </c>
      <c r="AF156">
        <v>11788</v>
      </c>
      <c r="AG156">
        <v>11881</v>
      </c>
      <c r="AH156">
        <v>15299</v>
      </c>
      <c r="AI156">
        <v>15343</v>
      </c>
      <c r="AJ156">
        <v>16748</v>
      </c>
      <c r="AK156">
        <v>18971</v>
      </c>
      <c r="AL156">
        <v>20969</v>
      </c>
      <c r="AM156">
        <v>23383</v>
      </c>
      <c r="AN156">
        <v>26403</v>
      </c>
      <c r="AO156">
        <v>28993</v>
      </c>
      <c r="AP156">
        <v>31536</v>
      </c>
      <c r="AQ156">
        <v>33934</v>
      </c>
      <c r="AR156">
        <v>36208</v>
      </c>
      <c r="AS156">
        <v>38557</v>
      </c>
      <c r="AT156">
        <v>40592</v>
      </c>
      <c r="AU156">
        <v>42033</v>
      </c>
      <c r="AV156">
        <v>43500</v>
      </c>
      <c r="AW156">
        <v>45235</v>
      </c>
      <c r="AX156">
        <v>46488</v>
      </c>
      <c r="AY156">
        <v>47743</v>
      </c>
      <c r="AZ156">
        <v>49134</v>
      </c>
      <c r="BA156">
        <v>50318</v>
      </c>
      <c r="BB156">
        <v>51553</v>
      </c>
      <c r="BC156">
        <v>52960</v>
      </c>
      <c r="BD156">
        <v>54288</v>
      </c>
      <c r="BE156">
        <v>55142</v>
      </c>
      <c r="BF156">
        <v>56003</v>
      </c>
      <c r="BG156">
        <v>56927</v>
      </c>
      <c r="BH156">
        <v>57682</v>
      </c>
      <c r="BI156">
        <v>58382</v>
      </c>
      <c r="BJ156">
        <v>58946</v>
      </c>
      <c r="BK156">
        <v>59433</v>
      </c>
    </row>
    <row r="157" spans="1:63" x14ac:dyDescent="0.25">
      <c r="A157" s="1" t="s">
        <v>64</v>
      </c>
      <c r="B157" s="1" t="s">
        <v>222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49</v>
      </c>
      <c r="AM157">
        <v>49</v>
      </c>
      <c r="AN157">
        <v>73</v>
      </c>
      <c r="AO157">
        <v>123</v>
      </c>
      <c r="AP157">
        <v>175</v>
      </c>
      <c r="AQ157">
        <v>291</v>
      </c>
      <c r="AR157">
        <v>291</v>
      </c>
      <c r="AS157">
        <v>552</v>
      </c>
      <c r="AT157">
        <v>739</v>
      </c>
      <c r="AU157">
        <v>913</v>
      </c>
      <c r="AV157">
        <v>1669</v>
      </c>
      <c r="AW157">
        <v>2134</v>
      </c>
      <c r="AX157">
        <v>2394</v>
      </c>
      <c r="AY157">
        <v>2731</v>
      </c>
      <c r="AZ157">
        <v>2959</v>
      </c>
      <c r="BA157">
        <v>2959</v>
      </c>
      <c r="BB157">
        <v>2959</v>
      </c>
      <c r="BC157">
        <v>2959</v>
      </c>
      <c r="BD157">
        <v>4590</v>
      </c>
      <c r="BE157">
        <v>4590</v>
      </c>
      <c r="BF157">
        <v>5389</v>
      </c>
      <c r="BG157">
        <v>5389</v>
      </c>
      <c r="BH157">
        <v>5710</v>
      </c>
      <c r="BI157">
        <v>6745</v>
      </c>
      <c r="BJ157">
        <v>7635</v>
      </c>
      <c r="BK157">
        <v>7931</v>
      </c>
    </row>
    <row r="158" spans="1:63" x14ac:dyDescent="0.25">
      <c r="A158" s="1" t="s">
        <v>64</v>
      </c>
      <c r="B158" s="1" t="s">
        <v>223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1</v>
      </c>
      <c r="T158">
        <v>1</v>
      </c>
      <c r="U158">
        <v>3</v>
      </c>
      <c r="V158">
        <v>3</v>
      </c>
      <c r="W158">
        <v>3</v>
      </c>
      <c r="X158">
        <v>7</v>
      </c>
      <c r="Y158">
        <v>7</v>
      </c>
      <c r="Z158">
        <v>7</v>
      </c>
      <c r="AA158">
        <v>9</v>
      </c>
      <c r="AB158">
        <v>9</v>
      </c>
      <c r="AC158">
        <v>10</v>
      </c>
      <c r="AD158">
        <v>12</v>
      </c>
      <c r="AE158">
        <v>12</v>
      </c>
      <c r="AF158">
        <v>16</v>
      </c>
      <c r="AG158">
        <v>16</v>
      </c>
      <c r="AH158">
        <v>16</v>
      </c>
      <c r="AI158">
        <v>18</v>
      </c>
      <c r="AJ158">
        <v>18</v>
      </c>
      <c r="AK158">
        <v>22</v>
      </c>
      <c r="AL158">
        <v>22</v>
      </c>
      <c r="AM158">
        <v>22</v>
      </c>
      <c r="AN158">
        <v>22</v>
      </c>
      <c r="AO158">
        <v>27</v>
      </c>
      <c r="AP158">
        <v>30</v>
      </c>
      <c r="AQ158">
        <v>30</v>
      </c>
      <c r="AR158">
        <v>30</v>
      </c>
      <c r="AS158">
        <v>41</v>
      </c>
      <c r="AT158">
        <v>41</v>
      </c>
      <c r="AU158">
        <v>135</v>
      </c>
      <c r="AV158">
        <v>135</v>
      </c>
      <c r="AW158">
        <v>118</v>
      </c>
      <c r="AX158">
        <v>118</v>
      </c>
      <c r="AY158">
        <v>247</v>
      </c>
      <c r="AZ158">
        <v>288</v>
      </c>
      <c r="BA158">
        <v>333</v>
      </c>
      <c r="BB158">
        <v>510</v>
      </c>
      <c r="BC158">
        <v>510</v>
      </c>
      <c r="BD158">
        <v>510</v>
      </c>
      <c r="BE158">
        <v>1137</v>
      </c>
      <c r="BF158">
        <v>1407</v>
      </c>
      <c r="BG158">
        <v>1540</v>
      </c>
      <c r="BH158">
        <v>1540</v>
      </c>
      <c r="BI158">
        <v>1540</v>
      </c>
      <c r="BJ158">
        <v>1540</v>
      </c>
      <c r="BK158">
        <v>2909</v>
      </c>
    </row>
    <row r="159" spans="1:63" x14ac:dyDescent="0.25">
      <c r="A159" s="1" t="s">
        <v>224</v>
      </c>
      <c r="B159" s="1" t="s">
        <v>224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2</v>
      </c>
      <c r="Y159">
        <v>2</v>
      </c>
      <c r="Z159">
        <v>2</v>
      </c>
      <c r="AA159">
        <v>4</v>
      </c>
      <c r="AB159">
        <v>4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11</v>
      </c>
      <c r="AL159">
        <v>11</v>
      </c>
      <c r="AM159">
        <v>11</v>
      </c>
      <c r="AN159">
        <v>11</v>
      </c>
      <c r="AO159">
        <v>12</v>
      </c>
      <c r="AP159">
        <v>12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2200</v>
      </c>
    </row>
    <row r="160" spans="1:63" x14ac:dyDescent="0.25">
      <c r="A160" s="1" t="s">
        <v>225</v>
      </c>
      <c r="B160" s="1" t="s">
        <v>221</v>
      </c>
      <c r="C160">
        <v>0</v>
      </c>
      <c r="D160">
        <v>2</v>
      </c>
      <c r="E160">
        <v>2</v>
      </c>
      <c r="F160">
        <v>2</v>
      </c>
      <c r="G160">
        <v>2</v>
      </c>
      <c r="H160">
        <v>4</v>
      </c>
      <c r="I160">
        <v>4</v>
      </c>
      <c r="J160">
        <v>5</v>
      </c>
      <c r="K160">
        <v>10</v>
      </c>
      <c r="L160">
        <v>11</v>
      </c>
      <c r="M160">
        <v>14</v>
      </c>
      <c r="N160">
        <v>15</v>
      </c>
      <c r="O160">
        <v>21</v>
      </c>
      <c r="P160">
        <v>30</v>
      </c>
      <c r="Q160">
        <v>49</v>
      </c>
      <c r="R160">
        <v>69</v>
      </c>
      <c r="S160">
        <v>88</v>
      </c>
      <c r="T160">
        <v>112</v>
      </c>
      <c r="U160">
        <v>141</v>
      </c>
      <c r="V160">
        <v>167</v>
      </c>
      <c r="W160">
        <v>212</v>
      </c>
      <c r="X160">
        <v>275</v>
      </c>
      <c r="Y160">
        <v>314</v>
      </c>
      <c r="Z160">
        <v>362</v>
      </c>
      <c r="AA160">
        <v>410</v>
      </c>
      <c r="AB160">
        <v>465</v>
      </c>
      <c r="AC160">
        <v>524</v>
      </c>
      <c r="AD160">
        <v>565</v>
      </c>
      <c r="AE160">
        <v>606</v>
      </c>
      <c r="AF160">
        <v>642</v>
      </c>
      <c r="AG160">
        <v>690</v>
      </c>
      <c r="AH160">
        <v>728</v>
      </c>
      <c r="AI160">
        <v>755</v>
      </c>
      <c r="AJ160">
        <v>786</v>
      </c>
      <c r="AK160">
        <v>822</v>
      </c>
      <c r="AL160">
        <v>851</v>
      </c>
      <c r="AM160">
        <v>890</v>
      </c>
      <c r="AN160">
        <v>935</v>
      </c>
      <c r="AO160">
        <v>983</v>
      </c>
      <c r="AP160">
        <v>1016</v>
      </c>
      <c r="AQ160">
        <v>1059</v>
      </c>
      <c r="AR160">
        <v>1101</v>
      </c>
      <c r="AS160">
        <v>1133</v>
      </c>
      <c r="AT160">
        <v>1181</v>
      </c>
      <c r="AU160">
        <v>1216</v>
      </c>
      <c r="AV160">
        <v>1237</v>
      </c>
      <c r="AW160">
        <v>1256</v>
      </c>
      <c r="AX160">
        <v>1260</v>
      </c>
      <c r="AY160">
        <v>1274</v>
      </c>
      <c r="AZ160">
        <v>1282</v>
      </c>
      <c r="BA160">
        <v>1289</v>
      </c>
      <c r="BB160">
        <v>1296</v>
      </c>
      <c r="BC160">
        <v>1299</v>
      </c>
      <c r="BD160">
        <v>1304</v>
      </c>
      <c r="BE160">
        <v>1306</v>
      </c>
      <c r="BF160">
        <v>1307</v>
      </c>
      <c r="BG160">
        <v>1313</v>
      </c>
      <c r="BH160">
        <v>1318</v>
      </c>
      <c r="BI160">
        <v>1323</v>
      </c>
      <c r="BJ160">
        <v>1325</v>
      </c>
      <c r="BK160">
        <v>1329</v>
      </c>
    </row>
    <row r="161" spans="1:63" x14ac:dyDescent="0.25">
      <c r="A161" s="1" t="s">
        <v>226</v>
      </c>
      <c r="B161" s="1" t="s">
        <v>221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1</v>
      </c>
      <c r="K161">
        <v>2</v>
      </c>
      <c r="L161">
        <v>3</v>
      </c>
      <c r="M161">
        <v>3</v>
      </c>
      <c r="N161">
        <v>10</v>
      </c>
      <c r="O161">
        <v>16</v>
      </c>
      <c r="P161">
        <v>27</v>
      </c>
      <c r="Q161">
        <v>47</v>
      </c>
      <c r="R161">
        <v>56</v>
      </c>
      <c r="S161">
        <v>86</v>
      </c>
      <c r="T161">
        <v>116</v>
      </c>
      <c r="U161">
        <v>153</v>
      </c>
      <c r="V161">
        <v>191</v>
      </c>
      <c r="W161">
        <v>218</v>
      </c>
      <c r="X161">
        <v>246</v>
      </c>
      <c r="Y161">
        <v>296</v>
      </c>
      <c r="Z161">
        <v>357</v>
      </c>
      <c r="AA161">
        <v>391</v>
      </c>
      <c r="AB161">
        <v>440</v>
      </c>
      <c r="AC161">
        <v>509</v>
      </c>
      <c r="AD161">
        <v>522</v>
      </c>
      <c r="AE161">
        <v>573</v>
      </c>
      <c r="AF161">
        <v>637</v>
      </c>
      <c r="AG161">
        <v>736</v>
      </c>
      <c r="AH161">
        <v>830</v>
      </c>
      <c r="AI161">
        <v>868</v>
      </c>
      <c r="AJ161">
        <v>943</v>
      </c>
      <c r="AK161">
        <v>1002</v>
      </c>
      <c r="AL161">
        <v>1033</v>
      </c>
      <c r="AM161">
        <v>1068</v>
      </c>
      <c r="AN161">
        <v>1112</v>
      </c>
      <c r="AO161">
        <v>1170</v>
      </c>
      <c r="AP161">
        <v>1198</v>
      </c>
      <c r="AQ161">
        <v>1205</v>
      </c>
      <c r="AR161">
        <v>1231</v>
      </c>
      <c r="AS161">
        <v>1234</v>
      </c>
      <c r="AT161">
        <v>1239</v>
      </c>
      <c r="AU161">
        <v>1244</v>
      </c>
      <c r="AV161">
        <v>1244</v>
      </c>
      <c r="AW161">
        <v>1247</v>
      </c>
      <c r="AX161">
        <v>1247</v>
      </c>
      <c r="AY161">
        <v>1247</v>
      </c>
      <c r="AZ161">
        <v>1249</v>
      </c>
      <c r="BA161">
        <v>1249</v>
      </c>
      <c r="BB161">
        <v>1249</v>
      </c>
      <c r="BC161">
        <v>1250</v>
      </c>
      <c r="BD161">
        <v>1250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</row>
    <row r="162" spans="1:63" x14ac:dyDescent="0.25">
      <c r="A162" s="1" t="s">
        <v>227</v>
      </c>
      <c r="B162" s="1" t="s">
        <v>221</v>
      </c>
      <c r="C162">
        <v>0</v>
      </c>
      <c r="D162">
        <v>0</v>
      </c>
      <c r="E162">
        <v>1</v>
      </c>
      <c r="F162">
        <v>1</v>
      </c>
      <c r="G162">
        <v>1</v>
      </c>
      <c r="H162">
        <v>1</v>
      </c>
      <c r="I162">
        <v>3</v>
      </c>
      <c r="J162">
        <v>3</v>
      </c>
      <c r="K162">
        <v>4</v>
      </c>
      <c r="L162">
        <v>14</v>
      </c>
      <c r="M162">
        <v>21</v>
      </c>
      <c r="N162">
        <v>32</v>
      </c>
      <c r="O162">
        <v>43</v>
      </c>
      <c r="P162">
        <v>62</v>
      </c>
      <c r="Q162">
        <v>78</v>
      </c>
      <c r="R162">
        <v>94</v>
      </c>
      <c r="S162">
        <v>123</v>
      </c>
      <c r="T162">
        <v>175</v>
      </c>
      <c r="U162">
        <v>201</v>
      </c>
      <c r="V162">
        <v>242</v>
      </c>
      <c r="W162">
        <v>270</v>
      </c>
      <c r="X162">
        <v>321</v>
      </c>
      <c r="Y162">
        <v>360</v>
      </c>
      <c r="Z162">
        <v>403</v>
      </c>
      <c r="AA162">
        <v>428</v>
      </c>
      <c r="AB162">
        <v>456</v>
      </c>
      <c r="AC162">
        <v>507</v>
      </c>
      <c r="AD162">
        <v>535</v>
      </c>
      <c r="AE162">
        <v>604</v>
      </c>
      <c r="AF162">
        <v>633</v>
      </c>
      <c r="AG162">
        <v>679</v>
      </c>
      <c r="AH162">
        <v>719</v>
      </c>
      <c r="AI162">
        <v>760</v>
      </c>
      <c r="AJ162">
        <v>782</v>
      </c>
      <c r="AK162">
        <v>808</v>
      </c>
      <c r="AL162">
        <v>867</v>
      </c>
      <c r="AM162">
        <v>932</v>
      </c>
      <c r="AN162">
        <v>975</v>
      </c>
      <c r="AO162">
        <v>1016</v>
      </c>
      <c r="AP162">
        <v>1046</v>
      </c>
      <c r="AQ162">
        <v>1069</v>
      </c>
      <c r="AR162">
        <v>1093</v>
      </c>
      <c r="AS162">
        <v>1114</v>
      </c>
      <c r="AT162">
        <v>1124</v>
      </c>
      <c r="AU162">
        <v>1147</v>
      </c>
      <c r="AV162">
        <v>1154</v>
      </c>
      <c r="AW162">
        <v>1161</v>
      </c>
      <c r="AX162">
        <v>1176</v>
      </c>
      <c r="AY162">
        <v>1191</v>
      </c>
      <c r="AZ162">
        <v>1195</v>
      </c>
      <c r="BA162">
        <v>1197</v>
      </c>
      <c r="BB162">
        <v>1197</v>
      </c>
      <c r="BC162">
        <v>1211</v>
      </c>
      <c r="BD162">
        <v>1211</v>
      </c>
      <c r="BE162">
        <v>1216</v>
      </c>
      <c r="BF162">
        <v>1216</v>
      </c>
      <c r="BG162">
        <v>1216</v>
      </c>
      <c r="BH162">
        <v>1217</v>
      </c>
      <c r="BI162">
        <v>1219</v>
      </c>
      <c r="BJ162">
        <v>1219</v>
      </c>
      <c r="BK162">
        <v>1219</v>
      </c>
    </row>
    <row r="163" spans="1:63" x14ac:dyDescent="0.25">
      <c r="A163" s="1" t="s">
        <v>228</v>
      </c>
      <c r="B163" s="1" t="s">
        <v>221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2</v>
      </c>
      <c r="L163">
        <v>2</v>
      </c>
      <c r="M163">
        <v>8</v>
      </c>
      <c r="N163">
        <v>16</v>
      </c>
      <c r="O163">
        <v>22</v>
      </c>
      <c r="P163">
        <v>31</v>
      </c>
      <c r="Q163">
        <v>54</v>
      </c>
      <c r="R163">
        <v>81</v>
      </c>
      <c r="S163">
        <v>112</v>
      </c>
      <c r="T163">
        <v>156</v>
      </c>
      <c r="U163">
        <v>186</v>
      </c>
      <c r="V163">
        <v>208</v>
      </c>
      <c r="W163">
        <v>247</v>
      </c>
      <c r="X163">
        <v>304</v>
      </c>
      <c r="Y163">
        <v>339</v>
      </c>
      <c r="Z163">
        <v>364</v>
      </c>
      <c r="AA163">
        <v>425</v>
      </c>
      <c r="AB163">
        <v>464</v>
      </c>
      <c r="AC163">
        <v>498</v>
      </c>
      <c r="AD163">
        <v>527</v>
      </c>
      <c r="AE163">
        <v>561</v>
      </c>
      <c r="AF163">
        <v>634</v>
      </c>
      <c r="AG163">
        <v>661</v>
      </c>
      <c r="AH163">
        <v>692</v>
      </c>
      <c r="AI163">
        <v>714</v>
      </c>
      <c r="AJ163">
        <v>731</v>
      </c>
      <c r="AK163">
        <v>768</v>
      </c>
      <c r="AL163">
        <v>783</v>
      </c>
      <c r="AM163">
        <v>804</v>
      </c>
      <c r="AN163">
        <v>830</v>
      </c>
      <c r="AO163">
        <v>846</v>
      </c>
      <c r="AP163">
        <v>866</v>
      </c>
      <c r="AQ163">
        <v>887</v>
      </c>
      <c r="AR163">
        <v>906</v>
      </c>
      <c r="AS163">
        <v>916</v>
      </c>
      <c r="AT163">
        <v>938</v>
      </c>
      <c r="AU163">
        <v>955</v>
      </c>
      <c r="AV163">
        <v>960</v>
      </c>
      <c r="AW163">
        <v>968</v>
      </c>
      <c r="AX163">
        <v>979</v>
      </c>
      <c r="AY163">
        <v>990</v>
      </c>
      <c r="AZ163">
        <v>995</v>
      </c>
      <c r="BA163">
        <v>999</v>
      </c>
      <c r="BB163">
        <v>1005</v>
      </c>
      <c r="BC163">
        <v>1014</v>
      </c>
      <c r="BD163">
        <v>1014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</row>
    <row r="164" spans="1:63" x14ac:dyDescent="0.25">
      <c r="A164" s="1" t="s">
        <v>229</v>
      </c>
      <c r="B164" s="1" t="s">
        <v>221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2</v>
      </c>
      <c r="K164">
        <v>2</v>
      </c>
      <c r="L164">
        <v>3</v>
      </c>
      <c r="M164">
        <v>5</v>
      </c>
      <c r="N164">
        <v>7</v>
      </c>
      <c r="O164">
        <v>14</v>
      </c>
      <c r="P164">
        <v>20</v>
      </c>
      <c r="Q164">
        <v>23</v>
      </c>
      <c r="R164">
        <v>34</v>
      </c>
      <c r="S164">
        <v>47</v>
      </c>
      <c r="T164">
        <v>59</v>
      </c>
      <c r="U164">
        <v>72</v>
      </c>
      <c r="V164">
        <v>88</v>
      </c>
      <c r="W164">
        <v>105</v>
      </c>
      <c r="X164">
        <v>127</v>
      </c>
      <c r="Y164">
        <v>157</v>
      </c>
      <c r="Z164">
        <v>193</v>
      </c>
      <c r="AA164">
        <v>221</v>
      </c>
      <c r="AB164">
        <v>255</v>
      </c>
      <c r="AC164">
        <v>280</v>
      </c>
      <c r="AD164">
        <v>361</v>
      </c>
      <c r="AE164">
        <v>413</v>
      </c>
      <c r="AF164">
        <v>474</v>
      </c>
      <c r="AG164">
        <v>539</v>
      </c>
      <c r="AH164">
        <v>597</v>
      </c>
      <c r="AI164">
        <v>637</v>
      </c>
      <c r="AJ164">
        <v>663</v>
      </c>
      <c r="AK164">
        <v>712</v>
      </c>
      <c r="AL164">
        <v>744</v>
      </c>
      <c r="AM164">
        <v>792</v>
      </c>
      <c r="AN164">
        <v>821</v>
      </c>
      <c r="AO164">
        <v>868</v>
      </c>
      <c r="AP164">
        <v>873</v>
      </c>
      <c r="AQ164">
        <v>917</v>
      </c>
      <c r="AR164">
        <v>936</v>
      </c>
      <c r="AS164">
        <v>956</v>
      </c>
      <c r="AT164">
        <v>970</v>
      </c>
      <c r="AU164">
        <v>979</v>
      </c>
      <c r="AV164">
        <v>979</v>
      </c>
      <c r="AW164">
        <v>984</v>
      </c>
      <c r="AX164">
        <v>984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</row>
    <row r="165" spans="1:63" x14ac:dyDescent="0.25">
      <c r="A165" s="1" t="s">
        <v>230</v>
      </c>
      <c r="B165" s="1" t="s">
        <v>221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2</v>
      </c>
      <c r="I165">
        <v>3</v>
      </c>
      <c r="J165">
        <v>3</v>
      </c>
      <c r="K165">
        <v>5</v>
      </c>
      <c r="L165">
        <v>7</v>
      </c>
      <c r="M165">
        <v>9</v>
      </c>
      <c r="N165">
        <v>12</v>
      </c>
      <c r="O165">
        <v>18</v>
      </c>
      <c r="P165">
        <v>20</v>
      </c>
      <c r="Q165">
        <v>27</v>
      </c>
      <c r="R165">
        <v>37</v>
      </c>
      <c r="S165">
        <v>45</v>
      </c>
      <c r="T165">
        <v>55</v>
      </c>
      <c r="U165">
        <v>73</v>
      </c>
      <c r="V165">
        <v>105</v>
      </c>
      <c r="W165">
        <v>128</v>
      </c>
      <c r="X165">
        <v>152</v>
      </c>
      <c r="Y165">
        <v>170</v>
      </c>
      <c r="Z165">
        <v>187</v>
      </c>
      <c r="AA165">
        <v>210</v>
      </c>
      <c r="AB165">
        <v>240</v>
      </c>
      <c r="AC165">
        <v>275</v>
      </c>
      <c r="AD165">
        <v>310</v>
      </c>
      <c r="AE165">
        <v>362</v>
      </c>
      <c r="AF165">
        <v>433</v>
      </c>
      <c r="AG165">
        <v>489</v>
      </c>
      <c r="AH165">
        <v>555</v>
      </c>
      <c r="AI165">
        <v>613</v>
      </c>
      <c r="AJ165">
        <v>645</v>
      </c>
      <c r="AK165">
        <v>683</v>
      </c>
      <c r="AL165">
        <v>719</v>
      </c>
      <c r="AM165">
        <v>754</v>
      </c>
      <c r="AN165">
        <v>790</v>
      </c>
      <c r="AO165">
        <v>811</v>
      </c>
      <c r="AP165">
        <v>831</v>
      </c>
      <c r="AQ165">
        <v>850</v>
      </c>
      <c r="AR165">
        <v>870</v>
      </c>
      <c r="AS165">
        <v>884</v>
      </c>
      <c r="AT165">
        <v>901</v>
      </c>
      <c r="AU165">
        <v>909</v>
      </c>
      <c r="AV165">
        <v>916</v>
      </c>
      <c r="AW165">
        <v>919</v>
      </c>
      <c r="AX165">
        <v>923</v>
      </c>
      <c r="AY165">
        <v>927</v>
      </c>
      <c r="AZ165">
        <v>932</v>
      </c>
      <c r="BA165">
        <v>934</v>
      </c>
      <c r="BB165">
        <v>934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</row>
    <row r="166" spans="1:63" x14ac:dyDescent="0.25">
      <c r="A166" s="1" t="s">
        <v>231</v>
      </c>
      <c r="B166" s="1" t="s">
        <v>221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1</v>
      </c>
      <c r="K166">
        <v>1</v>
      </c>
      <c r="L166">
        <v>2</v>
      </c>
      <c r="M166">
        <v>3</v>
      </c>
      <c r="N166">
        <v>6</v>
      </c>
      <c r="O166">
        <v>7</v>
      </c>
      <c r="P166">
        <v>11</v>
      </c>
      <c r="Q166">
        <v>15</v>
      </c>
      <c r="R166">
        <v>27</v>
      </c>
      <c r="S166">
        <v>37</v>
      </c>
      <c r="T166">
        <v>44</v>
      </c>
      <c r="U166">
        <v>63</v>
      </c>
      <c r="V166">
        <v>66</v>
      </c>
      <c r="W166">
        <v>80</v>
      </c>
      <c r="X166">
        <v>92</v>
      </c>
      <c r="Y166">
        <v>105</v>
      </c>
      <c r="Z166">
        <v>136</v>
      </c>
      <c r="AA166">
        <v>156</v>
      </c>
      <c r="AB166">
        <v>173</v>
      </c>
      <c r="AC166">
        <v>191</v>
      </c>
      <c r="AD166">
        <v>211</v>
      </c>
      <c r="AE166">
        <v>231</v>
      </c>
      <c r="AF166">
        <v>254</v>
      </c>
      <c r="AG166">
        <v>281</v>
      </c>
      <c r="AH166">
        <v>302</v>
      </c>
      <c r="AI166">
        <v>321</v>
      </c>
      <c r="AJ166">
        <v>343</v>
      </c>
      <c r="AK166">
        <v>355</v>
      </c>
      <c r="AL166">
        <v>377</v>
      </c>
      <c r="AM166">
        <v>387</v>
      </c>
      <c r="AN166">
        <v>405</v>
      </c>
      <c r="AO166">
        <v>421</v>
      </c>
      <c r="AP166">
        <v>443</v>
      </c>
      <c r="AQ166">
        <v>460</v>
      </c>
      <c r="AR166">
        <v>511</v>
      </c>
      <c r="AS166">
        <v>516</v>
      </c>
      <c r="AT166">
        <v>578</v>
      </c>
      <c r="AU166">
        <v>618</v>
      </c>
      <c r="AV166">
        <v>627</v>
      </c>
      <c r="AW166">
        <v>642</v>
      </c>
      <c r="AX166">
        <v>700</v>
      </c>
      <c r="AY166">
        <v>719</v>
      </c>
      <c r="AZ166">
        <v>726</v>
      </c>
      <c r="BA166">
        <v>734</v>
      </c>
      <c r="BB166">
        <v>739</v>
      </c>
      <c r="BC166">
        <v>741</v>
      </c>
      <c r="BD166">
        <v>741</v>
      </c>
      <c r="BE166">
        <v>746</v>
      </c>
      <c r="BF166">
        <v>746</v>
      </c>
      <c r="BG166">
        <v>746</v>
      </c>
      <c r="BH166">
        <v>747</v>
      </c>
      <c r="BI166">
        <v>748</v>
      </c>
      <c r="BJ166">
        <v>749</v>
      </c>
      <c r="BK166">
        <v>750</v>
      </c>
    </row>
    <row r="167" spans="1:63" x14ac:dyDescent="0.25">
      <c r="A167" s="1" t="s">
        <v>169</v>
      </c>
      <c r="B167" s="1" t="s">
        <v>232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1</v>
      </c>
      <c r="AF167">
        <v>1</v>
      </c>
      <c r="AG167">
        <v>1</v>
      </c>
      <c r="AH167">
        <v>1</v>
      </c>
      <c r="AI167">
        <v>0</v>
      </c>
      <c r="AJ167">
        <v>0</v>
      </c>
      <c r="AK167">
        <v>0</v>
      </c>
      <c r="AL167">
        <v>10</v>
      </c>
      <c r="AM167">
        <v>10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40</v>
      </c>
      <c r="AV167">
        <v>40</v>
      </c>
      <c r="AW167">
        <v>40</v>
      </c>
      <c r="AX167">
        <v>40</v>
      </c>
      <c r="AY167">
        <v>40</v>
      </c>
      <c r="AZ167">
        <v>325</v>
      </c>
      <c r="BA167">
        <v>325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</row>
    <row r="168" spans="1:63" x14ac:dyDescent="0.25">
      <c r="A168" s="1" t="s">
        <v>233</v>
      </c>
      <c r="B168" s="1" t="s">
        <v>221</v>
      </c>
      <c r="C168">
        <v>0</v>
      </c>
      <c r="D168">
        <v>0</v>
      </c>
      <c r="E168">
        <v>0</v>
      </c>
      <c r="F168">
        <v>1</v>
      </c>
      <c r="G168">
        <v>1</v>
      </c>
      <c r="H168">
        <v>1</v>
      </c>
      <c r="I168">
        <v>1</v>
      </c>
      <c r="J168">
        <v>1</v>
      </c>
      <c r="K168">
        <v>1</v>
      </c>
      <c r="L168">
        <v>5</v>
      </c>
      <c r="M168">
        <v>6</v>
      </c>
      <c r="N168">
        <v>7</v>
      </c>
      <c r="O168">
        <v>8</v>
      </c>
      <c r="P168">
        <v>12</v>
      </c>
      <c r="Q168">
        <v>23</v>
      </c>
      <c r="R168">
        <v>34</v>
      </c>
      <c r="S168">
        <v>43</v>
      </c>
      <c r="T168">
        <v>51</v>
      </c>
      <c r="U168">
        <v>71</v>
      </c>
      <c r="V168">
        <v>81</v>
      </c>
      <c r="W168">
        <v>93</v>
      </c>
      <c r="X168">
        <v>125</v>
      </c>
      <c r="Y168">
        <v>139</v>
      </c>
      <c r="Z168">
        <v>157</v>
      </c>
      <c r="AA168">
        <v>186</v>
      </c>
      <c r="AB168">
        <v>218</v>
      </c>
      <c r="AC168">
        <v>258</v>
      </c>
      <c r="AD168">
        <v>280</v>
      </c>
      <c r="AE168">
        <v>318</v>
      </c>
      <c r="AF168">
        <v>356</v>
      </c>
      <c r="AG168">
        <v>373</v>
      </c>
      <c r="AH168">
        <v>401</v>
      </c>
      <c r="AI168">
        <v>418</v>
      </c>
      <c r="AJ168">
        <v>452</v>
      </c>
      <c r="AK168">
        <v>458</v>
      </c>
      <c r="AL168">
        <v>478</v>
      </c>
      <c r="AM168">
        <v>498</v>
      </c>
      <c r="AN168">
        <v>515</v>
      </c>
      <c r="AO168">
        <v>523</v>
      </c>
      <c r="AP168">
        <v>536</v>
      </c>
      <c r="AQ168">
        <v>543</v>
      </c>
      <c r="AR168">
        <v>562</v>
      </c>
      <c r="AS168">
        <v>577</v>
      </c>
      <c r="AT168">
        <v>583</v>
      </c>
      <c r="AU168">
        <v>594</v>
      </c>
      <c r="AV168">
        <v>606</v>
      </c>
      <c r="AW168">
        <v>612</v>
      </c>
      <c r="AX168">
        <v>621</v>
      </c>
      <c r="AY168">
        <v>627</v>
      </c>
      <c r="AZ168">
        <v>627</v>
      </c>
      <c r="BA168">
        <v>629</v>
      </c>
      <c r="BB168">
        <v>630</v>
      </c>
      <c r="BC168">
        <v>630</v>
      </c>
      <c r="BD168">
        <v>631</v>
      </c>
      <c r="BE168">
        <v>631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</row>
    <row r="169" spans="1:63" x14ac:dyDescent="0.25">
      <c r="A169" s="1" t="s">
        <v>234</v>
      </c>
      <c r="B169" s="1" t="s">
        <v>221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1</v>
      </c>
      <c r="K169">
        <v>1</v>
      </c>
      <c r="L169">
        <v>1</v>
      </c>
      <c r="M169">
        <v>3</v>
      </c>
      <c r="N169">
        <v>7</v>
      </c>
      <c r="O169">
        <v>9</v>
      </c>
      <c r="P169">
        <v>9</v>
      </c>
      <c r="Q169">
        <v>15</v>
      </c>
      <c r="R169">
        <v>24</v>
      </c>
      <c r="S169">
        <v>31</v>
      </c>
      <c r="T169">
        <v>39</v>
      </c>
      <c r="U169">
        <v>51</v>
      </c>
      <c r="V169">
        <v>66</v>
      </c>
      <c r="W169">
        <v>79</v>
      </c>
      <c r="X169">
        <v>102</v>
      </c>
      <c r="Y169">
        <v>128</v>
      </c>
      <c r="Z169">
        <v>152</v>
      </c>
      <c r="AA169">
        <v>184</v>
      </c>
      <c r="AB169">
        <v>207</v>
      </c>
      <c r="AC169">
        <v>225</v>
      </c>
      <c r="AD169">
        <v>254</v>
      </c>
      <c r="AE169">
        <v>274</v>
      </c>
      <c r="AF169">
        <v>299</v>
      </c>
      <c r="AG169">
        <v>316</v>
      </c>
      <c r="AH169">
        <v>328</v>
      </c>
      <c r="AI169">
        <v>335</v>
      </c>
      <c r="AJ169">
        <v>349</v>
      </c>
      <c r="AK169">
        <v>372</v>
      </c>
      <c r="AL169">
        <v>384</v>
      </c>
      <c r="AM169">
        <v>401</v>
      </c>
      <c r="AN169">
        <v>422</v>
      </c>
      <c r="AO169">
        <v>438</v>
      </c>
      <c r="AP169">
        <v>450</v>
      </c>
      <c r="AQ169">
        <v>469</v>
      </c>
      <c r="AR169">
        <v>490</v>
      </c>
      <c r="AS169">
        <v>502</v>
      </c>
      <c r="AT169">
        <v>512</v>
      </c>
      <c r="AU169">
        <v>513</v>
      </c>
      <c r="AV169">
        <v>526</v>
      </c>
      <c r="AW169">
        <v>527</v>
      </c>
      <c r="AX169">
        <v>542</v>
      </c>
      <c r="AY169">
        <v>547</v>
      </c>
      <c r="AZ169">
        <v>554</v>
      </c>
      <c r="BA169">
        <v>564</v>
      </c>
      <c r="BB169">
        <v>566</v>
      </c>
      <c r="BC169">
        <v>569</v>
      </c>
      <c r="BD169">
        <v>570</v>
      </c>
      <c r="BE169">
        <v>570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</row>
    <row r="170" spans="1:63" x14ac:dyDescent="0.25">
      <c r="A170" s="1" t="s">
        <v>235</v>
      </c>
      <c r="B170" s="1" t="s">
        <v>221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1</v>
      </c>
      <c r="K170">
        <v>1</v>
      </c>
      <c r="L170">
        <v>1</v>
      </c>
      <c r="M170">
        <v>3</v>
      </c>
      <c r="N170">
        <v>11</v>
      </c>
      <c r="O170">
        <v>14</v>
      </c>
      <c r="P170">
        <v>14</v>
      </c>
      <c r="Q170">
        <v>24</v>
      </c>
      <c r="R170">
        <v>31</v>
      </c>
      <c r="S170">
        <v>42</v>
      </c>
      <c r="T170">
        <v>60</v>
      </c>
      <c r="U170">
        <v>71</v>
      </c>
      <c r="V170">
        <v>80</v>
      </c>
      <c r="W170">
        <v>85</v>
      </c>
      <c r="X170">
        <v>92</v>
      </c>
      <c r="Y170">
        <v>104</v>
      </c>
      <c r="Z170">
        <v>114</v>
      </c>
      <c r="AA170">
        <v>119</v>
      </c>
      <c r="AB170">
        <v>131</v>
      </c>
      <c r="AC170">
        <v>156</v>
      </c>
      <c r="AD170">
        <v>169</v>
      </c>
      <c r="AE170">
        <v>188</v>
      </c>
      <c r="AF170">
        <v>217</v>
      </c>
      <c r="AG170">
        <v>231</v>
      </c>
      <c r="AH170">
        <v>250</v>
      </c>
      <c r="AI170">
        <v>261</v>
      </c>
      <c r="AJ170">
        <v>276</v>
      </c>
      <c r="AK170">
        <v>289</v>
      </c>
      <c r="AL170">
        <v>307</v>
      </c>
      <c r="AM170">
        <v>321</v>
      </c>
      <c r="AN170">
        <v>338</v>
      </c>
      <c r="AO170">
        <v>351</v>
      </c>
      <c r="AP170">
        <v>365</v>
      </c>
      <c r="AQ170">
        <v>386</v>
      </c>
      <c r="AR170">
        <v>394</v>
      </c>
      <c r="AS170">
        <v>406</v>
      </c>
      <c r="AT170">
        <v>425</v>
      </c>
      <c r="AU170">
        <v>442</v>
      </c>
      <c r="AV170">
        <v>454</v>
      </c>
      <c r="AW170">
        <v>464</v>
      </c>
      <c r="AX170">
        <v>466</v>
      </c>
      <c r="AY170">
        <v>478</v>
      </c>
      <c r="AZ170">
        <v>488</v>
      </c>
      <c r="BA170">
        <v>498</v>
      </c>
      <c r="BB170">
        <v>503</v>
      </c>
      <c r="BC170">
        <v>511</v>
      </c>
      <c r="BD170">
        <v>516</v>
      </c>
      <c r="BE170">
        <v>516</v>
      </c>
      <c r="BF170">
        <v>520</v>
      </c>
      <c r="BG170">
        <v>525</v>
      </c>
      <c r="BH170">
        <v>536</v>
      </c>
      <c r="BI170">
        <v>536</v>
      </c>
      <c r="BJ170">
        <v>536</v>
      </c>
      <c r="BK170">
        <v>536</v>
      </c>
    </row>
    <row r="171" spans="1:63" x14ac:dyDescent="0.25">
      <c r="A171" s="1" t="s">
        <v>236</v>
      </c>
      <c r="B171" s="1" t="s">
        <v>221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2</v>
      </c>
      <c r="N171">
        <v>2</v>
      </c>
      <c r="O171">
        <v>2</v>
      </c>
      <c r="P171">
        <v>4</v>
      </c>
      <c r="Q171">
        <v>7</v>
      </c>
      <c r="R171">
        <v>8</v>
      </c>
      <c r="S171">
        <v>12</v>
      </c>
      <c r="T171">
        <v>13</v>
      </c>
      <c r="U171">
        <v>14</v>
      </c>
      <c r="V171">
        <v>30</v>
      </c>
      <c r="W171">
        <v>28</v>
      </c>
      <c r="X171">
        <v>31</v>
      </c>
      <c r="Y171">
        <v>33</v>
      </c>
      <c r="Z171">
        <v>47</v>
      </c>
      <c r="AA171">
        <v>68</v>
      </c>
      <c r="AB171">
        <v>79</v>
      </c>
      <c r="AC171">
        <v>85</v>
      </c>
      <c r="AD171">
        <v>111</v>
      </c>
      <c r="AE171">
        <v>120</v>
      </c>
      <c r="AF171">
        <v>136</v>
      </c>
      <c r="AG171">
        <v>175</v>
      </c>
      <c r="AH171">
        <v>204</v>
      </c>
      <c r="AI171">
        <v>222</v>
      </c>
      <c r="AJ171">
        <v>227</v>
      </c>
      <c r="AK171">
        <v>243</v>
      </c>
      <c r="AL171">
        <v>249</v>
      </c>
      <c r="AM171">
        <v>270</v>
      </c>
      <c r="AN171">
        <v>283</v>
      </c>
      <c r="AO171">
        <v>301</v>
      </c>
      <c r="AP171">
        <v>342</v>
      </c>
      <c r="AQ171">
        <v>356</v>
      </c>
      <c r="AR171">
        <v>366</v>
      </c>
      <c r="AS171">
        <v>373</v>
      </c>
      <c r="AT171">
        <v>379</v>
      </c>
      <c r="AU171">
        <v>396</v>
      </c>
      <c r="AV171">
        <v>403</v>
      </c>
      <c r="AW171">
        <v>412</v>
      </c>
      <c r="AX171">
        <v>430</v>
      </c>
      <c r="AY171">
        <v>434</v>
      </c>
      <c r="AZ171">
        <v>436</v>
      </c>
      <c r="BA171">
        <v>441</v>
      </c>
      <c r="BB171">
        <v>446</v>
      </c>
      <c r="BC171">
        <v>447</v>
      </c>
      <c r="BD171">
        <v>453</v>
      </c>
      <c r="BE171">
        <v>455</v>
      </c>
      <c r="BF171">
        <v>456</v>
      </c>
      <c r="BG171">
        <v>459</v>
      </c>
      <c r="BH171">
        <v>460</v>
      </c>
      <c r="BI171">
        <v>463</v>
      </c>
      <c r="BJ171">
        <v>463</v>
      </c>
      <c r="BK171">
        <v>466</v>
      </c>
    </row>
    <row r="172" spans="1:63" x14ac:dyDescent="0.25">
      <c r="A172" s="1" t="s">
        <v>237</v>
      </c>
      <c r="B172" s="1" t="s">
        <v>237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1</v>
      </c>
      <c r="AV172">
        <v>1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</row>
    <row r="173" spans="1:63" x14ac:dyDescent="0.25">
      <c r="A173" s="1" t="s">
        <v>238</v>
      </c>
      <c r="B173" s="1" t="s">
        <v>221</v>
      </c>
      <c r="C173">
        <v>0</v>
      </c>
      <c r="D173">
        <v>0</v>
      </c>
      <c r="E173">
        <v>1</v>
      </c>
      <c r="F173">
        <v>2</v>
      </c>
      <c r="G173">
        <v>2</v>
      </c>
      <c r="H173">
        <v>2</v>
      </c>
      <c r="I173">
        <v>4</v>
      </c>
      <c r="J173">
        <v>4</v>
      </c>
      <c r="K173">
        <v>4</v>
      </c>
      <c r="L173">
        <v>5</v>
      </c>
      <c r="M173">
        <v>9</v>
      </c>
      <c r="N173">
        <v>9</v>
      </c>
      <c r="O173">
        <v>12</v>
      </c>
      <c r="P173">
        <v>23</v>
      </c>
      <c r="Q173">
        <v>24</v>
      </c>
      <c r="R173">
        <v>31</v>
      </c>
      <c r="S173">
        <v>33</v>
      </c>
      <c r="T173">
        <v>34</v>
      </c>
      <c r="U173">
        <v>37</v>
      </c>
      <c r="V173">
        <v>44</v>
      </c>
      <c r="W173">
        <v>48</v>
      </c>
      <c r="X173">
        <v>56</v>
      </c>
      <c r="Y173">
        <v>69</v>
      </c>
      <c r="Z173">
        <v>80</v>
      </c>
      <c r="AA173">
        <v>98</v>
      </c>
      <c r="AB173">
        <v>108</v>
      </c>
      <c r="AC173">
        <v>114</v>
      </c>
      <c r="AD173">
        <v>122</v>
      </c>
      <c r="AE173">
        <v>145</v>
      </c>
      <c r="AF173">
        <v>153</v>
      </c>
      <c r="AG173">
        <v>169</v>
      </c>
      <c r="AH173">
        <v>178</v>
      </c>
      <c r="AI173">
        <v>189</v>
      </c>
      <c r="AJ173">
        <v>198</v>
      </c>
      <c r="AK173">
        <v>215</v>
      </c>
      <c r="AL173">
        <v>235</v>
      </c>
      <c r="AM173">
        <v>248</v>
      </c>
      <c r="AN173">
        <v>257</v>
      </c>
      <c r="AO173">
        <v>271</v>
      </c>
      <c r="AP173">
        <v>276</v>
      </c>
      <c r="AQ173">
        <v>282</v>
      </c>
      <c r="AR173">
        <v>288</v>
      </c>
      <c r="AS173">
        <v>297</v>
      </c>
      <c r="AT173">
        <v>297</v>
      </c>
      <c r="AU173">
        <v>299</v>
      </c>
      <c r="AV173">
        <v>303</v>
      </c>
      <c r="AW173">
        <v>308</v>
      </c>
      <c r="AX173">
        <v>315</v>
      </c>
      <c r="AY173">
        <v>320</v>
      </c>
      <c r="AZ173">
        <v>326</v>
      </c>
      <c r="BA173">
        <v>334</v>
      </c>
      <c r="BB173">
        <v>342</v>
      </c>
      <c r="BC173">
        <v>349</v>
      </c>
      <c r="BD173">
        <v>353</v>
      </c>
      <c r="BE173">
        <v>360</v>
      </c>
      <c r="BF173">
        <v>369</v>
      </c>
      <c r="BG173">
        <v>378</v>
      </c>
      <c r="BH173">
        <v>380</v>
      </c>
      <c r="BI173">
        <v>390</v>
      </c>
      <c r="BJ173">
        <v>396</v>
      </c>
      <c r="BK173">
        <v>400</v>
      </c>
    </row>
    <row r="174" spans="1:63" x14ac:dyDescent="0.25">
      <c r="A174" s="1" t="s">
        <v>239</v>
      </c>
      <c r="B174" s="1" t="s">
        <v>221</v>
      </c>
      <c r="C174">
        <v>0</v>
      </c>
      <c r="D174">
        <v>0</v>
      </c>
      <c r="E174">
        <v>1</v>
      </c>
      <c r="F174">
        <v>1</v>
      </c>
      <c r="G174">
        <v>1</v>
      </c>
      <c r="H174">
        <v>3</v>
      </c>
      <c r="I174">
        <v>4</v>
      </c>
      <c r="J174">
        <v>5</v>
      </c>
      <c r="K174">
        <v>5</v>
      </c>
      <c r="L174">
        <v>9</v>
      </c>
      <c r="M174">
        <v>10</v>
      </c>
      <c r="N174">
        <v>10</v>
      </c>
      <c r="O174">
        <v>10</v>
      </c>
      <c r="P174">
        <v>12</v>
      </c>
      <c r="Q174">
        <v>15</v>
      </c>
      <c r="R174">
        <v>25</v>
      </c>
      <c r="S174">
        <v>30</v>
      </c>
      <c r="T174">
        <v>41</v>
      </c>
      <c r="U174">
        <v>44</v>
      </c>
      <c r="V174">
        <v>48</v>
      </c>
      <c r="W174">
        <v>52</v>
      </c>
      <c r="X174">
        <v>57</v>
      </c>
      <c r="Y174">
        <v>62</v>
      </c>
      <c r="Z174">
        <v>90</v>
      </c>
      <c r="AA174">
        <v>124</v>
      </c>
      <c r="AB174">
        <v>140</v>
      </c>
      <c r="AC174">
        <v>161</v>
      </c>
      <c r="AD174">
        <v>177</v>
      </c>
      <c r="AE174">
        <v>186</v>
      </c>
      <c r="AF174">
        <v>199</v>
      </c>
      <c r="AG174">
        <v>211</v>
      </c>
      <c r="AH174">
        <v>227</v>
      </c>
      <c r="AI174">
        <v>249</v>
      </c>
      <c r="AJ174">
        <v>261</v>
      </c>
      <c r="AK174">
        <v>268</v>
      </c>
      <c r="AL174">
        <v>272</v>
      </c>
      <c r="AM174">
        <v>276</v>
      </c>
      <c r="AN174">
        <v>279</v>
      </c>
      <c r="AO174">
        <v>287</v>
      </c>
      <c r="AP174">
        <v>290</v>
      </c>
      <c r="AQ174">
        <v>292</v>
      </c>
      <c r="AR174">
        <v>294</v>
      </c>
      <c r="AS174">
        <v>298</v>
      </c>
      <c r="AT174">
        <v>303</v>
      </c>
      <c r="AU174">
        <v>306</v>
      </c>
      <c r="AV174">
        <v>313</v>
      </c>
      <c r="AW174">
        <v>314</v>
      </c>
      <c r="AX174">
        <v>315</v>
      </c>
      <c r="AY174">
        <v>319</v>
      </c>
      <c r="AZ174">
        <v>320</v>
      </c>
      <c r="BA174">
        <v>321</v>
      </c>
      <c r="BB174">
        <v>324</v>
      </c>
      <c r="BC174">
        <v>324</v>
      </c>
      <c r="BD174">
        <v>324</v>
      </c>
      <c r="BE174">
        <v>325</v>
      </c>
      <c r="BF174">
        <v>325</v>
      </c>
      <c r="BG174">
        <v>326</v>
      </c>
      <c r="BH174">
        <v>326</v>
      </c>
      <c r="BI174">
        <v>326</v>
      </c>
      <c r="BJ174">
        <v>327</v>
      </c>
      <c r="BK174">
        <v>328</v>
      </c>
    </row>
    <row r="175" spans="1:63" x14ac:dyDescent="0.25">
      <c r="A175" s="1" t="s">
        <v>240</v>
      </c>
      <c r="B175" s="1" t="s">
        <v>221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3</v>
      </c>
      <c r="O175">
        <v>3</v>
      </c>
      <c r="P175">
        <v>4</v>
      </c>
      <c r="Q175">
        <v>6</v>
      </c>
      <c r="R175">
        <v>13</v>
      </c>
      <c r="S175">
        <v>22</v>
      </c>
      <c r="T175">
        <v>30</v>
      </c>
      <c r="U175">
        <v>34</v>
      </c>
      <c r="V175">
        <v>41</v>
      </c>
      <c r="W175">
        <v>48</v>
      </c>
      <c r="X175">
        <v>54</v>
      </c>
      <c r="Y175">
        <v>68</v>
      </c>
      <c r="Z175">
        <v>87</v>
      </c>
      <c r="AA175">
        <v>101</v>
      </c>
      <c r="AB175">
        <v>105</v>
      </c>
      <c r="AC175">
        <v>122</v>
      </c>
      <c r="AD175">
        <v>136</v>
      </c>
      <c r="AE175">
        <v>152</v>
      </c>
      <c r="AF175">
        <v>169</v>
      </c>
      <c r="AG175">
        <v>184</v>
      </c>
      <c r="AH175">
        <v>203</v>
      </c>
      <c r="AI175">
        <v>219</v>
      </c>
      <c r="AJ175">
        <v>234</v>
      </c>
      <c r="AK175">
        <v>248</v>
      </c>
      <c r="AL175">
        <v>261</v>
      </c>
      <c r="AM175">
        <v>274</v>
      </c>
      <c r="AN175">
        <v>277</v>
      </c>
      <c r="AO175">
        <v>282</v>
      </c>
      <c r="AP175">
        <v>294</v>
      </c>
      <c r="AQ175">
        <v>296</v>
      </c>
      <c r="AR175">
        <v>300</v>
      </c>
      <c r="AS175">
        <v>301</v>
      </c>
      <c r="AT175">
        <v>304</v>
      </c>
      <c r="AU175">
        <v>305</v>
      </c>
      <c r="AV175">
        <v>307</v>
      </c>
      <c r="AW175">
        <v>307</v>
      </c>
      <c r="AX175">
        <v>307</v>
      </c>
      <c r="AY175">
        <v>307</v>
      </c>
      <c r="AZ175">
        <v>307</v>
      </c>
      <c r="BA175">
        <v>308</v>
      </c>
      <c r="BB175">
        <v>310</v>
      </c>
      <c r="BC175">
        <v>310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</row>
    <row r="176" spans="1:63" x14ac:dyDescent="0.25">
      <c r="A176" s="1" t="s">
        <v>241</v>
      </c>
      <c r="B176" s="1" t="s">
        <v>221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1</v>
      </c>
      <c r="P176">
        <v>3</v>
      </c>
      <c r="Q176">
        <v>11</v>
      </c>
      <c r="R176">
        <v>14</v>
      </c>
      <c r="S176">
        <v>20</v>
      </c>
      <c r="T176">
        <v>24</v>
      </c>
      <c r="U176">
        <v>35</v>
      </c>
      <c r="V176">
        <v>39</v>
      </c>
      <c r="W176">
        <v>45</v>
      </c>
      <c r="X176">
        <v>53</v>
      </c>
      <c r="Y176">
        <v>57</v>
      </c>
      <c r="Z176">
        <v>63</v>
      </c>
      <c r="AA176">
        <v>71</v>
      </c>
      <c r="AB176">
        <v>82</v>
      </c>
      <c r="AC176">
        <v>90</v>
      </c>
      <c r="AD176">
        <v>93</v>
      </c>
      <c r="AE176">
        <v>112</v>
      </c>
      <c r="AF176">
        <v>126</v>
      </c>
      <c r="AG176">
        <v>149</v>
      </c>
      <c r="AH176">
        <v>162</v>
      </c>
      <c r="AI176">
        <v>170</v>
      </c>
      <c r="AJ176">
        <v>183</v>
      </c>
      <c r="AK176">
        <v>199</v>
      </c>
      <c r="AL176">
        <v>218</v>
      </c>
      <c r="AM176">
        <v>228</v>
      </c>
      <c r="AN176">
        <v>235</v>
      </c>
      <c r="AO176">
        <v>243</v>
      </c>
      <c r="AP176">
        <v>247</v>
      </c>
      <c r="AQ176">
        <v>255</v>
      </c>
      <c r="AR176">
        <v>260</v>
      </c>
      <c r="AS176">
        <v>270</v>
      </c>
      <c r="AT176">
        <v>277</v>
      </c>
      <c r="AU176">
        <v>284</v>
      </c>
      <c r="AV176">
        <v>295</v>
      </c>
      <c r="AW176">
        <v>295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</row>
    <row r="177" spans="1:63" x14ac:dyDescent="0.25">
      <c r="A177" s="1" t="s">
        <v>242</v>
      </c>
      <c r="B177" s="1" t="s">
        <v>221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2</v>
      </c>
      <c r="J177">
        <v>2</v>
      </c>
      <c r="K177">
        <v>2</v>
      </c>
      <c r="L177">
        <v>2</v>
      </c>
      <c r="M177">
        <v>2</v>
      </c>
      <c r="N177">
        <v>2</v>
      </c>
      <c r="O177">
        <v>7</v>
      </c>
      <c r="P177">
        <v>10</v>
      </c>
      <c r="Q177">
        <v>13</v>
      </c>
      <c r="R177">
        <v>14</v>
      </c>
      <c r="S177">
        <v>17</v>
      </c>
      <c r="T177">
        <v>17</v>
      </c>
      <c r="U177">
        <v>18</v>
      </c>
      <c r="V177">
        <v>24</v>
      </c>
      <c r="W177">
        <v>33</v>
      </c>
      <c r="X177">
        <v>32</v>
      </c>
      <c r="Y177">
        <v>33</v>
      </c>
      <c r="Z177">
        <v>36</v>
      </c>
      <c r="AA177">
        <v>44</v>
      </c>
      <c r="AB177">
        <v>49</v>
      </c>
      <c r="AC177">
        <v>53</v>
      </c>
      <c r="AD177">
        <v>69</v>
      </c>
      <c r="AE177">
        <v>86</v>
      </c>
      <c r="AF177">
        <v>90</v>
      </c>
      <c r="AG177">
        <v>97</v>
      </c>
      <c r="AH177">
        <v>104</v>
      </c>
      <c r="AI177">
        <v>106</v>
      </c>
      <c r="AJ177">
        <v>112</v>
      </c>
      <c r="AK177">
        <v>134</v>
      </c>
      <c r="AL177">
        <v>147</v>
      </c>
      <c r="AM177">
        <v>161</v>
      </c>
      <c r="AN177">
        <v>168</v>
      </c>
      <c r="AO177">
        <v>176</v>
      </c>
      <c r="AP177">
        <v>181</v>
      </c>
      <c r="AQ177">
        <v>192</v>
      </c>
      <c r="AR177">
        <v>202</v>
      </c>
      <c r="AS177">
        <v>210</v>
      </c>
      <c r="AT177">
        <v>214</v>
      </c>
      <c r="AU177">
        <v>217</v>
      </c>
      <c r="AV177">
        <v>218</v>
      </c>
      <c r="AW177">
        <v>223</v>
      </c>
      <c r="AX177">
        <v>230</v>
      </c>
      <c r="AY177">
        <v>234</v>
      </c>
      <c r="AZ177">
        <v>238</v>
      </c>
      <c r="BA177">
        <v>241</v>
      </c>
      <c r="BB177">
        <v>243</v>
      </c>
      <c r="BC177">
        <v>243</v>
      </c>
      <c r="BD177">
        <v>243</v>
      </c>
      <c r="BE177">
        <v>248</v>
      </c>
      <c r="BF177">
        <v>248</v>
      </c>
      <c r="BG177">
        <v>250</v>
      </c>
      <c r="BH177">
        <v>250</v>
      </c>
      <c r="BI177">
        <v>250</v>
      </c>
      <c r="BJ177">
        <v>250</v>
      </c>
      <c r="BK177">
        <v>250</v>
      </c>
    </row>
    <row r="178" spans="1:63" x14ac:dyDescent="0.25">
      <c r="A178" s="1" t="s">
        <v>243</v>
      </c>
      <c r="B178" s="1" t="s">
        <v>221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2</v>
      </c>
      <c r="Q178">
        <v>6</v>
      </c>
      <c r="R178">
        <v>9</v>
      </c>
      <c r="S178">
        <v>17</v>
      </c>
      <c r="T178">
        <v>20</v>
      </c>
      <c r="U178">
        <v>25</v>
      </c>
      <c r="V178">
        <v>30</v>
      </c>
      <c r="W178">
        <v>32</v>
      </c>
      <c r="X178">
        <v>43</v>
      </c>
      <c r="Y178">
        <v>46</v>
      </c>
      <c r="Z178">
        <v>54</v>
      </c>
      <c r="AA178">
        <v>60</v>
      </c>
      <c r="AB178">
        <v>71</v>
      </c>
      <c r="AC178">
        <v>79</v>
      </c>
      <c r="AD178">
        <v>89</v>
      </c>
      <c r="AE178">
        <v>102</v>
      </c>
      <c r="AF178">
        <v>118</v>
      </c>
      <c r="AG178">
        <v>134</v>
      </c>
      <c r="AH178">
        <v>149</v>
      </c>
      <c r="AI178">
        <v>163</v>
      </c>
      <c r="AJ178">
        <v>173</v>
      </c>
      <c r="AK178">
        <v>186</v>
      </c>
      <c r="AL178">
        <v>192</v>
      </c>
      <c r="AM178">
        <v>195</v>
      </c>
      <c r="AN178">
        <v>199</v>
      </c>
      <c r="AO178">
        <v>207</v>
      </c>
      <c r="AP178">
        <v>208</v>
      </c>
      <c r="AQ178">
        <v>216</v>
      </c>
      <c r="AR178">
        <v>216</v>
      </c>
      <c r="AS178">
        <v>223</v>
      </c>
      <c r="AT178">
        <v>224</v>
      </c>
      <c r="AU178">
        <v>226</v>
      </c>
      <c r="AV178">
        <v>226</v>
      </c>
      <c r="AW178">
        <v>227</v>
      </c>
      <c r="AX178">
        <v>227</v>
      </c>
      <c r="AY178">
        <v>227</v>
      </c>
      <c r="AZ178">
        <v>232</v>
      </c>
      <c r="BA178">
        <v>232</v>
      </c>
      <c r="BB178">
        <v>232</v>
      </c>
      <c r="BC178">
        <v>232</v>
      </c>
      <c r="BD178">
        <v>232</v>
      </c>
      <c r="BE178">
        <v>233</v>
      </c>
      <c r="BF178">
        <v>236</v>
      </c>
      <c r="BG178">
        <v>237</v>
      </c>
      <c r="BH178">
        <v>237</v>
      </c>
      <c r="BI178">
        <v>237</v>
      </c>
      <c r="BJ178">
        <v>239</v>
      </c>
      <c r="BK178">
        <v>239</v>
      </c>
    </row>
    <row r="179" spans="1:63" x14ac:dyDescent="0.25">
      <c r="A179" s="1" t="s">
        <v>244</v>
      </c>
      <c r="B179" s="1" t="s">
        <v>221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1</v>
      </c>
      <c r="M179">
        <v>2</v>
      </c>
      <c r="N179">
        <v>3</v>
      </c>
      <c r="O179">
        <v>5</v>
      </c>
      <c r="P179">
        <v>5</v>
      </c>
      <c r="Q179">
        <v>5</v>
      </c>
      <c r="R179">
        <v>7</v>
      </c>
      <c r="S179">
        <v>12</v>
      </c>
      <c r="T179">
        <v>17</v>
      </c>
      <c r="U179">
        <v>18</v>
      </c>
      <c r="V179">
        <v>19</v>
      </c>
      <c r="W179">
        <v>20</v>
      </c>
      <c r="X179">
        <v>26</v>
      </c>
      <c r="Y179">
        <v>27</v>
      </c>
      <c r="Z179">
        <v>36</v>
      </c>
      <c r="AA179">
        <v>42</v>
      </c>
      <c r="AB179">
        <v>42</v>
      </c>
      <c r="AC179">
        <v>47</v>
      </c>
      <c r="AD179">
        <v>57</v>
      </c>
      <c r="AE179">
        <v>60</v>
      </c>
      <c r="AF179">
        <v>79</v>
      </c>
      <c r="AG179">
        <v>96</v>
      </c>
      <c r="AH179">
        <v>107</v>
      </c>
      <c r="AI179">
        <v>115</v>
      </c>
      <c r="AJ179">
        <v>124</v>
      </c>
      <c r="AK179">
        <v>129</v>
      </c>
      <c r="AL179">
        <v>144</v>
      </c>
      <c r="AM179">
        <v>150</v>
      </c>
      <c r="AN179">
        <v>156</v>
      </c>
      <c r="AO179">
        <v>157</v>
      </c>
      <c r="AP179">
        <v>163</v>
      </c>
      <c r="AQ179">
        <v>168</v>
      </c>
      <c r="AR179">
        <v>169</v>
      </c>
      <c r="AS179">
        <v>169</v>
      </c>
      <c r="AT179">
        <v>169</v>
      </c>
      <c r="AU179">
        <v>170</v>
      </c>
      <c r="AV179">
        <v>170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172</v>
      </c>
      <c r="BD179">
        <v>172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</row>
    <row r="180" spans="1:63" x14ac:dyDescent="0.25">
      <c r="A180" s="1" t="s">
        <v>245</v>
      </c>
      <c r="B180" s="1" t="s">
        <v>221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1</v>
      </c>
      <c r="L180">
        <v>1</v>
      </c>
      <c r="M180">
        <v>1</v>
      </c>
      <c r="N180">
        <v>4</v>
      </c>
      <c r="O180">
        <v>4</v>
      </c>
      <c r="P180">
        <v>5</v>
      </c>
      <c r="Q180">
        <v>5</v>
      </c>
      <c r="R180">
        <v>8</v>
      </c>
      <c r="S180">
        <v>10</v>
      </c>
      <c r="T180">
        <v>14</v>
      </c>
      <c r="U180">
        <v>19</v>
      </c>
      <c r="V180">
        <v>19</v>
      </c>
      <c r="W180">
        <v>20</v>
      </c>
      <c r="X180">
        <v>27</v>
      </c>
      <c r="Y180">
        <v>30</v>
      </c>
      <c r="Z180">
        <v>43</v>
      </c>
      <c r="AA180">
        <v>39</v>
      </c>
      <c r="AB180">
        <v>52</v>
      </c>
      <c r="AC180">
        <v>59</v>
      </c>
      <c r="AD180">
        <v>79</v>
      </c>
      <c r="AE180">
        <v>84</v>
      </c>
      <c r="AF180">
        <v>86</v>
      </c>
      <c r="AG180">
        <v>95</v>
      </c>
      <c r="AH180">
        <v>104</v>
      </c>
      <c r="AI180">
        <v>106</v>
      </c>
      <c r="AJ180">
        <v>116</v>
      </c>
      <c r="AK180">
        <v>124</v>
      </c>
      <c r="AL180">
        <v>129</v>
      </c>
      <c r="AM180">
        <v>131</v>
      </c>
      <c r="AN180">
        <v>133</v>
      </c>
      <c r="AO180">
        <v>148</v>
      </c>
      <c r="AP180">
        <v>149</v>
      </c>
      <c r="AQ180">
        <v>151</v>
      </c>
      <c r="AR180">
        <v>155</v>
      </c>
      <c r="AS180">
        <v>158</v>
      </c>
      <c r="AT180">
        <v>158</v>
      </c>
      <c r="AU180">
        <v>158</v>
      </c>
      <c r="AV180">
        <v>158</v>
      </c>
      <c r="AW180">
        <v>159</v>
      </c>
      <c r="AX180">
        <v>159</v>
      </c>
      <c r="AY180">
        <v>159</v>
      </c>
      <c r="AZ180">
        <v>159</v>
      </c>
      <c r="BA180">
        <v>160</v>
      </c>
      <c r="BB180">
        <v>160</v>
      </c>
      <c r="BC180">
        <v>160</v>
      </c>
      <c r="BD180">
        <v>160</v>
      </c>
      <c r="BE180">
        <v>161</v>
      </c>
      <c r="BF180">
        <v>161</v>
      </c>
      <c r="BG180">
        <v>161</v>
      </c>
      <c r="BH180">
        <v>161</v>
      </c>
      <c r="BI180">
        <v>161</v>
      </c>
      <c r="BJ180">
        <v>161</v>
      </c>
      <c r="BK180">
        <v>161</v>
      </c>
    </row>
    <row r="181" spans="1:63" x14ac:dyDescent="0.25">
      <c r="A181" s="1" t="s">
        <v>246</v>
      </c>
      <c r="B181" s="1" t="s">
        <v>221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1</v>
      </c>
      <c r="K181">
        <v>1</v>
      </c>
      <c r="L181">
        <v>2</v>
      </c>
      <c r="M181">
        <v>2</v>
      </c>
      <c r="N181">
        <v>2</v>
      </c>
      <c r="O181">
        <v>2</v>
      </c>
      <c r="P181">
        <v>2</v>
      </c>
      <c r="Q181">
        <v>9</v>
      </c>
      <c r="R181">
        <v>6</v>
      </c>
      <c r="S181">
        <v>6</v>
      </c>
      <c r="T181">
        <v>7</v>
      </c>
      <c r="U181">
        <v>7</v>
      </c>
      <c r="V181">
        <v>10</v>
      </c>
      <c r="W181">
        <v>17</v>
      </c>
      <c r="X181">
        <v>18</v>
      </c>
      <c r="Y181">
        <v>27</v>
      </c>
      <c r="Z181">
        <v>28</v>
      </c>
      <c r="AA181">
        <v>41</v>
      </c>
      <c r="AB181">
        <v>46</v>
      </c>
      <c r="AC181">
        <v>57</v>
      </c>
      <c r="AD181">
        <v>66</v>
      </c>
      <c r="AE181">
        <v>70</v>
      </c>
      <c r="AF181">
        <v>72</v>
      </c>
      <c r="AG181">
        <v>77</v>
      </c>
      <c r="AH181">
        <v>90</v>
      </c>
      <c r="AI181">
        <v>102</v>
      </c>
      <c r="AJ181">
        <v>102</v>
      </c>
      <c r="AK181">
        <v>104</v>
      </c>
      <c r="AL181">
        <v>104</v>
      </c>
      <c r="AM181">
        <v>112</v>
      </c>
      <c r="AN181">
        <v>112</v>
      </c>
      <c r="AO181">
        <v>112</v>
      </c>
      <c r="AP181">
        <v>112</v>
      </c>
      <c r="AQ181">
        <v>114</v>
      </c>
      <c r="AR181">
        <v>114</v>
      </c>
      <c r="AS181">
        <v>114</v>
      </c>
      <c r="AT181">
        <v>114</v>
      </c>
      <c r="AU181">
        <v>114</v>
      </c>
      <c r="AV181">
        <v>115</v>
      </c>
      <c r="AW181">
        <v>117</v>
      </c>
      <c r="AX181">
        <v>123</v>
      </c>
      <c r="AY181">
        <v>129</v>
      </c>
      <c r="AZ181">
        <v>133</v>
      </c>
      <c r="BA181">
        <v>137</v>
      </c>
      <c r="BB181">
        <v>140</v>
      </c>
      <c r="BC181">
        <v>143</v>
      </c>
      <c r="BD181">
        <v>143</v>
      </c>
      <c r="BE181">
        <v>144</v>
      </c>
      <c r="BF181">
        <v>144</v>
      </c>
      <c r="BG181">
        <v>144</v>
      </c>
      <c r="BH181">
        <v>144</v>
      </c>
      <c r="BI181">
        <v>144</v>
      </c>
      <c r="BJ181">
        <v>144</v>
      </c>
      <c r="BK181">
        <v>144</v>
      </c>
    </row>
    <row r="182" spans="1:63" x14ac:dyDescent="0.25">
      <c r="A182" s="1" t="s">
        <v>247</v>
      </c>
      <c r="B182" s="1" t="s">
        <v>221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1</v>
      </c>
      <c r="O182">
        <v>1</v>
      </c>
      <c r="P182">
        <v>2</v>
      </c>
      <c r="Q182">
        <v>2</v>
      </c>
      <c r="R182">
        <v>2</v>
      </c>
      <c r="S182">
        <v>2</v>
      </c>
      <c r="T182">
        <v>4</v>
      </c>
      <c r="U182">
        <v>4</v>
      </c>
      <c r="V182">
        <v>8</v>
      </c>
      <c r="W182">
        <v>10</v>
      </c>
      <c r="X182">
        <v>11</v>
      </c>
      <c r="Y182">
        <v>21</v>
      </c>
      <c r="Z182">
        <v>31</v>
      </c>
      <c r="AA182">
        <v>37</v>
      </c>
      <c r="AB182">
        <v>45</v>
      </c>
      <c r="AC182">
        <v>46</v>
      </c>
      <c r="AD182">
        <v>48</v>
      </c>
      <c r="AE182">
        <v>54</v>
      </c>
      <c r="AF182">
        <v>59</v>
      </c>
      <c r="AG182">
        <v>62</v>
      </c>
      <c r="AH182">
        <v>65</v>
      </c>
      <c r="AI182">
        <v>81</v>
      </c>
      <c r="AJ182">
        <v>87</v>
      </c>
      <c r="AK182">
        <v>91</v>
      </c>
      <c r="AL182">
        <v>96</v>
      </c>
      <c r="AM182">
        <v>102</v>
      </c>
      <c r="AN182">
        <v>102</v>
      </c>
      <c r="AO182">
        <v>109</v>
      </c>
      <c r="AP182">
        <v>111</v>
      </c>
      <c r="AQ182">
        <v>111</v>
      </c>
      <c r="AR182">
        <v>124</v>
      </c>
      <c r="AS182">
        <v>124</v>
      </c>
      <c r="AT182">
        <v>128</v>
      </c>
      <c r="AU182">
        <v>128</v>
      </c>
      <c r="AV182">
        <v>128</v>
      </c>
      <c r="AW182">
        <v>128</v>
      </c>
      <c r="AX182">
        <v>130</v>
      </c>
      <c r="AY182">
        <v>131</v>
      </c>
      <c r="AZ182">
        <v>131</v>
      </c>
      <c r="BA182">
        <v>132</v>
      </c>
      <c r="BB182">
        <v>132</v>
      </c>
      <c r="BC182">
        <v>132</v>
      </c>
      <c r="BD182">
        <v>133</v>
      </c>
      <c r="BE182">
        <v>133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</row>
    <row r="183" spans="1:63" x14ac:dyDescent="0.25">
      <c r="A183" s="1" t="s">
        <v>248</v>
      </c>
      <c r="B183" s="1" t="s">
        <v>221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1</v>
      </c>
      <c r="K183">
        <v>1</v>
      </c>
      <c r="L183">
        <v>1</v>
      </c>
      <c r="M183">
        <v>1</v>
      </c>
      <c r="N183">
        <v>3</v>
      </c>
      <c r="O183">
        <v>2</v>
      </c>
      <c r="P183">
        <v>4</v>
      </c>
      <c r="Q183">
        <v>5</v>
      </c>
      <c r="R183">
        <v>12</v>
      </c>
      <c r="S183">
        <v>15</v>
      </c>
      <c r="T183">
        <v>21</v>
      </c>
      <c r="U183">
        <v>25</v>
      </c>
      <c r="V183">
        <v>25</v>
      </c>
      <c r="W183">
        <v>30</v>
      </c>
      <c r="X183">
        <v>33</v>
      </c>
      <c r="Y183">
        <v>36</v>
      </c>
      <c r="Z183">
        <v>38</v>
      </c>
      <c r="AA183">
        <v>46</v>
      </c>
      <c r="AB183">
        <v>50</v>
      </c>
      <c r="AC183">
        <v>53</v>
      </c>
      <c r="AD183">
        <v>61</v>
      </c>
      <c r="AE183">
        <v>68</v>
      </c>
      <c r="AF183">
        <v>76</v>
      </c>
      <c r="AG183">
        <v>78</v>
      </c>
      <c r="AH183">
        <v>81</v>
      </c>
      <c r="AI183">
        <v>88</v>
      </c>
      <c r="AJ183">
        <v>94</v>
      </c>
      <c r="AK183">
        <v>98</v>
      </c>
      <c r="AL183">
        <v>104</v>
      </c>
      <c r="AM183">
        <v>107</v>
      </c>
      <c r="AN183">
        <v>112</v>
      </c>
      <c r="AO183">
        <v>114</v>
      </c>
      <c r="AP183">
        <v>116</v>
      </c>
      <c r="AQ183">
        <v>119</v>
      </c>
      <c r="AR183">
        <v>124</v>
      </c>
      <c r="AS183">
        <v>124</v>
      </c>
      <c r="AT183">
        <v>126</v>
      </c>
      <c r="AU183">
        <v>126</v>
      </c>
      <c r="AV183">
        <v>126</v>
      </c>
      <c r="AW183">
        <v>126</v>
      </c>
      <c r="AX183">
        <v>127</v>
      </c>
      <c r="AY183">
        <v>131</v>
      </c>
      <c r="AZ183">
        <v>131</v>
      </c>
      <c r="BA183">
        <v>132</v>
      </c>
      <c r="BB183">
        <v>133</v>
      </c>
      <c r="BC183">
        <v>133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</row>
    <row r="184" spans="1:63" x14ac:dyDescent="0.25">
      <c r="A184" s="1" t="s">
        <v>249</v>
      </c>
      <c r="B184" s="1" t="s">
        <v>221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3</v>
      </c>
      <c r="O184">
        <v>3</v>
      </c>
      <c r="P184">
        <v>4</v>
      </c>
      <c r="Q184">
        <v>6</v>
      </c>
      <c r="R184">
        <v>6</v>
      </c>
      <c r="S184">
        <v>9</v>
      </c>
      <c r="T184">
        <v>12</v>
      </c>
      <c r="U184">
        <v>16</v>
      </c>
      <c r="V184">
        <v>17</v>
      </c>
      <c r="W184">
        <v>24</v>
      </c>
      <c r="X184">
        <v>31</v>
      </c>
      <c r="Y184">
        <v>39</v>
      </c>
      <c r="Z184">
        <v>39</v>
      </c>
      <c r="AA184">
        <v>49</v>
      </c>
      <c r="AB184">
        <v>54</v>
      </c>
      <c r="AC184">
        <v>58</v>
      </c>
      <c r="AD184">
        <v>62</v>
      </c>
      <c r="AE184">
        <v>65</v>
      </c>
      <c r="AF184">
        <v>71</v>
      </c>
      <c r="AG184">
        <v>76</v>
      </c>
      <c r="AH184">
        <v>76</v>
      </c>
      <c r="AI184">
        <v>78</v>
      </c>
      <c r="AJ184">
        <v>80</v>
      </c>
      <c r="AK184">
        <v>80</v>
      </c>
      <c r="AL184">
        <v>81</v>
      </c>
      <c r="AM184">
        <v>81</v>
      </c>
      <c r="AN184">
        <v>82</v>
      </c>
      <c r="AO184">
        <v>82</v>
      </c>
      <c r="AP184">
        <v>84</v>
      </c>
      <c r="AQ184">
        <v>85</v>
      </c>
      <c r="AR184">
        <v>86</v>
      </c>
      <c r="AS184">
        <v>87</v>
      </c>
      <c r="AT184">
        <v>87</v>
      </c>
      <c r="AU184">
        <v>87</v>
      </c>
      <c r="AV184">
        <v>87</v>
      </c>
      <c r="AW184">
        <v>87</v>
      </c>
      <c r="AX184">
        <v>88</v>
      </c>
      <c r="AY184">
        <v>88</v>
      </c>
      <c r="AZ184">
        <v>88</v>
      </c>
      <c r="BA184">
        <v>88</v>
      </c>
      <c r="BB184">
        <v>88</v>
      </c>
      <c r="BC184">
        <v>89</v>
      </c>
      <c r="BD184">
        <v>91</v>
      </c>
      <c r="BE184">
        <v>91</v>
      </c>
      <c r="BF184">
        <v>91</v>
      </c>
      <c r="BG184">
        <v>91</v>
      </c>
      <c r="BH184">
        <v>91</v>
      </c>
      <c r="BI184">
        <v>98</v>
      </c>
      <c r="BJ184">
        <v>113</v>
      </c>
      <c r="BK184">
        <v>114</v>
      </c>
    </row>
    <row r="185" spans="1:63" x14ac:dyDescent="0.25">
      <c r="A185" s="1" t="s">
        <v>250</v>
      </c>
      <c r="B185" s="1" t="s">
        <v>221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1</v>
      </c>
      <c r="Y185">
        <v>1</v>
      </c>
      <c r="Z185">
        <v>1</v>
      </c>
      <c r="AA185">
        <v>1</v>
      </c>
      <c r="AB185">
        <v>2</v>
      </c>
      <c r="AC185">
        <v>2</v>
      </c>
      <c r="AD185">
        <v>2</v>
      </c>
      <c r="AE185">
        <v>5</v>
      </c>
      <c r="AF185">
        <v>6</v>
      </c>
      <c r="AG185">
        <v>5</v>
      </c>
      <c r="AH185">
        <v>6</v>
      </c>
      <c r="AI185">
        <v>11</v>
      </c>
      <c r="AJ185">
        <v>19</v>
      </c>
      <c r="AK185">
        <v>19</v>
      </c>
      <c r="AL185">
        <v>24</v>
      </c>
      <c r="AM185">
        <v>24</v>
      </c>
      <c r="AN185">
        <v>30</v>
      </c>
      <c r="AO185">
        <v>33</v>
      </c>
      <c r="AP185">
        <v>36</v>
      </c>
      <c r="AQ185">
        <v>36</v>
      </c>
      <c r="AR185">
        <v>37</v>
      </c>
      <c r="AS185">
        <v>37</v>
      </c>
      <c r="AT185">
        <v>43</v>
      </c>
      <c r="AU185">
        <v>46</v>
      </c>
      <c r="AV185">
        <v>51</v>
      </c>
      <c r="AW185">
        <v>58</v>
      </c>
      <c r="AX185">
        <v>59</v>
      </c>
      <c r="AY185">
        <v>65</v>
      </c>
      <c r="AZ185">
        <v>65</v>
      </c>
      <c r="BA185">
        <v>67</v>
      </c>
      <c r="BB185">
        <v>77</v>
      </c>
      <c r="BC185">
        <v>78</v>
      </c>
      <c r="BD185">
        <v>81</v>
      </c>
      <c r="BE185">
        <v>84</v>
      </c>
      <c r="BF185">
        <v>88</v>
      </c>
      <c r="BG185">
        <v>92</v>
      </c>
      <c r="BH185">
        <v>95</v>
      </c>
      <c r="BI185">
        <v>98</v>
      </c>
      <c r="BJ185">
        <v>98</v>
      </c>
      <c r="BK185">
        <v>100</v>
      </c>
    </row>
    <row r="186" spans="1:63" x14ac:dyDescent="0.25">
      <c r="A186" s="1" t="s">
        <v>251</v>
      </c>
      <c r="B186" s="1" t="s">
        <v>221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1</v>
      </c>
      <c r="K186">
        <v>1</v>
      </c>
      <c r="L186">
        <v>1</v>
      </c>
      <c r="M186">
        <v>1</v>
      </c>
      <c r="N186">
        <v>1</v>
      </c>
      <c r="O186">
        <v>1</v>
      </c>
      <c r="P186">
        <v>2</v>
      </c>
      <c r="Q186">
        <v>4</v>
      </c>
      <c r="R186">
        <v>5</v>
      </c>
      <c r="S186">
        <v>7</v>
      </c>
      <c r="T186">
        <v>8</v>
      </c>
      <c r="U186">
        <v>12</v>
      </c>
      <c r="V186">
        <v>13</v>
      </c>
      <c r="W186">
        <v>19</v>
      </c>
      <c r="X186">
        <v>20</v>
      </c>
      <c r="Y186">
        <v>22</v>
      </c>
      <c r="Z186">
        <v>29</v>
      </c>
      <c r="AA186">
        <v>31</v>
      </c>
      <c r="AB186">
        <v>40</v>
      </c>
      <c r="AC186">
        <v>43</v>
      </c>
      <c r="AD186">
        <v>53</v>
      </c>
      <c r="AE186">
        <v>55</v>
      </c>
      <c r="AF186">
        <v>59</v>
      </c>
      <c r="AG186">
        <v>61</v>
      </c>
      <c r="AH186">
        <v>66</v>
      </c>
      <c r="AI186">
        <v>73</v>
      </c>
      <c r="AJ186">
        <v>80</v>
      </c>
      <c r="AK186">
        <v>83</v>
      </c>
      <c r="AL186">
        <v>88</v>
      </c>
      <c r="AM186">
        <v>93</v>
      </c>
      <c r="AN186">
        <v>93</v>
      </c>
      <c r="AO186">
        <v>96</v>
      </c>
      <c r="AP186">
        <v>103</v>
      </c>
      <c r="AQ186">
        <v>103</v>
      </c>
      <c r="AR186">
        <v>106</v>
      </c>
      <c r="AS186">
        <v>106</v>
      </c>
      <c r="AT186">
        <v>106</v>
      </c>
      <c r="AU186">
        <v>106</v>
      </c>
      <c r="AV186">
        <v>107</v>
      </c>
      <c r="AW186">
        <v>109</v>
      </c>
      <c r="AX186">
        <v>109</v>
      </c>
      <c r="AY186">
        <v>111</v>
      </c>
      <c r="AZ186">
        <v>111</v>
      </c>
      <c r="BA186">
        <v>112</v>
      </c>
      <c r="BB186">
        <v>112</v>
      </c>
      <c r="BC186">
        <v>113</v>
      </c>
      <c r="BD186">
        <v>114</v>
      </c>
      <c r="BE186">
        <v>115</v>
      </c>
      <c r="BF186">
        <v>120</v>
      </c>
      <c r="BG186">
        <v>122</v>
      </c>
      <c r="BH186">
        <v>122</v>
      </c>
      <c r="BI186">
        <v>122</v>
      </c>
      <c r="BJ186">
        <v>122</v>
      </c>
      <c r="BK186">
        <v>124</v>
      </c>
    </row>
    <row r="187" spans="1:63" x14ac:dyDescent="0.25">
      <c r="A187" s="1" t="s">
        <v>252</v>
      </c>
      <c r="B187" s="1" t="s">
        <v>221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1</v>
      </c>
      <c r="L187">
        <v>1</v>
      </c>
      <c r="M187">
        <v>1</v>
      </c>
      <c r="N187">
        <v>1</v>
      </c>
      <c r="O187">
        <v>1</v>
      </c>
      <c r="P187">
        <v>1</v>
      </c>
      <c r="Q187">
        <v>2</v>
      </c>
      <c r="R187">
        <v>4</v>
      </c>
      <c r="S187">
        <v>4</v>
      </c>
      <c r="T187">
        <v>4</v>
      </c>
      <c r="U187">
        <v>12</v>
      </c>
      <c r="V187">
        <v>13</v>
      </c>
      <c r="W187">
        <v>18</v>
      </c>
      <c r="X187">
        <v>22</v>
      </c>
      <c r="Y187">
        <v>24</v>
      </c>
      <c r="Z187">
        <v>25</v>
      </c>
      <c r="AA187">
        <v>26</v>
      </c>
      <c r="AB187">
        <v>30</v>
      </c>
      <c r="AC187">
        <v>34</v>
      </c>
      <c r="AD187">
        <v>36</v>
      </c>
      <c r="AE187">
        <v>37</v>
      </c>
      <c r="AF187">
        <v>43</v>
      </c>
      <c r="AG187">
        <v>45</v>
      </c>
      <c r="AH187">
        <v>52</v>
      </c>
      <c r="AI187">
        <v>54</v>
      </c>
      <c r="AJ187">
        <v>60</v>
      </c>
      <c r="AK187">
        <v>63</v>
      </c>
      <c r="AL187">
        <v>65</v>
      </c>
      <c r="AM187">
        <v>67</v>
      </c>
      <c r="AN187">
        <v>73</v>
      </c>
      <c r="AO187">
        <v>75</v>
      </c>
      <c r="AP187">
        <v>78</v>
      </c>
      <c r="AQ187">
        <v>83</v>
      </c>
      <c r="AR187">
        <v>83</v>
      </c>
      <c r="AS187">
        <v>86</v>
      </c>
      <c r="AT187">
        <v>88</v>
      </c>
      <c r="AU187">
        <v>90</v>
      </c>
      <c r="AV187">
        <v>90</v>
      </c>
      <c r="AW187">
        <v>90</v>
      </c>
      <c r="AX187">
        <v>91</v>
      </c>
      <c r="AY187">
        <v>91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92</v>
      </c>
      <c r="BF187">
        <v>92</v>
      </c>
      <c r="BG187">
        <v>92</v>
      </c>
      <c r="BH187">
        <v>92</v>
      </c>
      <c r="BI187">
        <v>92</v>
      </c>
      <c r="BJ187">
        <v>92</v>
      </c>
      <c r="BK187">
        <v>92</v>
      </c>
    </row>
    <row r="188" spans="1:63" x14ac:dyDescent="0.25">
      <c r="A188" s="1" t="s">
        <v>64</v>
      </c>
      <c r="B188" s="1" t="s">
        <v>253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3</v>
      </c>
      <c r="BF188">
        <v>3</v>
      </c>
      <c r="BG188">
        <v>3</v>
      </c>
      <c r="BH188">
        <v>3</v>
      </c>
      <c r="BI188">
        <v>4</v>
      </c>
      <c r="BJ188">
        <v>6</v>
      </c>
      <c r="BK188">
        <v>6</v>
      </c>
    </row>
    <row r="189" spans="1:63" x14ac:dyDescent="0.25">
      <c r="A189" s="1" t="s">
        <v>254</v>
      </c>
      <c r="B189" s="1" t="s">
        <v>221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3</v>
      </c>
      <c r="X189">
        <v>3</v>
      </c>
      <c r="Y189">
        <v>6</v>
      </c>
      <c r="Z189">
        <v>6</v>
      </c>
      <c r="AA189">
        <v>10</v>
      </c>
      <c r="AB189">
        <v>12</v>
      </c>
      <c r="AC189">
        <v>12</v>
      </c>
      <c r="AD189">
        <v>12</v>
      </c>
      <c r="AE189">
        <v>20</v>
      </c>
      <c r="AF189">
        <v>22</v>
      </c>
      <c r="AG189">
        <v>24</v>
      </c>
      <c r="AH189">
        <v>25</v>
      </c>
      <c r="AI189">
        <v>28</v>
      </c>
      <c r="AJ189">
        <v>30</v>
      </c>
      <c r="AK189">
        <v>30</v>
      </c>
      <c r="AL189">
        <v>34</v>
      </c>
      <c r="AM189">
        <v>43</v>
      </c>
      <c r="AN189">
        <v>52</v>
      </c>
      <c r="AO189">
        <v>62</v>
      </c>
      <c r="AP189">
        <v>64</v>
      </c>
      <c r="AQ189">
        <v>66</v>
      </c>
      <c r="AR189">
        <v>68</v>
      </c>
      <c r="AS189">
        <v>69</v>
      </c>
      <c r="AT189">
        <v>70</v>
      </c>
      <c r="AU189">
        <v>71</v>
      </c>
      <c r="AV189">
        <v>72</v>
      </c>
      <c r="AW189">
        <v>73</v>
      </c>
      <c r="AX189">
        <v>73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</row>
    <row r="190" spans="1:63" x14ac:dyDescent="0.25">
      <c r="A190" s="1" t="s">
        <v>255</v>
      </c>
      <c r="B190" s="1" t="s">
        <v>221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1</v>
      </c>
      <c r="M190">
        <v>1</v>
      </c>
      <c r="N190">
        <v>1</v>
      </c>
      <c r="O190">
        <v>1</v>
      </c>
      <c r="P190">
        <v>1</v>
      </c>
      <c r="Q190">
        <v>3</v>
      </c>
      <c r="R190">
        <v>4</v>
      </c>
      <c r="S190">
        <v>5</v>
      </c>
      <c r="T190">
        <v>5</v>
      </c>
      <c r="U190">
        <v>5</v>
      </c>
      <c r="V190">
        <v>5</v>
      </c>
      <c r="W190">
        <v>5</v>
      </c>
      <c r="X190">
        <v>6</v>
      </c>
      <c r="Y190">
        <v>6</v>
      </c>
      <c r="Z190">
        <v>6</v>
      </c>
      <c r="AA190">
        <v>7</v>
      </c>
      <c r="AB190">
        <v>8</v>
      </c>
      <c r="AC190">
        <v>8</v>
      </c>
      <c r="AD190">
        <v>8</v>
      </c>
      <c r="AE190">
        <v>10</v>
      </c>
      <c r="AF190">
        <v>16</v>
      </c>
      <c r="AG190">
        <v>17</v>
      </c>
      <c r="AH190">
        <v>26</v>
      </c>
      <c r="AI190">
        <v>27</v>
      </c>
      <c r="AJ190">
        <v>34</v>
      </c>
      <c r="AK190">
        <v>35</v>
      </c>
      <c r="AL190">
        <v>38</v>
      </c>
      <c r="AM190">
        <v>43</v>
      </c>
      <c r="AN190">
        <v>45</v>
      </c>
      <c r="AO190">
        <v>49</v>
      </c>
      <c r="AP190">
        <v>52</v>
      </c>
      <c r="AQ190">
        <v>54</v>
      </c>
      <c r="AR190">
        <v>59</v>
      </c>
      <c r="AS190">
        <v>63</v>
      </c>
      <c r="AT190">
        <v>65</v>
      </c>
      <c r="AU190">
        <v>65</v>
      </c>
      <c r="AV190">
        <v>67</v>
      </c>
      <c r="AW190">
        <v>70</v>
      </c>
      <c r="AX190">
        <v>70</v>
      </c>
      <c r="AY190">
        <v>70</v>
      </c>
      <c r="AZ190">
        <v>71</v>
      </c>
      <c r="BA190">
        <v>71</v>
      </c>
      <c r="BB190">
        <v>71</v>
      </c>
      <c r="BC190">
        <v>71</v>
      </c>
      <c r="BD190">
        <v>71</v>
      </c>
      <c r="BE190">
        <v>73</v>
      </c>
      <c r="BF190">
        <v>73</v>
      </c>
      <c r="BG190">
        <v>73</v>
      </c>
      <c r="BH190">
        <v>74</v>
      </c>
      <c r="BI190">
        <v>74</v>
      </c>
      <c r="BJ190">
        <v>74</v>
      </c>
      <c r="BK190">
        <v>74</v>
      </c>
    </row>
    <row r="191" spans="1:63" x14ac:dyDescent="0.25">
      <c r="A191" s="1" t="s">
        <v>256</v>
      </c>
      <c r="B191" s="1" t="s">
        <v>221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1</v>
      </c>
      <c r="P191">
        <v>1</v>
      </c>
      <c r="Q191">
        <v>1</v>
      </c>
      <c r="R191">
        <v>1</v>
      </c>
      <c r="S191">
        <v>5</v>
      </c>
      <c r="T191">
        <v>15</v>
      </c>
      <c r="U191">
        <v>13</v>
      </c>
      <c r="V191">
        <v>13</v>
      </c>
      <c r="W191">
        <v>22</v>
      </c>
      <c r="X191">
        <v>24</v>
      </c>
      <c r="Y191">
        <v>24</v>
      </c>
      <c r="Z191">
        <v>24</v>
      </c>
      <c r="AA191">
        <v>33</v>
      </c>
      <c r="AB191">
        <v>33</v>
      </c>
      <c r="AC191">
        <v>35</v>
      </c>
      <c r="AD191">
        <v>42</v>
      </c>
      <c r="AE191">
        <v>42</v>
      </c>
      <c r="AF191">
        <v>44</v>
      </c>
      <c r="AG191">
        <v>48</v>
      </c>
      <c r="AH191">
        <v>48</v>
      </c>
      <c r="AI191">
        <v>56</v>
      </c>
      <c r="AJ191">
        <v>58</v>
      </c>
      <c r="AK191">
        <v>61</v>
      </c>
      <c r="AL191">
        <v>65</v>
      </c>
      <c r="AM191">
        <v>68</v>
      </c>
      <c r="AN191">
        <v>68</v>
      </c>
      <c r="AO191">
        <v>69</v>
      </c>
      <c r="AP191">
        <v>69</v>
      </c>
      <c r="AQ191">
        <v>69</v>
      </c>
      <c r="AR191">
        <v>69</v>
      </c>
      <c r="AS191">
        <v>69</v>
      </c>
      <c r="AT191">
        <v>69</v>
      </c>
      <c r="AU191">
        <v>71</v>
      </c>
      <c r="AV191">
        <v>71</v>
      </c>
      <c r="AW191">
        <v>71</v>
      </c>
      <c r="AX191">
        <v>71</v>
      </c>
      <c r="AY191">
        <v>71</v>
      </c>
      <c r="AZ191">
        <v>72</v>
      </c>
      <c r="BA191">
        <v>72</v>
      </c>
      <c r="BB191">
        <v>72</v>
      </c>
      <c r="BC191">
        <v>73</v>
      </c>
      <c r="BD191">
        <v>73</v>
      </c>
      <c r="BE191">
        <v>75</v>
      </c>
      <c r="BF191">
        <v>75</v>
      </c>
      <c r="BG191">
        <v>75</v>
      </c>
      <c r="BH191">
        <v>75</v>
      </c>
      <c r="BI191">
        <v>75</v>
      </c>
      <c r="BJ191">
        <v>75</v>
      </c>
      <c r="BK191">
        <v>75</v>
      </c>
    </row>
    <row r="192" spans="1:63" x14ac:dyDescent="0.25">
      <c r="A192" s="1" t="s">
        <v>64</v>
      </c>
      <c r="B192" s="1" t="s">
        <v>257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1</v>
      </c>
      <c r="S192">
        <v>1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2</v>
      </c>
      <c r="AA192">
        <v>2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5</v>
      </c>
      <c r="AK192">
        <v>5</v>
      </c>
      <c r="AL192">
        <v>5</v>
      </c>
      <c r="AM192">
        <v>5</v>
      </c>
      <c r="AN192">
        <v>6</v>
      </c>
      <c r="AO192">
        <v>9</v>
      </c>
      <c r="AP192">
        <v>9</v>
      </c>
      <c r="AQ192">
        <v>12</v>
      </c>
      <c r="AR192">
        <v>12</v>
      </c>
      <c r="AS192">
        <v>12</v>
      </c>
      <c r="AT192">
        <v>12</v>
      </c>
      <c r="AU192">
        <v>12</v>
      </c>
      <c r="AV192">
        <v>12</v>
      </c>
      <c r="AW192">
        <v>13</v>
      </c>
      <c r="AX192">
        <v>15</v>
      </c>
      <c r="AY192">
        <v>17</v>
      </c>
      <c r="AZ192">
        <v>17</v>
      </c>
      <c r="BA192">
        <v>20</v>
      </c>
      <c r="BB192">
        <v>20</v>
      </c>
      <c r="BC192">
        <v>20</v>
      </c>
      <c r="BD192">
        <v>20</v>
      </c>
      <c r="BE192">
        <v>20</v>
      </c>
      <c r="BF192">
        <v>22</v>
      </c>
      <c r="BG192">
        <v>22</v>
      </c>
      <c r="BH192">
        <v>26</v>
      </c>
      <c r="BI192">
        <v>26</v>
      </c>
      <c r="BJ192">
        <v>28</v>
      </c>
      <c r="BK192">
        <v>28</v>
      </c>
    </row>
    <row r="193" spans="1:63" x14ac:dyDescent="0.25">
      <c r="A193" s="1" t="s">
        <v>64</v>
      </c>
      <c r="B193" s="1" t="s">
        <v>258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1</v>
      </c>
      <c r="N193">
        <v>1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6</v>
      </c>
      <c r="X193">
        <v>6</v>
      </c>
      <c r="Y193">
        <v>7</v>
      </c>
      <c r="Z193">
        <v>7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14</v>
      </c>
      <c r="AH193">
        <v>14</v>
      </c>
      <c r="AI193">
        <v>14</v>
      </c>
      <c r="AJ193">
        <v>14</v>
      </c>
      <c r="AK193">
        <v>16</v>
      </c>
      <c r="AL193">
        <v>16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17</v>
      </c>
      <c r="BK193">
        <v>17</v>
      </c>
    </row>
    <row r="194" spans="1:63" x14ac:dyDescent="0.25">
      <c r="A194" s="1" t="s">
        <v>64</v>
      </c>
      <c r="B194" s="1" t="s">
        <v>259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2</v>
      </c>
      <c r="Y194">
        <v>2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3</v>
      </c>
      <c r="AX194">
        <v>3</v>
      </c>
      <c r="AY194">
        <v>3</v>
      </c>
      <c r="AZ194">
        <v>3</v>
      </c>
      <c r="BA194">
        <v>3</v>
      </c>
      <c r="BB194">
        <v>3</v>
      </c>
      <c r="BC194">
        <v>8</v>
      </c>
      <c r="BD194">
        <v>8</v>
      </c>
      <c r="BE194">
        <v>8</v>
      </c>
      <c r="BF194">
        <v>8</v>
      </c>
      <c r="BG194">
        <v>8</v>
      </c>
      <c r="BH194">
        <v>9</v>
      </c>
      <c r="BI194">
        <v>9</v>
      </c>
      <c r="BJ194">
        <v>12</v>
      </c>
      <c r="BK194">
        <v>16</v>
      </c>
    </row>
    <row r="195" spans="1:63" x14ac:dyDescent="0.25">
      <c r="A195" s="1" t="s">
        <v>260</v>
      </c>
      <c r="B195" s="1" t="s">
        <v>221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3</v>
      </c>
      <c r="R195">
        <v>3</v>
      </c>
      <c r="S195">
        <v>3</v>
      </c>
      <c r="T195">
        <v>3</v>
      </c>
      <c r="U195">
        <v>3</v>
      </c>
      <c r="V195">
        <v>3</v>
      </c>
      <c r="W195">
        <v>5</v>
      </c>
      <c r="X195">
        <v>9</v>
      </c>
      <c r="Y195">
        <v>11</v>
      </c>
      <c r="Z195">
        <v>11</v>
      </c>
      <c r="AA195">
        <v>13</v>
      </c>
      <c r="AB195">
        <v>13</v>
      </c>
      <c r="AC195">
        <v>13</v>
      </c>
      <c r="AD195">
        <v>15</v>
      </c>
      <c r="AE195">
        <v>16</v>
      </c>
      <c r="AF195">
        <v>16</v>
      </c>
      <c r="AG195">
        <v>18</v>
      </c>
      <c r="AH195">
        <v>18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</row>
    <row r="196" spans="1:63" x14ac:dyDescent="0.25">
      <c r="A196" s="1" t="s">
        <v>261</v>
      </c>
      <c r="B196" s="1" t="s">
        <v>221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1</v>
      </c>
      <c r="S196">
        <v>1</v>
      </c>
      <c r="T196">
        <v>1</v>
      </c>
      <c r="U196">
        <v>1</v>
      </c>
      <c r="V196">
        <v>1</v>
      </c>
      <c r="W196">
        <v>1</v>
      </c>
      <c r="X196">
        <v>2</v>
      </c>
      <c r="Y196">
        <v>3</v>
      </c>
      <c r="Z196">
        <v>3</v>
      </c>
      <c r="AA196">
        <v>3</v>
      </c>
      <c r="AB196">
        <v>5</v>
      </c>
      <c r="AC196">
        <v>5</v>
      </c>
      <c r="AD196">
        <v>5</v>
      </c>
      <c r="AE196">
        <v>5</v>
      </c>
      <c r="AF196">
        <v>6</v>
      </c>
      <c r="AG196">
        <v>6</v>
      </c>
      <c r="AH196">
        <v>6</v>
      </c>
      <c r="AI196">
        <v>6</v>
      </c>
      <c r="AJ196">
        <v>6</v>
      </c>
      <c r="AK196">
        <v>7</v>
      </c>
      <c r="AL196">
        <v>7</v>
      </c>
      <c r="AM196">
        <v>8</v>
      </c>
      <c r="AN196">
        <v>8</v>
      </c>
      <c r="AO196">
        <v>8</v>
      </c>
      <c r="AP196">
        <v>8</v>
      </c>
      <c r="AQ196">
        <v>8</v>
      </c>
      <c r="AR196">
        <v>9</v>
      </c>
      <c r="AS196">
        <v>9</v>
      </c>
      <c r="AT196">
        <v>9</v>
      </c>
      <c r="AU196">
        <v>10</v>
      </c>
      <c r="AV196">
        <v>10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</row>
    <row r="197" spans="1:63" x14ac:dyDescent="0.25">
      <c r="A197" s="1" t="s">
        <v>64</v>
      </c>
      <c r="B197" s="1" t="s">
        <v>262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1</v>
      </c>
      <c r="BG197">
        <v>1</v>
      </c>
      <c r="BH197">
        <v>1</v>
      </c>
      <c r="BI197">
        <v>1</v>
      </c>
      <c r="BJ197">
        <v>1</v>
      </c>
      <c r="BK197">
        <v>1</v>
      </c>
    </row>
    <row r="198" spans="1:63" x14ac:dyDescent="0.25">
      <c r="A198" s="1" t="s">
        <v>64</v>
      </c>
      <c r="B198" s="1" t="s">
        <v>263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</row>
    <row r="199" spans="1:63" x14ac:dyDescent="0.25">
      <c r="A199" s="1" t="s">
        <v>264</v>
      </c>
      <c r="B199" s="1" t="s">
        <v>237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</row>
    <row r="200" spans="1:63" x14ac:dyDescent="0.25">
      <c r="A200" s="1" t="s">
        <v>265</v>
      </c>
      <c r="B200" s="1" t="s">
        <v>224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</row>
    <row r="201" spans="1:63" x14ac:dyDescent="0.25">
      <c r="A201" s="1" t="s">
        <v>64</v>
      </c>
      <c r="B201" s="1" t="s">
        <v>266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</row>
    <row r="202" spans="1:63" x14ac:dyDescent="0.25">
      <c r="A202" s="1" t="s">
        <v>267</v>
      </c>
      <c r="B202" s="1" t="s">
        <v>268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</row>
    <row r="203" spans="1:63" x14ac:dyDescent="0.25">
      <c r="A203" s="1" t="s">
        <v>269</v>
      </c>
      <c r="B203" s="1" t="s">
        <v>70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</row>
    <row r="204" spans="1:63" x14ac:dyDescent="0.25">
      <c r="A204" s="1" t="s">
        <v>270</v>
      </c>
      <c r="B204" s="1" t="s">
        <v>221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</row>
    <row r="205" spans="1:63" x14ac:dyDescent="0.25">
      <c r="A205" s="1" t="s">
        <v>64</v>
      </c>
      <c r="B205" s="1" t="s">
        <v>271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</row>
    <row r="206" spans="1:63" x14ac:dyDescent="0.25">
      <c r="A206" s="1" t="s">
        <v>64</v>
      </c>
      <c r="B206" s="1" t="s">
        <v>272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1</v>
      </c>
      <c r="BG206">
        <v>1</v>
      </c>
      <c r="BH206">
        <v>1</v>
      </c>
      <c r="BI206">
        <v>1</v>
      </c>
      <c r="BJ206">
        <v>1</v>
      </c>
      <c r="BK206">
        <v>1</v>
      </c>
    </row>
    <row r="207" spans="1:63" x14ac:dyDescent="0.25">
      <c r="A207" s="1" t="s">
        <v>273</v>
      </c>
      <c r="B207" s="1" t="s">
        <v>224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</row>
    <row r="208" spans="1:63" x14ac:dyDescent="0.25">
      <c r="A208" s="1" t="s">
        <v>64</v>
      </c>
      <c r="B208" s="1" t="s">
        <v>274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2</v>
      </c>
      <c r="BF208">
        <v>2</v>
      </c>
      <c r="BG208">
        <v>2</v>
      </c>
      <c r="BH208">
        <v>2</v>
      </c>
      <c r="BI208">
        <v>2</v>
      </c>
      <c r="BJ208">
        <v>2</v>
      </c>
      <c r="BK208">
        <v>2</v>
      </c>
    </row>
    <row r="209" spans="1:63" x14ac:dyDescent="0.25">
      <c r="A209" s="1" t="s">
        <v>64</v>
      </c>
      <c r="B209" s="1" t="s">
        <v>275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</row>
    <row r="210" spans="1:63" x14ac:dyDescent="0.25">
      <c r="A210" s="1" t="s">
        <v>276</v>
      </c>
      <c r="B210" s="1" t="s">
        <v>268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1</v>
      </c>
      <c r="AZ210">
        <v>1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2</v>
      </c>
      <c r="BH210">
        <v>2</v>
      </c>
      <c r="BI210">
        <v>2</v>
      </c>
      <c r="BJ210">
        <v>2</v>
      </c>
      <c r="BK210">
        <v>2</v>
      </c>
    </row>
    <row r="211" spans="1:63" x14ac:dyDescent="0.25">
      <c r="A211" s="1" t="s">
        <v>277</v>
      </c>
      <c r="B211" s="1" t="s">
        <v>165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</row>
    <row r="212" spans="1:63" x14ac:dyDescent="0.25">
      <c r="A212" s="1" t="s">
        <v>278</v>
      </c>
      <c r="B212" s="1" t="s">
        <v>165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</row>
    <row r="213" spans="1:63" x14ac:dyDescent="0.25">
      <c r="A213" s="1" t="s">
        <v>279</v>
      </c>
      <c r="B213" s="1" t="s">
        <v>165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</row>
    <row r="214" spans="1:63" x14ac:dyDescent="0.25">
      <c r="A214" s="1" t="s">
        <v>280</v>
      </c>
      <c r="B214" s="1" t="s">
        <v>165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</row>
    <row r="215" spans="1:63" x14ac:dyDescent="0.25">
      <c r="A215" s="1" t="s">
        <v>281</v>
      </c>
      <c r="B215" s="1" t="s">
        <v>165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</row>
    <row r="216" spans="1:63" x14ac:dyDescent="0.25">
      <c r="A216" s="1" t="s">
        <v>282</v>
      </c>
      <c r="B216" s="1" t="s">
        <v>165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</row>
    <row r="217" spans="1:63" x14ac:dyDescent="0.25">
      <c r="A217" s="1" t="s">
        <v>283</v>
      </c>
      <c r="B217" s="1" t="s">
        <v>165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</row>
    <row r="218" spans="1:63" x14ac:dyDescent="0.25">
      <c r="A218" s="1" t="s">
        <v>284</v>
      </c>
      <c r="B218" s="1" t="s">
        <v>165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</row>
    <row r="219" spans="1:63" x14ac:dyDescent="0.25">
      <c r="A219" s="1" t="s">
        <v>285</v>
      </c>
      <c r="B219" s="1" t="s">
        <v>165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</row>
    <row r="220" spans="1:63" x14ac:dyDescent="0.25">
      <c r="A220" s="1" t="s">
        <v>286</v>
      </c>
      <c r="B220" s="1" t="s">
        <v>165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</row>
    <row r="221" spans="1:63" x14ac:dyDescent="0.25">
      <c r="A221" s="1" t="s">
        <v>287</v>
      </c>
      <c r="B221" s="1" t="s">
        <v>165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</row>
    <row r="222" spans="1:63" x14ac:dyDescent="0.25">
      <c r="A222" s="1" t="s">
        <v>288</v>
      </c>
      <c r="B222" s="1" t="s">
        <v>165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</row>
    <row r="223" spans="1:63" x14ac:dyDescent="0.25">
      <c r="A223" s="1" t="s">
        <v>289</v>
      </c>
      <c r="B223" s="1" t="s">
        <v>165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</row>
    <row r="224" spans="1:63" x14ac:dyDescent="0.25">
      <c r="A224" s="1" t="s">
        <v>290</v>
      </c>
      <c r="B224" s="1" t="s">
        <v>165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</row>
    <row r="225" spans="1:63" x14ac:dyDescent="0.25">
      <c r="A225" s="1" t="s">
        <v>291</v>
      </c>
      <c r="B225" s="1" t="s">
        <v>165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</row>
    <row r="226" spans="1:63" x14ac:dyDescent="0.25">
      <c r="A226" s="1" t="s">
        <v>292</v>
      </c>
      <c r="B226" s="1" t="s">
        <v>165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</row>
    <row r="227" spans="1:63" x14ac:dyDescent="0.25">
      <c r="A227" s="1" t="s">
        <v>293</v>
      </c>
      <c r="B227" s="1" t="s">
        <v>165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</row>
    <row r="228" spans="1:63" x14ac:dyDescent="0.25">
      <c r="A228" s="1" t="s">
        <v>294</v>
      </c>
      <c r="B228" s="1" t="s">
        <v>165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</row>
    <row r="229" spans="1:63" x14ac:dyDescent="0.25">
      <c r="A229" s="1" t="s">
        <v>295</v>
      </c>
      <c r="B229" s="1" t="s">
        <v>165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</row>
    <row r="230" spans="1:63" x14ac:dyDescent="0.25">
      <c r="A230" s="1" t="s">
        <v>296</v>
      </c>
      <c r="B230" s="1" t="s">
        <v>165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</row>
    <row r="231" spans="1:63" x14ac:dyDescent="0.25">
      <c r="A231" s="1" t="s">
        <v>297</v>
      </c>
      <c r="B231" s="1" t="s">
        <v>165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</row>
    <row r="232" spans="1:63" x14ac:dyDescent="0.25">
      <c r="A232" s="1" t="s">
        <v>298</v>
      </c>
      <c r="B232" s="1" t="s">
        <v>165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</row>
    <row r="233" spans="1:63" x14ac:dyDescent="0.25">
      <c r="A233" s="1" t="s">
        <v>299</v>
      </c>
      <c r="B233" s="1" t="s">
        <v>165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</row>
    <row r="234" spans="1:63" x14ac:dyDescent="0.25">
      <c r="A234" s="1" t="s">
        <v>300</v>
      </c>
      <c r="B234" s="1" t="s">
        <v>165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</row>
    <row r="235" spans="1:63" x14ac:dyDescent="0.25">
      <c r="A235" s="1" t="s">
        <v>301</v>
      </c>
      <c r="B235" s="1" t="s">
        <v>165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</row>
    <row r="236" spans="1:63" x14ac:dyDescent="0.25">
      <c r="A236" s="1" t="s">
        <v>302</v>
      </c>
      <c r="B236" s="1" t="s">
        <v>165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</row>
    <row r="237" spans="1:63" x14ac:dyDescent="0.25">
      <c r="A237" s="1" t="s">
        <v>303</v>
      </c>
      <c r="B237" s="1" t="s">
        <v>165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</row>
    <row r="238" spans="1:63" x14ac:dyDescent="0.25">
      <c r="A238" s="1" t="s">
        <v>304</v>
      </c>
      <c r="B238" s="1" t="s">
        <v>165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</row>
    <row r="239" spans="1:63" x14ac:dyDescent="0.25">
      <c r="A239" s="1" t="s">
        <v>305</v>
      </c>
      <c r="B239" s="1" t="s">
        <v>165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</row>
    <row r="240" spans="1:63" x14ac:dyDescent="0.25">
      <c r="A240" s="1" t="s">
        <v>306</v>
      </c>
      <c r="B240" s="1" t="s">
        <v>165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</row>
    <row r="241" spans="1:63" x14ac:dyDescent="0.25">
      <c r="A241" s="1" t="s">
        <v>307</v>
      </c>
      <c r="B241" s="1" t="s">
        <v>165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</row>
    <row r="242" spans="1:63" x14ac:dyDescent="0.25">
      <c r="A242" s="1" t="s">
        <v>308</v>
      </c>
      <c r="B242" s="1" t="s">
        <v>165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</row>
    <row r="243" spans="1:63" x14ac:dyDescent="0.25">
      <c r="A243" s="1" t="s">
        <v>309</v>
      </c>
      <c r="B243" s="1" t="s">
        <v>165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</row>
    <row r="244" spans="1:63" x14ac:dyDescent="0.25">
      <c r="A244" s="1" t="s">
        <v>310</v>
      </c>
      <c r="B244" s="1" t="s">
        <v>165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</row>
    <row r="245" spans="1:63" x14ac:dyDescent="0.25">
      <c r="A245" s="1" t="s">
        <v>311</v>
      </c>
      <c r="B245" s="1" t="s">
        <v>165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</row>
    <row r="246" spans="1:63" x14ac:dyDescent="0.25">
      <c r="A246" s="1" t="s">
        <v>312</v>
      </c>
      <c r="B246" s="1" t="s">
        <v>165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</row>
    <row r="247" spans="1:63" x14ac:dyDescent="0.25">
      <c r="A247" s="1" t="s">
        <v>313</v>
      </c>
      <c r="B247" s="1" t="s">
        <v>165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</row>
    <row r="248" spans="1:63" x14ac:dyDescent="0.25">
      <c r="A248" s="1" t="s">
        <v>314</v>
      </c>
      <c r="B248" s="1" t="s">
        <v>165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</row>
    <row r="249" spans="1:63" x14ac:dyDescent="0.25">
      <c r="A249" s="1" t="s">
        <v>315</v>
      </c>
      <c r="B249" s="1" t="s">
        <v>165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</row>
    <row r="250" spans="1:63" x14ac:dyDescent="0.25">
      <c r="A250" s="1" t="s">
        <v>316</v>
      </c>
      <c r="B250" s="1" t="s">
        <v>165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</row>
    <row r="251" spans="1:63" x14ac:dyDescent="0.25">
      <c r="A251" s="1" t="s">
        <v>317</v>
      </c>
      <c r="B251" s="1" t="s">
        <v>165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</row>
    <row r="252" spans="1:63" x14ac:dyDescent="0.25">
      <c r="A252" s="1" t="s">
        <v>318</v>
      </c>
      <c r="B252" s="1" t="s">
        <v>165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</row>
    <row r="253" spans="1:63" x14ac:dyDescent="0.25">
      <c r="A253" s="1" t="s">
        <v>319</v>
      </c>
      <c r="B253" s="1" t="s">
        <v>165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</row>
    <row r="254" spans="1:63" x14ac:dyDescent="0.25">
      <c r="A254" s="1" t="s">
        <v>320</v>
      </c>
      <c r="B254" s="1" t="s">
        <v>165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</row>
    <row r="255" spans="1:63" x14ac:dyDescent="0.25">
      <c r="A255" s="1" t="s">
        <v>321</v>
      </c>
      <c r="B255" s="1" t="s">
        <v>165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</row>
    <row r="256" spans="1:63" x14ac:dyDescent="0.25">
      <c r="A256" s="1" t="s">
        <v>322</v>
      </c>
      <c r="B256" s="1" t="s">
        <v>165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</row>
    <row r="257" spans="1:63" x14ac:dyDescent="0.25">
      <c r="A257" s="1" t="s">
        <v>323</v>
      </c>
      <c r="B257" s="1" t="s">
        <v>165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</row>
    <row r="258" spans="1:63" x14ac:dyDescent="0.25">
      <c r="A258" s="1" t="s">
        <v>324</v>
      </c>
      <c r="B258" s="1" t="s">
        <v>165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</row>
    <row r="259" spans="1:63" x14ac:dyDescent="0.25">
      <c r="A259" s="1" t="s">
        <v>325</v>
      </c>
      <c r="B259" s="1" t="s">
        <v>165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</row>
    <row r="260" spans="1:63" x14ac:dyDescent="0.25">
      <c r="A260" s="1" t="s">
        <v>326</v>
      </c>
      <c r="B260" s="1" t="s">
        <v>165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</row>
    <row r="261" spans="1:63" x14ac:dyDescent="0.25">
      <c r="A261" s="1" t="s">
        <v>327</v>
      </c>
      <c r="B261" s="1" t="s">
        <v>165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</row>
    <row r="262" spans="1:63" x14ac:dyDescent="0.25">
      <c r="A262" s="1" t="s">
        <v>328</v>
      </c>
      <c r="B262" s="1" t="s">
        <v>165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</row>
    <row r="263" spans="1:63" x14ac:dyDescent="0.25">
      <c r="A263" s="1" t="s">
        <v>329</v>
      </c>
      <c r="B263" s="1" t="s">
        <v>165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</row>
    <row r="264" spans="1:63" x14ac:dyDescent="0.25">
      <c r="A264" s="1" t="s">
        <v>330</v>
      </c>
      <c r="B264" s="1" t="s">
        <v>165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</row>
    <row r="265" spans="1:63" x14ac:dyDescent="0.25">
      <c r="A265" s="1" t="s">
        <v>331</v>
      </c>
      <c r="B265" s="1" t="s">
        <v>165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</row>
    <row r="266" spans="1:63" x14ac:dyDescent="0.25">
      <c r="A266" s="1" t="s">
        <v>332</v>
      </c>
      <c r="B266" s="1" t="s">
        <v>165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</row>
    <row r="267" spans="1:63" x14ac:dyDescent="0.25">
      <c r="A267" s="1" t="s">
        <v>333</v>
      </c>
      <c r="B267" s="1" t="s">
        <v>165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</row>
    <row r="268" spans="1:63" x14ac:dyDescent="0.25">
      <c r="A268" s="1" t="s">
        <v>334</v>
      </c>
      <c r="B268" s="1" t="s">
        <v>165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</row>
    <row r="269" spans="1:63" x14ac:dyDescent="0.25">
      <c r="A269" s="1" t="s">
        <v>335</v>
      </c>
      <c r="B269" s="1" t="s">
        <v>165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</row>
    <row r="270" spans="1:63" x14ac:dyDescent="0.25">
      <c r="A270" s="1" t="s">
        <v>336</v>
      </c>
      <c r="B270" s="1" t="s">
        <v>165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</row>
    <row r="271" spans="1:63" x14ac:dyDescent="0.25">
      <c r="A271" s="1" t="s">
        <v>337</v>
      </c>
      <c r="B271" s="1" t="s">
        <v>165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</row>
    <row r="272" spans="1:63" x14ac:dyDescent="0.25">
      <c r="A272" s="1" t="s">
        <v>338</v>
      </c>
      <c r="B272" s="1" t="s">
        <v>165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</row>
    <row r="273" spans="1:63" x14ac:dyDescent="0.25">
      <c r="A273" s="1" t="s">
        <v>339</v>
      </c>
      <c r="B273" s="1" t="s">
        <v>165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</row>
    <row r="274" spans="1:63" x14ac:dyDescent="0.25">
      <c r="A274" s="1" t="s">
        <v>340</v>
      </c>
      <c r="B274" s="1" t="s">
        <v>165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</row>
    <row r="275" spans="1:63" x14ac:dyDescent="0.25">
      <c r="A275" s="1" t="s">
        <v>341</v>
      </c>
      <c r="B275" s="1" t="s">
        <v>165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</row>
    <row r="276" spans="1:63" x14ac:dyDescent="0.25">
      <c r="A276" s="1" t="s">
        <v>342</v>
      </c>
      <c r="B276" s="1" t="s">
        <v>165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</row>
    <row r="277" spans="1:63" x14ac:dyDescent="0.25">
      <c r="A277" s="1" t="s">
        <v>343</v>
      </c>
      <c r="B277" s="1" t="s">
        <v>165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</row>
    <row r="278" spans="1:63" x14ac:dyDescent="0.25">
      <c r="A278" s="1" t="s">
        <v>344</v>
      </c>
      <c r="B278" s="1" t="s">
        <v>165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</row>
    <row r="279" spans="1:63" x14ac:dyDescent="0.25">
      <c r="A279" s="1" t="s">
        <v>345</v>
      </c>
      <c r="B279" s="1" t="s">
        <v>165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</row>
    <row r="280" spans="1:63" x14ac:dyDescent="0.25">
      <c r="A280" s="1" t="s">
        <v>346</v>
      </c>
      <c r="B280" s="1" t="s">
        <v>165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</row>
    <row r="281" spans="1:63" x14ac:dyDescent="0.25">
      <c r="A281" s="1" t="s">
        <v>347</v>
      </c>
      <c r="B281" s="1" t="s">
        <v>165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</row>
    <row r="282" spans="1:63" x14ac:dyDescent="0.25">
      <c r="A282" s="1" t="s">
        <v>348</v>
      </c>
      <c r="B282" s="1" t="s">
        <v>165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</row>
    <row r="283" spans="1:63" x14ac:dyDescent="0.25">
      <c r="A283" s="1" t="s">
        <v>349</v>
      </c>
      <c r="B283" s="1" t="s">
        <v>165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</row>
    <row r="284" spans="1:63" x14ac:dyDescent="0.25">
      <c r="A284" s="1" t="s">
        <v>350</v>
      </c>
      <c r="B284" s="1" t="s">
        <v>165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</row>
    <row r="285" spans="1:63" x14ac:dyDescent="0.25">
      <c r="A285" s="1" t="s">
        <v>351</v>
      </c>
      <c r="B285" s="1" t="s">
        <v>165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</row>
    <row r="286" spans="1:63" x14ac:dyDescent="0.25">
      <c r="A286" s="1" t="s">
        <v>352</v>
      </c>
      <c r="B286" s="1" t="s">
        <v>165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</row>
    <row r="287" spans="1:63" x14ac:dyDescent="0.25">
      <c r="A287" s="1" t="s">
        <v>353</v>
      </c>
      <c r="B287" s="1" t="s">
        <v>165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</row>
    <row r="288" spans="1:63" x14ac:dyDescent="0.25">
      <c r="A288" s="1" t="s">
        <v>354</v>
      </c>
      <c r="B288" s="1" t="s">
        <v>165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</row>
    <row r="289" spans="1:63" x14ac:dyDescent="0.25">
      <c r="A289" s="1" t="s">
        <v>355</v>
      </c>
      <c r="B289" s="1" t="s">
        <v>165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</row>
    <row r="290" spans="1:63" x14ac:dyDescent="0.25">
      <c r="A290" s="1" t="s">
        <v>356</v>
      </c>
      <c r="B290" s="1" t="s">
        <v>165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</row>
    <row r="291" spans="1:63" x14ac:dyDescent="0.25">
      <c r="A291" s="1" t="s">
        <v>357</v>
      </c>
      <c r="B291" s="1" t="s">
        <v>165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</row>
    <row r="292" spans="1:63" x14ac:dyDescent="0.25">
      <c r="A292" s="1" t="s">
        <v>358</v>
      </c>
      <c r="B292" s="1" t="s">
        <v>165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</row>
    <row r="293" spans="1:63" x14ac:dyDescent="0.25">
      <c r="A293" s="1" t="s">
        <v>359</v>
      </c>
      <c r="B293" s="1" t="s">
        <v>165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</row>
    <row r="294" spans="1:63" x14ac:dyDescent="0.25">
      <c r="A294" s="1" t="s">
        <v>360</v>
      </c>
      <c r="B294" s="1" t="s">
        <v>165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</row>
    <row r="295" spans="1:63" x14ac:dyDescent="0.25">
      <c r="A295" s="1" t="s">
        <v>361</v>
      </c>
      <c r="B295" s="1" t="s">
        <v>165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</row>
    <row r="296" spans="1:63" x14ac:dyDescent="0.25">
      <c r="A296" s="1" t="s">
        <v>362</v>
      </c>
      <c r="B296" s="1" t="s">
        <v>165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</row>
    <row r="297" spans="1:63" x14ac:dyDescent="0.25">
      <c r="A297" s="1" t="s">
        <v>363</v>
      </c>
      <c r="B297" s="1" t="s">
        <v>165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</row>
    <row r="298" spans="1:63" x14ac:dyDescent="0.25">
      <c r="A298" s="1" t="s">
        <v>364</v>
      </c>
      <c r="B298" s="1" t="s">
        <v>165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</row>
    <row r="299" spans="1:63" x14ac:dyDescent="0.25">
      <c r="A299" s="1" t="s">
        <v>365</v>
      </c>
      <c r="B299" s="1" t="s">
        <v>165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</row>
    <row r="300" spans="1:63" x14ac:dyDescent="0.25">
      <c r="A300" s="1" t="s">
        <v>366</v>
      </c>
      <c r="B300" s="1" t="s">
        <v>165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</row>
    <row r="301" spans="1:63" x14ac:dyDescent="0.25">
      <c r="A301" s="1" t="s">
        <v>367</v>
      </c>
      <c r="B301" s="1" t="s">
        <v>165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</row>
    <row r="302" spans="1:63" x14ac:dyDescent="0.25">
      <c r="A302" s="1" t="s">
        <v>368</v>
      </c>
      <c r="B302" s="1" t="s">
        <v>165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</row>
    <row r="303" spans="1:63" x14ac:dyDescent="0.25">
      <c r="A303" s="1" t="s">
        <v>369</v>
      </c>
      <c r="B303" s="1" t="s">
        <v>165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</row>
    <row r="304" spans="1:63" x14ac:dyDescent="0.25">
      <c r="A304" s="1" t="s">
        <v>370</v>
      </c>
      <c r="B304" s="1" t="s">
        <v>165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</row>
    <row r="305" spans="1:63" x14ac:dyDescent="0.25">
      <c r="A305" s="1" t="s">
        <v>371</v>
      </c>
      <c r="B305" s="1" t="s">
        <v>165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</row>
    <row r="306" spans="1:63" x14ac:dyDescent="0.25">
      <c r="A306" s="1" t="s">
        <v>372</v>
      </c>
      <c r="B306" s="1" t="s">
        <v>165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</row>
    <row r="307" spans="1:63" x14ac:dyDescent="0.25">
      <c r="A307" s="1" t="s">
        <v>373</v>
      </c>
      <c r="B307" s="1" t="s">
        <v>165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</row>
    <row r="308" spans="1:63" x14ac:dyDescent="0.25">
      <c r="A308" s="1" t="s">
        <v>374</v>
      </c>
      <c r="B308" s="1" t="s">
        <v>165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</row>
    <row r="309" spans="1:63" x14ac:dyDescent="0.25">
      <c r="A309" s="1" t="s">
        <v>375</v>
      </c>
      <c r="B309" s="1" t="s">
        <v>165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</row>
    <row r="310" spans="1:63" x14ac:dyDescent="0.25">
      <c r="A310" s="1" t="s">
        <v>376</v>
      </c>
      <c r="B310" s="1" t="s">
        <v>165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</row>
    <row r="311" spans="1:63" x14ac:dyDescent="0.25">
      <c r="A311" s="1" t="s">
        <v>377</v>
      </c>
      <c r="B311" s="1" t="s">
        <v>165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</row>
    <row r="312" spans="1:63" x14ac:dyDescent="0.25">
      <c r="A312" s="1" t="s">
        <v>378</v>
      </c>
      <c r="B312" s="1" t="s">
        <v>165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</row>
    <row r="313" spans="1:63" x14ac:dyDescent="0.25">
      <c r="A313" s="1" t="s">
        <v>379</v>
      </c>
      <c r="B313" s="1" t="s">
        <v>165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</row>
    <row r="314" spans="1:63" x14ac:dyDescent="0.25">
      <c r="A314" s="1" t="s">
        <v>380</v>
      </c>
      <c r="B314" s="1" t="s">
        <v>165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</row>
    <row r="315" spans="1:63" x14ac:dyDescent="0.25">
      <c r="A315" s="1" t="s">
        <v>381</v>
      </c>
      <c r="B315" s="1" t="s">
        <v>165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1</v>
      </c>
      <c r="AH315">
        <v>1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</row>
    <row r="316" spans="1:63" x14ac:dyDescent="0.25">
      <c r="A316" s="1" t="s">
        <v>382</v>
      </c>
      <c r="B316" s="1" t="s">
        <v>165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</row>
    <row r="317" spans="1:63" x14ac:dyDescent="0.25">
      <c r="A317" s="1" t="s">
        <v>383</v>
      </c>
      <c r="B317" s="1" t="s">
        <v>165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</row>
    <row r="318" spans="1:63" x14ac:dyDescent="0.25">
      <c r="A318" s="1" t="s">
        <v>384</v>
      </c>
      <c r="B318" s="1" t="s">
        <v>165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</row>
    <row r="319" spans="1:63" x14ac:dyDescent="0.25">
      <c r="A319" s="1" t="s">
        <v>385</v>
      </c>
      <c r="B319" s="1" t="s">
        <v>165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</row>
    <row r="320" spans="1:63" x14ac:dyDescent="0.25">
      <c r="A320" s="1" t="s">
        <v>386</v>
      </c>
      <c r="B320" s="1" t="s">
        <v>165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</row>
    <row r="321" spans="1:63" x14ac:dyDescent="0.25">
      <c r="A321" s="1" t="s">
        <v>387</v>
      </c>
      <c r="B321" s="1" t="s">
        <v>165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</row>
    <row r="322" spans="1:63" x14ac:dyDescent="0.25">
      <c r="A322" s="1" t="s">
        <v>388</v>
      </c>
      <c r="B322" s="1" t="s">
        <v>165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</row>
    <row r="323" spans="1:63" x14ac:dyDescent="0.25">
      <c r="A323" s="1" t="s">
        <v>389</v>
      </c>
      <c r="B323" s="1" t="s">
        <v>165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1</v>
      </c>
      <c r="AO323">
        <v>1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</row>
    <row r="324" spans="1:63" x14ac:dyDescent="0.25">
      <c r="A324" s="1" t="s">
        <v>390</v>
      </c>
      <c r="B324" s="1" t="s">
        <v>165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</row>
    <row r="325" spans="1:63" x14ac:dyDescent="0.25">
      <c r="A325" s="1" t="s">
        <v>391</v>
      </c>
      <c r="B325" s="1" t="s">
        <v>165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</row>
    <row r="326" spans="1:63" x14ac:dyDescent="0.25">
      <c r="A326" s="1" t="s">
        <v>392</v>
      </c>
      <c r="B326" s="1" t="s">
        <v>165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</row>
    <row r="327" spans="1:63" x14ac:dyDescent="0.25">
      <c r="A327" s="1" t="s">
        <v>393</v>
      </c>
      <c r="B327" s="1" t="s">
        <v>165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</row>
    <row r="328" spans="1:63" x14ac:dyDescent="0.25">
      <c r="A328" s="1" t="s">
        <v>394</v>
      </c>
      <c r="B328" s="1" t="s">
        <v>165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</row>
    <row r="329" spans="1:63" x14ac:dyDescent="0.25">
      <c r="A329" s="1" t="s">
        <v>395</v>
      </c>
      <c r="B329" s="1" t="s">
        <v>165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</row>
    <row r="330" spans="1:63" x14ac:dyDescent="0.25">
      <c r="A330" s="1" t="s">
        <v>396</v>
      </c>
      <c r="B330" s="1" t="s">
        <v>165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</row>
    <row r="331" spans="1:63" x14ac:dyDescent="0.25">
      <c r="A331" s="1" t="s">
        <v>397</v>
      </c>
      <c r="B331" s="1" t="s">
        <v>165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</row>
    <row r="332" spans="1:63" x14ac:dyDescent="0.25">
      <c r="A332" s="1" t="s">
        <v>398</v>
      </c>
      <c r="B332" s="1" t="s">
        <v>165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1</v>
      </c>
      <c r="AL332">
        <v>1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</row>
    <row r="333" spans="1:63" x14ac:dyDescent="0.25">
      <c r="A333" s="1" t="s">
        <v>399</v>
      </c>
      <c r="B333" s="1" t="s">
        <v>165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</row>
    <row r="334" spans="1:63" x14ac:dyDescent="0.25">
      <c r="A334" s="1" t="s">
        <v>400</v>
      </c>
      <c r="B334" s="1" t="s">
        <v>165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</row>
    <row r="335" spans="1:63" x14ac:dyDescent="0.25">
      <c r="A335" s="1" t="s">
        <v>401</v>
      </c>
      <c r="B335" s="1" t="s">
        <v>165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</row>
    <row r="336" spans="1:63" x14ac:dyDescent="0.25">
      <c r="A336" s="1" t="s">
        <v>402</v>
      </c>
      <c r="B336" s="1" t="s">
        <v>165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</row>
    <row r="337" spans="1:63" x14ac:dyDescent="0.25">
      <c r="A337" s="1" t="s">
        <v>403</v>
      </c>
      <c r="B337" s="1" t="s">
        <v>165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</row>
    <row r="338" spans="1:63" x14ac:dyDescent="0.25">
      <c r="A338" s="1" t="s">
        <v>404</v>
      </c>
      <c r="B338" s="1" t="s">
        <v>165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</row>
    <row r="339" spans="1:63" x14ac:dyDescent="0.25">
      <c r="A339" s="1" t="s">
        <v>405</v>
      </c>
      <c r="B339" s="1" t="s">
        <v>165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</row>
    <row r="340" spans="1:63" x14ac:dyDescent="0.25">
      <c r="A340" s="1" t="s">
        <v>406</v>
      </c>
      <c r="B340" s="1" t="s">
        <v>165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</row>
    <row r="341" spans="1:63" x14ac:dyDescent="0.25">
      <c r="A341" s="1" t="s">
        <v>407</v>
      </c>
      <c r="B341" s="1" t="s">
        <v>165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</row>
    <row r="342" spans="1:63" x14ac:dyDescent="0.25">
      <c r="A342" s="1" t="s">
        <v>408</v>
      </c>
      <c r="B342" s="1" t="s">
        <v>165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</row>
    <row r="343" spans="1:63" x14ac:dyDescent="0.25">
      <c r="A343" s="1" t="s">
        <v>409</v>
      </c>
      <c r="B343" s="1" t="s">
        <v>165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</row>
    <row r="344" spans="1:63" x14ac:dyDescent="0.25">
      <c r="A344" s="1" t="s">
        <v>410</v>
      </c>
      <c r="B344" s="1" t="s">
        <v>165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</row>
    <row r="345" spans="1:63" x14ac:dyDescent="0.25">
      <c r="A345" s="1" t="s">
        <v>411</v>
      </c>
      <c r="B345" s="1" t="s">
        <v>165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</row>
    <row r="346" spans="1:63" x14ac:dyDescent="0.25">
      <c r="A346" s="1" t="s">
        <v>412</v>
      </c>
      <c r="B346" s="1" t="s">
        <v>165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1</v>
      </c>
      <c r="AH346">
        <v>1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</row>
    <row r="347" spans="1:63" x14ac:dyDescent="0.25">
      <c r="A347" s="1" t="s">
        <v>413</v>
      </c>
      <c r="B347" s="1" t="s">
        <v>165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</row>
    <row r="348" spans="1:63" x14ac:dyDescent="0.25">
      <c r="A348" s="1" t="s">
        <v>414</v>
      </c>
      <c r="B348" s="1" t="s">
        <v>165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</row>
    <row r="349" spans="1:63" x14ac:dyDescent="0.25">
      <c r="A349" s="1" t="s">
        <v>415</v>
      </c>
      <c r="B349" s="1" t="s">
        <v>165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</row>
    <row r="350" spans="1:63" x14ac:dyDescent="0.25">
      <c r="A350" s="1" t="s">
        <v>416</v>
      </c>
      <c r="B350" s="1" t="s">
        <v>165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2</v>
      </c>
      <c r="V350">
        <v>2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</row>
    <row r="351" spans="1:63" x14ac:dyDescent="0.25">
      <c r="A351" s="1" t="s">
        <v>417</v>
      </c>
      <c r="B351" s="1" t="s">
        <v>165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</row>
    <row r="352" spans="1:63" x14ac:dyDescent="0.25">
      <c r="A352" s="1" t="s">
        <v>418</v>
      </c>
      <c r="B352" s="1" t="s">
        <v>165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</row>
    <row r="353" spans="1:63" x14ac:dyDescent="0.25">
      <c r="A353" s="1" t="s">
        <v>419</v>
      </c>
      <c r="B353" s="1" t="s">
        <v>165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</row>
    <row r="354" spans="1:63" x14ac:dyDescent="0.25">
      <c r="A354" s="1" t="s">
        <v>420</v>
      </c>
      <c r="B354" s="1" t="s">
        <v>165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</row>
    <row r="355" spans="1:63" x14ac:dyDescent="0.25">
      <c r="A355" s="1" t="s">
        <v>421</v>
      </c>
      <c r="B355" s="1" t="s">
        <v>165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</row>
    <row r="356" spans="1:63" x14ac:dyDescent="0.25">
      <c r="A356" s="1" t="s">
        <v>422</v>
      </c>
      <c r="B356" s="1" t="s">
        <v>165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</row>
    <row r="357" spans="1:63" x14ac:dyDescent="0.25">
      <c r="A357" s="1" t="s">
        <v>423</v>
      </c>
      <c r="B357" s="1" t="s">
        <v>165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</row>
    <row r="358" spans="1:63" x14ac:dyDescent="0.25">
      <c r="A358" s="1" t="s">
        <v>424</v>
      </c>
      <c r="B358" s="1" t="s">
        <v>165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</row>
    <row r="359" spans="1:63" x14ac:dyDescent="0.25">
      <c r="A359" s="1" t="s">
        <v>425</v>
      </c>
      <c r="B359" s="1" t="s">
        <v>165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</row>
    <row r="360" spans="1:63" x14ac:dyDescent="0.25">
      <c r="A360" s="1" t="s">
        <v>426</v>
      </c>
      <c r="B360" s="1" t="s">
        <v>165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</row>
    <row r="361" spans="1:63" x14ac:dyDescent="0.25">
      <c r="A361" s="1" t="s">
        <v>427</v>
      </c>
      <c r="B361" s="1" t="s">
        <v>165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</row>
    <row r="362" spans="1:63" x14ac:dyDescent="0.25">
      <c r="A362" s="1" t="s">
        <v>428</v>
      </c>
      <c r="B362" s="1" t="s">
        <v>165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</row>
    <row r="363" spans="1:63" x14ac:dyDescent="0.25">
      <c r="A363" s="1" t="s">
        <v>429</v>
      </c>
      <c r="B363" s="1" t="s">
        <v>165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</row>
    <row r="364" spans="1:63" x14ac:dyDescent="0.25">
      <c r="A364" s="1" t="s">
        <v>430</v>
      </c>
      <c r="B364" s="1" t="s">
        <v>165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</row>
    <row r="365" spans="1:63" x14ac:dyDescent="0.25">
      <c r="A365" s="1" t="s">
        <v>431</v>
      </c>
      <c r="B365" s="1" t="s">
        <v>165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</row>
    <row r="366" spans="1:63" x14ac:dyDescent="0.25">
      <c r="A366" s="1" t="s">
        <v>432</v>
      </c>
      <c r="B366" s="1" t="s">
        <v>165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</row>
    <row r="367" spans="1:63" x14ac:dyDescent="0.25">
      <c r="A367" s="1" t="s">
        <v>433</v>
      </c>
      <c r="B367" s="1" t="s">
        <v>165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</row>
    <row r="368" spans="1:63" x14ac:dyDescent="0.25">
      <c r="A368" s="1" t="s">
        <v>434</v>
      </c>
      <c r="B368" s="1" t="s">
        <v>165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</row>
    <row r="369" spans="1:63" x14ac:dyDescent="0.25">
      <c r="A369" s="1" t="s">
        <v>435</v>
      </c>
      <c r="B369" s="1" t="s">
        <v>165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</row>
    <row r="370" spans="1:63" x14ac:dyDescent="0.25">
      <c r="A370" s="1" t="s">
        <v>436</v>
      </c>
      <c r="B370" s="1" t="s">
        <v>165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</row>
    <row r="371" spans="1:63" x14ac:dyDescent="0.25">
      <c r="A371" s="1" t="s">
        <v>437</v>
      </c>
      <c r="B371" s="1" t="s">
        <v>165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</row>
    <row r="372" spans="1:63" x14ac:dyDescent="0.25">
      <c r="A372" s="1" t="s">
        <v>438</v>
      </c>
      <c r="B372" s="1" t="s">
        <v>165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</row>
    <row r="373" spans="1:63" x14ac:dyDescent="0.25">
      <c r="A373" s="1" t="s">
        <v>439</v>
      </c>
      <c r="B373" s="1" t="s">
        <v>165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</row>
    <row r="374" spans="1:63" x14ac:dyDescent="0.25">
      <c r="A374" s="1" t="s">
        <v>440</v>
      </c>
      <c r="B374" s="1" t="s">
        <v>165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</row>
    <row r="375" spans="1:63" x14ac:dyDescent="0.25">
      <c r="A375" s="1" t="s">
        <v>441</v>
      </c>
      <c r="B375" s="1" t="s">
        <v>165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</row>
    <row r="376" spans="1:63" x14ac:dyDescent="0.25">
      <c r="A376" s="1" t="s">
        <v>442</v>
      </c>
      <c r="B376" s="1" t="s">
        <v>165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</row>
    <row r="377" spans="1:63" x14ac:dyDescent="0.25">
      <c r="A377" s="1" t="s">
        <v>443</v>
      </c>
      <c r="B377" s="1" t="s">
        <v>165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</row>
    <row r="378" spans="1:63" x14ac:dyDescent="0.25">
      <c r="A378" s="1" t="s">
        <v>444</v>
      </c>
      <c r="B378" s="1" t="s">
        <v>165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</row>
    <row r="379" spans="1:63" x14ac:dyDescent="0.25">
      <c r="A379" s="1" t="s">
        <v>445</v>
      </c>
      <c r="B379" s="1" t="s">
        <v>165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</row>
    <row r="380" spans="1:63" x14ac:dyDescent="0.25">
      <c r="A380" s="1" t="s">
        <v>446</v>
      </c>
      <c r="B380" s="1" t="s">
        <v>165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</row>
    <row r="381" spans="1:63" x14ac:dyDescent="0.25">
      <c r="A381" s="1" t="s">
        <v>447</v>
      </c>
      <c r="B381" s="1" t="s">
        <v>165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</row>
    <row r="382" spans="1:63" x14ac:dyDescent="0.25">
      <c r="A382" s="1" t="s">
        <v>448</v>
      </c>
      <c r="B382" s="1" t="s">
        <v>165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</row>
    <row r="383" spans="1:63" x14ac:dyDescent="0.25">
      <c r="A383" s="1" t="s">
        <v>449</v>
      </c>
      <c r="B383" s="1" t="s">
        <v>165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</row>
    <row r="384" spans="1:63" x14ac:dyDescent="0.25">
      <c r="A384" s="1" t="s">
        <v>450</v>
      </c>
      <c r="B384" s="1" t="s">
        <v>165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</row>
    <row r="385" spans="1:63" x14ac:dyDescent="0.25">
      <c r="A385" s="1" t="s">
        <v>451</v>
      </c>
      <c r="B385" s="1" t="s">
        <v>165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</row>
    <row r="386" spans="1:63" x14ac:dyDescent="0.25">
      <c r="A386" s="1" t="s">
        <v>452</v>
      </c>
      <c r="B386" s="1" t="s">
        <v>165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</row>
    <row r="387" spans="1:63" x14ac:dyDescent="0.25">
      <c r="A387" s="1" t="s">
        <v>453</v>
      </c>
      <c r="B387" s="1" t="s">
        <v>165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</row>
    <row r="388" spans="1:63" x14ac:dyDescent="0.25">
      <c r="A388" s="1" t="s">
        <v>454</v>
      </c>
      <c r="B388" s="1" t="s">
        <v>165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</row>
    <row r="389" spans="1:63" x14ac:dyDescent="0.25">
      <c r="A389" s="1" t="s">
        <v>455</v>
      </c>
      <c r="B389" s="1" t="s">
        <v>165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</row>
    <row r="390" spans="1:63" x14ac:dyDescent="0.25">
      <c r="A390" s="1" t="s">
        <v>456</v>
      </c>
      <c r="B390" s="1" t="s">
        <v>165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</row>
    <row r="391" spans="1:63" x14ac:dyDescent="0.25">
      <c r="A391" s="1" t="s">
        <v>457</v>
      </c>
      <c r="B391" s="1" t="s">
        <v>165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</row>
    <row r="392" spans="1:63" x14ac:dyDescent="0.25">
      <c r="A392" s="1" t="s">
        <v>458</v>
      </c>
      <c r="B392" s="1" t="s">
        <v>165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</row>
    <row r="393" spans="1:63" x14ac:dyDescent="0.25">
      <c r="A393" s="1" t="s">
        <v>459</v>
      </c>
      <c r="B393" s="1" t="s">
        <v>165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</row>
    <row r="394" spans="1:63" x14ac:dyDescent="0.25">
      <c r="A394" s="1" t="s">
        <v>460</v>
      </c>
      <c r="B394" s="1" t="s">
        <v>165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</row>
    <row r="395" spans="1:63" x14ac:dyDescent="0.25">
      <c r="A395" s="1" t="s">
        <v>461</v>
      </c>
      <c r="B395" s="1" t="s">
        <v>165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</row>
    <row r="396" spans="1:63" x14ac:dyDescent="0.25">
      <c r="A396" s="1" t="s">
        <v>462</v>
      </c>
      <c r="B396" s="1" t="s">
        <v>165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</row>
    <row r="397" spans="1:63" x14ac:dyDescent="0.25">
      <c r="A397" s="1" t="s">
        <v>463</v>
      </c>
      <c r="B397" s="1" t="s">
        <v>165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</row>
    <row r="398" spans="1:63" x14ac:dyDescent="0.25">
      <c r="A398" s="1" t="s">
        <v>464</v>
      </c>
      <c r="B398" s="1" t="s">
        <v>165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</row>
    <row r="399" spans="1:63" x14ac:dyDescent="0.25">
      <c r="A399" s="1" t="s">
        <v>465</v>
      </c>
      <c r="B399" s="1" t="s">
        <v>165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</row>
    <row r="400" spans="1:63" x14ac:dyDescent="0.25">
      <c r="A400" s="1" t="s">
        <v>466</v>
      </c>
      <c r="B400" s="1" t="s">
        <v>165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</row>
    <row r="401" spans="1:63" x14ac:dyDescent="0.25">
      <c r="A401" s="1" t="s">
        <v>467</v>
      </c>
      <c r="B401" s="1" t="s">
        <v>165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</row>
    <row r="402" spans="1:63" x14ac:dyDescent="0.25">
      <c r="A402" s="1" t="s">
        <v>64</v>
      </c>
      <c r="B402" s="1" t="s">
        <v>468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</row>
    <row r="403" spans="1:63" x14ac:dyDescent="0.25">
      <c r="A403" s="1" t="s">
        <v>64</v>
      </c>
      <c r="B403" s="1" t="s">
        <v>469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</row>
    <row r="404" spans="1:63" x14ac:dyDescent="0.25">
      <c r="A404" s="1" t="s">
        <v>470</v>
      </c>
      <c r="B404" s="1" t="s">
        <v>72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</row>
    <row r="405" spans="1:63" x14ac:dyDescent="0.25">
      <c r="A405" s="1" t="s">
        <v>268</v>
      </c>
      <c r="B405" s="1" t="s">
        <v>268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1</v>
      </c>
      <c r="Y405">
        <v>1</v>
      </c>
      <c r="Z405">
        <v>1</v>
      </c>
      <c r="AA405">
        <v>1</v>
      </c>
      <c r="AB405">
        <v>8</v>
      </c>
      <c r="AC405">
        <v>8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18</v>
      </c>
      <c r="AW405">
        <v>18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20</v>
      </c>
      <c r="BF405">
        <v>52</v>
      </c>
      <c r="BG405">
        <v>65</v>
      </c>
      <c r="BH405">
        <v>65</v>
      </c>
      <c r="BI405">
        <v>65</v>
      </c>
      <c r="BJ405">
        <v>65</v>
      </c>
      <c r="BK405">
        <v>65</v>
      </c>
    </row>
    <row r="406" spans="1:63" x14ac:dyDescent="0.25">
      <c r="A406" s="1" t="s">
        <v>64</v>
      </c>
      <c r="B406" s="1" t="s">
        <v>471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</row>
    <row r="407" spans="1:63" x14ac:dyDescent="0.25">
      <c r="A407" s="1" t="s">
        <v>472</v>
      </c>
      <c r="B407" s="1" t="s">
        <v>224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</row>
    <row r="408" spans="1:63" x14ac:dyDescent="0.25">
      <c r="A408" s="1" t="s">
        <v>473</v>
      </c>
      <c r="B408" s="1" t="s">
        <v>70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</row>
    <row r="409" spans="1:63" x14ac:dyDescent="0.25">
      <c r="A409" s="1" t="s">
        <v>474</v>
      </c>
      <c r="B409" s="1" t="s">
        <v>70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</row>
    <row r="410" spans="1:63" x14ac:dyDescent="0.25">
      <c r="A410" s="1" t="s">
        <v>64</v>
      </c>
      <c r="B410" s="1" t="s">
        <v>475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4</v>
      </c>
    </row>
    <row r="411" spans="1:63" x14ac:dyDescent="0.25">
      <c r="A411" s="1" t="s">
        <v>64</v>
      </c>
      <c r="B411" s="1" t="s">
        <v>476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</row>
    <row r="412" spans="1:63" x14ac:dyDescent="0.25">
      <c r="A412" s="1" t="s">
        <v>64</v>
      </c>
      <c r="B412" s="1" t="s">
        <v>478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</row>
    <row r="413" spans="1:63" x14ac:dyDescent="0.25">
      <c r="A413" s="1" t="s">
        <v>64</v>
      </c>
      <c r="B413" s="1" t="s">
        <v>477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</row>
    <row r="414" spans="1:63" x14ac:dyDescent="0.25">
      <c r="A414" s="1" t="s">
        <v>170</v>
      </c>
      <c r="B414" s="1" t="s">
        <v>70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</row>
    <row r="415" spans="1:63" x14ac:dyDescent="0.25">
      <c r="A415" s="1" t="s">
        <v>64</v>
      </c>
      <c r="B415" s="1" t="s">
        <v>479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</row>
    <row r="416" spans="1:63" x14ac:dyDescent="0.25">
      <c r="A416" s="1" t="s">
        <v>480</v>
      </c>
      <c r="B416" s="1" t="s">
        <v>165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</row>
    <row r="417" spans="1:63" x14ac:dyDescent="0.25">
      <c r="A417" s="1" t="s">
        <v>64</v>
      </c>
      <c r="B417" s="1" t="s">
        <v>481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</row>
    <row r="418" spans="1:63" x14ac:dyDescent="0.25">
      <c r="A418" s="1" t="s">
        <v>64</v>
      </c>
      <c r="B418" s="1" t="s">
        <v>482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</row>
    <row r="419" spans="1:63" x14ac:dyDescent="0.25">
      <c r="A419" s="1" t="s">
        <v>483</v>
      </c>
      <c r="B419" s="1" t="s">
        <v>165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</row>
    <row r="420" spans="1:63" x14ac:dyDescent="0.25">
      <c r="A420" s="1" t="s">
        <v>64</v>
      </c>
      <c r="B420" s="1" t="s">
        <v>484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</row>
    <row r="421" spans="1:63" x14ac:dyDescent="0.25">
      <c r="A421" s="1" t="s">
        <v>64</v>
      </c>
      <c r="B421" s="1" t="s">
        <v>485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</row>
    <row r="422" spans="1:63" x14ac:dyDescent="0.25">
      <c r="A422" s="1" t="s">
        <v>64</v>
      </c>
      <c r="B422" s="1" t="s">
        <v>486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1</v>
      </c>
      <c r="BK422">
        <v>1</v>
      </c>
    </row>
    <row r="423" spans="1:63" x14ac:dyDescent="0.25">
      <c r="A423" s="1" t="s">
        <v>64</v>
      </c>
      <c r="B423" s="1" t="s">
        <v>487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15</v>
      </c>
    </row>
    <row r="424" spans="1:63" x14ac:dyDescent="0.25">
      <c r="A424" s="1" t="s">
        <v>64</v>
      </c>
      <c r="B424" s="1" t="s">
        <v>488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</row>
    <row r="425" spans="1:63" x14ac:dyDescent="0.25">
      <c r="A425" s="1" t="s">
        <v>64</v>
      </c>
      <c r="B425" s="1" t="s">
        <v>489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</row>
    <row r="426" spans="1:63" x14ac:dyDescent="0.25">
      <c r="A426" s="1" t="s">
        <v>64</v>
      </c>
      <c r="B426" s="1" t="s">
        <v>490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</row>
    <row r="427" spans="1:63" x14ac:dyDescent="0.25">
      <c r="A427" s="1" t="s">
        <v>64</v>
      </c>
      <c r="B427" s="1" t="s">
        <v>491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</row>
    <row r="428" spans="1:63" x14ac:dyDescent="0.25">
      <c r="A428" s="1" t="s">
        <v>64</v>
      </c>
      <c r="B428" s="1" t="s">
        <v>492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</row>
    <row r="429" spans="1:63" x14ac:dyDescent="0.25">
      <c r="A429" s="1" t="s">
        <v>64</v>
      </c>
      <c r="B429" s="1" t="s">
        <v>493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</row>
    <row r="430" spans="1:63" x14ac:dyDescent="0.25">
      <c r="A430" s="1" t="s">
        <v>64</v>
      </c>
      <c r="B430" s="1" t="s">
        <v>494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</row>
    <row r="431" spans="1:63" x14ac:dyDescent="0.25">
      <c r="A431" s="1" t="s">
        <v>64</v>
      </c>
      <c r="B431" s="1" t="s">
        <v>495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</row>
    <row r="432" spans="1:63" x14ac:dyDescent="0.25">
      <c r="A432" s="1" t="s">
        <v>496</v>
      </c>
      <c r="B432" s="1" t="s">
        <v>224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6</v>
      </c>
    </row>
    <row r="433" spans="1:63" x14ac:dyDescent="0.25">
      <c r="A433" s="1" t="s">
        <v>497</v>
      </c>
      <c r="B433" s="1" t="s">
        <v>165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</row>
    <row r="434" spans="1:63" x14ac:dyDescent="0.25">
      <c r="A434" s="1" t="s">
        <v>64</v>
      </c>
      <c r="B434" s="1" t="s">
        <v>498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</row>
    <row r="435" spans="1:63" x14ac:dyDescent="0.25">
      <c r="A435" s="1" t="s">
        <v>499</v>
      </c>
      <c r="B435" s="1" t="s">
        <v>70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</row>
    <row r="436" spans="1:63" x14ac:dyDescent="0.25">
      <c r="A436" s="1" t="s">
        <v>500</v>
      </c>
      <c r="B436" s="1" t="s">
        <v>70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</row>
    <row r="437" spans="1:63" x14ac:dyDescent="0.25">
      <c r="A437" s="1" t="s">
        <v>64</v>
      </c>
      <c r="B437" s="1" t="s">
        <v>501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</row>
    <row r="438" spans="1:63" x14ac:dyDescent="0.25">
      <c r="A438" s="1" t="s">
        <v>64</v>
      </c>
      <c r="B438" s="1" t="s">
        <v>502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</row>
    <row r="439" spans="1:63" x14ac:dyDescent="0.25">
      <c r="A439" s="1" t="s">
        <v>64</v>
      </c>
      <c r="B439" s="1" t="s">
        <v>503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</row>
    <row r="440" spans="1:63" x14ac:dyDescent="0.25">
      <c r="A440" s="1" t="s">
        <v>504</v>
      </c>
      <c r="B440" s="1" t="s">
        <v>224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</row>
    <row r="441" spans="1:63" x14ac:dyDescent="0.25">
      <c r="A441" s="1" t="s">
        <v>64</v>
      </c>
      <c r="B441" s="1" t="s">
        <v>505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</row>
    <row r="442" spans="1:63" x14ac:dyDescent="0.25">
      <c r="A442" s="1" t="s">
        <v>506</v>
      </c>
      <c r="B442" s="1" t="s">
        <v>506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2</v>
      </c>
      <c r="BD442">
        <v>2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</row>
    <row r="443" spans="1:63" x14ac:dyDescent="0.25">
      <c r="A443" s="1" t="s">
        <v>507</v>
      </c>
      <c r="B443" s="1" t="s">
        <v>70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</row>
    <row r="444" spans="1:63" x14ac:dyDescent="0.25">
      <c r="A444" s="1" t="s">
        <v>508</v>
      </c>
      <c r="B444" s="1" t="s">
        <v>224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</row>
    <row r="445" spans="1:63" x14ac:dyDescent="0.25">
      <c r="A445" s="1" t="s">
        <v>64</v>
      </c>
      <c r="B445" s="1" t="s">
        <v>509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</row>
    <row r="446" spans="1:63" x14ac:dyDescent="0.25">
      <c r="A446" s="1" t="s">
        <v>64</v>
      </c>
      <c r="B446" s="1" t="s">
        <v>510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</row>
    <row r="447" spans="1:63" x14ac:dyDescent="0.25">
      <c r="A447" s="1" t="s">
        <v>511</v>
      </c>
      <c r="B447" s="1" t="s">
        <v>506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</row>
    <row r="448" spans="1:63" x14ac:dyDescent="0.25">
      <c r="A448" s="1" t="s">
        <v>64</v>
      </c>
      <c r="B448" s="1" t="s">
        <v>512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</row>
    <row r="449" spans="1:63" x14ac:dyDescent="0.25">
      <c r="A449" s="1" t="s">
        <v>64</v>
      </c>
      <c r="B449" s="1" t="s">
        <v>513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</row>
    <row r="450" spans="1:63" x14ac:dyDescent="0.25">
      <c r="A450" s="1" t="s">
        <v>514</v>
      </c>
      <c r="B450" s="1" t="s">
        <v>165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</row>
    <row r="451" spans="1:63" x14ac:dyDescent="0.25">
      <c r="A451" s="1" t="s">
        <v>515</v>
      </c>
      <c r="B451" s="1" t="s">
        <v>268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</row>
    <row r="452" spans="1:63" x14ac:dyDescent="0.25">
      <c r="A452" s="1" t="s">
        <v>516</v>
      </c>
      <c r="B452" s="1" t="s">
        <v>224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</row>
    <row r="453" spans="1:63" x14ac:dyDescent="0.25">
      <c r="A453" s="1" t="s">
        <v>64</v>
      </c>
      <c r="B453" s="1" t="s">
        <v>517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</row>
    <row r="454" spans="1:63" x14ac:dyDescent="0.25">
      <c r="A454" s="1" t="s">
        <v>64</v>
      </c>
      <c r="B454" s="1" t="s">
        <v>518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</row>
    <row r="455" spans="1:63" x14ac:dyDescent="0.25">
      <c r="A455" s="1" t="s">
        <v>64</v>
      </c>
      <c r="B455" s="1" t="s">
        <v>519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</row>
    <row r="456" spans="1:63" x14ac:dyDescent="0.25">
      <c r="A456" s="1" t="s">
        <v>64</v>
      </c>
      <c r="B456" s="1" t="s">
        <v>520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</row>
    <row r="457" spans="1:63" x14ac:dyDescent="0.25">
      <c r="A457" s="1" t="s">
        <v>521</v>
      </c>
      <c r="B457" s="1" t="s">
        <v>506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</row>
    <row r="458" spans="1:63" x14ac:dyDescent="0.25">
      <c r="A458" s="1" t="s">
        <v>64</v>
      </c>
      <c r="B458" s="1" t="s">
        <v>522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</row>
    <row r="459" spans="1:63" x14ac:dyDescent="0.25">
      <c r="A459" s="1" t="s">
        <v>64</v>
      </c>
      <c r="B459" s="1" t="s">
        <v>523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</row>
    <row r="460" spans="1:63" x14ac:dyDescent="0.25">
      <c r="A460" s="1" t="s">
        <v>64</v>
      </c>
      <c r="B460" s="1" t="s">
        <v>524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</row>
    <row r="461" spans="1:63" x14ac:dyDescent="0.25">
      <c r="A461" s="1" t="s">
        <v>525</v>
      </c>
      <c r="B461" s="1" t="s">
        <v>268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</row>
    <row r="462" spans="1:63" x14ac:dyDescent="0.25">
      <c r="A462" s="1" t="s">
        <v>64</v>
      </c>
      <c r="B462" s="1" t="s">
        <v>526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</row>
    <row r="463" spans="1:63" x14ac:dyDescent="0.25">
      <c r="A463" s="1" t="s">
        <v>527</v>
      </c>
      <c r="B463" s="1" t="s">
        <v>237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</row>
    <row r="464" spans="1:63" x14ac:dyDescent="0.25">
      <c r="A464" s="1" t="s">
        <v>528</v>
      </c>
      <c r="B464" s="1" t="s">
        <v>224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</row>
    <row r="465" spans="1:63" x14ac:dyDescent="0.25">
      <c r="A465" s="1" t="s">
        <v>529</v>
      </c>
      <c r="B465" s="1" t="s">
        <v>268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</row>
    <row r="466" spans="1:63" x14ac:dyDescent="0.25">
      <c r="A466" s="1" t="s">
        <v>64</v>
      </c>
      <c r="B466" s="1" t="s">
        <v>530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</row>
    <row r="467" spans="1:63" x14ac:dyDescent="0.25">
      <c r="A467" s="1" t="s">
        <v>64</v>
      </c>
      <c r="B467" s="1" t="s">
        <v>531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</row>
    <row r="468" spans="1:63" x14ac:dyDescent="0.25">
      <c r="A468" s="1" t="s">
        <v>64</v>
      </c>
      <c r="B468" s="1" t="s">
        <v>532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</row>
    <row r="469" spans="1:63" x14ac:dyDescent="0.25">
      <c r="A469" s="1" t="s">
        <v>64</v>
      </c>
      <c r="B469" s="1" t="s">
        <v>533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</row>
    <row r="470" spans="1:63" x14ac:dyDescent="0.25">
      <c r="A470" s="1" t="s">
        <v>64</v>
      </c>
      <c r="B470" s="1" t="s">
        <v>534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</row>
    <row r="471" spans="1:63" x14ac:dyDescent="0.25">
      <c r="A471" s="1" t="s">
        <v>64</v>
      </c>
      <c r="B471" s="1" t="s">
        <v>535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</row>
    <row r="472" spans="1:63" x14ac:dyDescent="0.25">
      <c r="A472" s="1" t="s">
        <v>64</v>
      </c>
      <c r="B472" s="1" t="s">
        <v>536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</row>
    <row r="473" spans="1:63" x14ac:dyDescent="0.25">
      <c r="A473" s="1" t="s">
        <v>64</v>
      </c>
      <c r="B473" s="1" t="s">
        <v>537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</row>
    <row r="474" spans="1:63" x14ac:dyDescent="0.25">
      <c r="A474" s="1" t="s">
        <v>538</v>
      </c>
      <c r="B474" s="1" t="s">
        <v>506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</row>
    <row r="475" spans="1:63" x14ac:dyDescent="0.25">
      <c r="A475" s="1" t="s">
        <v>64</v>
      </c>
      <c r="B475" s="1" t="s">
        <v>539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</row>
    <row r="476" spans="1:63" x14ac:dyDescent="0.25">
      <c r="A476" s="1" t="s">
        <v>64</v>
      </c>
      <c r="B476" s="1" t="s">
        <v>540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</row>
    <row r="477" spans="1:63" x14ac:dyDescent="0.25">
      <c r="A477" s="1" t="s">
        <v>541</v>
      </c>
      <c r="B477" s="1" t="s">
        <v>268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</row>
    <row r="478" spans="1:63" x14ac:dyDescent="0.25">
      <c r="A478" s="1" t="s">
        <v>64</v>
      </c>
      <c r="B478" s="1" t="s">
        <v>542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</row>
    <row r="479" spans="1:63" x14ac:dyDescent="0.25">
      <c r="A479" s="1" t="s">
        <v>543</v>
      </c>
      <c r="B479" s="1" t="s">
        <v>70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</row>
    <row r="480" spans="1:63" x14ac:dyDescent="0.25">
      <c r="A480" s="1" t="s">
        <v>64</v>
      </c>
      <c r="B480" s="1" t="s">
        <v>544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</row>
    <row r="481" spans="1:63" x14ac:dyDescent="0.25">
      <c r="A481" s="1" t="s">
        <v>64</v>
      </c>
      <c r="B481" s="1" t="s">
        <v>545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</row>
    <row r="482" spans="1:63" x14ac:dyDescent="0.25">
      <c r="A482" s="1" t="s">
        <v>64</v>
      </c>
      <c r="B482" s="1" t="s">
        <v>546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</row>
    <row r="483" spans="1:63" x14ac:dyDescent="0.25">
      <c r="A483" s="1" t="s">
        <v>64</v>
      </c>
      <c r="B483" s="1" t="s">
        <v>547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</row>
    <row r="484" spans="1:63" x14ac:dyDescent="0.25">
      <c r="A484" s="1" t="s">
        <v>64</v>
      </c>
      <c r="B484" s="1" t="s">
        <v>548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</row>
    <row r="485" spans="1:63" x14ac:dyDescent="0.25">
      <c r="A485" s="1" t="s">
        <v>64</v>
      </c>
      <c r="B485" s="1" t="s">
        <v>549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</row>
    <row r="486" spans="1:63" x14ac:dyDescent="0.25">
      <c r="A486" s="1" t="s">
        <v>64</v>
      </c>
      <c r="B486" s="1" t="s">
        <v>550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</row>
    <row r="487" spans="1:63" x14ac:dyDescent="0.25">
      <c r="A487" s="1" t="s">
        <v>64</v>
      </c>
      <c r="B487" s="1" t="s">
        <v>551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</row>
    <row r="488" spans="1:63" x14ac:dyDescent="0.25">
      <c r="A488" s="1" t="s">
        <v>64</v>
      </c>
      <c r="B488" s="1" t="s">
        <v>552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</row>
    <row r="489" spans="1:63" x14ac:dyDescent="0.25">
      <c r="A489" s="1" t="s">
        <v>64</v>
      </c>
      <c r="B489" s="1" t="s">
        <v>508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</row>
    <row r="490" spans="1:63" x14ac:dyDescent="0.25">
      <c r="A490" s="1" t="s">
        <v>64</v>
      </c>
      <c r="B490" s="1" t="s">
        <v>516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</row>
    <row r="491" spans="1:63" x14ac:dyDescent="0.25">
      <c r="A491" s="1" t="s">
        <v>64</v>
      </c>
      <c r="B491" s="1" t="s">
        <v>496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</row>
    <row r="492" spans="1:63" x14ac:dyDescent="0.25">
      <c r="A492" s="1" t="s">
        <v>64</v>
      </c>
      <c r="B492" s="1" t="s">
        <v>504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</row>
    <row r="493" spans="1:63" x14ac:dyDescent="0.25">
      <c r="A493" s="1" t="s">
        <v>642</v>
      </c>
      <c r="B493" s="1" t="s">
        <v>165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</row>
    <row r="494" spans="1:63" x14ac:dyDescent="0.25">
      <c r="A494" s="1" t="s">
        <v>165</v>
      </c>
      <c r="B494" s="1" t="s">
        <v>165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</row>
    <row r="495" spans="1:63" x14ac:dyDescent="0.25">
      <c r="A495" s="1" t="s">
        <v>64</v>
      </c>
      <c r="B495" s="1" t="s">
        <v>527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</row>
    <row r="496" spans="1:63" x14ac:dyDescent="0.25">
      <c r="A496" s="1" t="s">
        <v>64</v>
      </c>
      <c r="B496" s="1" t="s">
        <v>497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</row>
    <row r="497" spans="1:63" x14ac:dyDescent="0.25">
      <c r="A497" s="1" t="s">
        <v>64</v>
      </c>
      <c r="B497" s="1" t="s">
        <v>643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</row>
    <row r="498" spans="1:63" x14ac:dyDescent="0.25">
      <c r="A498" s="1" t="s">
        <v>64</v>
      </c>
      <c r="B498" s="1" t="s">
        <v>644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</row>
    <row r="499" spans="1:63" x14ac:dyDescent="0.25">
      <c r="A499" s="1" t="s">
        <v>64</v>
      </c>
      <c r="B499" s="1" t="s">
        <v>483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</row>
    <row r="500" spans="1:63" x14ac:dyDescent="0.25">
      <c r="A500" s="1" t="s">
        <v>64</v>
      </c>
      <c r="B500" s="1" t="s">
        <v>645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</row>
    <row r="501" spans="1:63" x14ac:dyDescent="0.25">
      <c r="A501" s="1" t="s">
        <v>64</v>
      </c>
      <c r="B501" s="1" t="s">
        <v>646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</row>
    <row r="502" spans="1:63" x14ac:dyDescent="0.25">
      <c r="A502" s="1" t="s">
        <v>64</v>
      </c>
      <c r="B502" s="1" t="s">
        <v>647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BC3E4-EE95-4900-A721-82C64BE4BA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Overview</vt:lpstr>
      <vt:lpstr>RAW_Cases</vt:lpstr>
      <vt:lpstr>RAW_DEATHS</vt:lpstr>
      <vt:lpstr>RAW_RECOVERED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de Biasi</dc:creator>
  <cp:lastModifiedBy>Christian de Biasi</cp:lastModifiedBy>
  <dcterms:created xsi:type="dcterms:W3CDTF">2020-03-23T07:18:11Z</dcterms:created>
  <dcterms:modified xsi:type="dcterms:W3CDTF">2020-03-24T09:35:35Z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57ccef6-6f89-497f-837e-da3f8dd5386d_Enabled">
    <vt:lpwstr>True</vt:lpwstr>
  </property>
  <property fmtid="{D5CDD505-2E9C-101B-9397-08002B2CF9AE}" pid="3" name="MSIP_Label_757ccef6-6f89-497f-837e-da3f8dd5386d_SiteId">
    <vt:lpwstr>ce849bab-cc1c-465b-b62e-18f07c9ac198</vt:lpwstr>
  </property>
  <property fmtid="{D5CDD505-2E9C-101B-9397-08002B2CF9AE}" pid="4" name="MSIP_Label_757ccef6-6f89-497f-837e-da3f8dd5386d_Owner">
    <vt:lpwstr>Christian.de-Biasi@bmw.de</vt:lpwstr>
  </property>
  <property fmtid="{D5CDD505-2E9C-101B-9397-08002B2CF9AE}" pid="5" name="MSIP_Label_757ccef6-6f89-497f-837e-da3f8dd5386d_SetDate">
    <vt:lpwstr>2020-03-23T09:01:15.4181372Z</vt:lpwstr>
  </property>
  <property fmtid="{D5CDD505-2E9C-101B-9397-08002B2CF9AE}" pid="6" name="MSIP_Label_757ccef6-6f89-497f-837e-da3f8dd5386d_Name">
    <vt:lpwstr>Non business</vt:lpwstr>
  </property>
  <property fmtid="{D5CDD505-2E9C-101B-9397-08002B2CF9AE}" pid="7" name="MSIP_Label_757ccef6-6f89-497f-837e-da3f8dd5386d_Application">
    <vt:lpwstr>Microsoft Azure Information Protection</vt:lpwstr>
  </property>
  <property fmtid="{D5CDD505-2E9C-101B-9397-08002B2CF9AE}" pid="8" name="MSIP_Label_757ccef6-6f89-497f-837e-da3f8dd5386d_ActionId">
    <vt:lpwstr>7d34a12b-01e0-44a9-98db-ba2e6a570684</vt:lpwstr>
  </property>
  <property fmtid="{D5CDD505-2E9C-101B-9397-08002B2CF9AE}" pid="9" name="MSIP_Label_757ccef6-6f89-497f-837e-da3f8dd5386d_Extended_MSFT_Method">
    <vt:lpwstr>Manual</vt:lpwstr>
  </property>
  <property fmtid="{D5CDD505-2E9C-101B-9397-08002B2CF9AE}" pid="10" name="Sensitivity">
    <vt:lpwstr>Non business</vt:lpwstr>
  </property>
</Properties>
</file>