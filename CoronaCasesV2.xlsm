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17C8BB62-0C6C-4BFD-8877-A0B49A8B507A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RAW_Cases!$A$1:$GP$267</definedName>
    <definedName name="ExterneDaten_1" localSheetId="2" hidden="1">RAW_DEATHS!$A$1:$GP$267</definedName>
    <definedName name="ExterneDaten_1" localSheetId="3" hidden="1">RAW_RECOVERED!$A$1:$GP$253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Z13" i="1" l="1"/>
  <c r="EA13" i="1"/>
  <c r="DZ13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EA38" i="1"/>
  <c r="DZ38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Z38" i="1"/>
  <c r="CY38" i="1"/>
  <c r="CX38" i="1"/>
  <c r="CW38" i="1"/>
  <c r="CV38" i="1"/>
  <c r="CU38" i="1"/>
  <c r="CT38" i="1"/>
  <c r="CS38" i="1"/>
  <c r="EA34" i="1"/>
  <c r="DZ34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Z34" i="1"/>
  <c r="CY34" i="1"/>
  <c r="CX34" i="1"/>
  <c r="CW34" i="1"/>
  <c r="CV34" i="1"/>
  <c r="CU34" i="1"/>
  <c r="EA33" i="1"/>
  <c r="DZ33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Z33" i="1"/>
  <c r="CY33" i="1"/>
  <c r="CX33" i="1"/>
  <c r="CW33" i="1"/>
  <c r="CV33" i="1"/>
  <c r="CU33" i="1"/>
  <c r="EA32" i="1"/>
  <c r="DZ32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Z32" i="1"/>
  <c r="CY32" i="1"/>
  <c r="CX32" i="1"/>
  <c r="CW32" i="1"/>
  <c r="CV32" i="1"/>
  <c r="CU32" i="1"/>
  <c r="EA31" i="1"/>
  <c r="DZ31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Z31" i="1"/>
  <c r="CY31" i="1"/>
  <c r="CX31" i="1"/>
  <c r="CW31" i="1"/>
  <c r="CV31" i="1"/>
  <c r="CU31" i="1"/>
  <c r="EA30" i="1"/>
  <c r="DZ30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Z30" i="1"/>
  <c r="CY30" i="1"/>
  <c r="CX30" i="1"/>
  <c r="CW30" i="1"/>
  <c r="CV30" i="1"/>
  <c r="CU30" i="1"/>
  <c r="EA29" i="1"/>
  <c r="DZ29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Z29" i="1"/>
  <c r="CY29" i="1"/>
  <c r="CX29" i="1"/>
  <c r="CW29" i="1"/>
  <c r="CV29" i="1"/>
  <c r="CU29" i="1"/>
  <c r="EA28" i="1"/>
  <c r="DZ28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Z28" i="1"/>
  <c r="CY28" i="1"/>
  <c r="CX28" i="1"/>
  <c r="CW28" i="1"/>
  <c r="CV28" i="1"/>
  <c r="CU28" i="1"/>
  <c r="EA27" i="1"/>
  <c r="DZ27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Z27" i="1"/>
  <c r="CY27" i="1"/>
  <c r="CX27" i="1"/>
  <c r="CW27" i="1"/>
  <c r="CV27" i="1"/>
  <c r="CU27" i="1"/>
  <c r="EA23" i="1"/>
  <c r="DZ23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Z23" i="1"/>
  <c r="CY23" i="1"/>
  <c r="CX23" i="1"/>
  <c r="CW23" i="1"/>
  <c r="CV23" i="1"/>
  <c r="CU23" i="1"/>
  <c r="EA22" i="1"/>
  <c r="DZ22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Z22" i="1"/>
  <c r="CY22" i="1"/>
  <c r="CX22" i="1"/>
  <c r="CW22" i="1"/>
  <c r="CV22" i="1"/>
  <c r="CU22" i="1"/>
  <c r="EA21" i="1"/>
  <c r="DZ21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Z21" i="1"/>
  <c r="CY21" i="1"/>
  <c r="CX21" i="1"/>
  <c r="CW21" i="1"/>
  <c r="CV21" i="1"/>
  <c r="CU21" i="1"/>
  <c r="EA20" i="1"/>
  <c r="DZ20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Z20" i="1"/>
  <c r="CY20" i="1"/>
  <c r="CX20" i="1"/>
  <c r="CW20" i="1"/>
  <c r="CV20" i="1"/>
  <c r="CU20" i="1"/>
  <c r="EA19" i="1"/>
  <c r="DZ19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Z19" i="1"/>
  <c r="CY19" i="1"/>
  <c r="CX19" i="1"/>
  <c r="CW19" i="1"/>
  <c r="CV19" i="1"/>
  <c r="CU19" i="1"/>
  <c r="EA18" i="1"/>
  <c r="DZ18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Z18" i="1"/>
  <c r="CY18" i="1"/>
  <c r="CX18" i="1"/>
  <c r="CW18" i="1"/>
  <c r="CV18" i="1"/>
  <c r="CU18" i="1"/>
  <c r="EA17" i="1"/>
  <c r="DZ17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Z17" i="1"/>
  <c r="CY17" i="1"/>
  <c r="CX17" i="1"/>
  <c r="CW17" i="1"/>
  <c r="CV17" i="1"/>
  <c r="CU17" i="1"/>
  <c r="EA16" i="1"/>
  <c r="DZ16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Z16" i="1"/>
  <c r="CY16" i="1"/>
  <c r="CX16" i="1"/>
  <c r="CW16" i="1"/>
  <c r="CV16" i="1"/>
  <c r="CU16" i="1"/>
  <c r="EA6" i="1"/>
  <c r="DZ6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EA5" i="1"/>
  <c r="DZ5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Z5" i="1"/>
  <c r="CY5" i="1"/>
  <c r="CX5" i="1"/>
  <c r="CW5" i="1"/>
  <c r="CV5" i="1"/>
  <c r="CU5" i="1"/>
  <c r="CT5" i="1"/>
  <c r="EA4" i="1"/>
  <c r="EA12" i="1" s="1"/>
  <c r="DZ4" i="1"/>
  <c r="DZ12" i="1" s="1"/>
  <c r="DY4" i="1"/>
  <c r="DY12" i="1" s="1"/>
  <c r="DX4" i="1"/>
  <c r="DX12" i="1" s="1"/>
  <c r="DW4" i="1"/>
  <c r="DW10" i="1" s="1"/>
  <c r="DV4" i="1"/>
  <c r="DV10" i="1" s="1"/>
  <c r="DU4" i="1"/>
  <c r="DT4" i="1"/>
  <c r="DS4" i="1"/>
  <c r="DS12" i="1" s="1"/>
  <c r="DR4" i="1"/>
  <c r="DR12" i="1" s="1"/>
  <c r="DQ4" i="1"/>
  <c r="DQ12" i="1" s="1"/>
  <c r="DP4" i="1"/>
  <c r="DP12" i="1" s="1"/>
  <c r="DO4" i="1"/>
  <c r="DO10" i="1" s="1"/>
  <c r="DN4" i="1"/>
  <c r="DN10" i="1" s="1"/>
  <c r="DM4" i="1"/>
  <c r="DL4" i="1"/>
  <c r="DK4" i="1"/>
  <c r="DK12" i="1" s="1"/>
  <c r="DJ4" i="1"/>
  <c r="DJ12" i="1" s="1"/>
  <c r="DI4" i="1"/>
  <c r="DI12" i="1" s="1"/>
  <c r="DH4" i="1"/>
  <c r="DH12" i="1" s="1"/>
  <c r="DG4" i="1"/>
  <c r="DG10" i="1" s="1"/>
  <c r="DF4" i="1"/>
  <c r="DF10" i="1" s="1"/>
  <c r="DE4" i="1"/>
  <c r="DD4" i="1"/>
  <c r="DC4" i="1"/>
  <c r="DC12" i="1" s="1"/>
  <c r="DB4" i="1"/>
  <c r="DB12" i="1" s="1"/>
  <c r="DA4" i="1"/>
  <c r="DA12" i="1" s="1"/>
  <c r="CZ4" i="1"/>
  <c r="CY4" i="1"/>
  <c r="CX4" i="1"/>
  <c r="CW4" i="1"/>
  <c r="CV4" i="1"/>
  <c r="CU4" i="1"/>
  <c r="CT4" i="1"/>
  <c r="CT33" i="1"/>
  <c r="CS33" i="1"/>
  <c r="CT32" i="1"/>
  <c r="CS32" i="1"/>
  <c r="CT31" i="1"/>
  <c r="CS31" i="1"/>
  <c r="CT30" i="1"/>
  <c r="CS30" i="1"/>
  <c r="CT29" i="1"/>
  <c r="CS29" i="1"/>
  <c r="CT28" i="1"/>
  <c r="CS28" i="1"/>
  <c r="CT27" i="1"/>
  <c r="CS27" i="1"/>
  <c r="CT22" i="1"/>
  <c r="CS22" i="1"/>
  <c r="CT21" i="1"/>
  <c r="CS21" i="1"/>
  <c r="CT20" i="1"/>
  <c r="CS20" i="1"/>
  <c r="CT19" i="1"/>
  <c r="CS19" i="1"/>
  <c r="CT18" i="1"/>
  <c r="CS18" i="1"/>
  <c r="CT17" i="1"/>
  <c r="CS17" i="1"/>
  <c r="CT16" i="1"/>
  <c r="CS16" i="1"/>
  <c r="CS6" i="1"/>
  <c r="CS5" i="1"/>
  <c r="CS4" i="1"/>
  <c r="CT34" i="1"/>
  <c r="CS34" i="1"/>
  <c r="CT23" i="1"/>
  <c r="CS23" i="1"/>
  <c r="CT12" i="1" l="1"/>
  <c r="CZ12" i="1"/>
  <c r="CX9" i="1"/>
  <c r="DF9" i="1"/>
  <c r="DN9" i="1"/>
  <c r="DV9" i="1"/>
  <c r="CU12" i="1"/>
  <c r="DZ9" i="1"/>
  <c r="CX10" i="1"/>
  <c r="CV8" i="1"/>
  <c r="DD8" i="1"/>
  <c r="DL8" i="1"/>
  <c r="DT8" i="1"/>
  <c r="CY10" i="1"/>
  <c r="CZ9" i="1"/>
  <c r="DH9" i="1"/>
  <c r="DP9" i="1"/>
  <c r="DX9" i="1"/>
  <c r="CT9" i="1"/>
  <c r="DB9" i="1"/>
  <c r="DJ9" i="1"/>
  <c r="DR9" i="1"/>
  <c r="DQ9" i="1"/>
  <c r="CU9" i="1"/>
  <c r="DK9" i="1"/>
  <c r="DS9" i="1"/>
  <c r="EA9" i="1"/>
  <c r="DA9" i="1"/>
  <c r="DC9" i="1"/>
  <c r="DD9" i="1"/>
  <c r="DL9" i="1"/>
  <c r="DT9" i="1"/>
  <c r="CV9" i="1"/>
  <c r="CW9" i="1"/>
  <c r="DE9" i="1"/>
  <c r="DM9" i="1"/>
  <c r="DU9" i="1"/>
  <c r="DI9" i="1"/>
  <c r="DY9" i="1"/>
  <c r="CY9" i="1"/>
  <c r="DG9" i="1"/>
  <c r="DO9" i="1"/>
  <c r="DW9" i="1"/>
  <c r="CY8" i="1"/>
  <c r="DG8" i="1"/>
  <c r="DO8" i="1"/>
  <c r="DW8" i="1"/>
  <c r="DB8" i="1"/>
  <c r="DJ8" i="1"/>
  <c r="DR8" i="1"/>
  <c r="DZ8" i="1"/>
  <c r="CZ8" i="1"/>
  <c r="DP8" i="1"/>
  <c r="DX8" i="1"/>
  <c r="DH8" i="1"/>
  <c r="DA8" i="1"/>
  <c r="DI8" i="1"/>
  <c r="DQ8" i="1"/>
  <c r="DY8" i="1"/>
  <c r="CT8" i="1"/>
  <c r="CU8" i="1"/>
  <c r="DC8" i="1"/>
  <c r="DK8" i="1"/>
  <c r="DS8" i="1"/>
  <c r="EA8" i="1"/>
  <c r="CW8" i="1"/>
  <c r="DM8" i="1"/>
  <c r="DU8" i="1"/>
  <c r="DE8" i="1"/>
  <c r="CX8" i="1"/>
  <c r="DF8" i="1"/>
  <c r="DN8" i="1"/>
  <c r="DV8" i="1"/>
  <c r="CV11" i="1"/>
  <c r="DD11" i="1"/>
  <c r="DL11" i="1"/>
  <c r="DT11" i="1"/>
  <c r="CZ10" i="1"/>
  <c r="CW11" i="1"/>
  <c r="DE11" i="1"/>
  <c r="DM11" i="1"/>
  <c r="DU11" i="1"/>
  <c r="DH10" i="1"/>
  <c r="DP10" i="1"/>
  <c r="DX10" i="1"/>
  <c r="DF7" i="1"/>
  <c r="DF11" i="1"/>
  <c r="DN7" i="1"/>
  <c r="DN11" i="1"/>
  <c r="DV7" i="1"/>
  <c r="DV11" i="1"/>
  <c r="CY7" i="1"/>
  <c r="DG7" i="1"/>
  <c r="DO7" i="1"/>
  <c r="DW7" i="1"/>
  <c r="DA10" i="1"/>
  <c r="DI10" i="1"/>
  <c r="DQ10" i="1"/>
  <c r="DY10" i="1"/>
  <c r="CY11" i="1"/>
  <c r="DG11" i="1"/>
  <c r="DO11" i="1"/>
  <c r="DW11" i="1"/>
  <c r="CW12" i="1"/>
  <c r="DE12" i="1"/>
  <c r="DM12" i="1"/>
  <c r="DU12" i="1"/>
  <c r="CX11" i="1"/>
  <c r="CV12" i="1"/>
  <c r="DD12" i="1"/>
  <c r="DL12" i="1"/>
  <c r="DT12" i="1"/>
  <c r="CZ7" i="1"/>
  <c r="DH7" i="1"/>
  <c r="DP7" i="1"/>
  <c r="DX7" i="1"/>
  <c r="CT10" i="1"/>
  <c r="DB10" i="1"/>
  <c r="DJ10" i="1"/>
  <c r="DR10" i="1"/>
  <c r="DZ10" i="1"/>
  <c r="CZ11" i="1"/>
  <c r="DH11" i="1"/>
  <c r="DP11" i="1"/>
  <c r="DX11" i="1"/>
  <c r="CX12" i="1"/>
  <c r="DF12" i="1"/>
  <c r="DN12" i="1"/>
  <c r="DV12" i="1"/>
  <c r="DA7" i="1"/>
  <c r="DI7" i="1"/>
  <c r="DQ7" i="1"/>
  <c r="DY7" i="1"/>
  <c r="CU10" i="1"/>
  <c r="DC10" i="1"/>
  <c r="DK10" i="1"/>
  <c r="DS10" i="1"/>
  <c r="EA10" i="1"/>
  <c r="DA11" i="1"/>
  <c r="DI11" i="1"/>
  <c r="DQ11" i="1"/>
  <c r="DY11" i="1"/>
  <c r="CY12" i="1"/>
  <c r="DG12" i="1"/>
  <c r="DO12" i="1"/>
  <c r="DW12" i="1"/>
  <c r="CX7" i="1"/>
  <c r="CT7" i="1"/>
  <c r="DB7" i="1"/>
  <c r="DJ7" i="1"/>
  <c r="DR7" i="1"/>
  <c r="DZ7" i="1"/>
  <c r="CV10" i="1"/>
  <c r="DD10" i="1"/>
  <c r="DL10" i="1"/>
  <c r="DT10" i="1"/>
  <c r="CT11" i="1"/>
  <c r="DB11" i="1"/>
  <c r="DJ11" i="1"/>
  <c r="DR11" i="1"/>
  <c r="DZ11" i="1"/>
  <c r="CU7" i="1"/>
  <c r="DC7" i="1"/>
  <c r="DK7" i="1"/>
  <c r="DS7" i="1"/>
  <c r="EA7" i="1"/>
  <c r="CW10" i="1"/>
  <c r="DE10" i="1"/>
  <c r="DM10" i="1"/>
  <c r="DU10" i="1"/>
  <c r="CU11" i="1"/>
  <c r="DC11" i="1"/>
  <c r="DK11" i="1"/>
  <c r="DS11" i="1"/>
  <c r="EA11" i="1"/>
  <c r="CV7" i="1"/>
  <c r="DD7" i="1"/>
  <c r="DL7" i="1"/>
  <c r="DT7" i="1"/>
  <c r="CW7" i="1"/>
  <c r="DE7" i="1"/>
  <c r="DM7" i="1"/>
  <c r="DU7" i="1"/>
  <c r="CS10" i="1"/>
  <c r="CS12" i="1"/>
  <c r="CR45" i="1"/>
  <c r="CQ45" i="1"/>
  <c r="CP45" i="1"/>
  <c r="CO45" i="1"/>
  <c r="CN45" i="1"/>
  <c r="CM45" i="1"/>
  <c r="CL45" i="1"/>
  <c r="CR44" i="1"/>
  <c r="CQ44" i="1"/>
  <c r="CP44" i="1"/>
  <c r="CO44" i="1"/>
  <c r="CN44" i="1"/>
  <c r="CM44" i="1"/>
  <c r="CL44" i="1"/>
  <c r="CR43" i="1"/>
  <c r="CQ43" i="1"/>
  <c r="CP43" i="1"/>
  <c r="CO43" i="1"/>
  <c r="CN43" i="1"/>
  <c r="CM43" i="1"/>
  <c r="CL43" i="1"/>
  <c r="CR42" i="1"/>
  <c r="CQ42" i="1"/>
  <c r="CP42" i="1"/>
  <c r="CO42" i="1"/>
  <c r="CN42" i="1"/>
  <c r="CM42" i="1"/>
  <c r="CL42" i="1"/>
  <c r="CR41" i="1"/>
  <c r="CQ41" i="1"/>
  <c r="CP41" i="1"/>
  <c r="CO41" i="1"/>
  <c r="CN41" i="1"/>
  <c r="CM41" i="1"/>
  <c r="CL41" i="1"/>
  <c r="CR40" i="1"/>
  <c r="CQ40" i="1"/>
  <c r="CP40" i="1"/>
  <c r="CO40" i="1"/>
  <c r="CN40" i="1"/>
  <c r="CM40" i="1"/>
  <c r="CL40" i="1"/>
  <c r="CR39" i="1"/>
  <c r="CQ39" i="1"/>
  <c r="CP39" i="1"/>
  <c r="CO39" i="1"/>
  <c r="CN39" i="1"/>
  <c r="CM39" i="1"/>
  <c r="CL39" i="1"/>
  <c r="CR38" i="1"/>
  <c r="CQ38" i="1"/>
  <c r="CP38" i="1"/>
  <c r="CO38" i="1"/>
  <c r="CN38" i="1"/>
  <c r="CM38" i="1"/>
  <c r="CL38" i="1"/>
  <c r="CR34" i="1"/>
  <c r="CQ34" i="1"/>
  <c r="CP34" i="1"/>
  <c r="CO34" i="1"/>
  <c r="CN34" i="1"/>
  <c r="CM34" i="1"/>
  <c r="CL34" i="1"/>
  <c r="CR33" i="1"/>
  <c r="CQ33" i="1"/>
  <c r="CP33" i="1"/>
  <c r="CO33" i="1"/>
  <c r="CN33" i="1"/>
  <c r="CM33" i="1"/>
  <c r="CL33" i="1"/>
  <c r="CR32" i="1"/>
  <c r="CQ32" i="1"/>
  <c r="CP32" i="1"/>
  <c r="CO32" i="1"/>
  <c r="CN32" i="1"/>
  <c r="CM32" i="1"/>
  <c r="CL32" i="1"/>
  <c r="CR31" i="1"/>
  <c r="CQ31" i="1"/>
  <c r="CP31" i="1"/>
  <c r="CO31" i="1"/>
  <c r="CN31" i="1"/>
  <c r="CM31" i="1"/>
  <c r="CL31" i="1"/>
  <c r="CR30" i="1"/>
  <c r="CQ30" i="1"/>
  <c r="CP30" i="1"/>
  <c r="CO30" i="1"/>
  <c r="CN30" i="1"/>
  <c r="CM30" i="1"/>
  <c r="CL30" i="1"/>
  <c r="CR29" i="1"/>
  <c r="CQ29" i="1"/>
  <c r="CP29" i="1"/>
  <c r="CO29" i="1"/>
  <c r="CN29" i="1"/>
  <c r="CM29" i="1"/>
  <c r="CL29" i="1"/>
  <c r="CR28" i="1"/>
  <c r="CQ28" i="1"/>
  <c r="CP28" i="1"/>
  <c r="CO28" i="1"/>
  <c r="CN28" i="1"/>
  <c r="CM28" i="1"/>
  <c r="CL28" i="1"/>
  <c r="CR27" i="1"/>
  <c r="CQ27" i="1"/>
  <c r="CP27" i="1"/>
  <c r="CO27" i="1"/>
  <c r="CN27" i="1"/>
  <c r="CM27" i="1"/>
  <c r="CL27" i="1"/>
  <c r="CR23" i="1"/>
  <c r="CQ23" i="1"/>
  <c r="CP23" i="1"/>
  <c r="CO23" i="1"/>
  <c r="CN23" i="1"/>
  <c r="CM23" i="1"/>
  <c r="CL23" i="1"/>
  <c r="CR22" i="1"/>
  <c r="CQ22" i="1"/>
  <c r="CP22" i="1"/>
  <c r="CO22" i="1"/>
  <c r="CN22" i="1"/>
  <c r="CM22" i="1"/>
  <c r="CL22" i="1"/>
  <c r="CR21" i="1"/>
  <c r="CQ21" i="1"/>
  <c r="CP21" i="1"/>
  <c r="CO21" i="1"/>
  <c r="CN21" i="1"/>
  <c r="CM21" i="1"/>
  <c r="CL21" i="1"/>
  <c r="CR20" i="1"/>
  <c r="CQ20" i="1"/>
  <c r="CP20" i="1"/>
  <c r="CO20" i="1"/>
  <c r="CN20" i="1"/>
  <c r="CM20" i="1"/>
  <c r="CL20" i="1"/>
  <c r="CR19" i="1"/>
  <c r="CQ19" i="1"/>
  <c r="CP19" i="1"/>
  <c r="CO19" i="1"/>
  <c r="CN19" i="1"/>
  <c r="CM19" i="1"/>
  <c r="CL19" i="1"/>
  <c r="CR18" i="1"/>
  <c r="CQ18" i="1"/>
  <c r="CP18" i="1"/>
  <c r="CO18" i="1"/>
  <c r="CN18" i="1"/>
  <c r="CM18" i="1"/>
  <c r="CL18" i="1"/>
  <c r="CR17" i="1"/>
  <c r="CQ17" i="1"/>
  <c r="CP17" i="1"/>
  <c r="CO17" i="1"/>
  <c r="CN17" i="1"/>
  <c r="CM17" i="1"/>
  <c r="CL17" i="1"/>
  <c r="CR16" i="1"/>
  <c r="CQ16" i="1"/>
  <c r="CP16" i="1"/>
  <c r="CO16" i="1"/>
  <c r="CN16" i="1"/>
  <c r="CM16" i="1"/>
  <c r="CL16" i="1"/>
  <c r="CR6" i="1"/>
  <c r="CS9" i="1" s="1"/>
  <c r="CQ6" i="1"/>
  <c r="CP6" i="1"/>
  <c r="CO6" i="1"/>
  <c r="CN6" i="1"/>
  <c r="CM6" i="1"/>
  <c r="CL6" i="1"/>
  <c r="CR5" i="1"/>
  <c r="CS8" i="1" s="1"/>
  <c r="CQ5" i="1"/>
  <c r="CP5" i="1"/>
  <c r="CO5" i="1"/>
  <c r="CN5" i="1"/>
  <c r="CM5" i="1"/>
  <c r="CL5" i="1"/>
  <c r="CR4" i="1"/>
  <c r="CS11" i="1" s="1"/>
  <c r="CQ4" i="1"/>
  <c r="CP4" i="1"/>
  <c r="CO4" i="1"/>
  <c r="CN4" i="1"/>
  <c r="CM4" i="1"/>
  <c r="CL4" i="1"/>
  <c r="CK45" i="1"/>
  <c r="CJ45" i="1"/>
  <c r="CI45" i="1"/>
  <c r="CH45" i="1"/>
  <c r="CG45" i="1"/>
  <c r="CF45" i="1"/>
  <c r="CE45" i="1"/>
  <c r="CK34" i="1"/>
  <c r="CJ34" i="1"/>
  <c r="CK23" i="1"/>
  <c r="CJ23" i="1"/>
  <c r="CK22" i="1"/>
  <c r="CJ22" i="1"/>
  <c r="CI22" i="1"/>
  <c r="CH22" i="1"/>
  <c r="CG22" i="1"/>
  <c r="CK21" i="1"/>
  <c r="CJ21" i="1"/>
  <c r="CI21" i="1"/>
  <c r="CH21" i="1"/>
  <c r="CG21" i="1"/>
  <c r="CK20" i="1"/>
  <c r="CJ20" i="1"/>
  <c r="CI20" i="1"/>
  <c r="CH20" i="1"/>
  <c r="CG20" i="1"/>
  <c r="CK19" i="1"/>
  <c r="CJ19" i="1"/>
  <c r="CI19" i="1"/>
  <c r="CH19" i="1"/>
  <c r="CG19" i="1"/>
  <c r="CK18" i="1"/>
  <c r="CJ18" i="1"/>
  <c r="CI18" i="1"/>
  <c r="CH18" i="1"/>
  <c r="CG18" i="1"/>
  <c r="CK17" i="1"/>
  <c r="CJ17" i="1"/>
  <c r="CI17" i="1"/>
  <c r="CH17" i="1"/>
  <c r="CG17" i="1"/>
  <c r="CK16" i="1"/>
  <c r="CJ16" i="1"/>
  <c r="CI16" i="1"/>
  <c r="CH16" i="1"/>
  <c r="CG16" i="1"/>
  <c r="CF22" i="1"/>
  <c r="CF21" i="1"/>
  <c r="CF20" i="1"/>
  <c r="CF19" i="1"/>
  <c r="CF18" i="1"/>
  <c r="CF17" i="1"/>
  <c r="CF16" i="1"/>
  <c r="CF23" i="1"/>
  <c r="CG23" i="1"/>
  <c r="CH23" i="1"/>
  <c r="CI23" i="1"/>
  <c r="CF4" i="1"/>
  <c r="CG4" i="1"/>
  <c r="CH4" i="1"/>
  <c r="CI4" i="1"/>
  <c r="CJ4" i="1"/>
  <c r="CK4" i="1"/>
  <c r="CF5" i="1"/>
  <c r="CG5" i="1"/>
  <c r="CH5" i="1"/>
  <c r="CI5" i="1"/>
  <c r="CJ5" i="1"/>
  <c r="CK5" i="1"/>
  <c r="CF6" i="1"/>
  <c r="CG6" i="1"/>
  <c r="CH6" i="1"/>
  <c r="CI6" i="1"/>
  <c r="CJ6" i="1"/>
  <c r="CK6" i="1"/>
  <c r="CS7" i="1" l="1"/>
  <c r="CH13" i="1"/>
  <c r="CL13" i="1"/>
  <c r="CP13" i="1"/>
  <c r="CG13" i="1"/>
  <c r="CQ13" i="1"/>
  <c r="CK13" i="1"/>
  <c r="CM13" i="1"/>
  <c r="CJ13" i="1"/>
  <c r="CN13" i="1"/>
  <c r="CI13" i="1"/>
  <c r="CR12" i="1"/>
  <c r="CO12" i="1"/>
  <c r="CO13" i="1"/>
  <c r="CP10" i="1"/>
  <c r="CM9" i="1"/>
  <c r="CI8" i="1"/>
  <c r="CQ11" i="1"/>
  <c r="CR8" i="1"/>
  <c r="CP8" i="1"/>
  <c r="CK12" i="1"/>
  <c r="CI7" i="1"/>
  <c r="CL8" i="1"/>
  <c r="CM7" i="1"/>
  <c r="CL9" i="1"/>
  <c r="CH9" i="1"/>
  <c r="CP9" i="1"/>
  <c r="CR9" i="1"/>
  <c r="CN9" i="1"/>
  <c r="CO9" i="1"/>
  <c r="CG9" i="1"/>
  <c r="CQ9" i="1"/>
  <c r="CQ8" i="1"/>
  <c r="CN8" i="1"/>
  <c r="CJ10" i="1"/>
  <c r="CO8" i="1"/>
  <c r="CM8" i="1"/>
  <c r="CH8" i="1"/>
  <c r="CN11" i="1"/>
  <c r="CR7" i="1"/>
  <c r="CJ12" i="1"/>
  <c r="CL7" i="1"/>
  <c r="CQ10" i="1"/>
  <c r="CR10" i="1"/>
  <c r="CR11" i="1"/>
  <c r="CO7" i="1"/>
  <c r="CL12" i="1"/>
  <c r="CP7" i="1"/>
  <c r="CL11" i="1"/>
  <c r="CM12" i="1"/>
  <c r="CQ7" i="1"/>
  <c r="CL10" i="1"/>
  <c r="CM11" i="1"/>
  <c r="CN12" i="1"/>
  <c r="CN7" i="1"/>
  <c r="CN10" i="1"/>
  <c r="CO11" i="1"/>
  <c r="CP12" i="1"/>
  <c r="CO10" i="1"/>
  <c r="CP11" i="1"/>
  <c r="CQ12" i="1"/>
  <c r="CM10" i="1"/>
  <c r="CH11" i="1"/>
  <c r="CK8" i="1"/>
  <c r="CI9" i="1"/>
  <c r="CK9" i="1"/>
  <c r="CG12" i="1"/>
  <c r="CJ8" i="1"/>
  <c r="CG8" i="1"/>
  <c r="CH10" i="1"/>
  <c r="CH12" i="1"/>
  <c r="CK11" i="1"/>
  <c r="CJ11" i="1"/>
  <c r="CK10" i="1"/>
  <c r="CI10" i="1"/>
  <c r="CG10" i="1"/>
  <c r="CI11" i="1"/>
  <c r="CK7" i="1"/>
  <c r="CJ7" i="1"/>
  <c r="CH7" i="1"/>
  <c r="CG11" i="1"/>
  <c r="CF10" i="1"/>
  <c r="CG7" i="1"/>
  <c r="CF12" i="1"/>
  <c r="CI12" i="1"/>
  <c r="CJ9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CE6" i="1" l="1"/>
  <c r="CF9" i="1" s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F8" i="1" s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CB13" i="1" l="1"/>
  <c r="CA13" i="1"/>
  <c r="BL13" i="1"/>
  <c r="BT13" i="1"/>
  <c r="BF13" i="1"/>
  <c r="BN13" i="1"/>
  <c r="BV13" i="1"/>
  <c r="CD13" i="1"/>
  <c r="BC13" i="1"/>
  <c r="BS13" i="1"/>
  <c r="BI13" i="1"/>
  <c r="BY13" i="1"/>
  <c r="BD13" i="1"/>
  <c r="BK13" i="1"/>
  <c r="BE13" i="1"/>
  <c r="BM13" i="1"/>
  <c r="BU13" i="1"/>
  <c r="CC13" i="1"/>
  <c r="BG13" i="1"/>
  <c r="BO13" i="1"/>
  <c r="BW13" i="1"/>
  <c r="CE13" i="1"/>
  <c r="CF13" i="1"/>
  <c r="BH13" i="1"/>
  <c r="BP13" i="1"/>
  <c r="BX13" i="1"/>
  <c r="BQ13" i="1"/>
  <c r="BJ13" i="1"/>
  <c r="BR13" i="1"/>
  <c r="BZ13" i="1"/>
  <c r="AP13" i="1"/>
  <c r="AX13" i="1"/>
  <c r="AT13" i="1"/>
  <c r="BB13" i="1"/>
  <c r="BL12" i="1"/>
  <c r="AO12" i="1"/>
  <c r="AO13" i="1"/>
  <c r="AW12" i="1"/>
  <c r="AW13" i="1"/>
  <c r="BE12" i="1"/>
  <c r="BM12" i="1"/>
  <c r="BD12" i="1"/>
  <c r="BN12" i="1"/>
  <c r="AQ13" i="1"/>
  <c r="AY13" i="1"/>
  <c r="AR13" i="1"/>
  <c r="AZ13" i="1"/>
  <c r="AV12" i="1"/>
  <c r="AV13" i="1"/>
  <c r="AS13" i="1"/>
  <c r="BA13" i="1"/>
  <c r="AU13" i="1"/>
  <c r="CF11" i="1"/>
  <c r="CF7" i="1"/>
  <c r="AT12" i="1"/>
  <c r="BJ12" i="1"/>
  <c r="AU12" i="1"/>
  <c r="BC12" i="1"/>
  <c r="BK12" i="1"/>
  <c r="AP12" i="1"/>
  <c r="AX12" i="1"/>
  <c r="BF12" i="1"/>
  <c r="BB12" i="1"/>
  <c r="AS12" i="1"/>
  <c r="BA12" i="1"/>
  <c r="BI12" i="1"/>
  <c r="BU10" i="1"/>
  <c r="BU12" i="1"/>
  <c r="CC10" i="1"/>
  <c r="CC12" i="1"/>
  <c r="BV10" i="1"/>
  <c r="BV12" i="1"/>
  <c r="CD10" i="1"/>
  <c r="CD12" i="1"/>
  <c r="BT10" i="1"/>
  <c r="BT12" i="1"/>
  <c r="AQ10" i="1"/>
  <c r="AQ12" i="1"/>
  <c r="AY10" i="1"/>
  <c r="AY12" i="1"/>
  <c r="BG10" i="1"/>
  <c r="BG12" i="1"/>
  <c r="BO10" i="1"/>
  <c r="BO12" i="1"/>
  <c r="BW10" i="1"/>
  <c r="BW12" i="1"/>
  <c r="CE10" i="1"/>
  <c r="CE12" i="1"/>
  <c r="AR10" i="1"/>
  <c r="AR12" i="1"/>
  <c r="AZ10" i="1"/>
  <c r="AZ12" i="1"/>
  <c r="BH10" i="1"/>
  <c r="BH12" i="1"/>
  <c r="BP10" i="1"/>
  <c r="BP12" i="1"/>
  <c r="BX10" i="1"/>
  <c r="BX12" i="1"/>
  <c r="BQ10" i="1"/>
  <c r="BQ12" i="1"/>
  <c r="BY10" i="1"/>
  <c r="BY12" i="1"/>
  <c r="CB10" i="1"/>
  <c r="CB12" i="1"/>
  <c r="BR10" i="1"/>
  <c r="BR12" i="1"/>
  <c r="BZ10" i="1"/>
  <c r="BZ12" i="1"/>
  <c r="BS10" i="1"/>
  <c r="BS12" i="1"/>
  <c r="CA10" i="1"/>
  <c r="CA12" i="1"/>
  <c r="AP10" i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O45" i="1" l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33" i="1" l="1"/>
  <c r="A31" i="1"/>
  <c r="A30" i="1"/>
  <c r="A29" i="1"/>
  <c r="A28" i="1"/>
  <c r="A27" i="1"/>
  <c r="A32" i="1"/>
  <c r="CG29" i="1" l="1"/>
  <c r="CF29" i="1"/>
  <c r="CK29" i="1"/>
  <c r="CH29" i="1"/>
  <c r="CJ29" i="1"/>
  <c r="CI29" i="1"/>
  <c r="CF30" i="1"/>
  <c r="CK30" i="1"/>
  <c r="CJ30" i="1"/>
  <c r="CG30" i="1"/>
  <c r="CI30" i="1"/>
  <c r="CH30" i="1"/>
  <c r="CH28" i="1"/>
  <c r="CG28" i="1"/>
  <c r="CF28" i="1"/>
  <c r="CI28" i="1"/>
  <c r="CK28" i="1"/>
  <c r="CJ28" i="1"/>
  <c r="CK31" i="1"/>
  <c r="CJ31" i="1"/>
  <c r="CI31" i="1"/>
  <c r="CF31" i="1"/>
  <c r="CH31" i="1"/>
  <c r="CG31" i="1"/>
  <c r="CK32" i="1"/>
  <c r="CJ32" i="1"/>
  <c r="CI32" i="1"/>
  <c r="CH32" i="1"/>
  <c r="CG32" i="1"/>
  <c r="CF32" i="1"/>
  <c r="CI27" i="1"/>
  <c r="CH27" i="1"/>
  <c r="CG27" i="1"/>
  <c r="CF27" i="1"/>
  <c r="CJ27" i="1"/>
  <c r="CK27" i="1"/>
  <c r="CK33" i="1"/>
  <c r="CJ33" i="1"/>
  <c r="CI33" i="1"/>
  <c r="CH33" i="1"/>
  <c r="CG33" i="1"/>
  <c r="CF33" i="1"/>
  <c r="BX28" i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A32" i="1"/>
  <c r="BS32" i="1"/>
  <c r="BK32" i="1"/>
  <c r="BC32" i="1"/>
  <c r="AU32" i="1"/>
  <c r="AM32" i="1"/>
  <c r="AE32" i="1"/>
  <c r="W32" i="1"/>
  <c r="O32" i="1"/>
  <c r="G32" i="1"/>
  <c r="BZ32" i="1"/>
  <c r="BR32" i="1"/>
  <c r="BJ32" i="1"/>
  <c r="BB32" i="1"/>
  <c r="AT32" i="1"/>
  <c r="AL32" i="1"/>
  <c r="AD32" i="1"/>
  <c r="V32" i="1"/>
  <c r="N32" i="1"/>
  <c r="F32" i="1"/>
  <c r="BV32" i="1"/>
  <c r="BL32" i="1"/>
  <c r="AZ32" i="1"/>
  <c r="AP32" i="1"/>
  <c r="AF32" i="1"/>
  <c r="T32" i="1"/>
  <c r="J32" i="1"/>
  <c r="CE32" i="1"/>
  <c r="BU32" i="1"/>
  <c r="BI32" i="1"/>
  <c r="AY32" i="1"/>
  <c r="AO32" i="1"/>
  <c r="AC32" i="1"/>
  <c r="S32" i="1"/>
  <c r="I32" i="1"/>
  <c r="CD32" i="1"/>
  <c r="BT32" i="1"/>
  <c r="BH32" i="1"/>
  <c r="AX32" i="1"/>
  <c r="AN32" i="1"/>
  <c r="AB32" i="1"/>
  <c r="R32" i="1"/>
  <c r="H32" i="1"/>
  <c r="CC32" i="1"/>
  <c r="BQ32" i="1"/>
  <c r="BG32" i="1"/>
  <c r="AW32" i="1"/>
  <c r="AK32" i="1"/>
  <c r="AA32" i="1"/>
  <c r="Q32" i="1"/>
  <c r="E32" i="1"/>
  <c r="CB32" i="1"/>
  <c r="BP32" i="1"/>
  <c r="BF32" i="1"/>
  <c r="AV32" i="1"/>
  <c r="AJ32" i="1"/>
  <c r="Z32" i="1"/>
  <c r="P32" i="1"/>
  <c r="D32" i="1"/>
  <c r="BY32" i="1"/>
  <c r="BO32" i="1"/>
  <c r="BE32" i="1"/>
  <c r="AS32" i="1"/>
  <c r="AI32" i="1"/>
  <c r="Y32" i="1"/>
  <c r="M32" i="1"/>
  <c r="C32" i="1"/>
  <c r="BX32" i="1"/>
  <c r="BN32" i="1"/>
  <c r="BD32" i="1"/>
  <c r="AR32" i="1"/>
  <c r="AH32" i="1"/>
  <c r="X32" i="1"/>
  <c r="L32" i="1"/>
  <c r="B32" i="1"/>
  <c r="BW32" i="1"/>
  <c r="BM32" i="1"/>
  <c r="BA32" i="1"/>
  <c r="AQ32" i="1"/>
  <c r="AG32" i="1"/>
  <c r="U32" i="1"/>
  <c r="K32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CD29" i="1"/>
  <c r="BV29" i="1"/>
  <c r="BN29" i="1"/>
  <c r="BF29" i="1"/>
  <c r="AX29" i="1"/>
  <c r="AP29" i="1"/>
  <c r="AH29" i="1"/>
  <c r="Z29" i="1"/>
  <c r="R29" i="1"/>
  <c r="J29" i="1"/>
  <c r="B29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A29" i="1"/>
  <c r="BS29" i="1"/>
  <c r="BK29" i="1"/>
  <c r="BC29" i="1"/>
  <c r="AU29" i="1"/>
  <c r="AM29" i="1"/>
  <c r="AE29" i="1"/>
  <c r="W29" i="1"/>
  <c r="O29" i="1"/>
  <c r="G29" i="1"/>
  <c r="BZ29" i="1"/>
  <c r="BR29" i="1"/>
  <c r="BJ29" i="1"/>
  <c r="BB29" i="1"/>
  <c r="AT29" i="1"/>
  <c r="AL29" i="1"/>
  <c r="AD29" i="1"/>
  <c r="V29" i="1"/>
  <c r="N29" i="1"/>
  <c r="F29" i="1"/>
  <c r="BY29" i="1"/>
  <c r="BQ29" i="1"/>
  <c r="BI29" i="1"/>
  <c r="BA29" i="1"/>
  <c r="AS29" i="1"/>
  <c r="AK29" i="1"/>
  <c r="AC29" i="1"/>
  <c r="U29" i="1"/>
  <c r="M29" i="1"/>
  <c r="E29" i="1"/>
  <c r="BX29" i="1"/>
  <c r="BP29" i="1"/>
  <c r="BH29" i="1"/>
  <c r="AZ29" i="1"/>
  <c r="AR29" i="1"/>
  <c r="AJ29" i="1"/>
  <c r="AB29" i="1"/>
  <c r="T29" i="1"/>
  <c r="L29" i="1"/>
  <c r="D29" i="1"/>
  <c r="CE29" i="1"/>
  <c r="BW29" i="1"/>
  <c r="BO29" i="1"/>
  <c r="BG29" i="1"/>
  <c r="AY29" i="1"/>
  <c r="AQ29" i="1"/>
  <c r="AI29" i="1"/>
  <c r="AA29" i="1"/>
  <c r="S29" i="1"/>
  <c r="K29" i="1"/>
  <c r="C29" i="1"/>
  <c r="CE30" i="1"/>
  <c r="BW30" i="1"/>
  <c r="BO30" i="1"/>
  <c r="BG30" i="1"/>
  <c r="CD30" i="1"/>
  <c r="BV30" i="1"/>
  <c r="BN30" i="1"/>
  <c r="BF30" i="1"/>
  <c r="BZ30" i="1"/>
  <c r="BP30" i="1"/>
  <c r="BD30" i="1"/>
  <c r="AV30" i="1"/>
  <c r="AN30" i="1"/>
  <c r="AF30" i="1"/>
  <c r="X30" i="1"/>
  <c r="P30" i="1"/>
  <c r="H30" i="1"/>
  <c r="BY30" i="1"/>
  <c r="BM30" i="1"/>
  <c r="BC30" i="1"/>
  <c r="AU30" i="1"/>
  <c r="AM30" i="1"/>
  <c r="AE30" i="1"/>
  <c r="W30" i="1"/>
  <c r="O30" i="1"/>
  <c r="G30" i="1"/>
  <c r="BX30" i="1"/>
  <c r="BL30" i="1"/>
  <c r="BB30" i="1"/>
  <c r="AT30" i="1"/>
  <c r="AL30" i="1"/>
  <c r="AD30" i="1"/>
  <c r="V30" i="1"/>
  <c r="N30" i="1"/>
  <c r="F30" i="1"/>
  <c r="BU30" i="1"/>
  <c r="BK30" i="1"/>
  <c r="BA30" i="1"/>
  <c r="AS30" i="1"/>
  <c r="AK30" i="1"/>
  <c r="AC30" i="1"/>
  <c r="U30" i="1"/>
  <c r="M30" i="1"/>
  <c r="E30" i="1"/>
  <c r="BT30" i="1"/>
  <c r="BJ30" i="1"/>
  <c r="AZ30" i="1"/>
  <c r="AR30" i="1"/>
  <c r="AJ30" i="1"/>
  <c r="AB30" i="1"/>
  <c r="T30" i="1"/>
  <c r="L30" i="1"/>
  <c r="D30" i="1"/>
  <c r="CC30" i="1"/>
  <c r="BS30" i="1"/>
  <c r="BI30" i="1"/>
  <c r="AY30" i="1"/>
  <c r="AQ30" i="1"/>
  <c r="AI30" i="1"/>
  <c r="AA30" i="1"/>
  <c r="S30" i="1"/>
  <c r="K30" i="1"/>
  <c r="C30" i="1"/>
  <c r="CB30" i="1"/>
  <c r="BR30" i="1"/>
  <c r="BH30" i="1"/>
  <c r="AX30" i="1"/>
  <c r="AP30" i="1"/>
  <c r="AH30" i="1"/>
  <c r="Z30" i="1"/>
  <c r="R30" i="1"/>
  <c r="J30" i="1"/>
  <c r="B30" i="1"/>
  <c r="CA30" i="1"/>
  <c r="BQ30" i="1"/>
  <c r="BE30" i="1"/>
  <c r="AW30" i="1"/>
  <c r="AO30" i="1"/>
  <c r="AG30" i="1"/>
  <c r="Y30" i="1"/>
  <c r="Q30" i="1"/>
  <c r="I30" i="1"/>
  <c r="CC31" i="1"/>
  <c r="BU31" i="1"/>
  <c r="BM31" i="1"/>
  <c r="BE31" i="1"/>
  <c r="AW31" i="1"/>
  <c r="AO31" i="1"/>
  <c r="AG31" i="1"/>
  <c r="Y31" i="1"/>
  <c r="Q31" i="1"/>
  <c r="I31" i="1"/>
  <c r="CB31" i="1"/>
  <c r="BT31" i="1"/>
  <c r="BL31" i="1"/>
  <c r="BD31" i="1"/>
  <c r="AV31" i="1"/>
  <c r="AN31" i="1"/>
  <c r="AF31" i="1"/>
  <c r="X31" i="1"/>
  <c r="P31" i="1"/>
  <c r="H31" i="1"/>
  <c r="CD31" i="1"/>
  <c r="BR31" i="1"/>
  <c r="BH31" i="1"/>
  <c r="AX31" i="1"/>
  <c r="AL31" i="1"/>
  <c r="AB31" i="1"/>
  <c r="R31" i="1"/>
  <c r="F31" i="1"/>
  <c r="CA31" i="1"/>
  <c r="BQ31" i="1"/>
  <c r="BG31" i="1"/>
  <c r="AU31" i="1"/>
  <c r="AK31" i="1"/>
  <c r="AA31" i="1"/>
  <c r="O31" i="1"/>
  <c r="E31" i="1"/>
  <c r="BZ31" i="1"/>
  <c r="BP31" i="1"/>
  <c r="BF31" i="1"/>
  <c r="AT31" i="1"/>
  <c r="AJ31" i="1"/>
  <c r="Z31" i="1"/>
  <c r="N31" i="1"/>
  <c r="D31" i="1"/>
  <c r="BY31" i="1"/>
  <c r="BO31" i="1"/>
  <c r="BC31" i="1"/>
  <c r="AS31" i="1"/>
  <c r="AI31" i="1"/>
  <c r="W31" i="1"/>
  <c r="M31" i="1"/>
  <c r="C31" i="1"/>
  <c r="BX31" i="1"/>
  <c r="BN31" i="1"/>
  <c r="BB31" i="1"/>
  <c r="AR31" i="1"/>
  <c r="AH31" i="1"/>
  <c r="V31" i="1"/>
  <c r="L31" i="1"/>
  <c r="B31" i="1"/>
  <c r="BW31" i="1"/>
  <c r="BK31" i="1"/>
  <c r="BA31" i="1"/>
  <c r="AQ31" i="1"/>
  <c r="AE31" i="1"/>
  <c r="U31" i="1"/>
  <c r="K31" i="1"/>
  <c r="BV31" i="1"/>
  <c r="BJ31" i="1"/>
  <c r="AZ31" i="1"/>
  <c r="AP31" i="1"/>
  <c r="AD31" i="1"/>
  <c r="T31" i="1"/>
  <c r="J31" i="1"/>
  <c r="CE31" i="1"/>
  <c r="BS31" i="1"/>
  <c r="BI31" i="1"/>
  <c r="AY31" i="1"/>
  <c r="AM31" i="1"/>
  <c r="AC31" i="1"/>
  <c r="S31" i="1"/>
  <c r="G31" i="1"/>
  <c r="CB33" i="1"/>
  <c r="BT33" i="1"/>
  <c r="BL33" i="1"/>
  <c r="BD33" i="1"/>
  <c r="AV33" i="1"/>
  <c r="AN33" i="1"/>
  <c r="AF33" i="1"/>
  <c r="X33" i="1"/>
  <c r="P33" i="1"/>
  <c r="H33" i="1"/>
  <c r="AW33" i="1"/>
  <c r="Q33" i="1"/>
  <c r="CA33" i="1"/>
  <c r="BS33" i="1"/>
  <c r="BK33" i="1"/>
  <c r="BC33" i="1"/>
  <c r="AU33" i="1"/>
  <c r="AM33" i="1"/>
  <c r="AE33" i="1"/>
  <c r="W33" i="1"/>
  <c r="O33" i="1"/>
  <c r="G33" i="1"/>
  <c r="CC33" i="1"/>
  <c r="I33" i="1"/>
  <c r="BZ33" i="1"/>
  <c r="BR33" i="1"/>
  <c r="BJ33" i="1"/>
  <c r="BB33" i="1"/>
  <c r="AT33" i="1"/>
  <c r="AL33" i="1"/>
  <c r="AD33" i="1"/>
  <c r="V33" i="1"/>
  <c r="N33" i="1"/>
  <c r="F33" i="1"/>
  <c r="AO33" i="1"/>
  <c r="BY33" i="1"/>
  <c r="BQ33" i="1"/>
  <c r="BI33" i="1"/>
  <c r="BA33" i="1"/>
  <c r="AS33" i="1"/>
  <c r="AK33" i="1"/>
  <c r="AC33" i="1"/>
  <c r="U33" i="1"/>
  <c r="M33" i="1"/>
  <c r="E33" i="1"/>
  <c r="BM33" i="1"/>
  <c r="BX33" i="1"/>
  <c r="BP33" i="1"/>
  <c r="BH33" i="1"/>
  <c r="AZ33" i="1"/>
  <c r="AR33" i="1"/>
  <c r="AJ33" i="1"/>
  <c r="AB33" i="1"/>
  <c r="T33" i="1"/>
  <c r="L33" i="1"/>
  <c r="D33" i="1"/>
  <c r="BU33" i="1"/>
  <c r="Y33" i="1"/>
  <c r="CE33" i="1"/>
  <c r="BW33" i="1"/>
  <c r="BO33" i="1"/>
  <c r="BG33" i="1"/>
  <c r="AY33" i="1"/>
  <c r="AQ33" i="1"/>
  <c r="AI33" i="1"/>
  <c r="AA33" i="1"/>
  <c r="S33" i="1"/>
  <c r="K33" i="1"/>
  <c r="C33" i="1"/>
  <c r="BE33" i="1"/>
  <c r="CD33" i="1"/>
  <c r="BV33" i="1"/>
  <c r="BN33" i="1"/>
  <c r="BF33" i="1"/>
  <c r="AX33" i="1"/>
  <c r="AP33" i="1"/>
  <c r="AH33" i="1"/>
  <c r="Z33" i="1"/>
  <c r="R33" i="1"/>
  <c r="J33" i="1"/>
  <c r="B33" i="1"/>
  <c r="AG33" i="1"/>
  <c r="A40" i="1"/>
  <c r="A39" i="1"/>
  <c r="A41" i="1"/>
  <c r="A42" i="1"/>
  <c r="A44" i="1"/>
  <c r="A43" i="1"/>
  <c r="A38" i="1"/>
  <c r="CH40" i="1" l="1"/>
  <c r="CG40" i="1"/>
  <c r="CF40" i="1"/>
  <c r="CE40" i="1"/>
  <c r="CI40" i="1"/>
  <c r="CK40" i="1"/>
  <c r="CJ40" i="1"/>
  <c r="CJ39" i="1"/>
  <c r="CI39" i="1"/>
  <c r="CH39" i="1"/>
  <c r="CG39" i="1"/>
  <c r="CK39" i="1"/>
  <c r="CF39" i="1"/>
  <c r="CE39" i="1"/>
  <c r="CJ43" i="1"/>
  <c r="CI43" i="1"/>
  <c r="CH43" i="1"/>
  <c r="CG43" i="1"/>
  <c r="CK43" i="1"/>
  <c r="CF43" i="1"/>
  <c r="CE43" i="1"/>
  <c r="CH44" i="1"/>
  <c r="CG44" i="1"/>
  <c r="CF44" i="1"/>
  <c r="CE44" i="1"/>
  <c r="CI44" i="1"/>
  <c r="CK44" i="1"/>
  <c r="CJ44" i="1"/>
  <c r="CK38" i="1"/>
  <c r="CJ38" i="1"/>
  <c r="CI38" i="1"/>
  <c r="CE38" i="1"/>
  <c r="CH38" i="1"/>
  <c r="CG38" i="1"/>
  <c r="CF38" i="1"/>
  <c r="CK42" i="1"/>
  <c r="CJ42" i="1"/>
  <c r="CI42" i="1"/>
  <c r="CE42" i="1"/>
  <c r="CH42" i="1"/>
  <c r="CG42" i="1"/>
  <c r="CF42" i="1"/>
  <c r="CF41" i="1"/>
  <c r="CE41" i="1"/>
  <c r="CK41" i="1"/>
  <c r="CG41" i="1"/>
  <c r="CJ41" i="1"/>
  <c r="CI41" i="1"/>
  <c r="CH41" i="1"/>
  <c r="BZ39" i="1"/>
  <c r="BR39" i="1"/>
  <c r="BJ39" i="1"/>
  <c r="BB39" i="1"/>
  <c r="AT39" i="1"/>
  <c r="AL39" i="1"/>
  <c r="AD39" i="1"/>
  <c r="V39" i="1"/>
  <c r="N39" i="1"/>
  <c r="F39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BS39" i="1"/>
  <c r="G39" i="1"/>
  <c r="BK39" i="1"/>
  <c r="BC39" i="1"/>
  <c r="AU39" i="1"/>
  <c r="AM39" i="1"/>
  <c r="AE39" i="1"/>
  <c r="W39" i="1"/>
  <c r="CA39" i="1"/>
  <c r="O39" i="1"/>
  <c r="BY40" i="1"/>
  <c r="BQ40" i="1"/>
  <c r="BI40" i="1"/>
  <c r="BA40" i="1"/>
  <c r="AS40" i="1"/>
  <c r="AK40" i="1"/>
  <c r="AC40" i="1"/>
  <c r="U40" i="1"/>
  <c r="M40" i="1"/>
  <c r="E40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B40" i="1"/>
  <c r="AT40" i="1"/>
  <c r="AL40" i="1"/>
  <c r="AD40" i="1"/>
  <c r="V40" i="1"/>
  <c r="BZ40" i="1"/>
  <c r="N40" i="1"/>
  <c r="BR40" i="1"/>
  <c r="F40" i="1"/>
  <c r="BJ40" i="1"/>
  <c r="CA38" i="1"/>
  <c r="BS38" i="1"/>
  <c r="BK38" i="1"/>
  <c r="BC38" i="1"/>
  <c r="AU38" i="1"/>
  <c r="AM38" i="1"/>
  <c r="AE38" i="1"/>
  <c r="W38" i="1"/>
  <c r="O38" i="1"/>
  <c r="G38" i="1"/>
  <c r="BZ38" i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X38" i="1"/>
  <c r="CB38" i="1"/>
  <c r="P38" i="1"/>
  <c r="BT38" i="1"/>
  <c r="H38" i="1"/>
  <c r="BL38" i="1"/>
  <c r="BD38" i="1"/>
  <c r="AV38" i="1"/>
  <c r="AN38" i="1"/>
  <c r="AF38" i="1"/>
  <c r="CD43" i="1"/>
  <c r="BV43" i="1"/>
  <c r="BN43" i="1"/>
  <c r="BF43" i="1"/>
  <c r="AX43" i="1"/>
  <c r="AP43" i="1"/>
  <c r="AH43" i="1"/>
  <c r="Z43" i="1"/>
  <c r="R43" i="1"/>
  <c r="J43" i="1"/>
  <c r="B43" i="1"/>
  <c r="CC43" i="1"/>
  <c r="BU43" i="1"/>
  <c r="BM43" i="1"/>
  <c r="BE43" i="1"/>
  <c r="AW43" i="1"/>
  <c r="AO43" i="1"/>
  <c r="AG43" i="1"/>
  <c r="Y43" i="1"/>
  <c r="Q43" i="1"/>
  <c r="I43" i="1"/>
  <c r="CB43" i="1"/>
  <c r="BT43" i="1"/>
  <c r="BL43" i="1"/>
  <c r="BD43" i="1"/>
  <c r="AV43" i="1"/>
  <c r="AN43" i="1"/>
  <c r="AF43" i="1"/>
  <c r="X43" i="1"/>
  <c r="P43" i="1"/>
  <c r="H43" i="1"/>
  <c r="CA43" i="1"/>
  <c r="BS43" i="1"/>
  <c r="BK43" i="1"/>
  <c r="BC43" i="1"/>
  <c r="AU43" i="1"/>
  <c r="AM43" i="1"/>
  <c r="AE43" i="1"/>
  <c r="W43" i="1"/>
  <c r="O43" i="1"/>
  <c r="G43" i="1"/>
  <c r="BZ43" i="1"/>
  <c r="BR43" i="1"/>
  <c r="BJ43" i="1"/>
  <c r="BB43" i="1"/>
  <c r="AT43" i="1"/>
  <c r="AL43" i="1"/>
  <c r="AD43" i="1"/>
  <c r="V43" i="1"/>
  <c r="N43" i="1"/>
  <c r="F43" i="1"/>
  <c r="BY43" i="1"/>
  <c r="BQ43" i="1"/>
  <c r="BI43" i="1"/>
  <c r="BA43" i="1"/>
  <c r="AS43" i="1"/>
  <c r="AK43" i="1"/>
  <c r="AC43" i="1"/>
  <c r="U43" i="1"/>
  <c r="M43" i="1"/>
  <c r="E43" i="1"/>
  <c r="BX43" i="1"/>
  <c r="BP43" i="1"/>
  <c r="BH43" i="1"/>
  <c r="AZ43" i="1"/>
  <c r="AR43" i="1"/>
  <c r="AJ43" i="1"/>
  <c r="AB43" i="1"/>
  <c r="T43" i="1"/>
  <c r="L43" i="1"/>
  <c r="D43" i="1"/>
  <c r="BW43" i="1"/>
  <c r="BO43" i="1"/>
  <c r="BG43" i="1"/>
  <c r="AY43" i="1"/>
  <c r="AQ43" i="1"/>
  <c r="AI43" i="1"/>
  <c r="AA43" i="1"/>
  <c r="S43" i="1"/>
  <c r="K43" i="1"/>
  <c r="C43" i="1"/>
  <c r="BW42" i="1"/>
  <c r="BO42" i="1"/>
  <c r="BG42" i="1"/>
  <c r="AY42" i="1"/>
  <c r="AQ42" i="1"/>
  <c r="AI42" i="1"/>
  <c r="AA42" i="1"/>
  <c r="S42" i="1"/>
  <c r="K42" i="1"/>
  <c r="C42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T42" i="1"/>
  <c r="BX42" i="1"/>
  <c r="L42" i="1"/>
  <c r="BP42" i="1"/>
  <c r="D42" i="1"/>
  <c r="BH42" i="1"/>
  <c r="AZ42" i="1"/>
  <c r="AR42" i="1"/>
  <c r="AJ42" i="1"/>
  <c r="AB42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AK41" i="1"/>
  <c r="AC41" i="1"/>
  <c r="U41" i="1"/>
  <c r="BY41" i="1"/>
  <c r="M41" i="1"/>
  <c r="BQ41" i="1"/>
  <c r="E41" i="1"/>
  <c r="BI41" i="1"/>
  <c r="BA41" i="1"/>
  <c r="AS41" i="1"/>
  <c r="CD44" i="1"/>
  <c r="BV44" i="1"/>
  <c r="BN44" i="1"/>
  <c r="BF44" i="1"/>
  <c r="AX44" i="1"/>
  <c r="AP44" i="1"/>
  <c r="AH44" i="1"/>
  <c r="Z44" i="1"/>
  <c r="R44" i="1"/>
  <c r="J44" i="1"/>
  <c r="B44" i="1"/>
  <c r="AI44" i="1"/>
  <c r="CC44" i="1"/>
  <c r="BU44" i="1"/>
  <c r="BM44" i="1"/>
  <c r="BE44" i="1"/>
  <c r="AW44" i="1"/>
  <c r="AO44" i="1"/>
  <c r="AG44" i="1"/>
  <c r="Y44" i="1"/>
  <c r="Q44" i="1"/>
  <c r="I44" i="1"/>
  <c r="AQ44" i="1"/>
  <c r="CB44" i="1"/>
  <c r="BT44" i="1"/>
  <c r="BL44" i="1"/>
  <c r="BD44" i="1"/>
  <c r="AV44" i="1"/>
  <c r="AN44" i="1"/>
  <c r="AF44" i="1"/>
  <c r="X44" i="1"/>
  <c r="P44" i="1"/>
  <c r="H44" i="1"/>
  <c r="BO44" i="1"/>
  <c r="C44" i="1"/>
  <c r="CA44" i="1"/>
  <c r="BS44" i="1"/>
  <c r="BK44" i="1"/>
  <c r="BC44" i="1"/>
  <c r="AU44" i="1"/>
  <c r="AM44" i="1"/>
  <c r="AE44" i="1"/>
  <c r="W44" i="1"/>
  <c r="O44" i="1"/>
  <c r="G44" i="1"/>
  <c r="BW44" i="1"/>
  <c r="K44" i="1"/>
  <c r="BZ44" i="1"/>
  <c r="BR44" i="1"/>
  <c r="BJ44" i="1"/>
  <c r="BB44" i="1"/>
  <c r="AT44" i="1"/>
  <c r="AL44" i="1"/>
  <c r="AD44" i="1"/>
  <c r="V44" i="1"/>
  <c r="N44" i="1"/>
  <c r="F44" i="1"/>
  <c r="BG44" i="1"/>
  <c r="S44" i="1"/>
  <c r="BY44" i="1"/>
  <c r="BQ44" i="1"/>
  <c r="BI44" i="1"/>
  <c r="BA44" i="1"/>
  <c r="AS44" i="1"/>
  <c r="AK44" i="1"/>
  <c r="AC44" i="1"/>
  <c r="U44" i="1"/>
  <c r="M44" i="1"/>
  <c r="E44" i="1"/>
  <c r="AA44" i="1"/>
  <c r="BX44" i="1"/>
  <c r="BP44" i="1"/>
  <c r="BH44" i="1"/>
  <c r="AZ44" i="1"/>
  <c r="AR44" i="1"/>
  <c r="AJ44" i="1"/>
  <c r="AB44" i="1"/>
  <c r="T44" i="1"/>
  <c r="L44" i="1"/>
  <c r="D44" i="1"/>
  <c r="AY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<sst xmlns="http://schemas.openxmlformats.org/spreadsheetml/2006/main" count="2195" uniqueCount="482">
  <si>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</si>
  <si>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</si>
  <si>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</si>
  <si>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</si>
  <si>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</si>
  <si>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</si>
  <si>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</si>
  <si>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</si>
  <si>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</si>
  <si>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</si>
  <si>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</si>
  <si>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</si>
  <si>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</si>
  <si>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</si>
  <si>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</si>
  <si>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</si>
  <si>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</si>
  <si>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</si>
  <si>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</si>
  <si>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</si>
  <si>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</si>
  <si>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</si>
  <si>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</si>
  <si>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</si>
  <si>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</si>
  <si>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</si>
  <si>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</si>
  <si>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</si>
  <si>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</si>
  <si>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</si>
  <si>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</si>
  <si>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</si>
  <si>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</si>
  <si>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</si>
  <si>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</si>
  <si>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</si>
  <si>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</si>
  <si>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</si>
  <si>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</si>
  <si>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</si>
  <si>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</si>
  <si>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</si>
  <si>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</si>
  <si>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</si>
  <si>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</si>
  <si>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</si>
  <si>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</si>
  <si>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</si>
  <si>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</si>
  <si>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</si>
  <si>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</si>
  <si>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</si>
  <si>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</si>
  <si>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</si>
  <si>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</si>
  <si>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</si>
  <si>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</si>
  <si>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</si>
  <si>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</si>
  <si>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</si>
  <si>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</si>
  <si>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</si>
  <si>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</si>
  <si>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</si>
  <si>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</si>
  <si>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</si>
  <si>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</si>
  <si>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</si>
  <si>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</si>
  <si>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</si>
  <si>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</si>
  <si>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</si>
  <si>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</si>
  <si>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</si>
  <si>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</si>
  <si>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</si>
  <si>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</si>
  <si>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</si>
  <si>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</si>
  <si>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</si>
  <si>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</si>
  <si>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</si>
  <si>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</si>
  <si>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</si>
  <si>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</si>
  <si>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</si>
  <si>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</si>
  <si>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</si>
  <si>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</si>
  <si>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</si>
  <si>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</si>
  <si>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</si>
  <si>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</si>
  <si>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</si>
  <si>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</si>
  <si>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</si>
  <si>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</si>
  <si>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</si>
  <si>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</si>
  <si>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</si>
  <si>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</si>
  <si>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</si>
  <si>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</si>
  <si>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</si>
  <si>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</si>
  <si>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</si>
  <si>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</si>
  <si>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</si>
  <si>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</si>
  <si>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</si>
  <si>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</si>
  <si>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</si>
  <si>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</si>
  <si>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</si>
  <si>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</si>
  <si>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</si>
  <si>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</si>
  <si>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</si>
  <si>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</si>
  <si>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</si>
  <si>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</si>
  <si>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</si>
  <si>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</si>
  <si>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</si>
  <si>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</si>
  <si>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</si>
  <si>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</si>
  <si>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</si>
  <si>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</si>
  <si>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</si>
  <si>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</si>
  <si>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</si>
  <si>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</si>
  <si>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</si>
  <si>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</si>
  <si>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</si>
  <si>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</si>
  <si>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</si>
  <si>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</si>
  <si>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</si>
  <si>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</si>
  <si>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</si>
  <si>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</si>
  <si>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</si>
  <si>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</si>
  <si>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</si>
  <si>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</si>
  <si>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</si>
  <si>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</si>
  <si>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</si>
  <si>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</si>
  <si>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</si>
  <si>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</si>
  <si>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</si>
  <si>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</si>
  <si>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</si>
  <si>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</si>
  <si>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</si>
  <si>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</si>
  <si>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</si>
  <si>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</si>
  <si>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</si>
  <si>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</si>
  <si>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</si>
  <si>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</si>
  <si>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</si>
  <si>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</si>
  <si>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</si>
  <si>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</si>
  <si>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</si>
  <si>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</si>
  <si>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</si>
  <si>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</si>
  <si>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</si>
  <si>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</si>
  <si>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</si>
  <si>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</si>
  <si>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</si>
  <si>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</si>
  <si>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</si>
  <si>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</si>
  <si>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</si>
  <si>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</si>
  <si>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</si>
  <si>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</si>
  <si>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</si>
  <si>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</si>
  <si>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</si>
  <si>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</si>
  <si>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</si>
  <si>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</si>
  <si>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</si>
  <si>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</si>
  <si>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</si>
  <si>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</si>
  <si>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</si>
  <si>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</si>
  <si>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</si>
  <si>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</si>
  <si>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</si>
  <si>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</si>
  <si>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</si>
  <si>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</si>
  <si>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</si>
  <si>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</si>
  <si>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</si>
  <si>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</si>
  <si>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</si>
  <si>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</si>
  <si>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</si>
  <si>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</si>
  <si>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</si>
  <si>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</si>
  <si>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</si>
  <si>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</si>
  <si>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</si>
  <si>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</si>
  <si>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</si>
  <si>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</si>
  <si>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</si>
  <si>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</si>
  <si>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</si>
  <si>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</si>
  <si>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</si>
  <si>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</si>
  <si>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</si>
  <si>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</si>
  <si>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</si>
  <si>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</si>
  <si>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</si>
  <si>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</si>
  <si>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</si>
  <si>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</si>
  <si>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</si>
  <si>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</si>
  <si>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</si>
  <si>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</si>
  <si>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</si>
  <si>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</si>
  <si>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</si>
  <si>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</si>
  <si>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</si>
  <si>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</si>
  <si>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</si>
  <si>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</si>
  <si>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</si>
  <si>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</si>
  <si>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</si>
  <si>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</si>
  <si>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</si>
  <si>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</si>
  <si>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</si>
  <si>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</si>
  <si>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</si>
  <si>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</si>
  <si>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</si>
  <si>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</si>
  <si>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</si>
  <si>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</si>
  <si>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</si>
  <si>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</si>
  <si>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</si>
  <si>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</si>
  <si>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</si>
  <si>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</si>
  <si>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</si>
  <si>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</si>
  <si>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</si>
  <si>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</si>
  <si>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</si>
  <si>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</si>
  <si>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</si>
  <si>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</si>
  <si>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</si>
  <si>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</si>
  <si>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</si>
  <si>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</si>
  <si>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</si>
  <si>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</si>
  <si>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</si>
  <si>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</si>
  <si>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</si>
  <si>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</si>
  <si>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</si>
  <si>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</si>
  <si>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</si>
  <si>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</si>
  <si>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</si>
  <si>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</si>
  <si>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</si>
  <si>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</si>
  <si>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</si>
  <si>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</si>
  <si>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</si>
  <si>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</si>
  <si>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</si>
  <si>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</si>
  <si>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</si>
  <si>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</si>
  <si>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</si>
  <si>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</si>
  <si>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</si>
  <si>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</si>
  <si>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</si>
  <si>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</si>
  <si>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</si>
  <si>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</si>
  <si>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</si>
  <si>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</si>
  <si>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</si>
  <si>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</si>
  <si>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</si>
  <si>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</si>
  <si>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</si>
  <si>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</si>
  <si>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</si>
  <si>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</si>
  <si>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</si>
  <si>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</si>
  <si>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</si>
  <si>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</si>
  <si>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</si>
  <si>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</si>
  <si>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</si>
  <si>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</si>
  <si>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</si>
  <si>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</si>
  <si>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</si>
  <si>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</si>
  <si>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</si>
  <si>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</si>
  <si>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</si>
  <si>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</si>
  <si>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</si>
  <si>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</si>
  <si>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</si>
  <si>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</si>
  <si>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</si>
  <si>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</si>
  <si>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</si>
  <si>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</si>
  <si>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</si>
  <si>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</si>
  <si>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</si>
  <si>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</si>
  <si>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</si>
  <si>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</si>
  <si>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</si>
  <si>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</si>
  <si>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</si>
  <si>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</si>
  <si>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</si>
  <si>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</si>
  <si>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</si>
  <si>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</si>
  <si>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</si>
  <si>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</si>
  <si>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</si>
  <si>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</si>
  <si>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</si>
  <si>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</si>
  <si>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</si>
  <si>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</si>
  <si>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</si>
  <si>
    <t>Percent Recovered</t>
  </si>
  <si>
    <t>Botswana</t>
  </si>
  <si>
    <t>Corona Statistics</t>
  </si>
  <si>
    <t>Burundi</t>
  </si>
  <si>
    <t>Sierra Leone</t>
  </si>
  <si>
    <t>Bonaire, Sint Eustatius and Saba</t>
  </si>
  <si>
    <t>Malawi</t>
  </si>
  <si>
    <t>Saint Pierre and Miquelon</t>
  </si>
  <si>
    <t>South Sudan</t>
  </si>
  <si>
    <t>Western Sahara</t>
  </si>
  <si>
    <t>Falkland Islands (Malvinas)</t>
  </si>
  <si>
    <t>Sao Tome and Principe</t>
  </si>
  <si>
    <t>Yemen</t>
  </si>
  <si>
    <t>Infection Rate</t>
  </si>
  <si>
    <t>22.01.</t>
  </si>
  <si>
    <t>Current Doubling Time</t>
  </si>
  <si>
    <t>Comoros</t>
  </si>
  <si>
    <t>Tajikistan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</si>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</sst>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;@"/>
    <numFmt numFmtId="165" formatCode="dd/mm"/>
    <numFmt numFmtId="166" formatCode="dd/mm/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  <font>
      <b/>
      <sz val="22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0" fontId="8" fillId="2" borderId="1" xfId="0" applyFont="1" applyFill="1" applyBorder="1"/>
    <xf numFmtId="1" fontId="8" fillId="3" borderId="1" xfId="0" applyNumberFormat="1" applyFont="1" applyFill="1" applyBorder="1" applyAlignment="1">
      <alignment vertical="top" wrapText="1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  <xf numFmtId="0" fontId="3" fillId="2" borderId="0" xfId="0" applyFont="1" applyFill="1" applyAlignment="1">
      <alignment vertical="center"/>
    </xf>
    <xf numFmtId="0" fontId="8" fillId="2" borderId="3" xfId="0" applyNumberFormat="1" applyFont="1" applyFill="1" applyBorder="1"/>
    <xf numFmtId="0" fontId="8" fillId="3" borderId="3" xfId="0" applyNumberFormat="1" applyFont="1" applyFill="1" applyBorder="1" applyAlignment="1">
      <alignment vertical="top" wrapText="1"/>
    </xf>
    <xf numFmtId="0" fontId="8" fillId="2" borderId="4" xfId="0" applyNumberFormat="1" applyFont="1" applyFill="1" applyBorder="1"/>
    <xf numFmtId="0" fontId="8" fillId="3" borderId="4" xfId="0" applyNumberFormat="1" applyFont="1" applyFill="1" applyBorder="1" applyAlignment="1">
      <alignment vertical="top" wrapText="1"/>
    </xf>
    <xf numFmtId="1" fontId="8" fillId="3" borderId="3" xfId="0" applyNumberFormat="1" applyFont="1" applyFill="1" applyBorder="1" applyAlignment="1">
      <alignment vertical="top" wrapText="1"/>
    </xf>
    <xf numFmtId="1" fontId="8" fillId="3" borderId="4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/>
    </xf>
    <xf numFmtId="166" fontId="7" fillId="2" borderId="1" xfId="0" applyNumberFormat="1" applyFont="1" applyFill="1" applyBorder="1" applyAlignment="1">
      <alignment horizontal="center" vertical="center" wrapText="1"/>
    </xf>
    <xf numFmtId="166" fontId="7" fillId="2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top"/>
    </xf>
  </cellXfs>
  <cellStyles count="1">
    <cellStyle name="Standard" xfId="0" builtinId="0"/>
  </cellStyles>
  <dxfs count="3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/>
      </font>
      <fill>
        <patternFill>
          <bgColor theme="9" tint="-0.24994659260841701"/>
        </patternFill>
      </fill>
    </dxf>
    <dxf>
      <font>
        <color theme="2"/>
      </font>
      <fill>
        <patternFill>
          <bgColor theme="9" tint="-0.24994659260841701"/>
        </patternFill>
      </fill>
    </dxf>
    <dxf>
      <font>
        <color theme="2"/>
      </font>
      <fill>
        <patternFill>
          <bgColor theme="9" tint="-0.24994659260841701"/>
        </patternFill>
      </fill>
    </dxf>
    <dxf>
      <font>
        <color theme="2"/>
      </font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Germany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Overview!$B$38:$CZ$38</c:f>
              <c:numCache>
                <c:formatCode>0</c:formatCode>
                <c:ptCount val="33"/>
                <c:pt idx="0">
                  <c:v>18700</c:v>
                </c:pt>
                <c:pt idx="1">
                  <c:v>22440</c:v>
                </c:pt>
                <c:pt idx="2">
                  <c:v>24575</c:v>
                </c:pt>
                <c:pt idx="3">
                  <c:v>26400</c:v>
                </c:pt>
                <c:pt idx="4">
                  <c:v>28700</c:v>
                </c:pt>
                <c:pt idx="5">
                  <c:v>28700</c:v>
                </c:pt>
                <c:pt idx="6">
                  <c:v>36081</c:v>
                </c:pt>
                <c:pt idx="7">
                  <c:v>46300</c:v>
                </c:pt>
                <c:pt idx="8">
                  <c:v>52407</c:v>
                </c:pt>
                <c:pt idx="9">
                  <c:v>53913</c:v>
                </c:pt>
                <c:pt idx="10">
                  <c:v>57400</c:v>
                </c:pt>
                <c:pt idx="11">
                  <c:v>60300</c:v>
                </c:pt>
                <c:pt idx="12">
                  <c:v>64300</c:v>
                </c:pt>
                <c:pt idx="13">
                  <c:v>68200</c:v>
                </c:pt>
                <c:pt idx="14">
                  <c:v>72600</c:v>
                </c:pt>
                <c:pt idx="15">
                  <c:v>77000</c:v>
                </c:pt>
                <c:pt idx="16">
                  <c:v>83114</c:v>
                </c:pt>
                <c:pt idx="17">
                  <c:v>85400</c:v>
                </c:pt>
                <c:pt idx="18">
                  <c:v>88000</c:v>
                </c:pt>
                <c:pt idx="19">
                  <c:v>91500</c:v>
                </c:pt>
                <c:pt idx="20">
                  <c:v>95200</c:v>
                </c:pt>
                <c:pt idx="21">
                  <c:v>99400</c:v>
                </c:pt>
                <c:pt idx="22">
                  <c:v>103300</c:v>
                </c:pt>
                <c:pt idx="23">
                  <c:v>109800</c:v>
                </c:pt>
                <c:pt idx="24">
                  <c:v>109800</c:v>
                </c:pt>
                <c:pt idx="25">
                  <c:v>112000</c:v>
                </c:pt>
                <c:pt idx="26">
                  <c:v>114500</c:v>
                </c:pt>
                <c:pt idx="27">
                  <c:v>117400</c:v>
                </c:pt>
                <c:pt idx="28">
                  <c:v>120400</c:v>
                </c:pt>
                <c:pt idx="29">
                  <c:v>123500</c:v>
                </c:pt>
                <c:pt idx="30">
                  <c:v>126900</c:v>
                </c:pt>
                <c:pt idx="31">
                  <c:v>129000</c:v>
                </c:pt>
                <c:pt idx="32">
                  <c:v>130600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v>US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Overview!$B$39:$CZ$39</c:f>
              <c:numCache>
                <c:formatCode>0</c:formatCode>
                <c:ptCount val="33"/>
                <c:pt idx="0">
                  <c:v>8474</c:v>
                </c:pt>
                <c:pt idx="1">
                  <c:v>9001</c:v>
                </c:pt>
                <c:pt idx="2">
                  <c:v>9707</c:v>
                </c:pt>
                <c:pt idx="3">
                  <c:v>14652</c:v>
                </c:pt>
                <c:pt idx="4">
                  <c:v>17448</c:v>
                </c:pt>
                <c:pt idx="5">
                  <c:v>19581</c:v>
                </c:pt>
                <c:pt idx="6">
                  <c:v>21763</c:v>
                </c:pt>
                <c:pt idx="7">
                  <c:v>23559</c:v>
                </c:pt>
                <c:pt idx="8">
                  <c:v>25410</c:v>
                </c:pt>
                <c:pt idx="9">
                  <c:v>28790</c:v>
                </c:pt>
                <c:pt idx="10">
                  <c:v>31270</c:v>
                </c:pt>
                <c:pt idx="11">
                  <c:v>32988</c:v>
                </c:pt>
                <c:pt idx="12">
                  <c:v>43482</c:v>
                </c:pt>
                <c:pt idx="13">
                  <c:v>47763</c:v>
                </c:pt>
                <c:pt idx="14">
                  <c:v>52096</c:v>
                </c:pt>
                <c:pt idx="15">
                  <c:v>54703</c:v>
                </c:pt>
                <c:pt idx="16">
                  <c:v>58545</c:v>
                </c:pt>
                <c:pt idx="17">
                  <c:v>64840</c:v>
                </c:pt>
                <c:pt idx="18">
                  <c:v>70337</c:v>
                </c:pt>
                <c:pt idx="19">
                  <c:v>72329</c:v>
                </c:pt>
                <c:pt idx="20">
                  <c:v>75204</c:v>
                </c:pt>
                <c:pt idx="21">
                  <c:v>77366</c:v>
                </c:pt>
                <c:pt idx="22">
                  <c:v>80203</c:v>
                </c:pt>
                <c:pt idx="23">
                  <c:v>99079</c:v>
                </c:pt>
                <c:pt idx="24">
                  <c:v>100372</c:v>
                </c:pt>
                <c:pt idx="25">
                  <c:v>106988</c:v>
                </c:pt>
                <c:pt idx="26">
                  <c:v>111424</c:v>
                </c:pt>
                <c:pt idx="27">
                  <c:v>115936</c:v>
                </c:pt>
                <c:pt idx="28">
                  <c:v>120720</c:v>
                </c:pt>
                <c:pt idx="29">
                  <c:v>153947</c:v>
                </c:pt>
                <c:pt idx="30">
                  <c:v>164015</c:v>
                </c:pt>
                <c:pt idx="31">
                  <c:v>175382</c:v>
                </c:pt>
                <c:pt idx="32">
                  <c:v>180152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v>Italy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Overview!$B$40:$CZ$40</c:f>
              <c:numCache>
                <c:formatCode>0</c:formatCode>
                <c:ptCount val="33"/>
                <c:pt idx="0">
                  <c:v>16847</c:v>
                </c:pt>
                <c:pt idx="1">
                  <c:v>18278</c:v>
                </c:pt>
                <c:pt idx="2">
                  <c:v>19758</c:v>
                </c:pt>
                <c:pt idx="3">
                  <c:v>20996</c:v>
                </c:pt>
                <c:pt idx="4">
                  <c:v>21815</c:v>
                </c:pt>
                <c:pt idx="5">
                  <c:v>22837</c:v>
                </c:pt>
                <c:pt idx="6">
                  <c:v>24392</c:v>
                </c:pt>
                <c:pt idx="7">
                  <c:v>26491</c:v>
                </c:pt>
                <c:pt idx="8">
                  <c:v>28470</c:v>
                </c:pt>
                <c:pt idx="9">
                  <c:v>30455</c:v>
                </c:pt>
                <c:pt idx="10">
                  <c:v>32534</c:v>
                </c:pt>
                <c:pt idx="11">
                  <c:v>34211</c:v>
                </c:pt>
                <c:pt idx="12">
                  <c:v>35435</c:v>
                </c:pt>
                <c:pt idx="13">
                  <c:v>37130</c:v>
                </c:pt>
                <c:pt idx="14">
                  <c:v>38092</c:v>
                </c:pt>
                <c:pt idx="15">
                  <c:v>40164</c:v>
                </c:pt>
                <c:pt idx="16">
                  <c:v>42727</c:v>
                </c:pt>
                <c:pt idx="17">
                  <c:v>44927</c:v>
                </c:pt>
                <c:pt idx="18">
                  <c:v>47055</c:v>
                </c:pt>
                <c:pt idx="19">
                  <c:v>48877</c:v>
                </c:pt>
                <c:pt idx="20">
                  <c:v>51600</c:v>
                </c:pt>
                <c:pt idx="21">
                  <c:v>54543</c:v>
                </c:pt>
                <c:pt idx="22">
                  <c:v>57576</c:v>
                </c:pt>
                <c:pt idx="23">
                  <c:v>60498</c:v>
                </c:pt>
                <c:pt idx="24">
                  <c:v>63120</c:v>
                </c:pt>
                <c:pt idx="25">
                  <c:v>64928</c:v>
                </c:pt>
                <c:pt idx="26">
                  <c:v>66624</c:v>
                </c:pt>
                <c:pt idx="27">
                  <c:v>68941</c:v>
                </c:pt>
                <c:pt idx="28">
                  <c:v>71252</c:v>
                </c:pt>
                <c:pt idx="29">
                  <c:v>75945</c:v>
                </c:pt>
                <c:pt idx="30">
                  <c:v>78249</c:v>
                </c:pt>
                <c:pt idx="31">
                  <c:v>79914</c:v>
                </c:pt>
                <c:pt idx="32">
                  <c:v>81654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v>France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Overview!$B$41:$CZ$41</c:f>
              <c:numCache>
                <c:formatCode>0</c:formatCode>
                <c:ptCount val="33"/>
                <c:pt idx="0">
                  <c:v>11053</c:v>
                </c:pt>
                <c:pt idx="1">
                  <c:v>12548</c:v>
                </c:pt>
                <c:pt idx="2">
                  <c:v>14135</c:v>
                </c:pt>
                <c:pt idx="3">
                  <c:v>15572</c:v>
                </c:pt>
                <c:pt idx="4">
                  <c:v>16349</c:v>
                </c:pt>
                <c:pt idx="5">
                  <c:v>17428</c:v>
                </c:pt>
                <c:pt idx="6">
                  <c:v>19523</c:v>
                </c:pt>
                <c:pt idx="7">
                  <c:v>21452</c:v>
                </c:pt>
                <c:pt idx="8">
                  <c:v>23413</c:v>
                </c:pt>
                <c:pt idx="9">
                  <c:v>25195</c:v>
                </c:pt>
                <c:pt idx="10">
                  <c:v>26663</c:v>
                </c:pt>
                <c:pt idx="11">
                  <c:v>27469</c:v>
                </c:pt>
                <c:pt idx="12">
                  <c:v>28001</c:v>
                </c:pt>
                <c:pt idx="13">
                  <c:v>28805</c:v>
                </c:pt>
                <c:pt idx="14">
                  <c:v>30955</c:v>
                </c:pt>
                <c:pt idx="15">
                  <c:v>32812</c:v>
                </c:pt>
                <c:pt idx="16">
                  <c:v>34420</c:v>
                </c:pt>
                <c:pt idx="17">
                  <c:v>35983</c:v>
                </c:pt>
                <c:pt idx="18">
                  <c:v>36578</c:v>
                </c:pt>
                <c:pt idx="19">
                  <c:v>37409</c:v>
                </c:pt>
                <c:pt idx="20">
                  <c:v>39181</c:v>
                </c:pt>
                <c:pt idx="21">
                  <c:v>40657</c:v>
                </c:pt>
                <c:pt idx="22">
                  <c:v>42088</c:v>
                </c:pt>
                <c:pt idx="23">
                  <c:v>43493</c:v>
                </c:pt>
                <c:pt idx="24">
                  <c:v>44594</c:v>
                </c:pt>
                <c:pt idx="25">
                  <c:v>44903</c:v>
                </c:pt>
                <c:pt idx="26">
                  <c:v>45513</c:v>
                </c:pt>
                <c:pt idx="27">
                  <c:v>46886</c:v>
                </c:pt>
                <c:pt idx="28">
                  <c:v>48228</c:v>
                </c:pt>
                <c:pt idx="29">
                  <c:v>49476</c:v>
                </c:pt>
                <c:pt idx="30">
                  <c:v>50212</c:v>
                </c:pt>
                <c:pt idx="31">
                  <c:v>50663</c:v>
                </c:pt>
                <c:pt idx="32">
                  <c:v>50885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v>Korea, South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Overview!$B$42:$CZ$42</c:f>
              <c:numCache>
                <c:formatCode>0</c:formatCode>
                <c:ptCount val="33"/>
                <c:pt idx="0">
                  <c:v>5567</c:v>
                </c:pt>
                <c:pt idx="1">
                  <c:v>5828</c:v>
                </c:pt>
                <c:pt idx="2">
                  <c:v>6021</c:v>
                </c:pt>
                <c:pt idx="3">
                  <c:v>6325</c:v>
                </c:pt>
                <c:pt idx="4">
                  <c:v>6463</c:v>
                </c:pt>
                <c:pt idx="5">
                  <c:v>6598</c:v>
                </c:pt>
                <c:pt idx="6">
                  <c:v>6694</c:v>
                </c:pt>
                <c:pt idx="7">
                  <c:v>6776</c:v>
                </c:pt>
                <c:pt idx="8">
                  <c:v>6973</c:v>
                </c:pt>
                <c:pt idx="9">
                  <c:v>7117</c:v>
                </c:pt>
                <c:pt idx="10">
                  <c:v>7243</c:v>
                </c:pt>
                <c:pt idx="11">
                  <c:v>7368</c:v>
                </c:pt>
                <c:pt idx="12">
                  <c:v>7447</c:v>
                </c:pt>
                <c:pt idx="13">
                  <c:v>7534</c:v>
                </c:pt>
                <c:pt idx="14">
                  <c:v>7616</c:v>
                </c:pt>
                <c:pt idx="15">
                  <c:v>7757</c:v>
                </c:pt>
                <c:pt idx="16">
                  <c:v>7829</c:v>
                </c:pt>
                <c:pt idx="17">
                  <c:v>7937</c:v>
                </c:pt>
                <c:pt idx="18">
                  <c:v>8042</c:v>
                </c:pt>
                <c:pt idx="19">
                  <c:v>8114</c:v>
                </c:pt>
                <c:pt idx="20">
                  <c:v>8213</c:v>
                </c:pt>
                <c:pt idx="21">
                  <c:v>8277</c:v>
                </c:pt>
                <c:pt idx="22">
                  <c:v>8501</c:v>
                </c:pt>
                <c:pt idx="23">
                  <c:v>8635</c:v>
                </c:pt>
                <c:pt idx="24">
                  <c:v>8717</c:v>
                </c:pt>
                <c:pt idx="25">
                  <c:v>8764</c:v>
                </c:pt>
                <c:pt idx="26">
                  <c:v>8854</c:v>
                </c:pt>
                <c:pt idx="27">
                  <c:v>8922</c:v>
                </c:pt>
                <c:pt idx="28">
                  <c:v>9059</c:v>
                </c:pt>
                <c:pt idx="29">
                  <c:v>9072</c:v>
                </c:pt>
                <c:pt idx="30">
                  <c:v>9123</c:v>
                </c:pt>
                <c:pt idx="31">
                  <c:v>9183</c:v>
                </c:pt>
                <c:pt idx="32">
                  <c:v>9217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v>Spain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Overview!$B$43:$CZ$43</c:f>
              <c:numCache>
                <c:formatCode>0</c:formatCode>
                <c:ptCount val="33"/>
                <c:pt idx="0">
                  <c:v>22647</c:v>
                </c:pt>
                <c:pt idx="1">
                  <c:v>26743</c:v>
                </c:pt>
                <c:pt idx="2">
                  <c:v>30513</c:v>
                </c:pt>
                <c:pt idx="3">
                  <c:v>34219</c:v>
                </c:pt>
                <c:pt idx="4">
                  <c:v>38080</c:v>
                </c:pt>
                <c:pt idx="5">
                  <c:v>40437</c:v>
                </c:pt>
                <c:pt idx="6">
                  <c:v>43208</c:v>
                </c:pt>
                <c:pt idx="7">
                  <c:v>48021</c:v>
                </c:pt>
                <c:pt idx="8">
                  <c:v>52165</c:v>
                </c:pt>
                <c:pt idx="9">
                  <c:v>55668</c:v>
                </c:pt>
                <c:pt idx="10">
                  <c:v>59109</c:v>
                </c:pt>
                <c:pt idx="11">
                  <c:v>62391</c:v>
                </c:pt>
                <c:pt idx="12">
                  <c:v>64727</c:v>
                </c:pt>
                <c:pt idx="13">
                  <c:v>67504</c:v>
                </c:pt>
                <c:pt idx="14">
                  <c:v>70853</c:v>
                </c:pt>
                <c:pt idx="15">
                  <c:v>74797</c:v>
                </c:pt>
                <c:pt idx="16">
                  <c:v>74797</c:v>
                </c:pt>
                <c:pt idx="17">
                  <c:v>74797</c:v>
                </c:pt>
                <c:pt idx="18">
                  <c:v>77357</c:v>
                </c:pt>
                <c:pt idx="19">
                  <c:v>80587</c:v>
                </c:pt>
                <c:pt idx="20">
                  <c:v>82514</c:v>
                </c:pt>
                <c:pt idx="21">
                  <c:v>85915</c:v>
                </c:pt>
                <c:pt idx="22">
                  <c:v>89250</c:v>
                </c:pt>
                <c:pt idx="23">
                  <c:v>92355</c:v>
                </c:pt>
                <c:pt idx="24">
                  <c:v>95708</c:v>
                </c:pt>
                <c:pt idx="25">
                  <c:v>98372</c:v>
                </c:pt>
                <c:pt idx="26">
                  <c:v>100875</c:v>
                </c:pt>
                <c:pt idx="27">
                  <c:v>102548</c:v>
                </c:pt>
                <c:pt idx="28">
                  <c:v>108947</c:v>
                </c:pt>
                <c:pt idx="29">
                  <c:v>112050</c:v>
                </c:pt>
                <c:pt idx="30">
                  <c:v>112050</c:v>
                </c:pt>
                <c:pt idx="31">
                  <c:v>117248</c:v>
                </c:pt>
                <c:pt idx="32">
                  <c:v>118902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Overview!$A$44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Overview!$B$44:$CZ$44</c:f>
              <c:numCache>
                <c:formatCode>0</c:formatCode>
                <c:ptCount val="33"/>
                <c:pt idx="0">
                  <c:v>179</c:v>
                </c:pt>
                <c:pt idx="1">
                  <c:v>192</c:v>
                </c:pt>
                <c:pt idx="2">
                  <c:v>208</c:v>
                </c:pt>
                <c:pt idx="3">
                  <c:v>215</c:v>
                </c:pt>
                <c:pt idx="4">
                  <c:v>229</c:v>
                </c:pt>
                <c:pt idx="5">
                  <c:v>287</c:v>
                </c:pt>
                <c:pt idx="6">
                  <c:v>325</c:v>
                </c:pt>
                <c:pt idx="7">
                  <c:v>345</c:v>
                </c:pt>
                <c:pt idx="8">
                  <c:v>359</c:v>
                </c:pt>
                <c:pt idx="9">
                  <c:v>588</c:v>
                </c:pt>
                <c:pt idx="10">
                  <c:v>622</c:v>
                </c:pt>
                <c:pt idx="11">
                  <c:v>626</c:v>
                </c:pt>
                <c:pt idx="12">
                  <c:v>304</c:v>
                </c:pt>
                <c:pt idx="13">
                  <c:v>323</c:v>
                </c:pt>
                <c:pt idx="14">
                  <c:v>368</c:v>
                </c:pt>
                <c:pt idx="15">
                  <c:v>375</c:v>
                </c:pt>
                <c:pt idx="16">
                  <c:v>394</c:v>
                </c:pt>
                <c:pt idx="17">
                  <c:v>414</c:v>
                </c:pt>
                <c:pt idx="18">
                  <c:v>436</c:v>
                </c:pt>
                <c:pt idx="19">
                  <c:v>446</c:v>
                </c:pt>
                <c:pt idx="20">
                  <c:v>638</c:v>
                </c:pt>
                <c:pt idx="21">
                  <c:v>683</c:v>
                </c:pt>
                <c:pt idx="22">
                  <c:v>712</c:v>
                </c:pt>
                <c:pt idx="23">
                  <c:v>724</c:v>
                </c:pt>
                <c:pt idx="24">
                  <c:v>774</c:v>
                </c:pt>
                <c:pt idx="25">
                  <c:v>778</c:v>
                </c:pt>
                <c:pt idx="26">
                  <c:v>807</c:v>
                </c:pt>
                <c:pt idx="27">
                  <c:v>813</c:v>
                </c:pt>
                <c:pt idx="28">
                  <c:v>857</c:v>
                </c:pt>
                <c:pt idx="29">
                  <c:v>859</c:v>
                </c:pt>
                <c:pt idx="30">
                  <c:v>892</c:v>
                </c:pt>
                <c:pt idx="31">
                  <c:v>896</c:v>
                </c:pt>
                <c:pt idx="32">
                  <c:v>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date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Offset val="100"/>
        <c:baseTimeUnit val="days"/>
      </c:date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Germany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Overview!$B$27:$CZ$27</c:f>
              <c:numCache>
                <c:formatCode>0</c:formatCode>
                <c:ptCount val="33"/>
                <c:pt idx="0">
                  <c:v>920</c:v>
                </c:pt>
                <c:pt idx="1">
                  <c:v>1107</c:v>
                </c:pt>
                <c:pt idx="2">
                  <c:v>1275</c:v>
                </c:pt>
                <c:pt idx="3">
                  <c:v>1444</c:v>
                </c:pt>
                <c:pt idx="4">
                  <c:v>1584</c:v>
                </c:pt>
                <c:pt idx="5">
                  <c:v>1810</c:v>
                </c:pt>
                <c:pt idx="6">
                  <c:v>2016</c:v>
                </c:pt>
                <c:pt idx="7">
                  <c:v>2349</c:v>
                </c:pt>
                <c:pt idx="8">
                  <c:v>2607</c:v>
                </c:pt>
                <c:pt idx="9">
                  <c:v>2767</c:v>
                </c:pt>
                <c:pt idx="10">
                  <c:v>2736</c:v>
                </c:pt>
                <c:pt idx="11">
                  <c:v>3022</c:v>
                </c:pt>
                <c:pt idx="12" formatCode="General">
                  <c:v>3194</c:v>
                </c:pt>
                <c:pt idx="13" formatCode="General">
                  <c:v>3294</c:v>
                </c:pt>
                <c:pt idx="14" formatCode="General">
                  <c:v>3804</c:v>
                </c:pt>
                <c:pt idx="15" formatCode="General">
                  <c:v>4052</c:v>
                </c:pt>
                <c:pt idx="16" formatCode="General">
                  <c:v>4352</c:v>
                </c:pt>
                <c:pt idx="17" formatCode="General">
                  <c:v>4459</c:v>
                </c:pt>
                <c:pt idx="18" formatCode="General">
                  <c:v>4586</c:v>
                </c:pt>
                <c:pt idx="19" formatCode="General">
                  <c:v>4862</c:v>
                </c:pt>
                <c:pt idx="20" formatCode="General">
                  <c:v>5033</c:v>
                </c:pt>
                <c:pt idx="21" formatCode="General">
                  <c:v>5279</c:v>
                </c:pt>
                <c:pt idx="22" formatCode="General">
                  <c:v>5575</c:v>
                </c:pt>
                <c:pt idx="23" formatCode="General">
                  <c:v>5760</c:v>
                </c:pt>
                <c:pt idx="24" formatCode="General">
                  <c:v>5877</c:v>
                </c:pt>
                <c:pt idx="25" formatCode="General">
                  <c:v>5976</c:v>
                </c:pt>
                <c:pt idx="26" formatCode="General">
                  <c:v>6126</c:v>
                </c:pt>
                <c:pt idx="27" formatCode="General">
                  <c:v>6314</c:v>
                </c:pt>
                <c:pt idx="28" formatCode="General">
                  <c:v>6467</c:v>
                </c:pt>
                <c:pt idx="29" formatCode="General">
                  <c:v>6623</c:v>
                </c:pt>
                <c:pt idx="30" formatCode="General">
                  <c:v>6736</c:v>
                </c:pt>
                <c:pt idx="31" formatCode="General">
                  <c:v>6812</c:v>
                </c:pt>
                <c:pt idx="32" formatCode="General">
                  <c:v>6866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E-4F32-A293-3C7EBD97B641}"/>
            </c:ext>
          </c:extLst>
        </c:ser>
        <c:ser>
          <c:idx val="1"/>
          <c:order val="1"/>
          <c:tx>
            <c:v>US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Overview!$B$28:$CZ$28</c:f>
              <c:numCache>
                <c:formatCode>0</c:formatCode>
                <c:ptCount val="33"/>
                <c:pt idx="0">
                  <c:v>6501</c:v>
                </c:pt>
                <c:pt idx="1">
                  <c:v>7921</c:v>
                </c:pt>
                <c:pt idx="2">
                  <c:v>9246</c:v>
                </c:pt>
                <c:pt idx="3">
                  <c:v>10855</c:v>
                </c:pt>
                <c:pt idx="4">
                  <c:v>12375</c:v>
                </c:pt>
                <c:pt idx="5">
                  <c:v>13894</c:v>
                </c:pt>
                <c:pt idx="6">
                  <c:v>16191</c:v>
                </c:pt>
                <c:pt idx="7">
                  <c:v>18270</c:v>
                </c:pt>
                <c:pt idx="8">
                  <c:v>20255</c:v>
                </c:pt>
                <c:pt idx="9">
                  <c:v>22333</c:v>
                </c:pt>
                <c:pt idx="10">
                  <c:v>24342</c:v>
                </c:pt>
                <c:pt idx="11">
                  <c:v>26086</c:v>
                </c:pt>
                <c:pt idx="12" formatCode="General">
                  <c:v>27870</c:v>
                </c:pt>
                <c:pt idx="13" formatCode="General">
                  <c:v>30262</c:v>
                </c:pt>
                <c:pt idx="14" formatCode="General">
                  <c:v>32734</c:v>
                </c:pt>
                <c:pt idx="15" formatCode="General">
                  <c:v>34827</c:v>
                </c:pt>
                <c:pt idx="16" formatCode="General">
                  <c:v>37411</c:v>
                </c:pt>
                <c:pt idx="17" formatCode="General">
                  <c:v>39753</c:v>
                </c:pt>
                <c:pt idx="18" formatCode="General">
                  <c:v>40945</c:v>
                </c:pt>
                <c:pt idx="19" formatCode="General">
                  <c:v>42659</c:v>
                </c:pt>
                <c:pt idx="20" formatCode="General">
                  <c:v>45086</c:v>
                </c:pt>
                <c:pt idx="21" formatCode="General">
                  <c:v>47412</c:v>
                </c:pt>
                <c:pt idx="22" formatCode="General">
                  <c:v>49724</c:v>
                </c:pt>
                <c:pt idx="23" formatCode="General">
                  <c:v>51493</c:v>
                </c:pt>
                <c:pt idx="24" formatCode="General">
                  <c:v>53755</c:v>
                </c:pt>
                <c:pt idx="25" formatCode="General">
                  <c:v>54881</c:v>
                </c:pt>
                <c:pt idx="26" formatCode="General">
                  <c:v>56259</c:v>
                </c:pt>
                <c:pt idx="27" formatCode="General">
                  <c:v>58355</c:v>
                </c:pt>
                <c:pt idx="28" formatCode="General">
                  <c:v>60967</c:v>
                </c:pt>
                <c:pt idx="29" formatCode="General">
                  <c:v>62996</c:v>
                </c:pt>
                <c:pt idx="30" formatCode="General">
                  <c:v>64943</c:v>
                </c:pt>
                <c:pt idx="31" formatCode="General">
                  <c:v>66369</c:v>
                </c:pt>
                <c:pt idx="32" formatCode="General">
                  <c:v>67682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3E-4F32-A293-3C7EBD97B641}"/>
            </c:ext>
          </c:extLst>
        </c:ser>
        <c:ser>
          <c:idx val="2"/>
          <c:order val="2"/>
          <c:tx>
            <c:v>Italy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Overview!$B$29:$CZ$29</c:f>
              <c:numCache>
                <c:formatCode>0</c:formatCode>
                <c:ptCount val="33"/>
                <c:pt idx="0">
                  <c:v>13155</c:v>
                </c:pt>
                <c:pt idx="1">
                  <c:v>13915</c:v>
                </c:pt>
                <c:pt idx="2">
                  <c:v>14681</c:v>
                </c:pt>
                <c:pt idx="3">
                  <c:v>15362</c:v>
                </c:pt>
                <c:pt idx="4">
                  <c:v>15887</c:v>
                </c:pt>
                <c:pt idx="5">
                  <c:v>16523</c:v>
                </c:pt>
                <c:pt idx="6">
                  <c:v>17127</c:v>
                </c:pt>
                <c:pt idx="7">
                  <c:v>17669</c:v>
                </c:pt>
                <c:pt idx="8">
                  <c:v>18279</c:v>
                </c:pt>
                <c:pt idx="9">
                  <c:v>18849</c:v>
                </c:pt>
                <c:pt idx="10">
                  <c:v>19468</c:v>
                </c:pt>
                <c:pt idx="11">
                  <c:v>19899</c:v>
                </c:pt>
                <c:pt idx="12" formatCode="General">
                  <c:v>20465</c:v>
                </c:pt>
                <c:pt idx="13" formatCode="General">
                  <c:v>21067</c:v>
                </c:pt>
                <c:pt idx="14" formatCode="General">
                  <c:v>21645</c:v>
                </c:pt>
                <c:pt idx="15" formatCode="General">
                  <c:v>22170</c:v>
                </c:pt>
                <c:pt idx="16" formatCode="General">
                  <c:v>22745</c:v>
                </c:pt>
                <c:pt idx="17" formatCode="General">
                  <c:v>23227</c:v>
                </c:pt>
                <c:pt idx="18" formatCode="General">
                  <c:v>23660</c:v>
                </c:pt>
                <c:pt idx="19" formatCode="General">
                  <c:v>24114</c:v>
                </c:pt>
                <c:pt idx="20" formatCode="General">
                  <c:v>24648</c:v>
                </c:pt>
                <c:pt idx="21" formatCode="General">
                  <c:v>25085</c:v>
                </c:pt>
                <c:pt idx="22" formatCode="General">
                  <c:v>25549</c:v>
                </c:pt>
                <c:pt idx="23" formatCode="General">
                  <c:v>25969</c:v>
                </c:pt>
                <c:pt idx="24" formatCode="General">
                  <c:v>26384</c:v>
                </c:pt>
                <c:pt idx="25" formatCode="General">
                  <c:v>26644</c:v>
                </c:pt>
                <c:pt idx="26" formatCode="General">
                  <c:v>26977</c:v>
                </c:pt>
                <c:pt idx="27" formatCode="General">
                  <c:v>27359</c:v>
                </c:pt>
                <c:pt idx="28" formatCode="General">
                  <c:v>27682</c:v>
                </c:pt>
                <c:pt idx="29" formatCode="General">
                  <c:v>27967</c:v>
                </c:pt>
                <c:pt idx="30" formatCode="General">
                  <c:v>28236</c:v>
                </c:pt>
                <c:pt idx="31" formatCode="General">
                  <c:v>28710</c:v>
                </c:pt>
                <c:pt idx="32" formatCode="General">
                  <c:v>28884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3E-4F32-A293-3C7EBD97B641}"/>
            </c:ext>
          </c:extLst>
        </c:ser>
        <c:ser>
          <c:idx val="3"/>
          <c:order val="3"/>
          <c:tx>
            <c:v>France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Overview!$B$30:$CZ$30</c:f>
              <c:numCache>
                <c:formatCode>0</c:formatCode>
                <c:ptCount val="33"/>
                <c:pt idx="0">
                  <c:v>4414</c:v>
                </c:pt>
                <c:pt idx="1">
                  <c:v>5398</c:v>
                </c:pt>
                <c:pt idx="2">
                  <c:v>6520</c:v>
                </c:pt>
                <c:pt idx="3">
                  <c:v>7574</c:v>
                </c:pt>
                <c:pt idx="4">
                  <c:v>8093</c:v>
                </c:pt>
                <c:pt idx="5">
                  <c:v>8926</c:v>
                </c:pt>
                <c:pt idx="6">
                  <c:v>10343</c:v>
                </c:pt>
                <c:pt idx="7">
                  <c:v>10887</c:v>
                </c:pt>
                <c:pt idx="8">
                  <c:v>12228</c:v>
                </c:pt>
                <c:pt idx="9">
                  <c:v>13215</c:v>
                </c:pt>
                <c:pt idx="10">
                  <c:v>13851</c:v>
                </c:pt>
                <c:pt idx="11">
                  <c:v>14412</c:v>
                </c:pt>
                <c:pt idx="12" formatCode="General">
                  <c:v>14986</c:v>
                </c:pt>
                <c:pt idx="13" formatCode="General">
                  <c:v>15731</c:v>
                </c:pt>
                <c:pt idx="14" formatCode="General">
                  <c:v>17169</c:v>
                </c:pt>
                <c:pt idx="15" formatCode="General">
                  <c:v>17922</c:v>
                </c:pt>
                <c:pt idx="16" formatCode="General">
                  <c:v>18683</c:v>
                </c:pt>
                <c:pt idx="17" formatCode="General">
                  <c:v>19325</c:v>
                </c:pt>
                <c:pt idx="18" formatCode="General">
                  <c:v>19720</c:v>
                </c:pt>
                <c:pt idx="19" formatCode="General">
                  <c:v>20267</c:v>
                </c:pt>
                <c:pt idx="20" formatCode="General">
                  <c:v>20798</c:v>
                </c:pt>
                <c:pt idx="21" formatCode="General">
                  <c:v>21342</c:v>
                </c:pt>
                <c:pt idx="22" formatCode="General">
                  <c:v>21858</c:v>
                </c:pt>
                <c:pt idx="23" formatCode="General">
                  <c:v>22248</c:v>
                </c:pt>
                <c:pt idx="24" formatCode="General">
                  <c:v>22617</c:v>
                </c:pt>
                <c:pt idx="25" formatCode="General">
                  <c:v>22859</c:v>
                </c:pt>
                <c:pt idx="26" formatCode="General">
                  <c:v>23296</c:v>
                </c:pt>
                <c:pt idx="27" formatCode="General">
                  <c:v>23663</c:v>
                </c:pt>
                <c:pt idx="28" formatCode="General">
                  <c:v>24090</c:v>
                </c:pt>
                <c:pt idx="29" formatCode="General">
                  <c:v>24379</c:v>
                </c:pt>
                <c:pt idx="30" formatCode="General">
                  <c:v>24597</c:v>
                </c:pt>
                <c:pt idx="31" formatCode="General">
                  <c:v>24763</c:v>
                </c:pt>
                <c:pt idx="32" formatCode="General">
                  <c:v>24900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3E-4F32-A293-3C7EBD97B641}"/>
            </c:ext>
          </c:extLst>
        </c:ser>
        <c:ser>
          <c:idx val="4"/>
          <c:order val="4"/>
          <c:tx>
            <c:v>Korea, South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Overview!$B$31:$CZ$31</c:f>
              <c:numCache>
                <c:formatCode>0</c:formatCode>
                <c:ptCount val="33"/>
                <c:pt idx="0">
                  <c:v>165</c:v>
                </c:pt>
                <c:pt idx="1">
                  <c:v>169</c:v>
                </c:pt>
                <c:pt idx="2">
                  <c:v>174</c:v>
                </c:pt>
                <c:pt idx="3">
                  <c:v>177</c:v>
                </c:pt>
                <c:pt idx="4">
                  <c:v>183</c:v>
                </c:pt>
                <c:pt idx="5">
                  <c:v>186</c:v>
                </c:pt>
                <c:pt idx="6">
                  <c:v>192</c:v>
                </c:pt>
                <c:pt idx="7">
                  <c:v>200</c:v>
                </c:pt>
                <c:pt idx="8">
                  <c:v>204</c:v>
                </c:pt>
                <c:pt idx="9">
                  <c:v>208</c:v>
                </c:pt>
                <c:pt idx="10">
                  <c:v>211</c:v>
                </c:pt>
                <c:pt idx="11">
                  <c:v>214</c:v>
                </c:pt>
                <c:pt idx="12" formatCode="General">
                  <c:v>217</c:v>
                </c:pt>
                <c:pt idx="13" formatCode="General">
                  <c:v>222</c:v>
                </c:pt>
                <c:pt idx="14" formatCode="General">
                  <c:v>225</c:v>
                </c:pt>
                <c:pt idx="15" formatCode="General">
                  <c:v>229</c:v>
                </c:pt>
                <c:pt idx="16" formatCode="General">
                  <c:v>230</c:v>
                </c:pt>
                <c:pt idx="17" formatCode="General">
                  <c:v>232</c:v>
                </c:pt>
                <c:pt idx="18" formatCode="General">
                  <c:v>234</c:v>
                </c:pt>
                <c:pt idx="19" formatCode="General">
                  <c:v>236</c:v>
                </c:pt>
                <c:pt idx="20" formatCode="General">
                  <c:v>237</c:v>
                </c:pt>
                <c:pt idx="21" formatCode="General">
                  <c:v>238</c:v>
                </c:pt>
                <c:pt idx="22" formatCode="General">
                  <c:v>240</c:v>
                </c:pt>
                <c:pt idx="23" formatCode="General">
                  <c:v>240</c:v>
                </c:pt>
                <c:pt idx="24" formatCode="General">
                  <c:v>242</c:v>
                </c:pt>
                <c:pt idx="25" formatCode="General">
                  <c:v>243</c:v>
                </c:pt>
                <c:pt idx="26" formatCode="General">
                  <c:v>244</c:v>
                </c:pt>
                <c:pt idx="27" formatCode="General">
                  <c:v>246</c:v>
                </c:pt>
                <c:pt idx="28" formatCode="General">
                  <c:v>247</c:v>
                </c:pt>
                <c:pt idx="29" formatCode="General">
                  <c:v>248</c:v>
                </c:pt>
                <c:pt idx="30" formatCode="General">
                  <c:v>250</c:v>
                </c:pt>
                <c:pt idx="31" formatCode="General">
                  <c:v>250</c:v>
                </c:pt>
                <c:pt idx="32" formatCode="General">
                  <c:v>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3E-4F32-A293-3C7EBD97B641}"/>
            </c:ext>
          </c:extLst>
        </c:ser>
        <c:ser>
          <c:idx val="5"/>
          <c:order val="5"/>
          <c:tx>
            <c:v>Spain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Overview!$B$32:$CZ$32</c:f>
              <c:numCache>
                <c:formatCode>0</c:formatCode>
                <c:ptCount val="33"/>
                <c:pt idx="0">
                  <c:v>9387</c:v>
                </c:pt>
                <c:pt idx="1">
                  <c:v>10348</c:v>
                </c:pt>
                <c:pt idx="2">
                  <c:v>11198</c:v>
                </c:pt>
                <c:pt idx="3">
                  <c:v>11947</c:v>
                </c:pt>
                <c:pt idx="4">
                  <c:v>12641</c:v>
                </c:pt>
                <c:pt idx="5">
                  <c:v>13341</c:v>
                </c:pt>
                <c:pt idx="6">
                  <c:v>14045</c:v>
                </c:pt>
                <c:pt idx="7">
                  <c:v>14792</c:v>
                </c:pt>
                <c:pt idx="8">
                  <c:v>15447</c:v>
                </c:pt>
                <c:pt idx="9">
                  <c:v>16081</c:v>
                </c:pt>
                <c:pt idx="10">
                  <c:v>16606</c:v>
                </c:pt>
                <c:pt idx="11">
                  <c:v>17209</c:v>
                </c:pt>
                <c:pt idx="12" formatCode="General">
                  <c:v>17756</c:v>
                </c:pt>
                <c:pt idx="13" formatCode="General">
                  <c:v>18056</c:v>
                </c:pt>
                <c:pt idx="14" formatCode="General">
                  <c:v>18708</c:v>
                </c:pt>
                <c:pt idx="15" formatCode="General">
                  <c:v>19315</c:v>
                </c:pt>
                <c:pt idx="16" formatCode="General">
                  <c:v>20002</c:v>
                </c:pt>
                <c:pt idx="17" formatCode="General">
                  <c:v>20043</c:v>
                </c:pt>
                <c:pt idx="18" formatCode="General">
                  <c:v>20453</c:v>
                </c:pt>
                <c:pt idx="19" formatCode="General">
                  <c:v>20852</c:v>
                </c:pt>
                <c:pt idx="20" formatCode="General">
                  <c:v>21282</c:v>
                </c:pt>
                <c:pt idx="21" formatCode="General">
                  <c:v>21717</c:v>
                </c:pt>
                <c:pt idx="22" formatCode="General">
                  <c:v>22157</c:v>
                </c:pt>
                <c:pt idx="23" formatCode="General">
                  <c:v>22524</c:v>
                </c:pt>
                <c:pt idx="24" formatCode="General">
                  <c:v>22902</c:v>
                </c:pt>
                <c:pt idx="25" formatCode="General">
                  <c:v>23190</c:v>
                </c:pt>
                <c:pt idx="26" formatCode="General">
                  <c:v>23521</c:v>
                </c:pt>
                <c:pt idx="27" formatCode="General">
                  <c:v>23822</c:v>
                </c:pt>
                <c:pt idx="28" formatCode="General">
                  <c:v>24275</c:v>
                </c:pt>
                <c:pt idx="29" formatCode="General">
                  <c:v>24543</c:v>
                </c:pt>
                <c:pt idx="30" formatCode="General">
                  <c:v>24543</c:v>
                </c:pt>
                <c:pt idx="31" formatCode="General">
                  <c:v>25100</c:v>
                </c:pt>
                <c:pt idx="32" formatCode="General">
                  <c:v>25264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E-4F32-A293-3C7EBD97B641}"/>
            </c:ext>
          </c:extLst>
        </c:ser>
        <c:ser>
          <c:idx val="6"/>
          <c:order val="6"/>
          <c:tx>
            <c:strRef>
              <c:f>Overview!$A$33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Overview!$B$33:$CZ$33</c:f>
              <c:numCache>
                <c:formatCode>0</c:formatCode>
                <c:ptCount val="33"/>
                <c:pt idx="0">
                  <c:v>3100</c:v>
                </c:pt>
                <c:pt idx="1">
                  <c:v>3752</c:v>
                </c:pt>
                <c:pt idx="2">
                  <c:v>4467</c:v>
                </c:pt>
                <c:pt idx="3">
                  <c:v>5228</c:v>
                </c:pt>
                <c:pt idx="4">
                  <c:v>5874</c:v>
                </c:pt>
                <c:pt idx="5">
                  <c:v>6445</c:v>
                </c:pt>
                <c:pt idx="6">
                  <c:v>7483</c:v>
                </c:pt>
                <c:pt idx="7">
                  <c:v>8519</c:v>
                </c:pt>
                <c:pt idx="8">
                  <c:v>9623</c:v>
                </c:pt>
                <c:pt idx="9">
                  <c:v>10776</c:v>
                </c:pt>
                <c:pt idx="10">
                  <c:v>11616</c:v>
                </c:pt>
                <c:pt idx="11">
                  <c:v>12302</c:v>
                </c:pt>
                <c:pt idx="12" formatCode="General">
                  <c:v>13047</c:v>
                </c:pt>
                <c:pt idx="13" formatCode="General">
                  <c:v>14095</c:v>
                </c:pt>
                <c:pt idx="14" formatCode="General">
                  <c:v>14941</c:v>
                </c:pt>
                <c:pt idx="15" formatCode="General">
                  <c:v>15974</c:v>
                </c:pt>
                <c:pt idx="16" formatCode="General">
                  <c:v>16910</c:v>
                </c:pt>
                <c:pt idx="17" formatCode="General">
                  <c:v>18028</c:v>
                </c:pt>
                <c:pt idx="18" formatCode="General">
                  <c:v>18527</c:v>
                </c:pt>
                <c:pt idx="19" formatCode="General">
                  <c:v>19092</c:v>
                </c:pt>
                <c:pt idx="20" formatCode="General">
                  <c:v>20264</c:v>
                </c:pt>
                <c:pt idx="21" formatCode="General">
                  <c:v>21111</c:v>
                </c:pt>
                <c:pt idx="22" formatCode="General">
                  <c:v>21840</c:v>
                </c:pt>
                <c:pt idx="23" formatCode="General">
                  <c:v>22853</c:v>
                </c:pt>
                <c:pt idx="24" formatCode="General">
                  <c:v>23697</c:v>
                </c:pt>
                <c:pt idx="25" formatCode="General">
                  <c:v>24117</c:v>
                </c:pt>
                <c:pt idx="26" formatCode="General">
                  <c:v>24458</c:v>
                </c:pt>
                <c:pt idx="27" formatCode="General">
                  <c:v>25369</c:v>
                </c:pt>
                <c:pt idx="28" formatCode="General">
                  <c:v>26166</c:v>
                </c:pt>
                <c:pt idx="29" formatCode="General">
                  <c:v>26842</c:v>
                </c:pt>
                <c:pt idx="30" formatCode="General">
                  <c:v>27583</c:v>
                </c:pt>
                <c:pt idx="31" formatCode="General">
                  <c:v>28205</c:v>
                </c:pt>
                <c:pt idx="32" formatCode="General">
                  <c:v>28520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3E-4F32-A293-3C7EBD97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Confirmed Cases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Overview!$B$4:$CZ$4</c:f>
              <c:numCache>
                <c:formatCode>0</c:formatCode>
                <c:ptCount val="33"/>
                <c:pt idx="0">
                  <c:v>77872</c:v>
                </c:pt>
                <c:pt idx="1">
                  <c:v>84794</c:v>
                </c:pt>
                <c:pt idx="2">
                  <c:v>91159</c:v>
                </c:pt>
                <c:pt idx="3">
                  <c:v>96092</c:v>
                </c:pt>
                <c:pt idx="4">
                  <c:v>100123</c:v>
                </c:pt>
                <c:pt idx="5">
                  <c:v>103374</c:v>
                </c:pt>
                <c:pt idx="6">
                  <c:v>107663</c:v>
                </c:pt>
                <c:pt idx="7">
                  <c:v>113296</c:v>
                </c:pt>
                <c:pt idx="8">
                  <c:v>118181</c:v>
                </c:pt>
                <c:pt idx="9">
                  <c:v>122171</c:v>
                </c:pt>
                <c:pt idx="10">
                  <c:v>124908</c:v>
                </c:pt>
                <c:pt idx="11">
                  <c:v>127854</c:v>
                </c:pt>
                <c:pt idx="12">
                  <c:v>130072</c:v>
                </c:pt>
                <c:pt idx="13">
                  <c:v>131359</c:v>
                </c:pt>
                <c:pt idx="14">
                  <c:v>134753</c:v>
                </c:pt>
                <c:pt idx="15">
                  <c:v>137698</c:v>
                </c:pt>
                <c:pt idx="16">
                  <c:v>141397</c:v>
                </c:pt>
                <c:pt idx="17">
                  <c:v>143342</c:v>
                </c:pt>
                <c:pt idx="18">
                  <c:v>145184</c:v>
                </c:pt>
                <c:pt idx="19">
                  <c:v>147065</c:v>
                </c:pt>
                <c:pt idx="20">
                  <c:v>148291</c:v>
                </c:pt>
                <c:pt idx="21">
                  <c:v>150648</c:v>
                </c:pt>
                <c:pt idx="22">
                  <c:v>153129</c:v>
                </c:pt>
                <c:pt idx="23">
                  <c:v>154999</c:v>
                </c:pt>
                <c:pt idx="24">
                  <c:v>156513</c:v>
                </c:pt>
                <c:pt idx="25">
                  <c:v>157770</c:v>
                </c:pt>
                <c:pt idx="26">
                  <c:v>158758</c:v>
                </c:pt>
                <c:pt idx="27">
                  <c:v>159912</c:v>
                </c:pt>
                <c:pt idx="28">
                  <c:v>161539</c:v>
                </c:pt>
                <c:pt idx="29">
                  <c:v>163009</c:v>
                </c:pt>
                <c:pt idx="30">
                  <c:v>164077</c:v>
                </c:pt>
                <c:pt idx="31">
                  <c:v>164967</c:v>
                </c:pt>
                <c:pt idx="32">
                  <c:v>165664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v>Deaths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Overview!$B$5:$CZ$5</c:f>
              <c:numCache>
                <c:formatCode>0</c:formatCode>
                <c:ptCount val="33"/>
                <c:pt idx="0">
                  <c:v>920</c:v>
                </c:pt>
                <c:pt idx="1">
                  <c:v>1107</c:v>
                </c:pt>
                <c:pt idx="2">
                  <c:v>1275</c:v>
                </c:pt>
                <c:pt idx="3">
                  <c:v>1444</c:v>
                </c:pt>
                <c:pt idx="4">
                  <c:v>1584</c:v>
                </c:pt>
                <c:pt idx="5">
                  <c:v>1810</c:v>
                </c:pt>
                <c:pt idx="6">
                  <c:v>2016</c:v>
                </c:pt>
                <c:pt idx="7">
                  <c:v>2349</c:v>
                </c:pt>
                <c:pt idx="8">
                  <c:v>2607</c:v>
                </c:pt>
                <c:pt idx="9">
                  <c:v>2767</c:v>
                </c:pt>
                <c:pt idx="10">
                  <c:v>2736</c:v>
                </c:pt>
                <c:pt idx="11">
                  <c:v>3022</c:v>
                </c:pt>
                <c:pt idx="12">
                  <c:v>3194</c:v>
                </c:pt>
                <c:pt idx="13">
                  <c:v>3294</c:v>
                </c:pt>
                <c:pt idx="14">
                  <c:v>3804</c:v>
                </c:pt>
                <c:pt idx="15">
                  <c:v>4052</c:v>
                </c:pt>
                <c:pt idx="16">
                  <c:v>4352</c:v>
                </c:pt>
                <c:pt idx="17">
                  <c:v>4459</c:v>
                </c:pt>
                <c:pt idx="18">
                  <c:v>4586</c:v>
                </c:pt>
                <c:pt idx="19">
                  <c:v>4862</c:v>
                </c:pt>
                <c:pt idx="20">
                  <c:v>5033</c:v>
                </c:pt>
                <c:pt idx="21">
                  <c:v>5279</c:v>
                </c:pt>
                <c:pt idx="22">
                  <c:v>5575</c:v>
                </c:pt>
                <c:pt idx="23">
                  <c:v>5760</c:v>
                </c:pt>
                <c:pt idx="24">
                  <c:v>5877</c:v>
                </c:pt>
                <c:pt idx="25">
                  <c:v>5976</c:v>
                </c:pt>
                <c:pt idx="26">
                  <c:v>6126</c:v>
                </c:pt>
                <c:pt idx="27">
                  <c:v>6314</c:v>
                </c:pt>
                <c:pt idx="28">
                  <c:v>6467</c:v>
                </c:pt>
                <c:pt idx="29">
                  <c:v>6623</c:v>
                </c:pt>
                <c:pt idx="30">
                  <c:v>6736</c:v>
                </c:pt>
                <c:pt idx="31">
                  <c:v>6812</c:v>
                </c:pt>
                <c:pt idx="32">
                  <c:v>6866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Overview!$B$6:$CZ$6</c:f>
              <c:numCache>
                <c:formatCode>0</c:formatCode>
                <c:ptCount val="33"/>
                <c:pt idx="0">
                  <c:v>18700</c:v>
                </c:pt>
                <c:pt idx="1">
                  <c:v>22440</c:v>
                </c:pt>
                <c:pt idx="2">
                  <c:v>24575</c:v>
                </c:pt>
                <c:pt idx="3">
                  <c:v>26400</c:v>
                </c:pt>
                <c:pt idx="4">
                  <c:v>28700</c:v>
                </c:pt>
                <c:pt idx="5">
                  <c:v>28700</c:v>
                </c:pt>
                <c:pt idx="6">
                  <c:v>36081</c:v>
                </c:pt>
                <c:pt idx="7">
                  <c:v>46300</c:v>
                </c:pt>
                <c:pt idx="8">
                  <c:v>52407</c:v>
                </c:pt>
                <c:pt idx="9">
                  <c:v>53913</c:v>
                </c:pt>
                <c:pt idx="10">
                  <c:v>57400</c:v>
                </c:pt>
                <c:pt idx="11">
                  <c:v>60300</c:v>
                </c:pt>
                <c:pt idx="12">
                  <c:v>64300</c:v>
                </c:pt>
                <c:pt idx="13">
                  <c:v>68200</c:v>
                </c:pt>
                <c:pt idx="14">
                  <c:v>72600</c:v>
                </c:pt>
                <c:pt idx="15">
                  <c:v>77000</c:v>
                </c:pt>
                <c:pt idx="16">
                  <c:v>83114</c:v>
                </c:pt>
                <c:pt idx="17">
                  <c:v>85400</c:v>
                </c:pt>
                <c:pt idx="18">
                  <c:v>88000</c:v>
                </c:pt>
                <c:pt idx="19">
                  <c:v>91500</c:v>
                </c:pt>
                <c:pt idx="20">
                  <c:v>95200</c:v>
                </c:pt>
                <c:pt idx="21">
                  <c:v>99400</c:v>
                </c:pt>
                <c:pt idx="22">
                  <c:v>103300</c:v>
                </c:pt>
                <c:pt idx="23">
                  <c:v>109800</c:v>
                </c:pt>
                <c:pt idx="24">
                  <c:v>109800</c:v>
                </c:pt>
                <c:pt idx="25">
                  <c:v>112000</c:v>
                </c:pt>
                <c:pt idx="26">
                  <c:v>114500</c:v>
                </c:pt>
                <c:pt idx="27">
                  <c:v>117400</c:v>
                </c:pt>
                <c:pt idx="28">
                  <c:v>120400</c:v>
                </c:pt>
                <c:pt idx="29">
                  <c:v>123500</c:v>
                </c:pt>
                <c:pt idx="30">
                  <c:v>126900</c:v>
                </c:pt>
                <c:pt idx="31">
                  <c:v>129000</c:v>
                </c:pt>
                <c:pt idx="32">
                  <c:v>130600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A-46CF-8DCE-39E0E4783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Cases/Day</c:v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Overview!$B$7:$CZ$7</c:f>
              <c:numCache>
                <c:formatCode>0</c:formatCode>
                <c:ptCount val="33"/>
                <c:pt idx="0">
                  <c:v>6064</c:v>
                </c:pt>
                <c:pt idx="1">
                  <c:v>6922</c:v>
                </c:pt>
                <c:pt idx="2">
                  <c:v>6365</c:v>
                </c:pt>
                <c:pt idx="3">
                  <c:v>4933</c:v>
                </c:pt>
                <c:pt idx="4">
                  <c:v>4031</c:v>
                </c:pt>
                <c:pt idx="5">
                  <c:v>3251</c:v>
                </c:pt>
                <c:pt idx="6">
                  <c:v>4289</c:v>
                </c:pt>
                <c:pt idx="7">
                  <c:v>5633</c:v>
                </c:pt>
                <c:pt idx="8">
                  <c:v>4885</c:v>
                </c:pt>
                <c:pt idx="9">
                  <c:v>3990</c:v>
                </c:pt>
                <c:pt idx="10">
                  <c:v>2737</c:v>
                </c:pt>
                <c:pt idx="11">
                  <c:v>2946</c:v>
                </c:pt>
                <c:pt idx="12">
                  <c:v>2218</c:v>
                </c:pt>
                <c:pt idx="13">
                  <c:v>1287</c:v>
                </c:pt>
                <c:pt idx="14">
                  <c:v>3394</c:v>
                </c:pt>
                <c:pt idx="15">
                  <c:v>2945</c:v>
                </c:pt>
                <c:pt idx="16">
                  <c:v>3699</c:v>
                </c:pt>
                <c:pt idx="17">
                  <c:v>1945</c:v>
                </c:pt>
                <c:pt idx="18">
                  <c:v>1842</c:v>
                </c:pt>
                <c:pt idx="19">
                  <c:v>1881</c:v>
                </c:pt>
                <c:pt idx="20">
                  <c:v>1226</c:v>
                </c:pt>
                <c:pt idx="21">
                  <c:v>2357</c:v>
                </c:pt>
                <c:pt idx="22">
                  <c:v>2481</c:v>
                </c:pt>
                <c:pt idx="23">
                  <c:v>1870</c:v>
                </c:pt>
                <c:pt idx="24">
                  <c:v>1514</c:v>
                </c:pt>
                <c:pt idx="25">
                  <c:v>1257</c:v>
                </c:pt>
                <c:pt idx="26">
                  <c:v>988</c:v>
                </c:pt>
                <c:pt idx="27">
                  <c:v>1154</c:v>
                </c:pt>
                <c:pt idx="28">
                  <c:v>1627</c:v>
                </c:pt>
                <c:pt idx="29">
                  <c:v>1470</c:v>
                </c:pt>
                <c:pt idx="30">
                  <c:v>1068</c:v>
                </c:pt>
                <c:pt idx="31">
                  <c:v>890</c:v>
                </c:pt>
                <c:pt idx="32">
                  <c:v>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v>Deaths/Day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Overview!$B$8:$CZ$8</c:f>
              <c:numCache>
                <c:formatCode>0</c:formatCode>
                <c:ptCount val="33"/>
                <c:pt idx="0">
                  <c:v>145</c:v>
                </c:pt>
                <c:pt idx="1">
                  <c:v>187</c:v>
                </c:pt>
                <c:pt idx="2">
                  <c:v>168</c:v>
                </c:pt>
                <c:pt idx="3">
                  <c:v>169</c:v>
                </c:pt>
                <c:pt idx="4">
                  <c:v>140</c:v>
                </c:pt>
                <c:pt idx="5">
                  <c:v>226</c:v>
                </c:pt>
                <c:pt idx="6">
                  <c:v>206</c:v>
                </c:pt>
                <c:pt idx="7">
                  <c:v>333</c:v>
                </c:pt>
                <c:pt idx="8">
                  <c:v>258</c:v>
                </c:pt>
                <c:pt idx="9">
                  <c:v>160</c:v>
                </c:pt>
                <c:pt idx="10">
                  <c:v>-31</c:v>
                </c:pt>
                <c:pt idx="11">
                  <c:v>286</c:v>
                </c:pt>
                <c:pt idx="12">
                  <c:v>172</c:v>
                </c:pt>
                <c:pt idx="13">
                  <c:v>100</c:v>
                </c:pt>
                <c:pt idx="14">
                  <c:v>510</c:v>
                </c:pt>
                <c:pt idx="15">
                  <c:v>248</c:v>
                </c:pt>
                <c:pt idx="16">
                  <c:v>300</c:v>
                </c:pt>
                <c:pt idx="17">
                  <c:v>107</c:v>
                </c:pt>
                <c:pt idx="18">
                  <c:v>127</c:v>
                </c:pt>
                <c:pt idx="19">
                  <c:v>276</c:v>
                </c:pt>
                <c:pt idx="20">
                  <c:v>171</c:v>
                </c:pt>
                <c:pt idx="21">
                  <c:v>246</c:v>
                </c:pt>
                <c:pt idx="22">
                  <c:v>296</c:v>
                </c:pt>
                <c:pt idx="23">
                  <c:v>185</c:v>
                </c:pt>
                <c:pt idx="24">
                  <c:v>117</c:v>
                </c:pt>
                <c:pt idx="25">
                  <c:v>99</c:v>
                </c:pt>
                <c:pt idx="26">
                  <c:v>150</c:v>
                </c:pt>
                <c:pt idx="27">
                  <c:v>188</c:v>
                </c:pt>
                <c:pt idx="28">
                  <c:v>153</c:v>
                </c:pt>
                <c:pt idx="29">
                  <c:v>156</c:v>
                </c:pt>
                <c:pt idx="30">
                  <c:v>113</c:v>
                </c:pt>
                <c:pt idx="31">
                  <c:v>76</c:v>
                </c:pt>
                <c:pt idx="32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Overview!$B$9:$CZ$9</c:f>
              <c:numCache>
                <c:formatCode>0</c:formatCode>
                <c:ptCount val="33"/>
                <c:pt idx="0">
                  <c:v>2600</c:v>
                </c:pt>
                <c:pt idx="1">
                  <c:v>3740</c:v>
                </c:pt>
                <c:pt idx="2">
                  <c:v>2135</c:v>
                </c:pt>
                <c:pt idx="3">
                  <c:v>1825</c:v>
                </c:pt>
                <c:pt idx="4">
                  <c:v>2300</c:v>
                </c:pt>
                <c:pt idx="5">
                  <c:v>0</c:v>
                </c:pt>
                <c:pt idx="6">
                  <c:v>7381</c:v>
                </c:pt>
                <c:pt idx="7">
                  <c:v>10219</c:v>
                </c:pt>
                <c:pt idx="8">
                  <c:v>6107</c:v>
                </c:pt>
                <c:pt idx="9">
                  <c:v>1506</c:v>
                </c:pt>
                <c:pt idx="10">
                  <c:v>3487</c:v>
                </c:pt>
                <c:pt idx="11">
                  <c:v>2900</c:v>
                </c:pt>
                <c:pt idx="12">
                  <c:v>4000</c:v>
                </c:pt>
                <c:pt idx="13">
                  <c:v>3900</c:v>
                </c:pt>
                <c:pt idx="14">
                  <c:v>4400</c:v>
                </c:pt>
                <c:pt idx="15">
                  <c:v>4400</c:v>
                </c:pt>
                <c:pt idx="16">
                  <c:v>6114</c:v>
                </c:pt>
                <c:pt idx="17">
                  <c:v>2286</c:v>
                </c:pt>
                <c:pt idx="18">
                  <c:v>2600</c:v>
                </c:pt>
                <c:pt idx="19">
                  <c:v>3500</c:v>
                </c:pt>
                <c:pt idx="20">
                  <c:v>3700</c:v>
                </c:pt>
                <c:pt idx="21">
                  <c:v>4200</c:v>
                </c:pt>
                <c:pt idx="22">
                  <c:v>3900</c:v>
                </c:pt>
                <c:pt idx="23">
                  <c:v>6500</c:v>
                </c:pt>
                <c:pt idx="24">
                  <c:v>0</c:v>
                </c:pt>
                <c:pt idx="25">
                  <c:v>2200</c:v>
                </c:pt>
                <c:pt idx="26">
                  <c:v>2500</c:v>
                </c:pt>
                <c:pt idx="27">
                  <c:v>2900</c:v>
                </c:pt>
                <c:pt idx="28">
                  <c:v>3000</c:v>
                </c:pt>
                <c:pt idx="29">
                  <c:v>3100</c:v>
                </c:pt>
                <c:pt idx="30">
                  <c:v>3400</c:v>
                </c:pt>
                <c:pt idx="31">
                  <c:v>2100</c:v>
                </c:pt>
                <c:pt idx="32">
                  <c:v>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dateAx>
        <c:axId val="342262112"/>
        <c:scaling>
          <c:orientation val="minMax"/>
        </c:scaling>
        <c:delete val="1"/>
        <c:axPos val="b"/>
        <c:numFmt formatCode="dd/mm/" sourceLinked="1"/>
        <c:majorTickMark val="out"/>
        <c:minorTickMark val="none"/>
        <c:tickLblPos val="nextTo"/>
        <c:crossAx val="1019522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Deathrate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Overview!$B$10:$CZ$10</c:f>
              <c:numCache>
                <c:formatCode>0.00%</c:formatCode>
                <c:ptCount val="33"/>
                <c:pt idx="0">
                  <c:v>1.1814259297308404E-2</c:v>
                </c:pt>
                <c:pt idx="1">
                  <c:v>1.3055168997806449E-2</c:v>
                </c:pt>
                <c:pt idx="2">
                  <c:v>1.3986550971379677E-2</c:v>
                </c:pt>
                <c:pt idx="3">
                  <c:v>1.5027265537193522E-2</c:v>
                </c:pt>
                <c:pt idx="4">
                  <c:v>1.5820540734896079E-2</c:v>
                </c:pt>
                <c:pt idx="5">
                  <c:v>1.7509238299765899E-2</c:v>
                </c:pt>
                <c:pt idx="6">
                  <c:v>1.87250959010988E-2</c:v>
                </c:pt>
                <c:pt idx="7">
                  <c:v>2.0733300381302076E-2</c:v>
                </c:pt>
                <c:pt idx="8">
                  <c:v>2.2059383488039534E-2</c:v>
                </c:pt>
                <c:pt idx="9">
                  <c:v>2.2648582724214422E-2</c:v>
                </c:pt>
                <c:pt idx="10">
                  <c:v>2.1904121433374963E-2</c:v>
                </c:pt>
                <c:pt idx="11">
                  <c:v>2.3636335194831604E-2</c:v>
                </c:pt>
                <c:pt idx="12">
                  <c:v>2.4555630727597023E-2</c:v>
                </c:pt>
                <c:pt idx="13">
                  <c:v>2.5076317572454113E-2</c:v>
                </c:pt>
                <c:pt idx="14">
                  <c:v>2.8229427174163099E-2</c:v>
                </c:pt>
                <c:pt idx="15">
                  <c:v>2.9426716437421022E-2</c:v>
                </c:pt>
                <c:pt idx="16">
                  <c:v>3.0778587947410483E-2</c:v>
                </c:pt>
                <c:pt idx="17">
                  <c:v>3.1107421411728592E-2</c:v>
                </c:pt>
                <c:pt idx="18">
                  <c:v>3.1587502755124529E-2</c:v>
                </c:pt>
                <c:pt idx="19">
                  <c:v>3.3060211471118213E-2</c:v>
                </c:pt>
                <c:pt idx="20">
                  <c:v>3.3940023332501637E-2</c:v>
                </c:pt>
                <c:pt idx="21">
                  <c:v>3.5041952100260211E-2</c:v>
                </c:pt>
                <c:pt idx="22">
                  <c:v>3.6407212219762425E-2</c:v>
                </c:pt>
                <c:pt idx="23">
                  <c:v>3.7161530074387578E-2</c:v>
                </c:pt>
                <c:pt idx="24">
                  <c:v>3.7549596519138986E-2</c:v>
                </c:pt>
                <c:pt idx="25">
                  <c:v>3.7877923559612094E-2</c:v>
                </c:pt>
                <c:pt idx="26">
                  <c:v>3.858703183461621E-2</c:v>
                </c:pt>
                <c:pt idx="27">
                  <c:v>3.9484216318975439E-2</c:v>
                </c:pt>
                <c:pt idx="28">
                  <c:v>4.0033676078222599E-2</c:v>
                </c:pt>
                <c:pt idx="29">
                  <c:v>4.0629658485114316E-2</c:v>
                </c:pt>
                <c:pt idx="30">
                  <c:v>4.1053895427147012E-2</c:v>
                </c:pt>
                <c:pt idx="31">
                  <c:v>4.1293107106269739E-2</c:v>
                </c:pt>
                <c:pt idx="32">
                  <c:v>4.1445335136179255E-2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ser>
          <c:idx val="2"/>
          <c:order val="2"/>
          <c:tx>
            <c:strRef>
              <c:f>Overview!$A$12</c:f>
              <c:strCache>
                <c:ptCount val="1"/>
                <c:pt idx="0">
                  <c:v>Percent Recovered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Overview!$B$12:$CZ$12</c:f>
              <c:numCache>
                <c:formatCode>0.00%</c:formatCode>
                <c:ptCount val="33"/>
                <c:pt idx="0">
                  <c:v>0.24013766180398602</c:v>
                </c:pt>
                <c:pt idx="1">
                  <c:v>0.26464136613439632</c:v>
                </c:pt>
                <c:pt idx="2">
                  <c:v>0.26958391382090635</c:v>
                </c:pt>
                <c:pt idx="3">
                  <c:v>0.27473671065229155</c:v>
                </c:pt>
                <c:pt idx="4">
                  <c:v>0.28664742366888729</c:v>
                </c:pt>
                <c:pt idx="5">
                  <c:v>0.27763267359297311</c:v>
                </c:pt>
                <c:pt idx="6">
                  <c:v>0.33512906012279053</c:v>
                </c:pt>
                <c:pt idx="7">
                  <c:v>0.40866403050416605</c:v>
                </c:pt>
                <c:pt idx="8">
                  <c:v>0.44344691617095811</c:v>
                </c:pt>
                <c:pt idx="9">
                  <c:v>0.44129130481047057</c:v>
                </c:pt>
                <c:pt idx="10">
                  <c:v>0.45953822013001572</c:v>
                </c:pt>
                <c:pt idx="11">
                  <c:v>0.47163170491341688</c:v>
                </c:pt>
                <c:pt idx="12">
                  <c:v>0.4943415954240728</c:v>
                </c:pt>
                <c:pt idx="13">
                  <c:v>0.51918787445093217</c:v>
                </c:pt>
                <c:pt idx="14">
                  <c:v>0.53876351546904333</c:v>
                </c:pt>
                <c:pt idx="15">
                  <c:v>0.55919475954625342</c:v>
                </c:pt>
                <c:pt idx="16">
                  <c:v>0.58780596476587199</c:v>
                </c:pt>
                <c:pt idx="17">
                  <c:v>0.59577792970657584</c:v>
                </c:pt>
                <c:pt idx="18">
                  <c:v>0.6061273969583425</c:v>
                </c:pt>
                <c:pt idx="19">
                  <c:v>0.62217386869751468</c:v>
                </c:pt>
                <c:pt idx="20">
                  <c:v>0.64198096984982234</c:v>
                </c:pt>
                <c:pt idx="21">
                  <c:v>0.65981626042164521</c:v>
                </c:pt>
                <c:pt idx="22">
                  <c:v>0.67459462283434224</c:v>
                </c:pt>
                <c:pt idx="23">
                  <c:v>0.70839166704301315</c:v>
                </c:pt>
                <c:pt idx="24">
                  <c:v>0.70153916927028426</c:v>
                </c:pt>
                <c:pt idx="25">
                  <c:v>0.70989414971160547</c:v>
                </c:pt>
                <c:pt idx="26">
                  <c:v>0.72122349739855629</c:v>
                </c:pt>
                <c:pt idx="27">
                  <c:v>0.73415378458151981</c:v>
                </c:pt>
                <c:pt idx="28">
                  <c:v>0.74533084889717038</c:v>
                </c:pt>
                <c:pt idx="29">
                  <c:v>0.75762687949745111</c:v>
                </c:pt>
                <c:pt idx="30">
                  <c:v>0.77341735892294472</c:v>
                </c:pt>
                <c:pt idx="31">
                  <c:v>0.78197457673352855</c:v>
                </c:pt>
                <c:pt idx="32">
                  <c:v>0.78834266949971021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3-430A-BF7E-966A57C7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</c:lineChart>
      <c:lineChart>
        <c:grouping val="standard"/>
        <c:varyColors val="0"/>
        <c:ser>
          <c:idx val="1"/>
          <c:order val="1"/>
          <c:tx>
            <c:v>Current Doubling Time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Overview!$B$11:$CZ$11</c:f>
              <c:numCache>
                <c:formatCode>0.00</c:formatCode>
                <c:ptCount val="33"/>
                <c:pt idx="0">
                  <c:v>11.841688654353563</c:v>
                </c:pt>
                <c:pt idx="1">
                  <c:v>11.249927766541463</c:v>
                </c:pt>
                <c:pt idx="2">
                  <c:v>13.32191673212883</c:v>
                </c:pt>
                <c:pt idx="3">
                  <c:v>18.479424285424692</c:v>
                </c:pt>
                <c:pt idx="4">
                  <c:v>23.838253535102954</c:v>
                </c:pt>
                <c:pt idx="5">
                  <c:v>30.79760073823439</c:v>
                </c:pt>
                <c:pt idx="6">
                  <c:v>24.102121706691538</c:v>
                </c:pt>
                <c:pt idx="7">
                  <c:v>19.112906089117701</c:v>
                </c:pt>
                <c:pt idx="8">
                  <c:v>23.192630501535312</c:v>
                </c:pt>
                <c:pt idx="9">
                  <c:v>29.619298245614036</c:v>
                </c:pt>
                <c:pt idx="10">
                  <c:v>44.636828644501279</c:v>
                </c:pt>
                <c:pt idx="11">
                  <c:v>42.39918533604888</c:v>
                </c:pt>
                <c:pt idx="12">
                  <c:v>57.643823264201984</c:v>
                </c:pt>
                <c:pt idx="13">
                  <c:v>101.06604506604506</c:v>
                </c:pt>
                <c:pt idx="14">
                  <c:v>38.70329994107248</c:v>
                </c:pt>
                <c:pt idx="15">
                  <c:v>45.756536502546687</c:v>
                </c:pt>
                <c:pt idx="16">
                  <c:v>37.225736685590704</c:v>
                </c:pt>
                <c:pt idx="17">
                  <c:v>72.697686375321339</c:v>
                </c:pt>
                <c:pt idx="18">
                  <c:v>77.818675352877307</c:v>
                </c:pt>
                <c:pt idx="19">
                  <c:v>77.184476342371084</c:v>
                </c:pt>
                <c:pt idx="20">
                  <c:v>119.95513866231647</c:v>
                </c:pt>
                <c:pt idx="21">
                  <c:v>62.915146372507422</c:v>
                </c:pt>
                <c:pt idx="22">
                  <c:v>60.720677146311971</c:v>
                </c:pt>
                <c:pt idx="23">
                  <c:v>81.887165775401073</c:v>
                </c:pt>
                <c:pt idx="24">
                  <c:v>102.3771466314399</c:v>
                </c:pt>
                <c:pt idx="25">
                  <c:v>124.51312649164677</c:v>
                </c:pt>
                <c:pt idx="26">
                  <c:v>159.68623481781376</c:v>
                </c:pt>
                <c:pt idx="27">
                  <c:v>137.57192374350086</c:v>
                </c:pt>
                <c:pt idx="28">
                  <c:v>98.286416717885686</c:v>
                </c:pt>
                <c:pt idx="29">
                  <c:v>109.89047619047619</c:v>
                </c:pt>
                <c:pt idx="30">
                  <c:v>152.63014981273409</c:v>
                </c:pt>
                <c:pt idx="31">
                  <c:v>184.35617977528091</c:v>
                </c:pt>
                <c:pt idx="32">
                  <c:v>236.68149210903874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dateAx>
        <c:axId val="1074045592"/>
        <c:scaling>
          <c:orientation val="minMax"/>
        </c:scaling>
        <c:delete val="1"/>
        <c:axPos val="b"/>
        <c:numFmt formatCode="dd/mm/" sourceLinked="1"/>
        <c:majorTickMark val="out"/>
        <c:minorTickMark val="none"/>
        <c:tickLblPos val="nextTo"/>
        <c:crossAx val="1074049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</a:t>
            </a:r>
            <a:r>
              <a:rPr lang="de-DE" baseline="0"/>
              <a:t> Cases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Germany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Overview!$B$16:$CZ$16</c:f>
              <c:numCache>
                <c:formatCode>General</c:formatCode>
                <c:ptCount val="33"/>
                <c:pt idx="0">
                  <c:v>77872</c:v>
                </c:pt>
                <c:pt idx="1">
                  <c:v>84794</c:v>
                </c:pt>
                <c:pt idx="2">
                  <c:v>91159</c:v>
                </c:pt>
                <c:pt idx="3">
                  <c:v>96092</c:v>
                </c:pt>
                <c:pt idx="4">
                  <c:v>100123</c:v>
                </c:pt>
                <c:pt idx="5">
                  <c:v>103374</c:v>
                </c:pt>
                <c:pt idx="6">
                  <c:v>107663</c:v>
                </c:pt>
                <c:pt idx="7">
                  <c:v>113296</c:v>
                </c:pt>
                <c:pt idx="8">
                  <c:v>118181</c:v>
                </c:pt>
                <c:pt idx="9">
                  <c:v>122171</c:v>
                </c:pt>
                <c:pt idx="10">
                  <c:v>124908</c:v>
                </c:pt>
                <c:pt idx="11">
                  <c:v>127854</c:v>
                </c:pt>
                <c:pt idx="12">
                  <c:v>130072</c:v>
                </c:pt>
                <c:pt idx="13">
                  <c:v>131359</c:v>
                </c:pt>
                <c:pt idx="14">
                  <c:v>134753</c:v>
                </c:pt>
                <c:pt idx="15">
                  <c:v>137698</c:v>
                </c:pt>
                <c:pt idx="16">
                  <c:v>141397</c:v>
                </c:pt>
                <c:pt idx="17">
                  <c:v>143342</c:v>
                </c:pt>
                <c:pt idx="18">
                  <c:v>145184</c:v>
                </c:pt>
                <c:pt idx="19">
                  <c:v>147065</c:v>
                </c:pt>
                <c:pt idx="20">
                  <c:v>148291</c:v>
                </c:pt>
                <c:pt idx="21">
                  <c:v>150648</c:v>
                </c:pt>
                <c:pt idx="22">
                  <c:v>153129</c:v>
                </c:pt>
                <c:pt idx="23">
                  <c:v>154999</c:v>
                </c:pt>
                <c:pt idx="24">
                  <c:v>156513</c:v>
                </c:pt>
                <c:pt idx="25">
                  <c:v>157770</c:v>
                </c:pt>
                <c:pt idx="26">
                  <c:v>158758</c:v>
                </c:pt>
                <c:pt idx="27">
                  <c:v>159912</c:v>
                </c:pt>
                <c:pt idx="28">
                  <c:v>161539</c:v>
                </c:pt>
                <c:pt idx="29">
                  <c:v>163009</c:v>
                </c:pt>
                <c:pt idx="30">
                  <c:v>164077</c:v>
                </c:pt>
                <c:pt idx="31">
                  <c:v>164967</c:v>
                </c:pt>
                <c:pt idx="32">
                  <c:v>165664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E-4F32-A293-3C7EBD97B641}"/>
            </c:ext>
          </c:extLst>
        </c:ser>
        <c:ser>
          <c:idx val="1"/>
          <c:order val="1"/>
          <c:tx>
            <c:v>US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Overview!$B$17:$CZ$17</c:f>
              <c:numCache>
                <c:formatCode>General</c:formatCode>
                <c:ptCount val="33"/>
                <c:pt idx="0">
                  <c:v>213242</c:v>
                </c:pt>
                <c:pt idx="1">
                  <c:v>243622</c:v>
                </c:pt>
                <c:pt idx="2">
                  <c:v>275367</c:v>
                </c:pt>
                <c:pt idx="3">
                  <c:v>308650</c:v>
                </c:pt>
                <c:pt idx="4">
                  <c:v>336802</c:v>
                </c:pt>
                <c:pt idx="5">
                  <c:v>366317</c:v>
                </c:pt>
                <c:pt idx="6">
                  <c:v>397121</c:v>
                </c:pt>
                <c:pt idx="7">
                  <c:v>428654</c:v>
                </c:pt>
                <c:pt idx="8">
                  <c:v>462780</c:v>
                </c:pt>
                <c:pt idx="9">
                  <c:v>496535</c:v>
                </c:pt>
                <c:pt idx="10">
                  <c:v>526396</c:v>
                </c:pt>
                <c:pt idx="11">
                  <c:v>555313</c:v>
                </c:pt>
                <c:pt idx="12">
                  <c:v>580619</c:v>
                </c:pt>
                <c:pt idx="13">
                  <c:v>607670</c:v>
                </c:pt>
                <c:pt idx="14">
                  <c:v>636350</c:v>
                </c:pt>
                <c:pt idx="15">
                  <c:v>667592</c:v>
                </c:pt>
                <c:pt idx="16">
                  <c:v>699706</c:v>
                </c:pt>
                <c:pt idx="17">
                  <c:v>732197</c:v>
                </c:pt>
                <c:pt idx="18">
                  <c:v>758809</c:v>
                </c:pt>
                <c:pt idx="19">
                  <c:v>784326</c:v>
                </c:pt>
                <c:pt idx="20">
                  <c:v>811865</c:v>
                </c:pt>
                <c:pt idx="21">
                  <c:v>840351</c:v>
                </c:pt>
                <c:pt idx="22">
                  <c:v>869170</c:v>
                </c:pt>
                <c:pt idx="23">
                  <c:v>905358</c:v>
                </c:pt>
                <c:pt idx="24">
                  <c:v>938154</c:v>
                </c:pt>
                <c:pt idx="25">
                  <c:v>965785</c:v>
                </c:pt>
                <c:pt idx="26">
                  <c:v>988197</c:v>
                </c:pt>
                <c:pt idx="27">
                  <c:v>1012582</c:v>
                </c:pt>
                <c:pt idx="28">
                  <c:v>1039909</c:v>
                </c:pt>
                <c:pt idx="29">
                  <c:v>1069424</c:v>
                </c:pt>
                <c:pt idx="30">
                  <c:v>1103461</c:v>
                </c:pt>
                <c:pt idx="31">
                  <c:v>1132539</c:v>
                </c:pt>
                <c:pt idx="32">
                  <c:v>1158040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3E-4F32-A293-3C7EBD97B641}"/>
            </c:ext>
          </c:extLst>
        </c:ser>
        <c:ser>
          <c:idx val="2"/>
          <c:order val="2"/>
          <c:tx>
            <c:v>Italy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Overview!$B$18:$CZ$18</c:f>
              <c:numCache>
                <c:formatCode>General</c:formatCode>
                <c:ptCount val="33"/>
                <c:pt idx="0">
                  <c:v>110574</c:v>
                </c:pt>
                <c:pt idx="1">
                  <c:v>115242</c:v>
                </c:pt>
                <c:pt idx="2">
                  <c:v>119827</c:v>
                </c:pt>
                <c:pt idx="3">
                  <c:v>124632</c:v>
                </c:pt>
                <c:pt idx="4">
                  <c:v>128948</c:v>
                </c:pt>
                <c:pt idx="5">
                  <c:v>132547</c:v>
                </c:pt>
                <c:pt idx="6">
                  <c:v>135586</c:v>
                </c:pt>
                <c:pt idx="7">
                  <c:v>139422</c:v>
                </c:pt>
                <c:pt idx="8">
                  <c:v>143626</c:v>
                </c:pt>
                <c:pt idx="9">
                  <c:v>147577</c:v>
                </c:pt>
                <c:pt idx="10">
                  <c:v>152271</c:v>
                </c:pt>
                <c:pt idx="11">
                  <c:v>156363</c:v>
                </c:pt>
                <c:pt idx="12">
                  <c:v>159516</c:v>
                </c:pt>
                <c:pt idx="13">
                  <c:v>162488</c:v>
                </c:pt>
                <c:pt idx="14">
                  <c:v>165155</c:v>
                </c:pt>
                <c:pt idx="15">
                  <c:v>168941</c:v>
                </c:pt>
                <c:pt idx="16">
                  <c:v>172434</c:v>
                </c:pt>
                <c:pt idx="17">
                  <c:v>175925</c:v>
                </c:pt>
                <c:pt idx="18">
                  <c:v>178972</c:v>
                </c:pt>
                <c:pt idx="19">
                  <c:v>181228</c:v>
                </c:pt>
                <c:pt idx="20">
                  <c:v>183957</c:v>
                </c:pt>
                <c:pt idx="21">
                  <c:v>187327</c:v>
                </c:pt>
                <c:pt idx="22">
                  <c:v>189973</c:v>
                </c:pt>
                <c:pt idx="23">
                  <c:v>192994</c:v>
                </c:pt>
                <c:pt idx="24">
                  <c:v>195351</c:v>
                </c:pt>
                <c:pt idx="25">
                  <c:v>197675</c:v>
                </c:pt>
                <c:pt idx="26">
                  <c:v>199414</c:v>
                </c:pt>
                <c:pt idx="27">
                  <c:v>201505</c:v>
                </c:pt>
                <c:pt idx="28">
                  <c:v>203591</c:v>
                </c:pt>
                <c:pt idx="29">
                  <c:v>205463</c:v>
                </c:pt>
                <c:pt idx="30">
                  <c:v>207428</c:v>
                </c:pt>
                <c:pt idx="31">
                  <c:v>209328</c:v>
                </c:pt>
                <c:pt idx="32">
                  <c:v>210717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3E-4F32-A293-3C7EBD97B641}"/>
            </c:ext>
          </c:extLst>
        </c:ser>
        <c:ser>
          <c:idx val="3"/>
          <c:order val="3"/>
          <c:tx>
            <c:v>France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Overview!$B$19:$CZ$19</c:f>
              <c:numCache>
                <c:formatCode>General</c:formatCode>
                <c:ptCount val="33"/>
                <c:pt idx="0">
                  <c:v>57749</c:v>
                </c:pt>
                <c:pt idx="1">
                  <c:v>59929</c:v>
                </c:pt>
                <c:pt idx="2">
                  <c:v>65202</c:v>
                </c:pt>
                <c:pt idx="3">
                  <c:v>69500</c:v>
                </c:pt>
                <c:pt idx="4">
                  <c:v>71412</c:v>
                </c:pt>
                <c:pt idx="5">
                  <c:v>75343</c:v>
                </c:pt>
                <c:pt idx="6">
                  <c:v>79163</c:v>
                </c:pt>
                <c:pt idx="7">
                  <c:v>83057</c:v>
                </c:pt>
                <c:pt idx="8">
                  <c:v>87366</c:v>
                </c:pt>
                <c:pt idx="9">
                  <c:v>91738</c:v>
                </c:pt>
                <c:pt idx="10">
                  <c:v>94863</c:v>
                </c:pt>
                <c:pt idx="11">
                  <c:v>121712</c:v>
                </c:pt>
                <c:pt idx="12">
                  <c:v>125394</c:v>
                </c:pt>
                <c:pt idx="13">
                  <c:v>130365</c:v>
                </c:pt>
                <c:pt idx="14">
                  <c:v>133585</c:v>
                </c:pt>
                <c:pt idx="15">
                  <c:v>146075</c:v>
                </c:pt>
                <c:pt idx="16">
                  <c:v>148084</c:v>
                </c:pt>
                <c:pt idx="17">
                  <c:v>148086</c:v>
                </c:pt>
                <c:pt idx="18">
                  <c:v>153011</c:v>
                </c:pt>
                <c:pt idx="19">
                  <c:v>155393</c:v>
                </c:pt>
                <c:pt idx="20">
                  <c:v>158168</c:v>
                </c:pt>
                <c:pt idx="21">
                  <c:v>155980</c:v>
                </c:pt>
                <c:pt idx="22">
                  <c:v>158303</c:v>
                </c:pt>
                <c:pt idx="23">
                  <c:v>159952</c:v>
                </c:pt>
                <c:pt idx="24">
                  <c:v>161644</c:v>
                </c:pt>
                <c:pt idx="25">
                  <c:v>162220</c:v>
                </c:pt>
                <c:pt idx="26">
                  <c:v>165963</c:v>
                </c:pt>
                <c:pt idx="27">
                  <c:v>169053</c:v>
                </c:pt>
                <c:pt idx="28">
                  <c:v>166543</c:v>
                </c:pt>
                <c:pt idx="29">
                  <c:v>167299</c:v>
                </c:pt>
                <c:pt idx="30">
                  <c:v>167305</c:v>
                </c:pt>
                <c:pt idx="31">
                  <c:v>168518</c:v>
                </c:pt>
                <c:pt idx="32">
                  <c:v>168925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3E-4F32-A293-3C7EBD97B641}"/>
            </c:ext>
          </c:extLst>
        </c:ser>
        <c:ser>
          <c:idx val="4"/>
          <c:order val="4"/>
          <c:tx>
            <c:v>Korea, South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Overview!$B$20:$CZ$20</c:f>
              <c:numCache>
                <c:formatCode>General</c:formatCode>
                <c:ptCount val="33"/>
                <c:pt idx="0">
                  <c:v>9887</c:v>
                </c:pt>
                <c:pt idx="1">
                  <c:v>9976</c:v>
                </c:pt>
                <c:pt idx="2">
                  <c:v>10062</c:v>
                </c:pt>
                <c:pt idx="3">
                  <c:v>10156</c:v>
                </c:pt>
                <c:pt idx="4">
                  <c:v>10237</c:v>
                </c:pt>
                <c:pt idx="5">
                  <c:v>10284</c:v>
                </c:pt>
                <c:pt idx="6">
                  <c:v>10331</c:v>
                </c:pt>
                <c:pt idx="7">
                  <c:v>10384</c:v>
                </c:pt>
                <c:pt idx="8">
                  <c:v>10423</c:v>
                </c:pt>
                <c:pt idx="9">
                  <c:v>10450</c:v>
                </c:pt>
                <c:pt idx="10">
                  <c:v>10480</c:v>
                </c:pt>
                <c:pt idx="11">
                  <c:v>10512</c:v>
                </c:pt>
                <c:pt idx="12">
                  <c:v>10537</c:v>
                </c:pt>
                <c:pt idx="13">
                  <c:v>10564</c:v>
                </c:pt>
                <c:pt idx="14">
                  <c:v>10591</c:v>
                </c:pt>
                <c:pt idx="15">
                  <c:v>10613</c:v>
                </c:pt>
                <c:pt idx="16">
                  <c:v>10635</c:v>
                </c:pt>
                <c:pt idx="17">
                  <c:v>10653</c:v>
                </c:pt>
                <c:pt idx="18">
                  <c:v>10661</c:v>
                </c:pt>
                <c:pt idx="19">
                  <c:v>10674</c:v>
                </c:pt>
                <c:pt idx="20">
                  <c:v>10683</c:v>
                </c:pt>
                <c:pt idx="21">
                  <c:v>10694</c:v>
                </c:pt>
                <c:pt idx="22">
                  <c:v>10708</c:v>
                </c:pt>
                <c:pt idx="23">
                  <c:v>10718</c:v>
                </c:pt>
                <c:pt idx="24">
                  <c:v>10728</c:v>
                </c:pt>
                <c:pt idx="25">
                  <c:v>10738</c:v>
                </c:pt>
                <c:pt idx="26">
                  <c:v>10752</c:v>
                </c:pt>
                <c:pt idx="27">
                  <c:v>10761</c:v>
                </c:pt>
                <c:pt idx="28">
                  <c:v>10765</c:v>
                </c:pt>
                <c:pt idx="29">
                  <c:v>10774</c:v>
                </c:pt>
                <c:pt idx="30">
                  <c:v>10780</c:v>
                </c:pt>
                <c:pt idx="31">
                  <c:v>10793</c:v>
                </c:pt>
                <c:pt idx="32">
                  <c:v>10801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3E-4F32-A293-3C7EBD97B641}"/>
            </c:ext>
          </c:extLst>
        </c:ser>
        <c:ser>
          <c:idx val="5"/>
          <c:order val="5"/>
          <c:tx>
            <c:v>Spain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Overview!$B$15:$CZ$15</c:f>
              <c:numCache>
                <c:formatCode>dd/mm/</c:formatCode>
                <c:ptCount val="3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</c:numCache>
            </c:numRef>
          </c:cat>
          <c:val>
            <c:numRef>
              <c:f>Overview!$B$21:$CZ$21</c:f>
              <c:numCache>
                <c:formatCode>General</c:formatCode>
                <c:ptCount val="33"/>
                <c:pt idx="0">
                  <c:v>104118</c:v>
                </c:pt>
                <c:pt idx="1">
                  <c:v>112065</c:v>
                </c:pt>
                <c:pt idx="2">
                  <c:v>119199</c:v>
                </c:pt>
                <c:pt idx="3">
                  <c:v>126168</c:v>
                </c:pt>
                <c:pt idx="4">
                  <c:v>131646</c:v>
                </c:pt>
                <c:pt idx="5">
                  <c:v>136675</c:v>
                </c:pt>
                <c:pt idx="6">
                  <c:v>141942</c:v>
                </c:pt>
                <c:pt idx="7">
                  <c:v>148220</c:v>
                </c:pt>
                <c:pt idx="8">
                  <c:v>153222</c:v>
                </c:pt>
                <c:pt idx="9">
                  <c:v>158273</c:v>
                </c:pt>
                <c:pt idx="10">
                  <c:v>163027</c:v>
                </c:pt>
                <c:pt idx="11">
                  <c:v>166831</c:v>
                </c:pt>
                <c:pt idx="12">
                  <c:v>170099</c:v>
                </c:pt>
                <c:pt idx="13">
                  <c:v>172541</c:v>
                </c:pt>
                <c:pt idx="14">
                  <c:v>177644</c:v>
                </c:pt>
                <c:pt idx="15">
                  <c:v>184948</c:v>
                </c:pt>
                <c:pt idx="16">
                  <c:v>190839</c:v>
                </c:pt>
                <c:pt idx="17">
                  <c:v>191726</c:v>
                </c:pt>
                <c:pt idx="18">
                  <c:v>198674</c:v>
                </c:pt>
                <c:pt idx="19">
                  <c:v>200210</c:v>
                </c:pt>
                <c:pt idx="20">
                  <c:v>204178</c:v>
                </c:pt>
                <c:pt idx="21">
                  <c:v>208389</c:v>
                </c:pt>
                <c:pt idx="22">
                  <c:v>213024</c:v>
                </c:pt>
                <c:pt idx="23">
                  <c:v>202990</c:v>
                </c:pt>
                <c:pt idx="24">
                  <c:v>205905</c:v>
                </c:pt>
                <c:pt idx="25">
                  <c:v>207634</c:v>
                </c:pt>
                <c:pt idx="26">
                  <c:v>209465</c:v>
                </c:pt>
                <c:pt idx="27">
                  <c:v>210773</c:v>
                </c:pt>
                <c:pt idx="28">
                  <c:v>212917</c:v>
                </c:pt>
                <c:pt idx="29">
                  <c:v>213435</c:v>
                </c:pt>
                <c:pt idx="30">
                  <c:v>213435</c:v>
                </c:pt>
                <c:pt idx="31">
                  <c:v>216582</c:v>
                </c:pt>
                <c:pt idx="32">
                  <c:v>217466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E-4F32-A293-3C7EBD97B641}"/>
            </c:ext>
          </c:extLst>
        </c:ser>
        <c:ser>
          <c:idx val="6"/>
          <c:order val="6"/>
          <c:tx>
            <c:strRef>
              <c:f>Overview!$A$22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Overview!$B$22:$CZ$22</c:f>
              <c:numCache>
                <c:formatCode>General</c:formatCode>
                <c:ptCount val="33"/>
                <c:pt idx="0">
                  <c:v>29865</c:v>
                </c:pt>
                <c:pt idx="1">
                  <c:v>34173</c:v>
                </c:pt>
                <c:pt idx="2">
                  <c:v>38689</c:v>
                </c:pt>
                <c:pt idx="3">
                  <c:v>42477</c:v>
                </c:pt>
                <c:pt idx="4">
                  <c:v>48436</c:v>
                </c:pt>
                <c:pt idx="5">
                  <c:v>52279</c:v>
                </c:pt>
                <c:pt idx="6">
                  <c:v>55949</c:v>
                </c:pt>
                <c:pt idx="7">
                  <c:v>61474</c:v>
                </c:pt>
                <c:pt idx="8">
                  <c:v>65872</c:v>
                </c:pt>
                <c:pt idx="9">
                  <c:v>74605</c:v>
                </c:pt>
                <c:pt idx="10">
                  <c:v>79874</c:v>
                </c:pt>
                <c:pt idx="11">
                  <c:v>85206</c:v>
                </c:pt>
                <c:pt idx="12">
                  <c:v>89570</c:v>
                </c:pt>
                <c:pt idx="13">
                  <c:v>94845</c:v>
                </c:pt>
                <c:pt idx="14">
                  <c:v>99483</c:v>
                </c:pt>
                <c:pt idx="15">
                  <c:v>104145</c:v>
                </c:pt>
                <c:pt idx="16">
                  <c:v>109769</c:v>
                </c:pt>
                <c:pt idx="17">
                  <c:v>115314</c:v>
                </c:pt>
                <c:pt idx="18">
                  <c:v>121172</c:v>
                </c:pt>
                <c:pt idx="19">
                  <c:v>125856</c:v>
                </c:pt>
                <c:pt idx="20">
                  <c:v>130172</c:v>
                </c:pt>
                <c:pt idx="21">
                  <c:v>134638</c:v>
                </c:pt>
                <c:pt idx="22">
                  <c:v>139246</c:v>
                </c:pt>
                <c:pt idx="23">
                  <c:v>144640</c:v>
                </c:pt>
                <c:pt idx="24">
                  <c:v>149569</c:v>
                </c:pt>
                <c:pt idx="25">
                  <c:v>154037</c:v>
                </c:pt>
                <c:pt idx="26">
                  <c:v>158348</c:v>
                </c:pt>
                <c:pt idx="27">
                  <c:v>162350</c:v>
                </c:pt>
                <c:pt idx="28">
                  <c:v>166441</c:v>
                </c:pt>
                <c:pt idx="29">
                  <c:v>172481</c:v>
                </c:pt>
                <c:pt idx="30">
                  <c:v>178685</c:v>
                </c:pt>
                <c:pt idx="31">
                  <c:v>183500</c:v>
                </c:pt>
                <c:pt idx="32">
                  <c:v>187842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3E-4F32-A293-3C7EBD97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date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d/mm/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Offset val="100"/>
        <c:baseTimeUnit val="days"/>
      </c:date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103655</xdr:rowOff>
    </xdr:from>
    <xdr:to>
      <xdr:col>0</xdr:col>
      <xdr:colOff>1524002</xdr:colOff>
      <xdr:row>0</xdr:row>
      <xdr:rowOff>363070</xdr:rowOff>
    </xdr:to>
    <xdr:sp macro="[0]!UpdateDataAndCharts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103655"/>
          <a:ext cx="1402684" cy="25941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85</xdr:col>
      <xdr:colOff>381000</xdr:colOff>
      <xdr:row>0</xdr:row>
      <xdr:rowOff>0</xdr:rowOff>
    </xdr:from>
    <xdr:to>
      <xdr:col>93</xdr:col>
      <xdr:colOff>21188</xdr:colOff>
      <xdr:row>1</xdr:row>
      <xdr:rowOff>9120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78</xdr:col>
      <xdr:colOff>190500</xdr:colOff>
      <xdr:row>0</xdr:row>
      <xdr:rowOff>0</xdr:rowOff>
    </xdr:from>
    <xdr:to>
      <xdr:col>85</xdr:col>
      <xdr:colOff>363809</xdr:colOff>
      <xdr:row>1</xdr:row>
      <xdr:rowOff>9120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93</xdr:col>
      <xdr:colOff>21328</xdr:colOff>
      <xdr:row>0</xdr:row>
      <xdr:rowOff>0</xdr:rowOff>
    </xdr:from>
    <xdr:to>
      <xdr:col>100</xdr:col>
      <xdr:colOff>8282</xdr:colOff>
      <xdr:row>1</xdr:row>
      <xdr:rowOff>9525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100</xdr:col>
      <xdr:colOff>0</xdr:colOff>
      <xdr:row>0</xdr:row>
      <xdr:rowOff>0</xdr:rowOff>
    </xdr:from>
    <xdr:to>
      <xdr:col>106</xdr:col>
      <xdr:colOff>525116</xdr:colOff>
      <xdr:row>1</xdr:row>
      <xdr:rowOff>9525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107</xdr:col>
      <xdr:colOff>0</xdr:colOff>
      <xdr:row>0</xdr:row>
      <xdr:rowOff>0</xdr:rowOff>
    </xdr:from>
    <xdr:to>
      <xdr:col>113</xdr:col>
      <xdr:colOff>525116</xdr:colOff>
      <xdr:row>1</xdr:row>
      <xdr:rowOff>9525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71</xdr:col>
      <xdr:colOff>180975</xdr:colOff>
      <xdr:row>0</xdr:row>
      <xdr:rowOff>0</xdr:rowOff>
    </xdr:from>
    <xdr:to>
      <xdr:col>78</xdr:col>
      <xdr:colOff>172691</xdr:colOff>
      <xdr:row>1</xdr:row>
      <xdr:rowOff>9525</xdr:rowOff>
    </xdr:to>
    <xdr:graphicFrame macro="">
      <xdr:nvGraphicFramePr>
        <xdr:cNvPr id="9" name="ChartConfirmedCases">
          <a:extLst>
            <a:ext uri="{FF2B5EF4-FFF2-40B4-BE49-F238E27FC236}">
              <a16:creationId xmlns:a16="http://schemas.microsoft.com/office/drawing/2014/main" id="{2E9D7A4C-329D-4003-BBEB-688D83889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402">
    <queryTableFields count="1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  <queryTableField id="302" name="Column101" tableColumnId="1"/>
      <queryTableField id="303" name="Column102" tableColumnId="2"/>
      <queryTableField id="304" name="Column103" tableColumnId="3"/>
      <queryTableField id="305" name="Column104" tableColumnId="4"/>
      <queryTableField id="306" name="Column105" tableColumnId="5"/>
      <queryTableField id="307" name="Column106" tableColumnId="6"/>
      <queryTableField id="308" name="Column107" tableColumnId="7"/>
      <queryTableField id="309" name="Column108" tableColumnId="8"/>
      <queryTableField id="310" name="Column109" tableColumnId="9"/>
      <queryTableField id="311" name="Column110" tableColumnId="10"/>
      <queryTableField id="312" name="Column111" tableColumnId="11"/>
      <queryTableField id="313" name="Column112" tableColumnId="12"/>
      <queryTableField id="314" name="Column113" tableColumnId="13"/>
      <queryTableField id="315" name="Column114" tableColumnId="14"/>
      <queryTableField id="316" name="Column115" tableColumnId="15"/>
      <queryTableField id="317" name="Column116" tableColumnId="16"/>
      <queryTableField id="318" name="Column117" tableColumnId="17"/>
      <queryTableField id="319" name="Column118" tableColumnId="18"/>
      <queryTableField id="320" name="Column119" tableColumnId="19"/>
      <queryTableField id="321" name="Column120" tableColumnId="20"/>
      <queryTableField id="322" name="Column121" tableColumnId="21"/>
      <queryTableField id="323" name="Column122" tableColumnId="22"/>
      <queryTableField id="324" name="Column123" tableColumnId="23"/>
      <queryTableField id="325" name="Column124" tableColumnId="24"/>
      <queryTableField id="326" name="Column125" tableColumnId="25"/>
      <queryTableField id="327" name="Column126" tableColumnId="26"/>
      <queryTableField id="328" name="Column127" tableColumnId="27"/>
      <queryTableField id="329" name="Column128" tableColumnId="28"/>
      <queryTableField id="330" name="Column129" tableColumnId="29"/>
      <queryTableField id="331" name="Column130" tableColumnId="30"/>
      <queryTableField id="332" name="Column131" tableColumnId="31"/>
      <queryTableField id="333" name="Column132" tableColumnId="32"/>
      <queryTableField id="334" name="Column133" tableColumnId="33"/>
      <queryTableField id="335" name="Column134" tableColumnId="34"/>
      <queryTableField id="336" name="Column135" tableColumnId="35"/>
      <queryTableField id="337" name="Column136" tableColumnId="36"/>
      <queryTableField id="338" name="Column137" tableColumnId="37"/>
      <queryTableField id="339" name="Column138" tableColumnId="38"/>
      <queryTableField id="340" name="Column139" tableColumnId="39"/>
      <queryTableField id="341" name="Column140" tableColumnId="40"/>
      <queryTableField id="342" name="Column141" tableColumnId="41"/>
      <queryTableField id="343" name="Column142" tableColumnId="42"/>
      <queryTableField id="344" name="Column143" tableColumnId="43"/>
      <queryTableField id="345" name="Column144" tableColumnId="44"/>
      <queryTableField id="346" name="Column145" tableColumnId="45"/>
      <queryTableField id="347" name="Column146" tableColumnId="46"/>
      <queryTableField id="348" name="Column147" tableColumnId="47"/>
      <queryTableField id="349" name="Column148" tableColumnId="48"/>
      <queryTableField id="350" name="Column149" tableColumnId="49"/>
      <queryTableField id="351" name="Column150" tableColumnId="50"/>
      <queryTableField id="352" name="Column151" tableColumnId="51"/>
      <queryTableField id="353" name="Column152" tableColumnId="52"/>
      <queryTableField id="354" name="Column153" tableColumnId="53"/>
      <queryTableField id="355" name="Column154" tableColumnId="54"/>
      <queryTableField id="356" name="Column155" tableColumnId="55"/>
      <queryTableField id="357" name="Column156" tableColumnId="56"/>
      <queryTableField id="358" name="Column157" tableColumnId="57"/>
      <queryTableField id="359" name="Column158" tableColumnId="58"/>
      <queryTableField id="360" name="Column159" tableColumnId="59"/>
      <queryTableField id="361" name="Column160" tableColumnId="60"/>
      <queryTableField id="362" name="Column161" tableColumnId="61"/>
      <queryTableField id="363" name="Column162" tableColumnId="62"/>
      <queryTableField id="364" name="Column163" tableColumnId="63"/>
      <queryTableField id="365" name="Column164" tableColumnId="64"/>
      <queryTableField id="366" name="Column165" tableColumnId="65"/>
      <queryTableField id="367" name="Column166" tableColumnId="66"/>
      <queryTableField id="368" name="Column167" tableColumnId="165"/>
      <queryTableField id="369" name="Column168" tableColumnId="166"/>
      <queryTableField id="370" name="Column169" tableColumnId="167"/>
      <queryTableField id="371" name="Column170" tableColumnId="168"/>
      <queryTableField id="372" name="Column171" tableColumnId="169"/>
      <queryTableField id="373" name="Column172" tableColumnId="170"/>
      <queryTableField id="374" name="Column173" tableColumnId="171"/>
      <queryTableField id="375" name="Column174" tableColumnId="172"/>
      <queryTableField id="376" name="Column175" tableColumnId="173"/>
      <queryTableField id="377" name="Column176" tableColumnId="174"/>
      <queryTableField id="378" name="Column177" tableColumnId="175"/>
      <queryTableField id="379" name="Column178" tableColumnId="176"/>
      <queryTableField id="380" name="Column179" tableColumnId="177"/>
      <queryTableField id="381" name="Column180" tableColumnId="178"/>
      <queryTableField id="382" name="Column181" tableColumnId="179"/>
      <queryTableField id="383" name="Column182" tableColumnId="180"/>
      <queryTableField id="384" name="Column183" tableColumnId="181"/>
      <queryTableField id="385" name="Column184" tableColumnId="182"/>
      <queryTableField id="386" name="Column185" tableColumnId="183"/>
      <queryTableField id="387" name="Column186" tableColumnId="184"/>
      <queryTableField id="388" name="Column187" tableColumnId="185"/>
      <queryTableField id="389" name="Column188" tableColumnId="186"/>
      <queryTableField id="390" name="Column189" tableColumnId="187"/>
      <queryTableField id="391" name="Column190" tableColumnId="188"/>
      <queryTableField id="392" name="Column191" tableColumnId="189"/>
      <queryTableField id="393" name="Column192" tableColumnId="190"/>
      <queryTableField id="394" name="Column193" tableColumnId="191"/>
      <queryTableField id="395" name="Column194" tableColumnId="192"/>
      <queryTableField id="396" name="Column195" tableColumnId="193"/>
      <queryTableField id="397" name="Column196" tableColumnId="194"/>
      <queryTableField id="398" name="Column197" tableColumnId="195"/>
      <queryTableField id="399" name="Column198" tableColumnId="196"/>
      <queryTableField id="400" name="Column199" tableColumnId="197"/>
      <queryTableField id="401" name="Column200" tableColumnId="198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265">
    <queryTableFields count="1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  <queryTableField id="165" name="Column101" tableColumnId="1"/>
      <queryTableField id="166" name="Column102" tableColumnId="2"/>
      <queryTableField id="167" name="Column103" tableColumnId="3"/>
      <queryTableField id="168" name="Column104" tableColumnId="4"/>
      <queryTableField id="169" name="Column105" tableColumnId="5"/>
      <queryTableField id="170" name="Column106" tableColumnId="6"/>
      <queryTableField id="171" name="Column107" tableColumnId="7"/>
      <queryTableField id="172" name="Column108" tableColumnId="8"/>
      <queryTableField id="173" name="Column109" tableColumnId="9"/>
      <queryTableField id="174" name="Column110" tableColumnId="10"/>
      <queryTableField id="175" name="Column111" tableColumnId="11"/>
      <queryTableField id="176" name="Column112" tableColumnId="12"/>
      <queryTableField id="177" name="Column113" tableColumnId="13"/>
      <queryTableField id="178" name="Column114" tableColumnId="14"/>
      <queryTableField id="179" name="Column115" tableColumnId="15"/>
      <queryTableField id="180" name="Column116" tableColumnId="16"/>
      <queryTableField id="181" name="Column117" tableColumnId="17"/>
      <queryTableField id="182" name="Column118" tableColumnId="18"/>
      <queryTableField id="183" name="Column119" tableColumnId="19"/>
      <queryTableField id="184" name="Column120" tableColumnId="20"/>
      <queryTableField id="185" name="Column121" tableColumnId="21"/>
      <queryTableField id="186" name="Column122" tableColumnId="22"/>
      <queryTableField id="187" name="Column123" tableColumnId="23"/>
      <queryTableField id="188" name="Column124" tableColumnId="24"/>
      <queryTableField id="189" name="Column125" tableColumnId="25"/>
      <queryTableField id="190" name="Column126" tableColumnId="26"/>
      <queryTableField id="191" name="Column127" tableColumnId="27"/>
      <queryTableField id="192" name="Column128" tableColumnId="28"/>
      <queryTableField id="193" name="Column129" tableColumnId="29"/>
      <queryTableField id="194" name="Column130" tableColumnId="30"/>
      <queryTableField id="195" name="Column131" tableColumnId="31"/>
      <queryTableField id="196" name="Column132" tableColumnId="32"/>
      <queryTableField id="197" name="Column133" tableColumnId="33"/>
      <queryTableField id="198" name="Column134" tableColumnId="34"/>
      <queryTableField id="199" name="Column135" tableColumnId="35"/>
      <queryTableField id="200" name="Column136" tableColumnId="36"/>
      <queryTableField id="201" name="Column137" tableColumnId="37"/>
      <queryTableField id="202" name="Column138" tableColumnId="38"/>
      <queryTableField id="203" name="Column139" tableColumnId="39"/>
      <queryTableField id="204" name="Column140" tableColumnId="40"/>
      <queryTableField id="205" name="Column141" tableColumnId="41"/>
      <queryTableField id="206" name="Column142" tableColumnId="42"/>
      <queryTableField id="207" name="Column143" tableColumnId="43"/>
      <queryTableField id="208" name="Column144" tableColumnId="44"/>
      <queryTableField id="209" name="Column145" tableColumnId="45"/>
      <queryTableField id="210" name="Column146" tableColumnId="46"/>
      <queryTableField id="211" name="Column147" tableColumnId="47"/>
      <queryTableField id="212" name="Column148" tableColumnId="48"/>
      <queryTableField id="213" name="Column149" tableColumnId="49"/>
      <queryTableField id="214" name="Column150" tableColumnId="50"/>
      <queryTableField id="215" name="Column151" tableColumnId="51"/>
      <queryTableField id="216" name="Column152" tableColumnId="52"/>
      <queryTableField id="217" name="Column153" tableColumnId="53"/>
      <queryTableField id="218" name="Column154" tableColumnId="54"/>
      <queryTableField id="219" name="Column155" tableColumnId="55"/>
      <queryTableField id="220" name="Column156" tableColumnId="56"/>
      <queryTableField id="221" name="Column157" tableColumnId="57"/>
      <queryTableField id="222" name="Column158" tableColumnId="58"/>
      <queryTableField id="223" name="Column159" tableColumnId="59"/>
      <queryTableField id="224" name="Column160" tableColumnId="60"/>
      <queryTableField id="225" name="Column161" tableColumnId="61"/>
      <queryTableField id="226" name="Column162" tableColumnId="62"/>
      <queryTableField id="227" name="Column163" tableColumnId="63"/>
      <queryTableField id="228" name="Column164" tableColumnId="64"/>
      <queryTableField id="229" name="Column165" tableColumnId="65"/>
      <queryTableField id="230" name="Column166" tableColumnId="66"/>
      <queryTableField id="231" name="Column167" tableColumnId="165"/>
      <queryTableField id="232" name="Column168" tableColumnId="166"/>
      <queryTableField id="233" name="Column169" tableColumnId="167"/>
      <queryTableField id="234" name="Column170" tableColumnId="168"/>
      <queryTableField id="235" name="Column171" tableColumnId="169"/>
      <queryTableField id="236" name="Column172" tableColumnId="170"/>
      <queryTableField id="237" name="Column173" tableColumnId="171"/>
      <queryTableField id="238" name="Column174" tableColumnId="172"/>
      <queryTableField id="239" name="Column175" tableColumnId="173"/>
      <queryTableField id="240" name="Column176" tableColumnId="174"/>
      <queryTableField id="241" name="Column177" tableColumnId="175"/>
      <queryTableField id="242" name="Column178" tableColumnId="176"/>
      <queryTableField id="243" name="Column179" tableColumnId="177"/>
      <queryTableField id="244" name="Column180" tableColumnId="178"/>
      <queryTableField id="245" name="Column181" tableColumnId="179"/>
      <queryTableField id="246" name="Column182" tableColumnId="180"/>
      <queryTableField id="247" name="Column183" tableColumnId="181"/>
      <queryTableField id="248" name="Column184" tableColumnId="182"/>
      <queryTableField id="249" name="Column185" tableColumnId="183"/>
      <queryTableField id="250" name="Column186" tableColumnId="184"/>
      <queryTableField id="251" name="Column187" tableColumnId="185"/>
      <queryTableField id="252" name="Column188" tableColumnId="186"/>
      <queryTableField id="253" name="Column189" tableColumnId="187"/>
      <queryTableField id="254" name="Column190" tableColumnId="188"/>
      <queryTableField id="255" name="Column191" tableColumnId="189"/>
      <queryTableField id="256" name="Column192" tableColumnId="190"/>
      <queryTableField id="257" name="Column193" tableColumnId="191"/>
      <queryTableField id="258" name="Column194" tableColumnId="192"/>
      <queryTableField id="259" name="Column195" tableColumnId="193"/>
      <queryTableField id="260" name="Column196" tableColumnId="194"/>
      <queryTableField id="261" name="Column197" tableColumnId="195"/>
      <queryTableField id="262" name="Column198" tableColumnId="196"/>
      <queryTableField id="263" name="Column199" tableColumnId="197"/>
      <queryTableField id="264" name="Column200" tableColumnId="19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262">
    <queryTableFields count="1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  <queryTableField id="162" name="Column101" tableColumnId="99"/>
      <queryTableField id="163" name="Column102" tableColumnId="100"/>
      <queryTableField id="164" name="Column103" tableColumnId="101"/>
      <queryTableField id="165" name="Column104" tableColumnId="102"/>
      <queryTableField id="166" name="Column105" tableColumnId="103"/>
      <queryTableField id="167" name="Column106" tableColumnId="104"/>
      <queryTableField id="168" name="Column107" tableColumnId="105"/>
      <queryTableField id="169" name="Column108" tableColumnId="106"/>
      <queryTableField id="170" name="Column109" tableColumnId="107"/>
      <queryTableField id="171" name="Column110" tableColumnId="108"/>
      <queryTableField id="172" name="Column111" tableColumnId="109"/>
      <queryTableField id="173" name="Column112" tableColumnId="110"/>
      <queryTableField id="174" name="Column113" tableColumnId="111"/>
      <queryTableField id="175" name="Column114" tableColumnId="112"/>
      <queryTableField id="176" name="Column115" tableColumnId="113"/>
      <queryTableField id="177" name="Column116" tableColumnId="114"/>
      <queryTableField id="178" name="Column117" tableColumnId="115"/>
      <queryTableField id="179" name="Column118" tableColumnId="116"/>
      <queryTableField id="180" name="Column119" tableColumnId="117"/>
      <queryTableField id="181" name="Column120" tableColumnId="118"/>
      <queryTableField id="182" name="Column121" tableColumnId="119"/>
      <queryTableField id="183" name="Column122" tableColumnId="120"/>
      <queryTableField id="184" name="Column123" tableColumnId="121"/>
      <queryTableField id="185" name="Column124" tableColumnId="122"/>
      <queryTableField id="186" name="Column125" tableColumnId="123"/>
      <queryTableField id="187" name="Column126" tableColumnId="124"/>
      <queryTableField id="188" name="Column127" tableColumnId="125"/>
      <queryTableField id="189" name="Column128" tableColumnId="126"/>
      <queryTableField id="190" name="Column129" tableColumnId="127"/>
      <queryTableField id="191" name="Column130" tableColumnId="128"/>
      <queryTableField id="192" name="Column131" tableColumnId="129"/>
      <queryTableField id="193" name="Column132" tableColumnId="130"/>
      <queryTableField id="194" name="Column133" tableColumnId="131"/>
      <queryTableField id="195" name="Column134" tableColumnId="132"/>
      <queryTableField id="196" name="Column135" tableColumnId="133"/>
      <queryTableField id="197" name="Column136" tableColumnId="134"/>
      <queryTableField id="198" name="Column137" tableColumnId="135"/>
      <queryTableField id="199" name="Column138" tableColumnId="136"/>
      <queryTableField id="200" name="Column139" tableColumnId="137"/>
      <queryTableField id="201" name="Column140" tableColumnId="138"/>
      <queryTableField id="202" name="Column141" tableColumnId="139"/>
      <queryTableField id="203" name="Column142" tableColumnId="140"/>
      <queryTableField id="204" name="Column143" tableColumnId="141"/>
      <queryTableField id="205" name="Column144" tableColumnId="142"/>
      <queryTableField id="206" name="Column145" tableColumnId="143"/>
      <queryTableField id="207" name="Column146" tableColumnId="144"/>
      <queryTableField id="208" name="Column147" tableColumnId="145"/>
      <queryTableField id="209" name="Column148" tableColumnId="146"/>
      <queryTableField id="210" name="Column149" tableColumnId="147"/>
      <queryTableField id="211" name="Column150" tableColumnId="148"/>
      <queryTableField id="212" name="Column151" tableColumnId="149"/>
      <queryTableField id="213" name="Column152" tableColumnId="150"/>
      <queryTableField id="214" name="Column153" tableColumnId="151"/>
      <queryTableField id="215" name="Column154" tableColumnId="152"/>
      <queryTableField id="216" name="Column155" tableColumnId="153"/>
      <queryTableField id="217" name="Column156" tableColumnId="154"/>
      <queryTableField id="218" name="Column157" tableColumnId="155"/>
      <queryTableField id="219" name="Column158" tableColumnId="156"/>
      <queryTableField id="220" name="Column159" tableColumnId="157"/>
      <queryTableField id="221" name="Column160" tableColumnId="158"/>
      <queryTableField id="222" name="Column161" tableColumnId="159"/>
      <queryTableField id="223" name="Column162" tableColumnId="160"/>
      <queryTableField id="224" name="Column163" tableColumnId="161"/>
      <queryTableField id="225" name="Column164" tableColumnId="162"/>
      <queryTableField id="226" name="Column165" tableColumnId="163"/>
      <queryTableField id="227" name="Column166" tableColumnId="164"/>
      <queryTableField id="228" name="Column167" tableColumnId="165"/>
      <queryTableField id="229" name="Column168" tableColumnId="166"/>
      <queryTableField id="230" name="Column169" tableColumnId="167"/>
      <queryTableField id="231" name="Column170" tableColumnId="168"/>
      <queryTableField id="232" name="Column171" tableColumnId="169"/>
      <queryTableField id="233" name="Column172" tableColumnId="170"/>
      <queryTableField id="234" name="Column173" tableColumnId="171"/>
      <queryTableField id="235" name="Column174" tableColumnId="172"/>
      <queryTableField id="236" name="Column175" tableColumnId="173"/>
      <queryTableField id="237" name="Column176" tableColumnId="174"/>
      <queryTableField id="238" name="Column177" tableColumnId="175"/>
      <queryTableField id="239" name="Column178" tableColumnId="176"/>
      <queryTableField id="240" name="Column179" tableColumnId="177"/>
      <queryTableField id="241" name="Column180" tableColumnId="178"/>
      <queryTableField id="242" name="Column181" tableColumnId="179"/>
      <queryTableField id="243" name="Column182" tableColumnId="180"/>
      <queryTableField id="244" name="Column183" tableColumnId="181"/>
      <queryTableField id="245" name="Column184" tableColumnId="182"/>
      <queryTableField id="246" name="Column185" tableColumnId="183"/>
      <queryTableField id="247" name="Column186" tableColumnId="184"/>
      <queryTableField id="248" name="Column187" tableColumnId="185"/>
      <queryTableField id="249" name="Column188" tableColumnId="186"/>
      <queryTableField id="250" name="Column189" tableColumnId="187"/>
      <queryTableField id="251" name="Column190" tableColumnId="188"/>
      <queryTableField id="252" name="Column191" tableColumnId="189"/>
      <queryTableField id="253" name="Column192" tableColumnId="190"/>
      <queryTableField id="254" name="Column193" tableColumnId="191"/>
      <queryTableField id="255" name="Column194" tableColumnId="192"/>
      <queryTableField id="256" name="Column195" tableColumnId="193"/>
      <queryTableField id="257" name="Column196" tableColumnId="194"/>
      <queryTableField id="258" name="Column197" tableColumnId="195"/>
      <queryTableField id="259" name="Column198" tableColumnId="196"/>
      <queryTableField id="260" name="Column199" tableColumnId="197"/>
      <queryTableField id="261" name="Column200" tableColumnId="19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GP267" tableType="queryTable" totalsRowShown="0">
  <autoFilter ref="A1:GP267" xr:uid="{2392CF0B-C000-4089-9A21-F7907BA7F5A7}"/>
  <tableColumns count="198">
    <tableColumn id="67" xr3:uid="{C63C67E1-ECCC-421A-8CDC-FC12500235DC}" uniqueName="67" name="Column1" queryTableFieldId="204" dataDxfId="305"/>
    <tableColumn id="68" xr3:uid="{F3E2BE74-548E-4C4E-802E-7BE98C4905D1}" uniqueName="68" name="Column2" queryTableFieldId="205" dataDxfId="304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  <tableColumn id="1" xr3:uid="{71DD6652-E3B1-4736-9B53-4B061AF463C3}" uniqueName="1" name="Column101" queryTableFieldId="302" dataDxfId="303"/>
    <tableColumn id="2" xr3:uid="{DD0E6434-A806-4914-A70D-1479204FD42E}" uniqueName="2" name="Column102" queryTableFieldId="303" dataDxfId="302"/>
    <tableColumn id="3" xr3:uid="{18DA2475-D4B2-47E0-A2E2-878094B5D066}" uniqueName="3" name="Column103" queryTableFieldId="304" dataDxfId="301"/>
    <tableColumn id="4" xr3:uid="{B58A769D-1FD8-46E7-9CA6-6D6621E01AC0}" uniqueName="4" name="Column104" queryTableFieldId="305" dataDxfId="300"/>
    <tableColumn id="5" xr3:uid="{0A4E2BE9-AE61-4697-A083-88075D786555}" uniqueName="5" name="Column105" queryTableFieldId="306" dataDxfId="299"/>
    <tableColumn id="6" xr3:uid="{6E60BA38-688D-47DE-87A3-32625CDE469E}" uniqueName="6" name="Column106" queryTableFieldId="307" dataDxfId="298"/>
    <tableColumn id="7" xr3:uid="{7C7DF280-BB5D-4F0C-887A-432F30483B50}" uniqueName="7" name="Column107" queryTableFieldId="308" dataDxfId="297"/>
    <tableColumn id="8" xr3:uid="{F177D026-7D4F-4E0B-9280-1F46DF7C3D90}" uniqueName="8" name="Column108" queryTableFieldId="309" dataDxfId="296"/>
    <tableColumn id="9" xr3:uid="{13E62835-214D-48C5-BA83-49DFBF426DB1}" uniqueName="9" name="Column109" queryTableFieldId="310" dataDxfId="295"/>
    <tableColumn id="10" xr3:uid="{FD2359AF-E95A-4C37-A8FA-682315C2B7D0}" uniqueName="10" name="Column110" queryTableFieldId="311" dataDxfId="294"/>
    <tableColumn id="11" xr3:uid="{55948EC7-103A-4278-AC84-BD81E794CDFD}" uniqueName="11" name="Column111" queryTableFieldId="312" dataDxfId="293"/>
    <tableColumn id="12" xr3:uid="{9B556D4C-8FA2-44D7-842D-E6C0CFC0B0AE}" uniqueName="12" name="Column112" queryTableFieldId="313" dataDxfId="292"/>
    <tableColumn id="13" xr3:uid="{8F652AA6-8CA7-4080-A24B-3DD01923D1F8}" uniqueName="13" name="Column113" queryTableFieldId="314" dataDxfId="291"/>
    <tableColumn id="14" xr3:uid="{B34A3D50-D514-49A1-8F6F-66B9151320EC}" uniqueName="14" name="Column114" queryTableFieldId="315" dataDxfId="290"/>
    <tableColumn id="15" xr3:uid="{F85F6B92-CAA8-4614-9C05-9B81B2ABB091}" uniqueName="15" name="Column115" queryTableFieldId="316" dataDxfId="289"/>
    <tableColumn id="16" xr3:uid="{79375F45-36BE-4853-BEEB-DB9C1A911817}" uniqueName="16" name="Column116" queryTableFieldId="317" dataDxfId="288"/>
    <tableColumn id="17" xr3:uid="{CF492D7B-FDD2-4F88-A2BE-DBB57E0C3056}" uniqueName="17" name="Column117" queryTableFieldId="318" dataDxfId="287"/>
    <tableColumn id="18" xr3:uid="{BE2BCD2D-7A79-4200-BE39-0E157664F102}" uniqueName="18" name="Column118" queryTableFieldId="319" dataDxfId="286"/>
    <tableColumn id="19" xr3:uid="{B54C8712-3082-494D-89B4-DF06FB183271}" uniqueName="19" name="Column119" queryTableFieldId="320" dataDxfId="285"/>
    <tableColumn id="20" xr3:uid="{0FF0D8B8-627D-4B19-9B99-BC3FB345687B}" uniqueName="20" name="Column120" queryTableFieldId="321" dataDxfId="284"/>
    <tableColumn id="21" xr3:uid="{B14E7EC2-91D4-4C54-8FB4-8789C037FFF0}" uniqueName="21" name="Column121" queryTableFieldId="322" dataDxfId="283"/>
    <tableColumn id="22" xr3:uid="{3D29966A-93DE-41B3-A508-CA1F145960F4}" uniqueName="22" name="Column122" queryTableFieldId="323" dataDxfId="282"/>
    <tableColumn id="23" xr3:uid="{70316674-3E02-4DDB-A072-F65F290B3A38}" uniqueName="23" name="Column123" queryTableFieldId="324" dataDxfId="281"/>
    <tableColumn id="24" xr3:uid="{8D76BB58-B299-4316-B1D5-BD71EC46B8A1}" uniqueName="24" name="Column124" queryTableFieldId="325" dataDxfId="280"/>
    <tableColumn id="25" xr3:uid="{A377A48B-3F47-4030-9602-30C7C526303E}" uniqueName="25" name="Column125" queryTableFieldId="326" dataDxfId="279"/>
    <tableColumn id="26" xr3:uid="{87CB7119-ED3A-4521-9EA0-EC9DB305852F}" uniqueName="26" name="Column126" queryTableFieldId="327" dataDxfId="278"/>
    <tableColumn id="27" xr3:uid="{185657C7-93F5-48CA-9ED7-BE5BA24E539A}" uniqueName="27" name="Column127" queryTableFieldId="328" dataDxfId="277"/>
    <tableColumn id="28" xr3:uid="{F0740F9C-3738-42E3-B92D-0C9420BABD01}" uniqueName="28" name="Column128" queryTableFieldId="329" dataDxfId="276"/>
    <tableColumn id="29" xr3:uid="{4CDE9BD1-23DA-4FF9-B38D-A79BB04823F7}" uniqueName="29" name="Column129" queryTableFieldId="330" dataDxfId="275"/>
    <tableColumn id="30" xr3:uid="{CF331999-EB11-4EE2-AEF3-1EB3F77E7897}" uniqueName="30" name="Column130" queryTableFieldId="331" dataDxfId="274"/>
    <tableColumn id="31" xr3:uid="{0628868D-74E4-4062-BF6F-83DF7A79607A}" uniqueName="31" name="Column131" queryTableFieldId="332" dataDxfId="273"/>
    <tableColumn id="32" xr3:uid="{CB65CCA8-8600-456B-A1C0-FF2E0CAE7285}" uniqueName="32" name="Column132" queryTableFieldId="333" dataDxfId="272"/>
    <tableColumn id="33" xr3:uid="{45F7709A-F1C6-4802-9603-5F4B97AA514E}" uniqueName="33" name="Column133" queryTableFieldId="334" dataDxfId="271"/>
    <tableColumn id="34" xr3:uid="{B5C2AF89-6D20-426A-B146-C7DE45D81F3D}" uniqueName="34" name="Column134" queryTableFieldId="335" dataDxfId="270"/>
    <tableColumn id="35" xr3:uid="{5A813710-A98A-44D9-8EFC-F1BD8E77DCEA}" uniqueName="35" name="Column135" queryTableFieldId="336" dataDxfId="269"/>
    <tableColumn id="36" xr3:uid="{FB5A6B6B-63F6-47A3-AACD-2489FD2B9AC8}" uniqueName="36" name="Column136" queryTableFieldId="337" dataDxfId="268"/>
    <tableColumn id="37" xr3:uid="{6C209A84-B996-4EE6-BD2E-6BC9FDF545A9}" uniqueName="37" name="Column137" queryTableFieldId="338" dataDxfId="267"/>
    <tableColumn id="38" xr3:uid="{447BCD8C-25A7-464B-BE3F-A9DDBA41C161}" uniqueName="38" name="Column138" queryTableFieldId="339" dataDxfId="266"/>
    <tableColumn id="39" xr3:uid="{F2F62665-BBD8-4945-AA97-3E2C2FE7F407}" uniqueName="39" name="Column139" queryTableFieldId="340" dataDxfId="265"/>
    <tableColumn id="40" xr3:uid="{F58030D5-6547-4109-A576-AF273399FE8B}" uniqueName="40" name="Column140" queryTableFieldId="341" dataDxfId="264"/>
    <tableColumn id="41" xr3:uid="{11C192D2-9A9E-42A0-B1E2-4DAE0680A3D7}" uniqueName="41" name="Column141" queryTableFieldId="342" dataDxfId="263"/>
    <tableColumn id="42" xr3:uid="{BC3F7E60-A791-42E1-AFCE-6116C5FD129C}" uniqueName="42" name="Column142" queryTableFieldId="343" dataDxfId="262"/>
    <tableColumn id="43" xr3:uid="{0C397E6F-19A7-438D-949E-BCCC5749A5BE}" uniqueName="43" name="Column143" queryTableFieldId="344" dataDxfId="261"/>
    <tableColumn id="44" xr3:uid="{559F5B76-80E7-41F3-A90B-6F08A5C5D7BF}" uniqueName="44" name="Column144" queryTableFieldId="345" dataDxfId="260"/>
    <tableColumn id="45" xr3:uid="{56FEF9B7-9C3A-423C-B9DE-E650B3CFBCAE}" uniqueName="45" name="Column145" queryTableFieldId="346" dataDxfId="259"/>
    <tableColumn id="46" xr3:uid="{66C7CB44-B1BE-41A4-BC2E-A8D8F81F6FB5}" uniqueName="46" name="Column146" queryTableFieldId="347" dataDxfId="258"/>
    <tableColumn id="47" xr3:uid="{8808EEEB-02A1-46E0-BE4C-509D4CF3C4B2}" uniqueName="47" name="Column147" queryTableFieldId="348" dataDxfId="257"/>
    <tableColumn id="48" xr3:uid="{FF5CA3CE-1AFB-4C59-9393-48D134B7BC5B}" uniqueName="48" name="Column148" queryTableFieldId="349" dataDxfId="256"/>
    <tableColumn id="49" xr3:uid="{2EA1C892-EBE6-47E4-8B7F-5ADED9DEE611}" uniqueName="49" name="Column149" queryTableFieldId="350" dataDxfId="255"/>
    <tableColumn id="50" xr3:uid="{6222EE1F-F831-4AA3-9062-B861A96683F3}" uniqueName="50" name="Column150" queryTableFieldId="351" dataDxfId="254"/>
    <tableColumn id="51" xr3:uid="{D82C06DF-D229-43A5-9942-DB8F27F2BD33}" uniqueName="51" name="Column151" queryTableFieldId="352" dataDxfId="253"/>
    <tableColumn id="52" xr3:uid="{B42417EE-2076-486A-A3E9-23B031BC5BAB}" uniqueName="52" name="Column152" queryTableFieldId="353" dataDxfId="252"/>
    <tableColumn id="53" xr3:uid="{7D526412-2F7D-4A1C-AB4A-4E9E78826338}" uniqueName="53" name="Column153" queryTableFieldId="354" dataDxfId="251"/>
    <tableColumn id="54" xr3:uid="{7DE706A8-1DDB-4A59-B131-1B7C8596F3AE}" uniqueName="54" name="Column154" queryTableFieldId="355" dataDxfId="250"/>
    <tableColumn id="55" xr3:uid="{1E0113C8-893D-4BD5-840E-8D343D4E7A63}" uniqueName="55" name="Column155" queryTableFieldId="356" dataDxfId="249"/>
    <tableColumn id="56" xr3:uid="{C51726B5-C032-4830-AFD9-09EABC6253D7}" uniqueName="56" name="Column156" queryTableFieldId="357" dataDxfId="248"/>
    <tableColumn id="57" xr3:uid="{A6E2DFCD-2E1F-46A6-AF15-D743430AFDB3}" uniqueName="57" name="Column157" queryTableFieldId="358" dataDxfId="247"/>
    <tableColumn id="58" xr3:uid="{E54E632F-5025-4CA2-B18D-ABCB0AAB7922}" uniqueName="58" name="Column158" queryTableFieldId="359" dataDxfId="246"/>
    <tableColumn id="59" xr3:uid="{98A5234C-F7C7-4C20-9D8A-91C9FD588A85}" uniqueName="59" name="Column159" queryTableFieldId="360" dataDxfId="245"/>
    <tableColumn id="60" xr3:uid="{E254B997-4056-4BD0-9AFE-E0FE5F995159}" uniqueName="60" name="Column160" queryTableFieldId="361" dataDxfId="244"/>
    <tableColumn id="61" xr3:uid="{9746C2C0-8665-443E-BC1B-A4B01CC64036}" uniqueName="61" name="Column161" queryTableFieldId="362" dataDxfId="243"/>
    <tableColumn id="62" xr3:uid="{D02A61A4-2CC1-4199-951F-22327BFB98FC}" uniqueName="62" name="Column162" queryTableFieldId="363" dataDxfId="242"/>
    <tableColumn id="63" xr3:uid="{79E48863-9337-41C3-8D7E-BC816BAF565B}" uniqueName="63" name="Column163" queryTableFieldId="364" dataDxfId="241"/>
    <tableColumn id="64" xr3:uid="{A38F4DA3-ED8F-4477-8F4B-F580BF86A846}" uniqueName="64" name="Column164" queryTableFieldId="365" dataDxfId="240"/>
    <tableColumn id="65" xr3:uid="{0F44FC37-3E66-47E9-B8FD-5407E45C4CE8}" uniqueName="65" name="Column165" queryTableFieldId="366" dataDxfId="239"/>
    <tableColumn id="66" xr3:uid="{86051D5E-8A2C-4EA1-8D8D-0CAC4FC552F5}" uniqueName="66" name="Column166" queryTableFieldId="367" dataDxfId="238"/>
    <tableColumn id="165" xr3:uid="{B42AAFE2-4611-403F-98F4-83A8E84326D9}" uniqueName="165" name="Column167" queryTableFieldId="368" dataDxfId="237"/>
    <tableColumn id="166" xr3:uid="{879942AB-8A36-4F29-9586-A6B099490DC4}" uniqueName="166" name="Column168" queryTableFieldId="369" dataDxfId="236"/>
    <tableColumn id="167" xr3:uid="{AB4EF014-EB41-40E3-810B-4AF6FF16B31A}" uniqueName="167" name="Column169" queryTableFieldId="370" dataDxfId="235"/>
    <tableColumn id="168" xr3:uid="{6A2DFD42-4142-4E16-B667-8B1A100094AA}" uniqueName="168" name="Column170" queryTableFieldId="371" dataDxfId="234"/>
    <tableColumn id="169" xr3:uid="{ED3FEFD8-A8AB-489F-99FF-9C297FCAEC43}" uniqueName="169" name="Column171" queryTableFieldId="372" dataDxfId="233"/>
    <tableColumn id="170" xr3:uid="{DC8D1CA1-39FA-49F6-A1E9-CE1F1E8237EE}" uniqueName="170" name="Column172" queryTableFieldId="373" dataDxfId="232"/>
    <tableColumn id="171" xr3:uid="{84446502-57C4-413A-9814-1FFA3BC1CF40}" uniqueName="171" name="Column173" queryTableFieldId="374" dataDxfId="231"/>
    <tableColumn id="172" xr3:uid="{22F11AE0-793F-49D3-9DB5-C66CDA181BAB}" uniqueName="172" name="Column174" queryTableFieldId="375" dataDxfId="230"/>
    <tableColumn id="173" xr3:uid="{1AE10535-CCD1-440C-A20A-FAE9F91412D3}" uniqueName="173" name="Column175" queryTableFieldId="376" dataDxfId="229"/>
    <tableColumn id="174" xr3:uid="{E0A9055B-6C45-4FC0-B554-B4E14433A3A9}" uniqueName="174" name="Column176" queryTableFieldId="377" dataDxfId="228"/>
    <tableColumn id="175" xr3:uid="{E29E74AA-B7E2-4F8E-80F0-3248F5F7EB97}" uniqueName="175" name="Column177" queryTableFieldId="378" dataDxfId="227"/>
    <tableColumn id="176" xr3:uid="{8F971501-E793-49A2-925E-BF54FD903EC1}" uniqueName="176" name="Column178" queryTableFieldId="379" dataDxfId="226"/>
    <tableColumn id="177" xr3:uid="{CD478E53-103E-4F48-8AEB-86B512BA5399}" uniqueName="177" name="Column179" queryTableFieldId="380" dataDxfId="225"/>
    <tableColumn id="178" xr3:uid="{2969030F-9B77-42CA-9B3E-8284EE9D4A13}" uniqueName="178" name="Column180" queryTableFieldId="381" dataDxfId="224"/>
    <tableColumn id="179" xr3:uid="{48FFCB86-6D48-44E4-AB57-48ED8C285061}" uniqueName="179" name="Column181" queryTableFieldId="382" dataDxfId="223"/>
    <tableColumn id="180" xr3:uid="{072FD0C1-4D37-4CB8-8D97-90114542763A}" uniqueName="180" name="Column182" queryTableFieldId="383" dataDxfId="222"/>
    <tableColumn id="181" xr3:uid="{E45F4DD8-0DF0-4A91-8BE0-54F6007A97A4}" uniqueName="181" name="Column183" queryTableFieldId="384" dataDxfId="221"/>
    <tableColumn id="182" xr3:uid="{A7C415C7-C15F-4AA3-A43F-3B7946C6A47F}" uniqueName="182" name="Column184" queryTableFieldId="385" dataDxfId="220"/>
    <tableColumn id="183" xr3:uid="{024276C8-9C5C-4CE5-BC89-3DB2636EF79C}" uniqueName="183" name="Column185" queryTableFieldId="386" dataDxfId="219"/>
    <tableColumn id="184" xr3:uid="{1852D7A0-1514-475A-BD59-017FC3A1653E}" uniqueName="184" name="Column186" queryTableFieldId="387" dataDxfId="218"/>
    <tableColumn id="185" xr3:uid="{1B217F82-C04D-4F72-B46B-6C2CBD7A5AFA}" uniqueName="185" name="Column187" queryTableFieldId="388" dataDxfId="217"/>
    <tableColumn id="186" xr3:uid="{670B711E-820D-43EE-B6CD-DBCFD007EF72}" uniqueName="186" name="Column188" queryTableFieldId="389" dataDxfId="216"/>
    <tableColumn id="187" xr3:uid="{64B14CF8-F6F1-4001-9F80-3AAA12EBA56E}" uniqueName="187" name="Column189" queryTableFieldId="390" dataDxfId="215"/>
    <tableColumn id="188" xr3:uid="{81C14A63-CC40-4FF4-B2D3-541B1745BFB2}" uniqueName="188" name="Column190" queryTableFieldId="391" dataDxfId="214"/>
    <tableColumn id="189" xr3:uid="{0CA4454E-CC34-49CE-85F7-20B1119B068F}" uniqueName="189" name="Column191" queryTableFieldId="392" dataDxfId="213"/>
    <tableColumn id="190" xr3:uid="{686EA56C-EF60-467D-BCD9-6B3895D7EF12}" uniqueName="190" name="Column192" queryTableFieldId="393" dataDxfId="212"/>
    <tableColumn id="191" xr3:uid="{A21F2F51-4393-452C-BC32-C388E319997F}" uniqueName="191" name="Column193" queryTableFieldId="394" dataDxfId="211"/>
    <tableColumn id="192" xr3:uid="{5B64EC74-D90D-453F-8FBF-E9A97E8CD708}" uniqueName="192" name="Column194" queryTableFieldId="395" dataDxfId="210"/>
    <tableColumn id="193" xr3:uid="{34326A92-8BA4-4524-962E-2A13BEC0B816}" uniqueName="193" name="Column195" queryTableFieldId="396" dataDxfId="209"/>
    <tableColumn id="194" xr3:uid="{21F8D185-6345-4C7A-92DB-3AA8F4EEA6B4}" uniqueName="194" name="Column196" queryTableFieldId="397" dataDxfId="208"/>
    <tableColumn id="195" xr3:uid="{693DB747-07AE-494E-A12E-B08E5195CD81}" uniqueName="195" name="Column197" queryTableFieldId="398" dataDxfId="207"/>
    <tableColumn id="196" xr3:uid="{DC1DE3C5-4FB9-4EAC-AB51-BE1BFBFBE1DA}" uniqueName="196" name="Column198" queryTableFieldId="399" dataDxfId="206"/>
    <tableColumn id="197" xr3:uid="{0A651B2C-03DB-47EC-99E5-6107B2B3A6C9}" uniqueName="197" name="Column199" queryTableFieldId="400" dataDxfId="205"/>
    <tableColumn id="198" xr3:uid="{7353CA85-9081-4574-86D0-E2217DDF2B8D}" uniqueName="198" name="Column200" queryTableFieldId="401" dataDxfId="20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GP267" tableType="queryTable" totalsRowShown="0">
  <autoFilter ref="A1:GP267" xr:uid="{BBAF64FF-FFFD-4F30-9EE9-8FC504F03BFC}"/>
  <tableColumns count="198">
    <tableColumn id="67" xr3:uid="{84F638BD-6CEA-497E-94AE-35F08C91E44C}" uniqueName="67" name="Column1" queryTableFieldId="67" dataDxfId="203"/>
    <tableColumn id="68" xr3:uid="{4D4DD18A-4EBB-4120-B201-12E46CE78962}" uniqueName="68" name="Column2" queryTableFieldId="68" dataDxfId="202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  <tableColumn id="1" xr3:uid="{7850FAB4-4577-498D-86DD-4BEDBB26B0D5}" uniqueName="1" name="Column101" queryTableFieldId="165" dataDxfId="201"/>
    <tableColumn id="2" xr3:uid="{2DACC7CD-0C7F-4EF9-9D9D-CEC4462FD4A7}" uniqueName="2" name="Column102" queryTableFieldId="166" dataDxfId="200"/>
    <tableColumn id="3" xr3:uid="{8B56AB15-0A5D-4378-B19B-9492AAD4EE1C}" uniqueName="3" name="Column103" queryTableFieldId="167" dataDxfId="199"/>
    <tableColumn id="4" xr3:uid="{1013047F-D80B-448E-BFE9-A67E28EC3480}" uniqueName="4" name="Column104" queryTableFieldId="168" dataDxfId="198"/>
    <tableColumn id="5" xr3:uid="{62035EF8-0248-477A-8118-84AF7602C250}" uniqueName="5" name="Column105" queryTableFieldId="169" dataDxfId="197"/>
    <tableColumn id="6" xr3:uid="{3028921D-821F-4925-8641-0C6C7A0E1233}" uniqueName="6" name="Column106" queryTableFieldId="170" dataDxfId="196"/>
    <tableColumn id="7" xr3:uid="{C2F9AAF3-CC56-48E2-9082-B64D8DD98310}" uniqueName="7" name="Column107" queryTableFieldId="171" dataDxfId="195"/>
    <tableColumn id="8" xr3:uid="{D6DA5171-74EF-437D-AF30-67F59DFCF7F7}" uniqueName="8" name="Column108" queryTableFieldId="172" dataDxfId="194"/>
    <tableColumn id="9" xr3:uid="{84DEED11-220D-4EF5-A736-63F2840996D7}" uniqueName="9" name="Column109" queryTableFieldId="173" dataDxfId="193"/>
    <tableColumn id="10" xr3:uid="{5B0B4832-BD80-48B3-8E88-72B218AB3913}" uniqueName="10" name="Column110" queryTableFieldId="174" dataDxfId="192"/>
    <tableColumn id="11" xr3:uid="{76A83B74-F972-4170-9BE1-1918D1C2104B}" uniqueName="11" name="Column111" queryTableFieldId="175" dataDxfId="191"/>
    <tableColumn id="12" xr3:uid="{0FDDF7BC-1B8C-476D-A40B-CDA22FEDE488}" uniqueName="12" name="Column112" queryTableFieldId="176" dataDxfId="190"/>
    <tableColumn id="13" xr3:uid="{CBDAB088-E4BC-43C2-9407-5DED8228DA9F}" uniqueName="13" name="Column113" queryTableFieldId="177" dataDxfId="189"/>
    <tableColumn id="14" xr3:uid="{E7499B84-1AF2-4877-BFC2-C96F600C1CFA}" uniqueName="14" name="Column114" queryTableFieldId="178" dataDxfId="188"/>
    <tableColumn id="15" xr3:uid="{6B88DE31-882B-4D14-842B-67B5A514A902}" uniqueName="15" name="Column115" queryTableFieldId="179" dataDxfId="187"/>
    <tableColumn id="16" xr3:uid="{57055018-A13E-42CE-9BD3-2BC90FA5D098}" uniqueName="16" name="Column116" queryTableFieldId="180" dataDxfId="186"/>
    <tableColumn id="17" xr3:uid="{629F5D42-D531-412A-AE40-55055380C81A}" uniqueName="17" name="Column117" queryTableFieldId="181" dataDxfId="185"/>
    <tableColumn id="18" xr3:uid="{2552A10E-A075-4E46-9DD3-56D825E95C8F}" uniqueName="18" name="Column118" queryTableFieldId="182" dataDxfId="184"/>
    <tableColumn id="19" xr3:uid="{2BEF5877-7CD2-47BD-9DD4-770E156B5799}" uniqueName="19" name="Column119" queryTableFieldId="183" dataDxfId="183"/>
    <tableColumn id="20" xr3:uid="{45767450-46F3-4ED3-AF6E-EE92B3198F91}" uniqueName="20" name="Column120" queryTableFieldId="184" dataDxfId="182"/>
    <tableColumn id="21" xr3:uid="{4D768FC0-776D-428F-9B5F-72E0A3C596AD}" uniqueName="21" name="Column121" queryTableFieldId="185" dataDxfId="181"/>
    <tableColumn id="22" xr3:uid="{14D1778E-CEE1-4551-B92E-3ACBE9822491}" uniqueName="22" name="Column122" queryTableFieldId="186" dataDxfId="180"/>
    <tableColumn id="23" xr3:uid="{3D272EC0-DD76-4BF7-A01D-2B64CE2555AE}" uniqueName="23" name="Column123" queryTableFieldId="187" dataDxfId="179"/>
    <tableColumn id="24" xr3:uid="{EFDEC19A-6CFF-4FD8-8075-B50A4F31AB25}" uniqueName="24" name="Column124" queryTableFieldId="188" dataDxfId="178"/>
    <tableColumn id="25" xr3:uid="{D2C5EA0E-CE62-4C7B-8AF0-93740FB9850C}" uniqueName="25" name="Column125" queryTableFieldId="189" dataDxfId="177"/>
    <tableColumn id="26" xr3:uid="{370281BD-E57D-401B-A8E0-54A815D144B6}" uniqueName="26" name="Column126" queryTableFieldId="190" dataDxfId="176"/>
    <tableColumn id="27" xr3:uid="{8E0CA9EB-07A3-42CD-8462-7B1C0348A2D2}" uniqueName="27" name="Column127" queryTableFieldId="191" dataDxfId="175"/>
    <tableColumn id="28" xr3:uid="{FDADAF84-8E71-49A9-975A-CDF2DFAC5A41}" uniqueName="28" name="Column128" queryTableFieldId="192" dataDxfId="174"/>
    <tableColumn id="29" xr3:uid="{B1B99FA2-F7BB-4FB9-B77A-57E92ACF63CB}" uniqueName="29" name="Column129" queryTableFieldId="193" dataDxfId="173"/>
    <tableColumn id="30" xr3:uid="{853914E1-14AA-4FAE-BC3B-30B8D46F670A}" uniqueName="30" name="Column130" queryTableFieldId="194" dataDxfId="172"/>
    <tableColumn id="31" xr3:uid="{CBFC0A70-8566-43E5-AE0E-839FA4D1631E}" uniqueName="31" name="Column131" queryTableFieldId="195" dataDxfId="171"/>
    <tableColumn id="32" xr3:uid="{D783C24D-DDC6-4AEC-A6CA-B3A964F0B8BC}" uniqueName="32" name="Column132" queryTableFieldId="196" dataDxfId="170"/>
    <tableColumn id="33" xr3:uid="{C174BA14-59A0-467E-8675-E50F7F7C7AB2}" uniqueName="33" name="Column133" queryTableFieldId="197" dataDxfId="169"/>
    <tableColumn id="34" xr3:uid="{D284BF5E-0C0A-4BC6-B148-24C6440B216D}" uniqueName="34" name="Column134" queryTableFieldId="198" dataDxfId="168"/>
    <tableColumn id="35" xr3:uid="{F085347A-0515-4B44-98D1-CC3065AA4943}" uniqueName="35" name="Column135" queryTableFieldId="199" dataDxfId="167"/>
    <tableColumn id="36" xr3:uid="{F9D05612-7965-4553-8716-C7DAC4CAF674}" uniqueName="36" name="Column136" queryTableFieldId="200" dataDxfId="166"/>
    <tableColumn id="37" xr3:uid="{B75E3959-85D9-41C2-8B58-3A5EF46B8288}" uniqueName="37" name="Column137" queryTableFieldId="201" dataDxfId="165"/>
    <tableColumn id="38" xr3:uid="{CCC0227E-1DDC-4A73-ABC0-7CC561F7BFB9}" uniqueName="38" name="Column138" queryTableFieldId="202" dataDxfId="164"/>
    <tableColumn id="39" xr3:uid="{2094E88F-10C8-4C09-AAF1-763C8D4DD538}" uniqueName="39" name="Column139" queryTableFieldId="203" dataDxfId="163"/>
    <tableColumn id="40" xr3:uid="{EDBB8D72-4566-418E-821C-AC423778E958}" uniqueName="40" name="Column140" queryTableFieldId="204" dataDxfId="162"/>
    <tableColumn id="41" xr3:uid="{DBA82F06-1F78-4907-A040-7AA36F41BED4}" uniqueName="41" name="Column141" queryTableFieldId="205" dataDxfId="161"/>
    <tableColumn id="42" xr3:uid="{836FB1B7-6850-42CD-8DEF-C6AB4FA2EA21}" uniqueName="42" name="Column142" queryTableFieldId="206" dataDxfId="160"/>
    <tableColumn id="43" xr3:uid="{41FD555A-9DEB-43B0-A56B-0D89308C5F2E}" uniqueName="43" name="Column143" queryTableFieldId="207" dataDxfId="159"/>
    <tableColumn id="44" xr3:uid="{EAC938EB-49AE-463D-B672-002D97960246}" uniqueName="44" name="Column144" queryTableFieldId="208" dataDxfId="158"/>
    <tableColumn id="45" xr3:uid="{0A67118B-9D36-4AAB-B36E-09E957A44EE4}" uniqueName="45" name="Column145" queryTableFieldId="209" dataDxfId="157"/>
    <tableColumn id="46" xr3:uid="{9F1B4A5A-6FAA-4692-AAA2-F967113D3843}" uniqueName="46" name="Column146" queryTableFieldId="210" dataDxfId="156"/>
    <tableColumn id="47" xr3:uid="{2948ACC6-BED0-4FE1-B819-5E6CAD11BA44}" uniqueName="47" name="Column147" queryTableFieldId="211" dataDxfId="155"/>
    <tableColumn id="48" xr3:uid="{D56C6165-2AB3-429E-B1F1-E10D8DDC5AA9}" uniqueName="48" name="Column148" queryTableFieldId="212" dataDxfId="154"/>
    <tableColumn id="49" xr3:uid="{94F68DD8-2CC5-4566-B454-7260D05ED38E}" uniqueName="49" name="Column149" queryTableFieldId="213" dataDxfId="153"/>
    <tableColumn id="50" xr3:uid="{F39018DE-91C8-4D74-8C57-87AF5EFF2A5B}" uniqueName="50" name="Column150" queryTableFieldId="214" dataDxfId="152"/>
    <tableColumn id="51" xr3:uid="{BA142ACF-3F13-412C-AFBC-286328C7AA10}" uniqueName="51" name="Column151" queryTableFieldId="215" dataDxfId="151"/>
    <tableColumn id="52" xr3:uid="{35EDEA7E-A834-4F64-A33F-CE719404C38F}" uniqueName="52" name="Column152" queryTableFieldId="216" dataDxfId="150"/>
    <tableColumn id="53" xr3:uid="{1FCF7729-F153-4F0D-B36D-099E0A07D8AB}" uniqueName="53" name="Column153" queryTableFieldId="217" dataDxfId="149"/>
    <tableColumn id="54" xr3:uid="{3F4A32F9-E429-467F-B589-2EC79E0D9F48}" uniqueName="54" name="Column154" queryTableFieldId="218" dataDxfId="148"/>
    <tableColumn id="55" xr3:uid="{10F072C9-2425-44C6-99C2-75F29049F43A}" uniqueName="55" name="Column155" queryTableFieldId="219" dataDxfId="147"/>
    <tableColumn id="56" xr3:uid="{3B03CA2F-5E83-4F8B-B0CE-E9CEE60A4737}" uniqueName="56" name="Column156" queryTableFieldId="220" dataDxfId="146"/>
    <tableColumn id="57" xr3:uid="{CDE8D114-48BF-4745-8140-20E3A69E1AF1}" uniqueName="57" name="Column157" queryTableFieldId="221" dataDxfId="145"/>
    <tableColumn id="58" xr3:uid="{0DE79D6C-3CC8-4098-9816-9381452D8DEF}" uniqueName="58" name="Column158" queryTableFieldId="222" dataDxfId="144"/>
    <tableColumn id="59" xr3:uid="{E49D27CB-7314-455A-A1C6-CC8C417196C6}" uniqueName="59" name="Column159" queryTableFieldId="223" dataDxfId="143"/>
    <tableColumn id="60" xr3:uid="{00A6C203-74C6-4C3B-811D-8E31A97CB176}" uniqueName="60" name="Column160" queryTableFieldId="224" dataDxfId="142"/>
    <tableColumn id="61" xr3:uid="{1AFF8867-38E8-45CE-8485-54A0157261FC}" uniqueName="61" name="Column161" queryTableFieldId="225" dataDxfId="141"/>
    <tableColumn id="62" xr3:uid="{1D252BBC-4B6B-4C6F-8FAE-5EAF2CA6A38E}" uniqueName="62" name="Column162" queryTableFieldId="226" dataDxfId="140"/>
    <tableColumn id="63" xr3:uid="{54922851-9D08-42A1-8BF8-A68FA5DF5925}" uniqueName="63" name="Column163" queryTableFieldId="227" dataDxfId="139"/>
    <tableColumn id="64" xr3:uid="{9845840A-3BF4-42B2-AFDF-86DE23C33048}" uniqueName="64" name="Column164" queryTableFieldId="228" dataDxfId="138"/>
    <tableColumn id="65" xr3:uid="{25AD2615-70CA-42EC-8167-F32A6CEFF2AE}" uniqueName="65" name="Column165" queryTableFieldId="229" dataDxfId="137"/>
    <tableColumn id="66" xr3:uid="{32933D2F-EB36-4723-BFE5-651A913E983F}" uniqueName="66" name="Column166" queryTableFieldId="230" dataDxfId="136"/>
    <tableColumn id="165" xr3:uid="{C3072A11-DF97-4D32-8C27-67DB98DC19A0}" uniqueName="165" name="Column167" queryTableFieldId="231" dataDxfId="135"/>
    <tableColumn id="166" xr3:uid="{2CBE7BA4-57AF-49C2-91DA-FB371AB09CE7}" uniqueName="166" name="Column168" queryTableFieldId="232" dataDxfId="134"/>
    <tableColumn id="167" xr3:uid="{75CC374C-E079-49D7-956E-CA2DAAB09806}" uniqueName="167" name="Column169" queryTableFieldId="233" dataDxfId="133"/>
    <tableColumn id="168" xr3:uid="{3C288A3F-6A9B-458F-A6B2-074DDE26D64A}" uniqueName="168" name="Column170" queryTableFieldId="234" dataDxfId="132"/>
    <tableColumn id="169" xr3:uid="{16522ED0-F4C0-4725-B4DE-3279C47097D5}" uniqueName="169" name="Column171" queryTableFieldId="235" dataDxfId="131"/>
    <tableColumn id="170" xr3:uid="{FEB5174E-4FB2-4D08-B143-682577FDF560}" uniqueName="170" name="Column172" queryTableFieldId="236" dataDxfId="130"/>
    <tableColumn id="171" xr3:uid="{0A85BFE3-049E-4923-B440-E57AB2CC07B8}" uniqueName="171" name="Column173" queryTableFieldId="237" dataDxfId="129"/>
    <tableColumn id="172" xr3:uid="{2D27F098-3C48-4150-B569-0465C8AAA92C}" uniqueName="172" name="Column174" queryTableFieldId="238" dataDxfId="128"/>
    <tableColumn id="173" xr3:uid="{9A70B0DD-D912-4859-8958-08D12E7816CF}" uniqueName="173" name="Column175" queryTableFieldId="239" dataDxfId="127"/>
    <tableColumn id="174" xr3:uid="{C939A4C2-898D-408A-985F-5F60A2675729}" uniqueName="174" name="Column176" queryTableFieldId="240" dataDxfId="126"/>
    <tableColumn id="175" xr3:uid="{2DE26575-0647-484C-B2FA-19F0F368DD65}" uniqueName="175" name="Column177" queryTableFieldId="241" dataDxfId="125"/>
    <tableColumn id="176" xr3:uid="{DF2BE93B-797C-45BE-9F6B-171A4B3917AC}" uniqueName="176" name="Column178" queryTableFieldId="242" dataDxfId="124"/>
    <tableColumn id="177" xr3:uid="{E5BA6567-6A77-451B-B52C-CF9A9E2A110E}" uniqueName="177" name="Column179" queryTableFieldId="243" dataDxfId="123"/>
    <tableColumn id="178" xr3:uid="{50F44825-7AA3-4E31-8C65-0C42C3CCABF5}" uniqueName="178" name="Column180" queryTableFieldId="244" dataDxfId="122"/>
    <tableColumn id="179" xr3:uid="{AB866C6C-ED95-4144-B5B3-0ABFECD13FDA}" uniqueName="179" name="Column181" queryTableFieldId="245" dataDxfId="121"/>
    <tableColumn id="180" xr3:uid="{DAFC42DB-251B-49B0-8BDB-7D9C00E3DD6F}" uniqueName="180" name="Column182" queryTableFieldId="246" dataDxfId="120"/>
    <tableColumn id="181" xr3:uid="{79B5A01B-551D-4EFD-B296-8D272BEBEFF0}" uniqueName="181" name="Column183" queryTableFieldId="247" dataDxfId="119"/>
    <tableColumn id="182" xr3:uid="{480258FD-71DF-4234-B221-4B58DD3A0E85}" uniqueName="182" name="Column184" queryTableFieldId="248" dataDxfId="118"/>
    <tableColumn id="183" xr3:uid="{73D21AD9-143A-4546-9B62-E4846FD4B364}" uniqueName="183" name="Column185" queryTableFieldId="249" dataDxfId="117"/>
    <tableColumn id="184" xr3:uid="{24930364-003B-4C5B-9877-9C59357A3C58}" uniqueName="184" name="Column186" queryTableFieldId="250" dataDxfId="116"/>
    <tableColumn id="185" xr3:uid="{8A2BDE3E-B826-499A-A1EB-3E3D0F9F18C8}" uniqueName="185" name="Column187" queryTableFieldId="251" dataDxfId="115"/>
    <tableColumn id="186" xr3:uid="{9B45CF18-2598-4871-A92F-19E5C31A287E}" uniqueName="186" name="Column188" queryTableFieldId="252" dataDxfId="114"/>
    <tableColumn id="187" xr3:uid="{D9048261-2C00-4D26-9882-ECC11D8D2B9A}" uniqueName="187" name="Column189" queryTableFieldId="253" dataDxfId="113"/>
    <tableColumn id="188" xr3:uid="{F001C5A6-D8A6-45DE-92AD-4D8743275C2B}" uniqueName="188" name="Column190" queryTableFieldId="254" dataDxfId="112"/>
    <tableColumn id="189" xr3:uid="{AA64E7E0-D61A-4429-97DC-8461AC15B4A3}" uniqueName="189" name="Column191" queryTableFieldId="255" dataDxfId="111"/>
    <tableColumn id="190" xr3:uid="{977DB108-1E51-47A4-AF46-9ACE8CAD8EC8}" uniqueName="190" name="Column192" queryTableFieldId="256" dataDxfId="110"/>
    <tableColumn id="191" xr3:uid="{28628415-BE6E-4EAA-9512-C4DAA951192D}" uniqueName="191" name="Column193" queryTableFieldId="257" dataDxfId="109"/>
    <tableColumn id="192" xr3:uid="{BB667F3D-B89E-4C64-8FEB-36BB3213E5B8}" uniqueName="192" name="Column194" queryTableFieldId="258" dataDxfId="108"/>
    <tableColumn id="193" xr3:uid="{1D508E3A-8B8B-4FE4-81C5-390251051931}" uniqueName="193" name="Column195" queryTableFieldId="259" dataDxfId="107"/>
    <tableColumn id="194" xr3:uid="{BDE7401F-8427-467E-BB4D-166A100BBC48}" uniqueName="194" name="Column196" queryTableFieldId="260" dataDxfId="106"/>
    <tableColumn id="195" xr3:uid="{6FBD1E77-68A6-4B49-8037-F462750BF1DA}" uniqueName="195" name="Column197" queryTableFieldId="261" dataDxfId="105"/>
    <tableColumn id="196" xr3:uid="{272D0DEF-1820-440B-93B6-75F53ADB4F1F}" uniqueName="196" name="Column198" queryTableFieldId="262" dataDxfId="104"/>
    <tableColumn id="197" xr3:uid="{B4FAD825-1677-43DB-9090-F75A27FB139D}" uniqueName="197" name="Column199" queryTableFieldId="263" dataDxfId="103"/>
    <tableColumn id="198" xr3:uid="{C25A1762-95E2-4CAF-81E1-184B40E56A3E}" uniqueName="198" name="Column200" queryTableFieldId="264" dataDxfId="10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GP253" tableType="queryTable" totalsRowShown="0">
  <autoFilter ref="A1:GP253" xr:uid="{ECB139BB-92DC-4144-AF55-123CD87C5A05}"/>
  <tableColumns count="198">
    <tableColumn id="1" xr3:uid="{A7B5FE1B-3D08-4BFF-ADFA-08D317A2ED29}" uniqueName="1" name="Column1" queryTableFieldId="64" dataDxfId="101"/>
    <tableColumn id="2" xr3:uid="{45AE0BFA-C191-40FE-AEB0-C3FD2E3BECC2}" uniqueName="2" name="Column2" queryTableFieldId="65" dataDxfId="10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  <tableColumn id="99" xr3:uid="{671EB0BE-1026-476E-92DB-C748F7BB408C}" uniqueName="99" name="Column101" queryTableFieldId="162" dataDxfId="99"/>
    <tableColumn id="100" xr3:uid="{A19B6B10-B51B-4D1C-A8B2-0E5B507A46E0}" uniqueName="100" name="Column102" queryTableFieldId="163" dataDxfId="98"/>
    <tableColumn id="101" xr3:uid="{1D5AE4BB-FB14-4120-B1B1-A8BFA7608293}" uniqueName="101" name="Column103" queryTableFieldId="164" dataDxfId="97"/>
    <tableColumn id="102" xr3:uid="{9D5E9ACB-E24F-4B27-B15F-A49AAA71B110}" uniqueName="102" name="Column104" queryTableFieldId="165" dataDxfId="96"/>
    <tableColumn id="103" xr3:uid="{3268A429-6B16-4E4B-B526-3391B41EFCA4}" uniqueName="103" name="Column105" queryTableFieldId="166" dataDxfId="95"/>
    <tableColumn id="104" xr3:uid="{AF927F8C-B583-47CC-A464-F11F6E643524}" uniqueName="104" name="Column106" queryTableFieldId="167" dataDxfId="94"/>
    <tableColumn id="105" xr3:uid="{221F3D00-E870-48A8-BFF2-47B25995889B}" uniqueName="105" name="Column107" queryTableFieldId="168" dataDxfId="93"/>
    <tableColumn id="106" xr3:uid="{C7478A02-14CB-4057-8537-10CD567D2E9D}" uniqueName="106" name="Column108" queryTableFieldId="169" dataDxfId="92"/>
    <tableColumn id="107" xr3:uid="{90667BCA-D6B4-4F1E-A518-7D33D87EFE0D}" uniqueName="107" name="Column109" queryTableFieldId="170" dataDxfId="91"/>
    <tableColumn id="108" xr3:uid="{003030F7-78A2-4C43-8A23-3B1BBFBBD1BC}" uniqueName="108" name="Column110" queryTableFieldId="171" dataDxfId="90"/>
    <tableColumn id="109" xr3:uid="{E17889E0-73E4-4F9A-8F6C-26D071D6CC65}" uniqueName="109" name="Column111" queryTableFieldId="172" dataDxfId="89"/>
    <tableColumn id="110" xr3:uid="{D128BF76-34FB-4E8C-9988-4FFF2BF35346}" uniqueName="110" name="Column112" queryTableFieldId="173" dataDxfId="88"/>
    <tableColumn id="111" xr3:uid="{CF3BA4A4-D216-45C6-9DB6-A3395D65F02A}" uniqueName="111" name="Column113" queryTableFieldId="174" dataDxfId="87"/>
    <tableColumn id="112" xr3:uid="{02704FB9-BE51-496C-8AE9-25E403B81304}" uniqueName="112" name="Column114" queryTableFieldId="175" dataDxfId="86"/>
    <tableColumn id="113" xr3:uid="{EDB67B72-5A41-4373-BA49-D682AF20FB20}" uniqueName="113" name="Column115" queryTableFieldId="176" dataDxfId="85"/>
    <tableColumn id="114" xr3:uid="{07869689-6AA1-4390-B6DA-2671955820E6}" uniqueName="114" name="Column116" queryTableFieldId="177" dataDxfId="84"/>
    <tableColumn id="115" xr3:uid="{8A84DE10-6A63-4B76-BD3D-504AC893370D}" uniqueName="115" name="Column117" queryTableFieldId="178" dataDxfId="83"/>
    <tableColumn id="116" xr3:uid="{BABD9BCB-55CF-4224-94D9-82FF344AF15A}" uniqueName="116" name="Column118" queryTableFieldId="179" dataDxfId="82"/>
    <tableColumn id="117" xr3:uid="{F0E7A27C-CA60-4E71-844E-F067AF6ABC54}" uniqueName="117" name="Column119" queryTableFieldId="180" dataDxfId="81"/>
    <tableColumn id="118" xr3:uid="{A8222C4A-B638-4A58-87DA-7628DD6AAD23}" uniqueName="118" name="Column120" queryTableFieldId="181" dataDxfId="80"/>
    <tableColumn id="119" xr3:uid="{300186A5-B1C7-42B2-B02A-21475F38E20E}" uniqueName="119" name="Column121" queryTableFieldId="182" dataDxfId="79"/>
    <tableColumn id="120" xr3:uid="{07F920AD-9F0D-4B48-86C0-7B4DA1899F69}" uniqueName="120" name="Column122" queryTableFieldId="183" dataDxfId="78"/>
    <tableColumn id="121" xr3:uid="{E24CE6E8-0D8F-4128-818B-E4D3104558E2}" uniqueName="121" name="Column123" queryTableFieldId="184" dataDxfId="77"/>
    <tableColumn id="122" xr3:uid="{F46181DF-18D7-441B-9625-42B77799970F}" uniqueName="122" name="Column124" queryTableFieldId="185" dataDxfId="76"/>
    <tableColumn id="123" xr3:uid="{33263A54-D307-4F75-A2B7-4AC55F77ACBF}" uniqueName="123" name="Column125" queryTableFieldId="186" dataDxfId="75"/>
    <tableColumn id="124" xr3:uid="{E07E45B6-B2F4-4C19-A46A-017F89B4EFE1}" uniqueName="124" name="Column126" queryTableFieldId="187" dataDxfId="74"/>
    <tableColumn id="125" xr3:uid="{C05319D9-A5ED-4FA5-AD2A-C080BB1D72DC}" uniqueName="125" name="Column127" queryTableFieldId="188" dataDxfId="73"/>
    <tableColumn id="126" xr3:uid="{04C41299-4A3F-4FE0-98D1-344DF4A9C99E}" uniqueName="126" name="Column128" queryTableFieldId="189" dataDxfId="72"/>
    <tableColumn id="127" xr3:uid="{C01A01AA-701F-44E8-9B4E-6B1AE861E2FC}" uniqueName="127" name="Column129" queryTableFieldId="190" dataDxfId="71"/>
    <tableColumn id="128" xr3:uid="{CD5CE422-75A6-4CEF-B926-FD92A861FDED}" uniqueName="128" name="Column130" queryTableFieldId="191" dataDxfId="70"/>
    <tableColumn id="129" xr3:uid="{A4A118A8-BD93-415F-B323-0FECBE71A279}" uniqueName="129" name="Column131" queryTableFieldId="192" dataDxfId="69"/>
    <tableColumn id="130" xr3:uid="{79E0949C-7298-496A-8FEB-B1CB500CC296}" uniqueName="130" name="Column132" queryTableFieldId="193" dataDxfId="68"/>
    <tableColumn id="131" xr3:uid="{D0CF3C27-541B-47ED-BFF9-DB6E45AB9273}" uniqueName="131" name="Column133" queryTableFieldId="194" dataDxfId="67"/>
    <tableColumn id="132" xr3:uid="{A693C0C7-29E7-4982-9737-C25009369B97}" uniqueName="132" name="Column134" queryTableFieldId="195" dataDxfId="66"/>
    <tableColumn id="133" xr3:uid="{7B308A8E-9EAD-4453-BACD-7C1F7C6891EE}" uniqueName="133" name="Column135" queryTableFieldId="196" dataDxfId="65"/>
    <tableColumn id="134" xr3:uid="{38040AF1-67E1-4376-A661-E20BF7180C08}" uniqueName="134" name="Column136" queryTableFieldId="197" dataDxfId="64"/>
    <tableColumn id="135" xr3:uid="{ED98D00B-16D0-43AC-A3EA-F02339EB02B5}" uniqueName="135" name="Column137" queryTableFieldId="198" dataDxfId="63"/>
    <tableColumn id="136" xr3:uid="{B146803D-B165-4803-AA0A-4038173E8B9F}" uniqueName="136" name="Column138" queryTableFieldId="199" dataDxfId="62"/>
    <tableColumn id="137" xr3:uid="{6183AEE4-7AC0-4550-AE5F-B1177D67D777}" uniqueName="137" name="Column139" queryTableFieldId="200" dataDxfId="61"/>
    <tableColumn id="138" xr3:uid="{318A2F5E-2145-42DE-BD39-49C99B66130D}" uniqueName="138" name="Column140" queryTableFieldId="201" dataDxfId="60"/>
    <tableColumn id="139" xr3:uid="{9772BFF2-291C-4859-B059-A0EAE2D4EDB2}" uniqueName="139" name="Column141" queryTableFieldId="202" dataDxfId="59"/>
    <tableColumn id="140" xr3:uid="{9C267C2F-7DE6-4FBE-8C9F-2309F1FADFF0}" uniqueName="140" name="Column142" queryTableFieldId="203" dataDxfId="58"/>
    <tableColumn id="141" xr3:uid="{FE221F12-696A-46A2-8F9D-19CA5BCCC27F}" uniqueName="141" name="Column143" queryTableFieldId="204" dataDxfId="57"/>
    <tableColumn id="142" xr3:uid="{E43E9D84-88B7-4048-8F78-C5A7E363624E}" uniqueName="142" name="Column144" queryTableFieldId="205" dataDxfId="56"/>
    <tableColumn id="143" xr3:uid="{D23304C3-0D25-44F8-98C4-38F7D093764F}" uniqueName="143" name="Column145" queryTableFieldId="206" dataDxfId="55"/>
    <tableColumn id="144" xr3:uid="{BAA96546-31B9-42BE-90D1-95E7A2B01343}" uniqueName="144" name="Column146" queryTableFieldId="207" dataDxfId="54"/>
    <tableColumn id="145" xr3:uid="{3989CF5D-1715-46E3-9797-4C83D0B42CC4}" uniqueName="145" name="Column147" queryTableFieldId="208" dataDxfId="53"/>
    <tableColumn id="146" xr3:uid="{BCBFDE97-86B6-4605-B590-601CBFC247F2}" uniqueName="146" name="Column148" queryTableFieldId="209" dataDxfId="52"/>
    <tableColumn id="147" xr3:uid="{0C6C8C93-3CC0-40B7-A3A0-1521BA1B7BBD}" uniqueName="147" name="Column149" queryTableFieldId="210" dataDxfId="51"/>
    <tableColumn id="148" xr3:uid="{33E5BF2B-3FA2-4911-9704-7301669AD40A}" uniqueName="148" name="Column150" queryTableFieldId="211" dataDxfId="50"/>
    <tableColumn id="149" xr3:uid="{53340F3E-8488-4192-A85E-693D415E9B64}" uniqueName="149" name="Column151" queryTableFieldId="212" dataDxfId="49"/>
    <tableColumn id="150" xr3:uid="{B86F6507-0011-4FCA-89C3-8E5BEA2EC371}" uniqueName="150" name="Column152" queryTableFieldId="213" dataDxfId="48"/>
    <tableColumn id="151" xr3:uid="{5EFAEDAC-F9F8-4E3D-8286-2B17C853C94A}" uniqueName="151" name="Column153" queryTableFieldId="214" dataDxfId="47"/>
    <tableColumn id="152" xr3:uid="{DF116AE9-4C3D-4A76-BBBF-AA4E05F476DB}" uniqueName="152" name="Column154" queryTableFieldId="215" dataDxfId="46"/>
    <tableColumn id="153" xr3:uid="{B9D8451D-8333-4E85-B1D1-336B3E911078}" uniqueName="153" name="Column155" queryTableFieldId="216" dataDxfId="45"/>
    <tableColumn id="154" xr3:uid="{3D90AC55-7B66-430C-B16E-7B05B6CA1E9C}" uniqueName="154" name="Column156" queryTableFieldId="217" dataDxfId="44"/>
    <tableColumn id="155" xr3:uid="{AAB47D49-FB5A-4C6A-9DCF-40EBD8B932BE}" uniqueName="155" name="Column157" queryTableFieldId="218" dataDxfId="43"/>
    <tableColumn id="156" xr3:uid="{5EC9A6BC-8A54-4E0A-85B2-8CEF2E55B30B}" uniqueName="156" name="Column158" queryTableFieldId="219" dataDxfId="42"/>
    <tableColumn id="157" xr3:uid="{1D2F09EF-59B4-4A88-B660-D0FD6E0F6747}" uniqueName="157" name="Column159" queryTableFieldId="220" dataDxfId="41"/>
    <tableColumn id="158" xr3:uid="{2427189B-5CDC-418A-8238-D7CCC5B62A6D}" uniqueName="158" name="Column160" queryTableFieldId="221" dataDxfId="40"/>
    <tableColumn id="159" xr3:uid="{5803E57F-35C4-433A-8AC5-4609882E0E1D}" uniqueName="159" name="Column161" queryTableFieldId="222" dataDxfId="39"/>
    <tableColumn id="160" xr3:uid="{8BC590DF-31AB-4DE8-B894-2F46B4D00F9D}" uniqueName="160" name="Column162" queryTableFieldId="223" dataDxfId="38"/>
    <tableColumn id="161" xr3:uid="{B836E8DA-7315-4F54-B61C-3D4E4B3E4546}" uniqueName="161" name="Column163" queryTableFieldId="224" dataDxfId="37"/>
    <tableColumn id="162" xr3:uid="{F9628D09-9651-4189-AC72-1823F1D70E92}" uniqueName="162" name="Column164" queryTableFieldId="225" dataDxfId="36"/>
    <tableColumn id="163" xr3:uid="{C58DD484-A1E2-46D3-870D-699015523DA8}" uniqueName="163" name="Column165" queryTableFieldId="226" dataDxfId="35"/>
    <tableColumn id="164" xr3:uid="{519920F9-33AF-43EE-B817-85F90807F3C3}" uniqueName="164" name="Column166" queryTableFieldId="227" dataDxfId="34"/>
    <tableColumn id="165" xr3:uid="{B117A552-E55B-455F-B224-4FC0BE4C7B77}" uniqueName="165" name="Column167" queryTableFieldId="228" dataDxfId="33"/>
    <tableColumn id="166" xr3:uid="{FC9D07D5-A2AF-479E-AF5B-2714D8D3E628}" uniqueName="166" name="Column168" queryTableFieldId="229" dataDxfId="32"/>
    <tableColumn id="167" xr3:uid="{47F4B89D-4003-451C-96BA-6C7254FD9F71}" uniqueName="167" name="Column169" queryTableFieldId="230" dataDxfId="31"/>
    <tableColumn id="168" xr3:uid="{00933CC7-9C64-47C9-9DCF-E8728AAC0F01}" uniqueName="168" name="Column170" queryTableFieldId="231" dataDxfId="30"/>
    <tableColumn id="169" xr3:uid="{517F00F5-076D-4C57-AC10-AB6EDC26FA29}" uniqueName="169" name="Column171" queryTableFieldId="232" dataDxfId="29"/>
    <tableColumn id="170" xr3:uid="{C1ADA825-5FDB-4B78-B343-5D96C44899A3}" uniqueName="170" name="Column172" queryTableFieldId="233" dataDxfId="28"/>
    <tableColumn id="171" xr3:uid="{B2A269D6-D710-463F-A7EC-87DD0B967A9F}" uniqueName="171" name="Column173" queryTableFieldId="234" dataDxfId="27"/>
    <tableColumn id="172" xr3:uid="{FEC5BE36-40D9-4486-BF54-A2FE1D05AAC3}" uniqueName="172" name="Column174" queryTableFieldId="235" dataDxfId="26"/>
    <tableColumn id="173" xr3:uid="{C1B6D621-5BA4-4FA9-A74F-0B0DC780E236}" uniqueName="173" name="Column175" queryTableFieldId="236" dataDxfId="25"/>
    <tableColumn id="174" xr3:uid="{8AE70729-F393-462E-B3C9-6E8CE3F89F0B}" uniqueName="174" name="Column176" queryTableFieldId="237" dataDxfId="24"/>
    <tableColumn id="175" xr3:uid="{A2F9E95C-2234-4532-AE6A-5A3E325BE2CB}" uniqueName="175" name="Column177" queryTableFieldId="238" dataDxfId="23"/>
    <tableColumn id="176" xr3:uid="{2BF12CCD-4512-444A-B59E-2C7ED106FC63}" uniqueName="176" name="Column178" queryTableFieldId="239" dataDxfId="22"/>
    <tableColumn id="177" xr3:uid="{B0E638F9-BDBB-45FC-8BDC-CCB86F0C883E}" uniqueName="177" name="Column179" queryTableFieldId="240" dataDxfId="21"/>
    <tableColumn id="178" xr3:uid="{B23CDFF2-D41A-4747-BAD9-FD5849B90015}" uniqueName="178" name="Column180" queryTableFieldId="241" dataDxfId="20"/>
    <tableColumn id="179" xr3:uid="{BE4550EC-DE95-49A5-9C48-74A2CBB76885}" uniqueName="179" name="Column181" queryTableFieldId="242" dataDxfId="19"/>
    <tableColumn id="180" xr3:uid="{F43B9A93-91D8-4ADE-8076-5A45571349D3}" uniqueName="180" name="Column182" queryTableFieldId="243" dataDxfId="18"/>
    <tableColumn id="181" xr3:uid="{38E1775C-2BFA-4F4F-9D7C-D3001E122D58}" uniqueName="181" name="Column183" queryTableFieldId="244" dataDxfId="17"/>
    <tableColumn id="182" xr3:uid="{7D0E1F0B-5448-41A9-B758-AE45C00F66C5}" uniqueName="182" name="Column184" queryTableFieldId="245" dataDxfId="16"/>
    <tableColumn id="183" xr3:uid="{B1ABF0D7-B7B6-448E-8734-4C17D34B21A9}" uniqueName="183" name="Column185" queryTableFieldId="246" dataDxfId="15"/>
    <tableColumn id="184" xr3:uid="{9870ABC8-62FA-4AD4-B426-8C846F665AF4}" uniqueName="184" name="Column186" queryTableFieldId="247" dataDxfId="14"/>
    <tableColumn id="185" xr3:uid="{2865B1A4-9BEC-4A5C-8CA9-7E5264AD7B80}" uniqueName="185" name="Column187" queryTableFieldId="248" dataDxfId="13"/>
    <tableColumn id="186" xr3:uid="{4C70BAD3-16B8-4478-8765-549A656CD996}" uniqueName="186" name="Column188" queryTableFieldId="249" dataDxfId="12"/>
    <tableColumn id="187" xr3:uid="{10389D31-747D-43E5-A72D-BD52DACAA724}" uniqueName="187" name="Column189" queryTableFieldId="250" dataDxfId="11"/>
    <tableColumn id="188" xr3:uid="{474C27D1-E556-483F-B425-3ACE65F4E55C}" uniqueName="188" name="Column190" queryTableFieldId="251" dataDxfId="10"/>
    <tableColumn id="189" xr3:uid="{71207DB8-9CCE-4BFA-908E-1D8131C22572}" uniqueName="189" name="Column191" queryTableFieldId="252" dataDxfId="9"/>
    <tableColumn id="190" xr3:uid="{01D0EAE8-D2FB-496A-9808-0C4C3E4A4BDD}" uniqueName="190" name="Column192" queryTableFieldId="253" dataDxfId="8"/>
    <tableColumn id="191" xr3:uid="{2D605CD4-17A6-458C-A851-55F04CCDAA13}" uniqueName="191" name="Column193" queryTableFieldId="254" dataDxfId="7"/>
    <tableColumn id="192" xr3:uid="{3A857A76-4CBC-4AE2-998C-35225F3E0481}" uniqueName="192" name="Column194" queryTableFieldId="255" dataDxfId="6"/>
    <tableColumn id="193" xr3:uid="{7754825A-B7E1-4DDA-AA7D-370AACA8C691}" uniqueName="193" name="Column195" queryTableFieldId="256" dataDxfId="5"/>
    <tableColumn id="194" xr3:uid="{94F866DB-D3E1-47FC-80DD-29DA1190655E}" uniqueName="194" name="Column196" queryTableFieldId="257" dataDxfId="4"/>
    <tableColumn id="195" xr3:uid="{A2047C55-DF06-4CC0-A205-92B026D9048E}" uniqueName="195" name="Column197" queryTableFieldId="258" dataDxfId="3"/>
    <tableColumn id="196" xr3:uid="{AA3F73DC-BA55-40B4-8A7C-20556E765B9E}" uniqueName="196" name="Column198" queryTableFieldId="259" dataDxfId="2"/>
    <tableColumn id="197" xr3:uid="{43C35F2A-CBBB-4F13-8E98-8141384B4A31}" uniqueName="197" name="Column199" queryTableFieldId="260" dataDxfId="1"/>
    <tableColumn id="198" xr3:uid="{5097C70B-9670-4DAD-BE3C-1079B0E8A54D}" uniqueName="198" name="Column200" queryTableFieldId="26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EA45"/>
  <sheetViews>
    <sheetView tabSelected="1" zoomScaleNormal="100" workbookViewId="0">
      <pane xSplit="1" topLeftCell="CI1" activePane="topRight" state="frozen"/>
      <selection pane="topRight" activeCell="CU15" sqref="CU15"/>
    </sheetView>
  </sheetViews>
  <sheetFormatPr baseColWidth="10" defaultColWidth="11.3984375" defaultRowHeight="13.9" x14ac:dyDescent="0.4"/>
  <cols>
    <col min="1" max="1" width="24.1328125" style="3" bestFit="1" customWidth="1"/>
    <col min="2" max="2" width="8" style="5" hidden="1" customWidth="1"/>
    <col min="3" max="71" width="8" style="3" hidden="1" customWidth="1"/>
    <col min="72" max="131" width="8" style="3" customWidth="1"/>
    <col min="132" max="16384" width="11.3984375" style="3"/>
  </cols>
  <sheetData>
    <row r="1" spans="1:131" ht="254.25" customHeight="1" x14ac:dyDescent="0.4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36" t="s">
        <v>366</v>
      </c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</row>
    <row r="2" spans="1:131" s="2" customFormat="1" ht="29.25" customHeight="1" x14ac:dyDescent="0.4">
      <c r="A2" s="4" t="s">
        <v>244</v>
      </c>
      <c r="B2" s="6"/>
    </row>
    <row r="3" spans="1:131" s="35" customFormat="1" ht="17.649999999999999" x14ac:dyDescent="0.5">
      <c r="A3" s="32" t="s">
        <v>15</v>
      </c>
      <c r="B3" s="33" t="s">
        <v>378</v>
      </c>
      <c r="C3" s="34">
        <v>43853</v>
      </c>
      <c r="D3" s="34">
        <v>43854</v>
      </c>
      <c r="E3" s="34">
        <v>43855</v>
      </c>
      <c r="F3" s="34">
        <v>43856</v>
      </c>
      <c r="G3" s="34">
        <v>43857</v>
      </c>
      <c r="H3" s="34">
        <v>43858</v>
      </c>
      <c r="I3" s="34">
        <v>43859</v>
      </c>
      <c r="J3" s="34">
        <v>43860</v>
      </c>
      <c r="K3" s="34">
        <v>43861</v>
      </c>
      <c r="L3" s="34">
        <v>43862</v>
      </c>
      <c r="M3" s="34">
        <v>43863</v>
      </c>
      <c r="N3" s="34">
        <v>43864</v>
      </c>
      <c r="O3" s="34">
        <v>43865</v>
      </c>
      <c r="P3" s="34">
        <v>43866</v>
      </c>
      <c r="Q3" s="34">
        <v>43867</v>
      </c>
      <c r="R3" s="34">
        <v>43868</v>
      </c>
      <c r="S3" s="34">
        <v>43869</v>
      </c>
      <c r="T3" s="34">
        <v>43870</v>
      </c>
      <c r="U3" s="34">
        <v>43871</v>
      </c>
      <c r="V3" s="34">
        <v>43872</v>
      </c>
      <c r="W3" s="34">
        <v>43873</v>
      </c>
      <c r="X3" s="34">
        <v>43874</v>
      </c>
      <c r="Y3" s="34">
        <v>43875</v>
      </c>
      <c r="Z3" s="34">
        <v>43876</v>
      </c>
      <c r="AA3" s="34">
        <v>43877</v>
      </c>
      <c r="AB3" s="34">
        <v>43878</v>
      </c>
      <c r="AC3" s="34">
        <v>43879</v>
      </c>
      <c r="AD3" s="34">
        <v>43880</v>
      </c>
      <c r="AE3" s="34">
        <v>43881</v>
      </c>
      <c r="AF3" s="34">
        <v>43882</v>
      </c>
      <c r="AG3" s="34">
        <v>43883</v>
      </c>
      <c r="AH3" s="34">
        <v>43884</v>
      </c>
      <c r="AI3" s="34">
        <v>43885</v>
      </c>
      <c r="AJ3" s="34">
        <v>43886</v>
      </c>
      <c r="AK3" s="34">
        <v>43887</v>
      </c>
      <c r="AL3" s="34">
        <v>43888</v>
      </c>
      <c r="AM3" s="34">
        <v>43889</v>
      </c>
      <c r="AN3" s="34">
        <v>43890</v>
      </c>
      <c r="AO3" s="34">
        <v>43891</v>
      </c>
      <c r="AP3" s="34">
        <v>43892</v>
      </c>
      <c r="AQ3" s="34">
        <v>43893</v>
      </c>
      <c r="AR3" s="34">
        <v>43894</v>
      </c>
      <c r="AS3" s="34">
        <v>43895</v>
      </c>
      <c r="AT3" s="34">
        <v>43896</v>
      </c>
      <c r="AU3" s="34">
        <v>43897</v>
      </c>
      <c r="AV3" s="34">
        <v>43898</v>
      </c>
      <c r="AW3" s="34">
        <v>43899</v>
      </c>
      <c r="AX3" s="34">
        <v>43900</v>
      </c>
      <c r="AY3" s="34">
        <v>43901</v>
      </c>
      <c r="AZ3" s="34">
        <v>43902</v>
      </c>
      <c r="BA3" s="34">
        <v>43903</v>
      </c>
      <c r="BB3" s="34">
        <v>43904</v>
      </c>
      <c r="BC3" s="34">
        <v>43905</v>
      </c>
      <c r="BD3" s="34">
        <v>43906</v>
      </c>
      <c r="BE3" s="34">
        <v>43907</v>
      </c>
      <c r="BF3" s="34">
        <v>43908</v>
      </c>
      <c r="BG3" s="34">
        <v>43909</v>
      </c>
      <c r="BH3" s="34">
        <v>43910</v>
      </c>
      <c r="BI3" s="34">
        <v>43911</v>
      </c>
      <c r="BJ3" s="34">
        <v>43912</v>
      </c>
      <c r="BK3" s="34">
        <v>43913</v>
      </c>
      <c r="BL3" s="34">
        <v>43914</v>
      </c>
      <c r="BM3" s="34">
        <v>43915</v>
      </c>
      <c r="BN3" s="34">
        <v>43916</v>
      </c>
      <c r="BO3" s="34">
        <v>43917</v>
      </c>
      <c r="BP3" s="34">
        <v>43918</v>
      </c>
      <c r="BQ3" s="34">
        <v>43919</v>
      </c>
      <c r="BR3" s="34">
        <v>43920</v>
      </c>
      <c r="BS3" s="34">
        <v>43921</v>
      </c>
      <c r="BT3" s="34">
        <v>43922</v>
      </c>
      <c r="BU3" s="34">
        <v>43923</v>
      </c>
      <c r="BV3" s="34">
        <v>43924</v>
      </c>
      <c r="BW3" s="34">
        <v>43925</v>
      </c>
      <c r="BX3" s="34">
        <v>43926</v>
      </c>
      <c r="BY3" s="34">
        <v>43927</v>
      </c>
      <c r="BZ3" s="34">
        <v>43928</v>
      </c>
      <c r="CA3" s="34">
        <v>43929</v>
      </c>
      <c r="CB3" s="34">
        <v>43930</v>
      </c>
      <c r="CC3" s="34">
        <v>43931</v>
      </c>
      <c r="CD3" s="34">
        <v>43932</v>
      </c>
      <c r="CE3" s="34">
        <v>43933</v>
      </c>
      <c r="CF3" s="34">
        <v>43934</v>
      </c>
      <c r="CG3" s="34">
        <v>43935</v>
      </c>
      <c r="CH3" s="34">
        <v>43936</v>
      </c>
      <c r="CI3" s="34">
        <v>43937</v>
      </c>
      <c r="CJ3" s="34">
        <v>43938</v>
      </c>
      <c r="CK3" s="34">
        <v>43939</v>
      </c>
      <c r="CL3" s="34">
        <v>43940</v>
      </c>
      <c r="CM3" s="34">
        <v>43941</v>
      </c>
      <c r="CN3" s="34">
        <v>43942</v>
      </c>
      <c r="CO3" s="34">
        <v>43943</v>
      </c>
      <c r="CP3" s="34">
        <v>43944</v>
      </c>
      <c r="CQ3" s="34">
        <v>43945</v>
      </c>
      <c r="CR3" s="34">
        <v>43946</v>
      </c>
      <c r="CS3" s="34">
        <v>43947</v>
      </c>
      <c r="CT3" s="34">
        <v>43948</v>
      </c>
      <c r="CU3" s="34">
        <v>43949</v>
      </c>
      <c r="CV3" s="34">
        <v>43950</v>
      </c>
      <c r="CW3" s="34">
        <v>43951</v>
      </c>
      <c r="CX3" s="34">
        <v>43952</v>
      </c>
      <c r="CY3" s="34">
        <v>43953</v>
      </c>
      <c r="CZ3" s="34">
        <v>43954</v>
      </c>
      <c r="DA3" s="34">
        <v>43955</v>
      </c>
      <c r="DB3" s="34">
        <v>43956</v>
      </c>
      <c r="DC3" s="34">
        <v>43957</v>
      </c>
      <c r="DD3" s="34">
        <v>43958</v>
      </c>
      <c r="DE3" s="34">
        <v>43959</v>
      </c>
      <c r="DF3" s="34">
        <v>43960</v>
      </c>
      <c r="DG3" s="34">
        <v>43961</v>
      </c>
      <c r="DH3" s="34">
        <v>43962</v>
      </c>
      <c r="DI3" s="34">
        <v>43963</v>
      </c>
      <c r="DJ3" s="34">
        <v>43964</v>
      </c>
      <c r="DK3" s="34">
        <v>43965</v>
      </c>
      <c r="DL3" s="34">
        <v>43966</v>
      </c>
      <c r="DM3" s="34">
        <v>43967</v>
      </c>
      <c r="DN3" s="34">
        <v>43968</v>
      </c>
      <c r="DO3" s="34">
        <v>43969</v>
      </c>
      <c r="DP3" s="34">
        <v>43970</v>
      </c>
      <c r="DQ3" s="34">
        <v>43971</v>
      </c>
      <c r="DR3" s="34">
        <v>43972</v>
      </c>
      <c r="DS3" s="34">
        <v>43973</v>
      </c>
      <c r="DT3" s="34">
        <v>43974</v>
      </c>
      <c r="DU3" s="34">
        <v>43975</v>
      </c>
      <c r="DV3" s="34">
        <v>43976</v>
      </c>
      <c r="DW3" s="34">
        <v>43977</v>
      </c>
      <c r="DX3" s="34">
        <v>43978</v>
      </c>
      <c r="DY3" s="34">
        <v>43979</v>
      </c>
      <c r="DZ3" s="34">
        <v>43980</v>
      </c>
      <c r="EA3" s="34">
        <v>43981</v>
      </c>
    </row>
    <row r="4" spans="1:131" s="10" customFormat="1" ht="13.15" x14ac:dyDescent="0.4">
      <c r="A4" s="19" t="s">
        <v>241</v>
      </c>
      <c r="B4" s="20">
        <f>SUMIF(RAW_Cases!$B:$B,$A$3,RAW_Cases!C:C)</f>
        <v>0</v>
      </c>
      <c r="C4" s="20">
        <f>SUMIF(RAW_Cases!$B:$B,$A$3,RAW_Cases!D:D)</f>
        <v>0</v>
      </c>
      <c r="D4" s="20">
        <f>SUMIF(RAW_Cases!$B:$B,$A$3,RAW_Cases!E:E)</f>
        <v>0</v>
      </c>
      <c r="E4" s="20">
        <f>SUMIF(RAW_Cases!$B:$B,$A$3,RAW_Cases!F:F)</f>
        <v>0</v>
      </c>
      <c r="F4" s="20">
        <f>SUMIF(RAW_Cases!$B:$B,$A$3,RAW_Cases!G:G)</f>
        <v>0</v>
      </c>
      <c r="G4" s="20">
        <f>SUMIF(RAW_Cases!$B:$B,$A$3,RAW_Cases!H:H)</f>
        <v>1</v>
      </c>
      <c r="H4" s="20">
        <f>SUMIF(RAW_Cases!$B:$B,$A$3,RAW_Cases!I:I)</f>
        <v>4</v>
      </c>
      <c r="I4" s="20">
        <f>SUMIF(RAW_Cases!$B:$B,$A$3,RAW_Cases!J:J)</f>
        <v>4</v>
      </c>
      <c r="J4" s="20">
        <f>SUMIF(RAW_Cases!$B:$B,$A$3,RAW_Cases!K:K)</f>
        <v>4</v>
      </c>
      <c r="K4" s="20">
        <f>SUMIF(RAW_Cases!$B:$B,$A$3,RAW_Cases!L:L)</f>
        <v>5</v>
      </c>
      <c r="L4" s="20">
        <f>SUMIF(RAW_Cases!$B:$B,$A$3,RAW_Cases!M:M)</f>
        <v>8</v>
      </c>
      <c r="M4" s="20">
        <f>SUMIF(RAW_Cases!$B:$B,$A$3,RAW_Cases!N:N)</f>
        <v>10</v>
      </c>
      <c r="N4" s="20">
        <f>SUMIF(RAW_Cases!$B:$B,$A$3,RAW_Cases!O:O)</f>
        <v>12</v>
      </c>
      <c r="O4" s="20">
        <f>SUMIF(RAW_Cases!$B:$B,$A$3,RAW_Cases!P:P)</f>
        <v>12</v>
      </c>
      <c r="P4" s="20">
        <f>SUMIF(RAW_Cases!$B:$B,$A$3,RAW_Cases!Q:Q)</f>
        <v>12</v>
      </c>
      <c r="Q4" s="20">
        <f>SUMIF(RAW_Cases!$B:$B,$A$3,RAW_Cases!R:R)</f>
        <v>12</v>
      </c>
      <c r="R4" s="20">
        <f>SUMIF(RAW_Cases!$B:$B,$A$3,RAW_Cases!S:S)</f>
        <v>13</v>
      </c>
      <c r="S4" s="20">
        <f>SUMIF(RAW_Cases!$B:$B,$A$3,RAW_Cases!T:T)</f>
        <v>13</v>
      </c>
      <c r="T4" s="20">
        <f>SUMIF(RAW_Cases!$B:$B,$A$3,RAW_Cases!U:U)</f>
        <v>14</v>
      </c>
      <c r="U4" s="20">
        <f>SUMIF(RAW_Cases!$B:$B,$A$3,RAW_Cases!V:V)</f>
        <v>14</v>
      </c>
      <c r="V4" s="20">
        <f>SUMIF(RAW_Cases!$B:$B,$A$3,RAW_Cases!W:W)</f>
        <v>16</v>
      </c>
      <c r="W4" s="20">
        <f>SUMIF(RAW_Cases!$B:$B,$A$3,RAW_Cases!X:X)</f>
        <v>16</v>
      </c>
      <c r="X4" s="20">
        <f>SUMIF(RAW_Cases!$B:$B,$A$3,RAW_Cases!Y:Y)</f>
        <v>16</v>
      </c>
      <c r="Y4" s="20">
        <f>SUMIF(RAW_Cases!$B:$B,$A$3,RAW_Cases!Z:Z)</f>
        <v>16</v>
      </c>
      <c r="Z4" s="20">
        <f>SUMIF(RAW_Cases!$B:$B,$A$3,RAW_Cases!AA:AA)</f>
        <v>16</v>
      </c>
      <c r="AA4" s="20">
        <f>SUMIF(RAW_Cases!$B:$B,$A$3,RAW_Cases!AB:AB)</f>
        <v>16</v>
      </c>
      <c r="AB4" s="20">
        <f>SUMIF(RAW_Cases!$B:$B,$A$3,RAW_Cases!AC:AC)</f>
        <v>16</v>
      </c>
      <c r="AC4" s="20">
        <f>SUMIF(RAW_Cases!$B:$B,$A$3,RAW_Cases!AD:AD)</f>
        <v>16</v>
      </c>
      <c r="AD4" s="20">
        <f>SUMIF(RAW_Cases!$B:$B,$A$3,RAW_Cases!AE:AE)</f>
        <v>16</v>
      </c>
      <c r="AE4" s="20">
        <f>SUMIF(RAW_Cases!$B:$B,$A$3,RAW_Cases!AF:AF)</f>
        <v>16</v>
      </c>
      <c r="AF4" s="20">
        <f>SUMIF(RAW_Cases!$B:$B,$A$3,RAW_Cases!AG:AG)</f>
        <v>16</v>
      </c>
      <c r="AG4" s="20">
        <f>SUMIF(RAW_Cases!$B:$B,$A$3,RAW_Cases!AH:AH)</f>
        <v>16</v>
      </c>
      <c r="AH4" s="20">
        <f>SUMIF(RAW_Cases!$B:$B,$A$3,RAW_Cases!AI:AI)</f>
        <v>16</v>
      </c>
      <c r="AI4" s="20">
        <f>SUMIF(RAW_Cases!$B:$B,$A$3,RAW_Cases!AJ:AJ)</f>
        <v>16</v>
      </c>
      <c r="AJ4" s="20">
        <f>SUMIF(RAW_Cases!$B:$B,$A$3,RAW_Cases!AK:AK)</f>
        <v>17</v>
      </c>
      <c r="AK4" s="20">
        <f>SUMIF(RAW_Cases!$B:$B,$A$3,RAW_Cases!AL:AL)</f>
        <v>27</v>
      </c>
      <c r="AL4" s="20">
        <f>SUMIF(RAW_Cases!$B:$B,$A$3,RAW_Cases!AM:AM)</f>
        <v>46</v>
      </c>
      <c r="AM4" s="20">
        <f>SUMIF(RAW_Cases!$B:$B,$A$3,RAW_Cases!AN:AN)</f>
        <v>48</v>
      </c>
      <c r="AN4" s="20">
        <f>SUMIF(RAW_Cases!$B:$B,$A$3,RAW_Cases!AO:AO)</f>
        <v>79</v>
      </c>
      <c r="AO4" s="20">
        <f>SUMIF(RAW_Cases!$B:$B,$A$3,RAW_Cases!AP:AP)</f>
        <v>130</v>
      </c>
      <c r="AP4" s="20">
        <f>SUMIF(RAW_Cases!$B:$B,$A$3,RAW_Cases!AQ:AQ)</f>
        <v>159</v>
      </c>
      <c r="AQ4" s="20">
        <f>SUMIF(RAW_Cases!$B:$B,$A$3,RAW_Cases!AR:AR)</f>
        <v>196</v>
      </c>
      <c r="AR4" s="20">
        <f>SUMIF(RAW_Cases!$B:$B,$A$3,RAW_Cases!AS:AS)</f>
        <v>262</v>
      </c>
      <c r="AS4" s="20">
        <f>SUMIF(RAW_Cases!$B:$B,$A$3,RAW_Cases!AT:AT)</f>
        <v>482</v>
      </c>
      <c r="AT4" s="20">
        <f>SUMIF(RAW_Cases!$B:$B,$A$3,RAW_Cases!AU:AU)</f>
        <v>670</v>
      </c>
      <c r="AU4" s="20">
        <f>SUMIF(RAW_Cases!$B:$B,$A$3,RAW_Cases!AV:AV)</f>
        <v>799</v>
      </c>
      <c r="AV4" s="20">
        <f>SUMIF(RAW_Cases!$B:$B,$A$3,RAW_Cases!AW:AW)</f>
        <v>1040</v>
      </c>
      <c r="AW4" s="20">
        <f>SUMIF(RAW_Cases!$B:$B,$A$3,RAW_Cases!AX:AX)</f>
        <v>1176</v>
      </c>
      <c r="AX4" s="20">
        <f>SUMIF(RAW_Cases!$B:$B,$A$3,RAW_Cases!AY:AY)</f>
        <v>1457</v>
      </c>
      <c r="AY4" s="20">
        <f>SUMIF(RAW_Cases!$B:$B,$A$3,RAW_Cases!AZ:AZ)</f>
        <v>1908</v>
      </c>
      <c r="AZ4" s="20">
        <f>SUMIF(RAW_Cases!$B:$B,$A$3,RAW_Cases!BA:BA)</f>
        <v>2078</v>
      </c>
      <c r="BA4" s="20">
        <f>SUMIF(RAW_Cases!$B:$B,$A$3,RAW_Cases!BB:BB)</f>
        <v>3675</v>
      </c>
      <c r="BB4" s="20">
        <f>SUMIF(RAW_Cases!$B:$B,$A$3,RAW_Cases!BC:BC)</f>
        <v>4585</v>
      </c>
      <c r="BC4" s="20">
        <f>SUMIF(RAW_Cases!$B:$B,$A$3,RAW_Cases!BD:BD)</f>
        <v>5795</v>
      </c>
      <c r="BD4" s="20">
        <f>SUMIF(RAW_Cases!$B:$B,$A$3,RAW_Cases!BE:BE)</f>
        <v>7272</v>
      </c>
      <c r="BE4" s="20">
        <f>SUMIF(RAW_Cases!$B:$B,$A$3,RAW_Cases!BF:BF)</f>
        <v>9257</v>
      </c>
      <c r="BF4" s="20">
        <f>SUMIF(RAW_Cases!$B:$B,$A$3,RAW_Cases!BG:BG)</f>
        <v>12327</v>
      </c>
      <c r="BG4" s="20">
        <f>SUMIF(RAW_Cases!$B:$B,$A$3,RAW_Cases!BH:BH)</f>
        <v>15320</v>
      </c>
      <c r="BH4" s="20">
        <f>SUMIF(RAW_Cases!$B:$B,$A$3,RAW_Cases!BI:BI)</f>
        <v>19848</v>
      </c>
      <c r="BI4" s="20">
        <f>SUMIF(RAW_Cases!$B:$B,$A$3,RAW_Cases!BJ:BJ)</f>
        <v>22213</v>
      </c>
      <c r="BJ4" s="20">
        <f>SUMIF(RAW_Cases!$B:$B,$A$3,RAW_Cases!BK:BK)</f>
        <v>24873</v>
      </c>
      <c r="BK4" s="20">
        <f>SUMIF(RAW_Cases!$B:$B,$A$3,RAW_Cases!BL:BL)</f>
        <v>29056</v>
      </c>
      <c r="BL4" s="20">
        <f>SUMIF(RAW_Cases!$B:$B,$A$3,RAW_Cases!BM:BM)</f>
        <v>32986</v>
      </c>
      <c r="BM4" s="20">
        <f>SUMIF(RAW_Cases!$B:$B,$A$3,RAW_Cases!BN:BN)</f>
        <v>37323</v>
      </c>
      <c r="BN4" s="20">
        <f>SUMIF(RAW_Cases!$B:$B,$A$3,RAW_Cases!BO:BO)</f>
        <v>43938</v>
      </c>
      <c r="BO4" s="20">
        <f>SUMIF(RAW_Cases!$B:$B,$A$3,RAW_Cases!BP:BP)</f>
        <v>50871</v>
      </c>
      <c r="BP4" s="20">
        <f>SUMIF(RAW_Cases!$B:$B,$A$3,RAW_Cases!BQ:BQ)</f>
        <v>57695</v>
      </c>
      <c r="BQ4" s="20">
        <f>SUMIF(RAW_Cases!$B:$B,$A$3,RAW_Cases!BR:BR)</f>
        <v>62095</v>
      </c>
      <c r="BR4" s="20">
        <f>SUMIF(RAW_Cases!$B:$B,$A$3,RAW_Cases!BS:BS)</f>
        <v>66885</v>
      </c>
      <c r="BS4" s="20">
        <f>SUMIF(RAW_Cases!$B:$B,$A$3,RAW_Cases!BT:BT)</f>
        <v>71808</v>
      </c>
      <c r="BT4" s="20">
        <f>SUMIF(RAW_Cases!$B:$B,$A$3,RAW_Cases!BU:BU)</f>
        <v>77872</v>
      </c>
      <c r="BU4" s="20">
        <f>SUMIF(RAW_Cases!$B:$B,$A$3,RAW_Cases!BV:BV)</f>
        <v>84794</v>
      </c>
      <c r="BV4" s="20">
        <f>SUMIF(RAW_Cases!$B:$B,$A$3,RAW_Cases!BW:BW)</f>
        <v>91159</v>
      </c>
      <c r="BW4" s="20">
        <f>SUMIF(RAW_Cases!$B:$B,$A$3,RAW_Cases!BX:BX)</f>
        <v>96092</v>
      </c>
      <c r="BX4" s="20">
        <f>SUMIF(RAW_Cases!$B:$B,$A$3,RAW_Cases!BY:BY)</f>
        <v>100123</v>
      </c>
      <c r="BY4" s="20">
        <f>SUMIF(RAW_Cases!$B:$B,$A$3,RAW_Cases!BZ:BZ)</f>
        <v>103374</v>
      </c>
      <c r="BZ4" s="20">
        <f>SUMIF(RAW_Cases!$B:$B,$A$3,RAW_Cases!CA:CA)</f>
        <v>107663</v>
      </c>
      <c r="CA4" s="20">
        <f>SUMIF(RAW_Cases!$B:$B,$A$3,RAW_Cases!CB:CB)</f>
        <v>113296</v>
      </c>
      <c r="CB4" s="20">
        <f>SUMIF(RAW_Cases!$B:$B,$A$3,RAW_Cases!CC:CC)</f>
        <v>118181</v>
      </c>
      <c r="CC4" s="20">
        <f>SUMIF(RAW_Cases!$B:$B,$A$3,RAW_Cases!CD:CD)</f>
        <v>122171</v>
      </c>
      <c r="CD4" s="20">
        <f>SUMIF(RAW_Cases!$B:$B,$A$3,RAW_Cases!CE:CE)</f>
        <v>124908</v>
      </c>
      <c r="CE4" s="20">
        <f>SUMIF(RAW_Cases!$B:$B,$A$3,RAW_Cases!CF:CF)</f>
        <v>127854</v>
      </c>
      <c r="CF4" s="20">
        <f>SUMIF(RAW_Cases!$B:$B,$A$3,RAW_Cases!CG:CG)</f>
        <v>130072</v>
      </c>
      <c r="CG4" s="20">
        <f>SUMIF(RAW_Cases!$B:$B,$A$3,RAW_Cases!CH:CH)</f>
        <v>131359</v>
      </c>
      <c r="CH4" s="20">
        <f>SUMIF(RAW_Cases!$B:$B,$A$3,RAW_Cases!CI:CI)</f>
        <v>134753</v>
      </c>
      <c r="CI4" s="20">
        <f>SUMIF(RAW_Cases!$B:$B,$A$3,RAW_Cases!CJ:CJ)</f>
        <v>137698</v>
      </c>
      <c r="CJ4" s="20">
        <f>SUMIF(RAW_Cases!$B:$B,$A$3,RAW_Cases!CK:CK)</f>
        <v>141397</v>
      </c>
      <c r="CK4" s="20">
        <f>SUMIF(RAW_Cases!$B:$B,$A$3,RAW_Cases!CL:CL)</f>
        <v>143342</v>
      </c>
      <c r="CL4" s="20">
        <f>SUMIF(RAW_Cases!$B:$B,$A$3,RAW_Cases!CM:CM)</f>
        <v>145184</v>
      </c>
      <c r="CM4" s="20">
        <f>SUMIF(RAW_Cases!$B:$B,$A$3,RAW_Cases!CN:CN)</f>
        <v>147065</v>
      </c>
      <c r="CN4" s="20">
        <f>SUMIF(RAW_Cases!$B:$B,$A$3,RAW_Cases!CO:CO)</f>
        <v>148291</v>
      </c>
      <c r="CO4" s="20">
        <f>SUMIF(RAW_Cases!$B:$B,$A$3,RAW_Cases!CP:CP)</f>
        <v>150648</v>
      </c>
      <c r="CP4" s="20">
        <f>SUMIF(RAW_Cases!$B:$B,$A$3,RAW_Cases!CQ:CQ)</f>
        <v>153129</v>
      </c>
      <c r="CQ4" s="20">
        <f>SUMIF(RAW_Cases!$B:$B,$A$3,RAW_Cases!CR:CR)</f>
        <v>154999</v>
      </c>
      <c r="CR4" s="20">
        <f>SUMIF(RAW_Cases!$B:$B,$A$3,RAW_Cases!CS:CS)</f>
        <v>156513</v>
      </c>
      <c r="CS4" s="20">
        <f>SUMIF(RAW_Cases!$B:$B,$A$3,RAW_Cases!CT:CT)</f>
        <v>157770</v>
      </c>
      <c r="CT4" s="20">
        <f>SUMIF(RAW_Cases!$B:$B,$A$3,RAW_Cases!CU:CU)</f>
        <v>158758</v>
      </c>
      <c r="CU4" s="20">
        <f>SUMIF(RAW_Cases!$B:$B,$A$3,RAW_Cases!CV:CV)</f>
        <v>159912</v>
      </c>
      <c r="CV4" s="20">
        <f>SUMIF(RAW_Cases!$B:$B,$A$3,RAW_Cases!CW:CW)</f>
        <v>161539</v>
      </c>
      <c r="CW4" s="20">
        <f>SUMIF(RAW_Cases!$B:$B,$A$3,RAW_Cases!CX:CX)</f>
        <v>163009</v>
      </c>
      <c r="CX4" s="20">
        <f>SUMIF(RAW_Cases!$B:$B,$A$3,RAW_Cases!CY:CY)</f>
        <v>164077</v>
      </c>
      <c r="CY4" s="20">
        <f>SUMIF(RAW_Cases!$B:$B,$A$3,RAW_Cases!CZ:CZ)</f>
        <v>164967</v>
      </c>
      <c r="CZ4" s="20">
        <f>SUMIF(RAW_Cases!$B:$B,$A$3,RAW_Cases!DA:DA)</f>
        <v>165664</v>
      </c>
      <c r="DA4" s="20">
        <f>SUMIF(RAW_Cases!$B:$B,$A$3,RAW_Cases!DB:DB)</f>
        <v>0</v>
      </c>
      <c r="DB4" s="20">
        <f>SUMIF(RAW_Cases!$B:$B,$A$3,RAW_Cases!DC:DC)</f>
        <v>0</v>
      </c>
      <c r="DC4" s="20">
        <f>SUMIF(RAW_Cases!$B:$B,$A$3,RAW_Cases!DD:DD)</f>
        <v>0</v>
      </c>
      <c r="DD4" s="20">
        <f>SUMIF(RAW_Cases!$B:$B,$A$3,RAW_Cases!DE:DE)</f>
        <v>0</v>
      </c>
      <c r="DE4" s="20">
        <f>SUMIF(RAW_Cases!$B:$B,$A$3,RAW_Cases!DF:DF)</f>
        <v>0</v>
      </c>
      <c r="DF4" s="20">
        <f>SUMIF(RAW_Cases!$B:$B,$A$3,RAW_Cases!DG:DG)</f>
        <v>0</v>
      </c>
      <c r="DG4" s="20">
        <f>SUMIF(RAW_Cases!$B:$B,$A$3,RAW_Cases!DH:DH)</f>
        <v>0</v>
      </c>
      <c r="DH4" s="20">
        <f>SUMIF(RAW_Cases!$B:$B,$A$3,RAW_Cases!DI:DI)</f>
        <v>0</v>
      </c>
      <c r="DI4" s="20">
        <f>SUMIF(RAW_Cases!$B:$B,$A$3,RAW_Cases!DJ:DJ)</f>
        <v>0</v>
      </c>
      <c r="DJ4" s="20">
        <f>SUMIF(RAW_Cases!$B:$B,$A$3,RAW_Cases!DK:DK)</f>
        <v>0</v>
      </c>
      <c r="DK4" s="20">
        <f>SUMIF(RAW_Cases!$B:$B,$A$3,RAW_Cases!DL:DL)</f>
        <v>0</v>
      </c>
      <c r="DL4" s="20">
        <f>SUMIF(RAW_Cases!$B:$B,$A$3,RAW_Cases!DM:DM)</f>
        <v>0</v>
      </c>
      <c r="DM4" s="20">
        <f>SUMIF(RAW_Cases!$B:$B,$A$3,RAW_Cases!DN:DN)</f>
        <v>0</v>
      </c>
      <c r="DN4" s="20">
        <f>SUMIF(RAW_Cases!$B:$B,$A$3,RAW_Cases!DO:DO)</f>
        <v>0</v>
      </c>
      <c r="DO4" s="20">
        <f>SUMIF(RAW_Cases!$B:$B,$A$3,RAW_Cases!DP:DP)</f>
        <v>0</v>
      </c>
      <c r="DP4" s="20">
        <f>SUMIF(RAW_Cases!$B:$B,$A$3,RAW_Cases!DQ:DQ)</f>
        <v>0</v>
      </c>
      <c r="DQ4" s="20">
        <f>SUMIF(RAW_Cases!$B:$B,$A$3,RAW_Cases!DR:DR)</f>
        <v>0</v>
      </c>
      <c r="DR4" s="20">
        <f>SUMIF(RAW_Cases!$B:$B,$A$3,RAW_Cases!DS:DS)</f>
        <v>0</v>
      </c>
      <c r="DS4" s="20">
        <f>SUMIF(RAW_Cases!$B:$B,$A$3,RAW_Cases!DT:DT)</f>
        <v>0</v>
      </c>
      <c r="DT4" s="20">
        <f>SUMIF(RAW_Cases!$B:$B,$A$3,RAW_Cases!DU:DU)</f>
        <v>0</v>
      </c>
      <c r="DU4" s="20">
        <f>SUMIF(RAW_Cases!$B:$B,$A$3,RAW_Cases!DV:DV)</f>
        <v>0</v>
      </c>
      <c r="DV4" s="20">
        <f>SUMIF(RAW_Cases!$B:$B,$A$3,RAW_Cases!DW:DW)</f>
        <v>0</v>
      </c>
      <c r="DW4" s="20">
        <f>SUMIF(RAW_Cases!$B:$B,$A$3,RAW_Cases!DX:DX)</f>
        <v>0</v>
      </c>
      <c r="DX4" s="20">
        <f>SUMIF(RAW_Cases!$B:$B,$A$3,RAW_Cases!DY:DY)</f>
        <v>0</v>
      </c>
      <c r="DY4" s="20">
        <f>SUMIF(RAW_Cases!$B:$B,$A$3,RAW_Cases!DZ:DZ)</f>
        <v>0</v>
      </c>
      <c r="DZ4" s="20">
        <f>SUMIF(RAW_Cases!$B:$B,$A$3,RAW_Cases!EA:EA)</f>
        <v>0</v>
      </c>
      <c r="EA4" s="20">
        <f>SUMIF(RAW_Cases!$B:$B,$A$3,RAW_Cases!EB:EB)</f>
        <v>0</v>
      </c>
    </row>
    <row r="5" spans="1:131" s="10" customFormat="1" ht="13.15" x14ac:dyDescent="0.4">
      <c r="A5" s="19" t="s">
        <v>242</v>
      </c>
      <c r="B5" s="20">
        <f>SUMIF(RAW_DEATHS!$B:$B,$A$3,RAW_DEATHS!C:C)</f>
        <v>0</v>
      </c>
      <c r="C5" s="20">
        <f>SUMIF(RAW_DEATHS!$B:$B,$A$3,RAW_DEATHS!D:D)</f>
        <v>0</v>
      </c>
      <c r="D5" s="20">
        <f>SUMIF(RAW_DEATHS!$B:$B,$A$3,RAW_DEATHS!E:E)</f>
        <v>0</v>
      </c>
      <c r="E5" s="20">
        <f>SUMIF(RAW_DEATHS!$B:$B,$A$3,RAW_DEATHS!F:F)</f>
        <v>0</v>
      </c>
      <c r="F5" s="20">
        <f>SUMIF(RAW_DEATHS!$B:$B,$A$3,RAW_DEATHS!G:G)</f>
        <v>0</v>
      </c>
      <c r="G5" s="20">
        <f>SUMIF(RAW_DEATHS!$B:$B,$A$3,RAW_DEATHS!H:H)</f>
        <v>0</v>
      </c>
      <c r="H5" s="20">
        <f>SUMIF(RAW_DEATHS!$B:$B,$A$3,RAW_DEATHS!I:I)</f>
        <v>0</v>
      </c>
      <c r="I5" s="20">
        <f>SUMIF(RAW_DEATHS!$B:$B,$A$3,RAW_DEATHS!J:J)</f>
        <v>0</v>
      </c>
      <c r="J5" s="20">
        <f>SUMIF(RAW_DEATHS!$B:$B,$A$3,RAW_DEATHS!K:K)</f>
        <v>0</v>
      </c>
      <c r="K5" s="20">
        <f>SUMIF(RAW_DEATHS!$B:$B,$A$3,RAW_DEATHS!L:L)</f>
        <v>0</v>
      </c>
      <c r="L5" s="20">
        <f>SUMIF(RAW_DEATHS!$B:$B,$A$3,RAW_DEATHS!M:M)</f>
        <v>0</v>
      </c>
      <c r="M5" s="20">
        <f>SUMIF(RAW_DEATHS!$B:$B,$A$3,RAW_DEATHS!N:N)</f>
        <v>0</v>
      </c>
      <c r="N5" s="20">
        <f>SUMIF(RAW_DEATHS!$B:$B,$A$3,RAW_DEATHS!O:O)</f>
        <v>0</v>
      </c>
      <c r="O5" s="20">
        <f>SUMIF(RAW_DEATHS!$B:$B,$A$3,RAW_DEATHS!P:P)</f>
        <v>0</v>
      </c>
      <c r="P5" s="20">
        <f>SUMIF(RAW_DEATHS!$B:$B,$A$3,RAW_DEATHS!Q:Q)</f>
        <v>0</v>
      </c>
      <c r="Q5" s="20">
        <f>SUMIF(RAW_DEATHS!$B:$B,$A$3,RAW_DEATHS!R:R)</f>
        <v>0</v>
      </c>
      <c r="R5" s="20">
        <f>SUMIF(RAW_DEATHS!$B:$B,$A$3,RAW_DEATHS!S:S)</f>
        <v>0</v>
      </c>
      <c r="S5" s="20">
        <f>SUMIF(RAW_DEATHS!$B:$B,$A$3,RAW_DEATHS!T:T)</f>
        <v>0</v>
      </c>
      <c r="T5" s="20">
        <f>SUMIF(RAW_DEATHS!$B:$B,$A$3,RAW_DEATHS!U:U)</f>
        <v>0</v>
      </c>
      <c r="U5" s="20">
        <f>SUMIF(RAW_DEATHS!$B:$B,$A$3,RAW_DEATHS!V:V)</f>
        <v>0</v>
      </c>
      <c r="V5" s="20">
        <f>SUMIF(RAW_DEATHS!$B:$B,$A$3,RAW_DEATHS!W:W)</f>
        <v>0</v>
      </c>
      <c r="W5" s="20">
        <f>SUMIF(RAW_DEATHS!$B:$B,$A$3,RAW_DEATHS!X:X)</f>
        <v>0</v>
      </c>
      <c r="X5" s="20">
        <f>SUMIF(RAW_DEATHS!$B:$B,$A$3,RAW_DEATHS!Y:Y)</f>
        <v>0</v>
      </c>
      <c r="Y5" s="20">
        <f>SUMIF(RAW_DEATHS!$B:$B,$A$3,RAW_DEATHS!Z:Z)</f>
        <v>0</v>
      </c>
      <c r="Z5" s="20">
        <f>SUMIF(RAW_DEATHS!$B:$B,$A$3,RAW_DEATHS!AA:AA)</f>
        <v>0</v>
      </c>
      <c r="AA5" s="20">
        <f>SUMIF(RAW_DEATHS!$B:$B,$A$3,RAW_DEATHS!AB:AB)</f>
        <v>0</v>
      </c>
      <c r="AB5" s="20">
        <f>SUMIF(RAW_DEATHS!$B:$B,$A$3,RAW_DEATHS!AC:AC)</f>
        <v>0</v>
      </c>
      <c r="AC5" s="20">
        <f>SUMIF(RAW_DEATHS!$B:$B,$A$3,RAW_DEATHS!AD:AD)</f>
        <v>0</v>
      </c>
      <c r="AD5" s="20">
        <f>SUMIF(RAW_DEATHS!$B:$B,$A$3,RAW_DEATHS!AE:AE)</f>
        <v>0</v>
      </c>
      <c r="AE5" s="20">
        <f>SUMIF(RAW_DEATHS!$B:$B,$A$3,RAW_DEATHS!AF:AF)</f>
        <v>0</v>
      </c>
      <c r="AF5" s="20">
        <f>SUMIF(RAW_DEATHS!$B:$B,$A$3,RAW_DEATHS!AG:AG)</f>
        <v>0</v>
      </c>
      <c r="AG5" s="20">
        <f>SUMIF(RAW_DEATHS!$B:$B,$A$3,RAW_DEATHS!AH:AH)</f>
        <v>0</v>
      </c>
      <c r="AH5" s="20">
        <f>SUMIF(RAW_DEATHS!$B:$B,$A$3,RAW_DEATHS!AI:AI)</f>
        <v>0</v>
      </c>
      <c r="AI5" s="20">
        <f>SUMIF(RAW_DEATHS!$B:$B,$A$3,RAW_DEATHS!AJ:AJ)</f>
        <v>0</v>
      </c>
      <c r="AJ5" s="20">
        <f>SUMIF(RAW_DEATHS!$B:$B,$A$3,RAW_DEATHS!AK:AK)</f>
        <v>0</v>
      </c>
      <c r="AK5" s="20">
        <f>SUMIF(RAW_DEATHS!$B:$B,$A$3,RAW_DEATHS!AL:AL)</f>
        <v>0</v>
      </c>
      <c r="AL5" s="20">
        <f>SUMIF(RAW_DEATHS!$B:$B,$A$3,RAW_DEATHS!AM:AM)</f>
        <v>0</v>
      </c>
      <c r="AM5" s="20">
        <f>SUMIF(RAW_DEATHS!$B:$B,$A$3,RAW_DEATHS!AN:AN)</f>
        <v>0</v>
      </c>
      <c r="AN5" s="20">
        <f>SUMIF(RAW_DEATHS!$B:$B,$A$3,RAW_DEATHS!AO:AO)</f>
        <v>0</v>
      </c>
      <c r="AO5" s="20">
        <f>SUMIF(RAW_DEATHS!$B:$B,$A$3,RAW_DEATHS!AP:AP)</f>
        <v>0</v>
      </c>
      <c r="AP5" s="20">
        <f>SUMIF(RAW_DEATHS!$B:$B,$A$3,RAW_DEATHS!AQ:AQ)</f>
        <v>0</v>
      </c>
      <c r="AQ5" s="20">
        <f>SUMIF(RAW_DEATHS!$B:$B,$A$3,RAW_DEATHS!AR:AR)</f>
        <v>0</v>
      </c>
      <c r="AR5" s="20">
        <f>SUMIF(RAW_DEATHS!$B:$B,$A$3,RAW_DEATHS!AS:AS)</f>
        <v>0</v>
      </c>
      <c r="AS5" s="20">
        <f>SUMIF(RAW_DEATHS!$B:$B,$A$3,RAW_DEATHS!AT:AT)</f>
        <v>0</v>
      </c>
      <c r="AT5" s="20">
        <f>SUMIF(RAW_DEATHS!$B:$B,$A$3,RAW_DEATHS!AU:AU)</f>
        <v>0</v>
      </c>
      <c r="AU5" s="20">
        <f>SUMIF(RAW_DEATHS!$B:$B,$A$3,RAW_DEATHS!AV:AV)</f>
        <v>0</v>
      </c>
      <c r="AV5" s="20">
        <f>SUMIF(RAW_DEATHS!$B:$B,$A$3,RAW_DEATHS!AW:AW)</f>
        <v>0</v>
      </c>
      <c r="AW5" s="20">
        <f>SUMIF(RAW_DEATHS!$B:$B,$A$3,RAW_DEATHS!AX:AX)</f>
        <v>2</v>
      </c>
      <c r="AX5" s="20">
        <f>SUMIF(RAW_DEATHS!$B:$B,$A$3,RAW_DEATHS!AY:AY)</f>
        <v>2</v>
      </c>
      <c r="AY5" s="20">
        <f>SUMIF(RAW_DEATHS!$B:$B,$A$3,RAW_DEATHS!AZ:AZ)</f>
        <v>3</v>
      </c>
      <c r="AZ5" s="20">
        <f>SUMIF(RAW_DEATHS!$B:$B,$A$3,RAW_DEATHS!BA:BA)</f>
        <v>3</v>
      </c>
      <c r="BA5" s="20">
        <f>SUMIF(RAW_DEATHS!$B:$B,$A$3,RAW_DEATHS!BB:BB)</f>
        <v>7</v>
      </c>
      <c r="BB5" s="20">
        <f>SUMIF(RAW_DEATHS!$B:$B,$A$3,RAW_DEATHS!BC:BC)</f>
        <v>9</v>
      </c>
      <c r="BC5" s="20">
        <f>SUMIF(RAW_DEATHS!$B:$B,$A$3,RAW_DEATHS!BD:BD)</f>
        <v>11</v>
      </c>
      <c r="BD5" s="20">
        <f>SUMIF(RAW_DEATHS!$B:$B,$A$3,RAW_DEATHS!BE:BE)</f>
        <v>17</v>
      </c>
      <c r="BE5" s="20">
        <f>SUMIF(RAW_DEATHS!$B:$B,$A$3,RAW_DEATHS!BF:BF)</f>
        <v>24</v>
      </c>
      <c r="BF5" s="20">
        <f>SUMIF(RAW_DEATHS!$B:$B,$A$3,RAW_DEATHS!BG:BG)</f>
        <v>28</v>
      </c>
      <c r="BG5" s="20">
        <f>SUMIF(RAW_DEATHS!$B:$B,$A$3,RAW_DEATHS!BH:BH)</f>
        <v>44</v>
      </c>
      <c r="BH5" s="20">
        <f>SUMIF(RAW_DEATHS!$B:$B,$A$3,RAW_DEATHS!BI:BI)</f>
        <v>67</v>
      </c>
      <c r="BI5" s="20">
        <f>SUMIF(RAW_DEATHS!$B:$B,$A$3,RAW_DEATHS!BJ:BJ)</f>
        <v>84</v>
      </c>
      <c r="BJ5" s="20">
        <f>SUMIF(RAW_DEATHS!$B:$B,$A$3,RAW_DEATHS!BK:BK)</f>
        <v>94</v>
      </c>
      <c r="BK5" s="20">
        <f>SUMIF(RAW_DEATHS!$B:$B,$A$3,RAW_DEATHS!BL:BL)</f>
        <v>123</v>
      </c>
      <c r="BL5" s="20">
        <f>SUMIF(RAW_DEATHS!$B:$B,$A$3,RAW_DEATHS!BM:BM)</f>
        <v>157</v>
      </c>
      <c r="BM5" s="20">
        <f>SUMIF(RAW_DEATHS!$B:$B,$A$3,RAW_DEATHS!BN:BN)</f>
        <v>206</v>
      </c>
      <c r="BN5" s="20">
        <f>SUMIF(RAW_DEATHS!$B:$B,$A$3,RAW_DEATHS!BO:BO)</f>
        <v>267</v>
      </c>
      <c r="BO5" s="20">
        <f>SUMIF(RAW_DEATHS!$B:$B,$A$3,RAW_DEATHS!BP:BP)</f>
        <v>342</v>
      </c>
      <c r="BP5" s="20">
        <f>SUMIF(RAW_DEATHS!$B:$B,$A$3,RAW_DEATHS!BQ:BQ)</f>
        <v>433</v>
      </c>
      <c r="BQ5" s="20">
        <f>SUMIF(RAW_DEATHS!$B:$B,$A$3,RAW_DEATHS!BR:BR)</f>
        <v>533</v>
      </c>
      <c r="BR5" s="20">
        <f>SUMIF(RAW_DEATHS!$B:$B,$A$3,RAW_DEATHS!BS:BS)</f>
        <v>645</v>
      </c>
      <c r="BS5" s="20">
        <f>SUMIF(RAW_DEATHS!$B:$B,$A$3,RAW_DEATHS!BT:BT)</f>
        <v>775</v>
      </c>
      <c r="BT5" s="20">
        <f>SUMIF(RAW_DEATHS!$B:$B,$A$3,RAW_DEATHS!BU:BU)</f>
        <v>920</v>
      </c>
      <c r="BU5" s="20">
        <f>SUMIF(RAW_DEATHS!$B:$B,$A$3,RAW_DEATHS!BV:BV)</f>
        <v>1107</v>
      </c>
      <c r="BV5" s="20">
        <f>SUMIF(RAW_DEATHS!$B:$B,$A$3,RAW_DEATHS!BW:BW)</f>
        <v>1275</v>
      </c>
      <c r="BW5" s="20">
        <f>SUMIF(RAW_DEATHS!$B:$B,$A$3,RAW_DEATHS!BX:BX)</f>
        <v>1444</v>
      </c>
      <c r="BX5" s="20">
        <f>SUMIF(RAW_DEATHS!$B:$B,$A$3,RAW_DEATHS!BY:BY)</f>
        <v>1584</v>
      </c>
      <c r="BY5" s="20">
        <f>SUMIF(RAW_DEATHS!$B:$B,$A$3,RAW_DEATHS!BZ:BZ)</f>
        <v>1810</v>
      </c>
      <c r="BZ5" s="20">
        <f>SUMIF(RAW_DEATHS!$B:$B,$A$3,RAW_DEATHS!CA:CA)</f>
        <v>2016</v>
      </c>
      <c r="CA5" s="20">
        <f>SUMIF(RAW_DEATHS!$B:$B,$A$3,RAW_DEATHS!CB:CB)</f>
        <v>2349</v>
      </c>
      <c r="CB5" s="20">
        <f>SUMIF(RAW_DEATHS!$B:$B,$A$3,RAW_DEATHS!CC:CC)</f>
        <v>2607</v>
      </c>
      <c r="CC5" s="20">
        <f>SUMIF(RAW_DEATHS!$B:$B,$A$3,RAW_DEATHS!CD:CD)</f>
        <v>2767</v>
      </c>
      <c r="CD5" s="20">
        <f>SUMIF(RAW_DEATHS!$B:$B,$A$3,RAW_DEATHS!CE:CE)</f>
        <v>2736</v>
      </c>
      <c r="CE5" s="20">
        <f>SUMIF(RAW_DEATHS!$B:$B,$A$3,RAW_DEATHS!CF:CF)</f>
        <v>3022</v>
      </c>
      <c r="CF5" s="20">
        <f>SUMIF(RAW_DEATHS!$B:$B,$A$3,RAW_DEATHS!CG:CG)</f>
        <v>3194</v>
      </c>
      <c r="CG5" s="20">
        <f>SUMIF(RAW_DEATHS!$B:$B,$A$3,RAW_DEATHS!CH:CH)</f>
        <v>3294</v>
      </c>
      <c r="CH5" s="20">
        <f>SUMIF(RAW_DEATHS!$B:$B,$A$3,RAW_DEATHS!CI:CI)</f>
        <v>3804</v>
      </c>
      <c r="CI5" s="20">
        <f>SUMIF(RAW_DEATHS!$B:$B,$A$3,RAW_DEATHS!CJ:CJ)</f>
        <v>4052</v>
      </c>
      <c r="CJ5" s="20">
        <f>SUMIF(RAW_DEATHS!$B:$B,$A$3,RAW_DEATHS!CK:CK)</f>
        <v>4352</v>
      </c>
      <c r="CK5" s="20">
        <f>SUMIF(RAW_DEATHS!$B:$B,$A$3,RAW_DEATHS!CL:CL)</f>
        <v>4459</v>
      </c>
      <c r="CL5" s="20">
        <f>SUMIF(RAW_DEATHS!$B:$B,$A$3,RAW_DEATHS!CM:CM)</f>
        <v>4586</v>
      </c>
      <c r="CM5" s="20">
        <f>SUMIF(RAW_DEATHS!$B:$B,$A$3,RAW_DEATHS!CN:CN)</f>
        <v>4862</v>
      </c>
      <c r="CN5" s="20">
        <f>SUMIF(RAW_DEATHS!$B:$B,$A$3,RAW_DEATHS!CO:CO)</f>
        <v>5033</v>
      </c>
      <c r="CO5" s="20">
        <f>SUMIF(RAW_DEATHS!$B:$B,$A$3,RAW_DEATHS!CP:CP)</f>
        <v>5279</v>
      </c>
      <c r="CP5" s="20">
        <f>SUMIF(RAW_DEATHS!$B:$B,$A$3,RAW_DEATHS!CQ:CQ)</f>
        <v>5575</v>
      </c>
      <c r="CQ5" s="20">
        <f>SUMIF(RAW_DEATHS!$B:$B,$A$3,RAW_DEATHS!CR:CR)</f>
        <v>5760</v>
      </c>
      <c r="CR5" s="20">
        <f>SUMIF(RAW_DEATHS!$B:$B,$A$3,RAW_DEATHS!CS:CS)</f>
        <v>5877</v>
      </c>
      <c r="CS5" s="20">
        <f>SUMIF(RAW_DEATHS!$B:$B,$A$3,RAW_DEATHS!CT:CT)</f>
        <v>5976</v>
      </c>
      <c r="CT5" s="20">
        <f>SUMIF(RAW_DEATHS!$B:$B,$A$3,RAW_DEATHS!CU:CU)</f>
        <v>6126</v>
      </c>
      <c r="CU5" s="20">
        <f>SUMIF(RAW_DEATHS!$B:$B,$A$3,RAW_DEATHS!CV:CV)</f>
        <v>6314</v>
      </c>
      <c r="CV5" s="20">
        <f>SUMIF(RAW_DEATHS!$B:$B,$A$3,RAW_DEATHS!CW:CW)</f>
        <v>6467</v>
      </c>
      <c r="CW5" s="20">
        <f>SUMIF(RAW_DEATHS!$B:$B,$A$3,RAW_DEATHS!CX:CX)</f>
        <v>6623</v>
      </c>
      <c r="CX5" s="20">
        <f>SUMIF(RAW_DEATHS!$B:$B,$A$3,RAW_DEATHS!CY:CY)</f>
        <v>6736</v>
      </c>
      <c r="CY5" s="20">
        <f>SUMIF(RAW_DEATHS!$B:$B,$A$3,RAW_DEATHS!CZ:CZ)</f>
        <v>6812</v>
      </c>
      <c r="CZ5" s="20">
        <f>SUMIF(RAW_DEATHS!$B:$B,$A$3,RAW_DEATHS!DA:DA)</f>
        <v>6866</v>
      </c>
      <c r="DA5" s="20">
        <f>SUMIF(RAW_DEATHS!$B:$B,$A$3,RAW_DEATHS!DB:DB)</f>
        <v>0</v>
      </c>
      <c r="DB5" s="20">
        <f>SUMIF(RAW_DEATHS!$B:$B,$A$3,RAW_DEATHS!DC:DC)</f>
        <v>0</v>
      </c>
      <c r="DC5" s="20">
        <f>SUMIF(RAW_DEATHS!$B:$B,$A$3,RAW_DEATHS!DD:DD)</f>
        <v>0</v>
      </c>
      <c r="DD5" s="20">
        <f>SUMIF(RAW_DEATHS!$B:$B,$A$3,RAW_DEATHS!DE:DE)</f>
        <v>0</v>
      </c>
      <c r="DE5" s="20">
        <f>SUMIF(RAW_DEATHS!$B:$B,$A$3,RAW_DEATHS!DF:DF)</f>
        <v>0</v>
      </c>
      <c r="DF5" s="20">
        <f>SUMIF(RAW_DEATHS!$B:$B,$A$3,RAW_DEATHS!DG:DG)</f>
        <v>0</v>
      </c>
      <c r="DG5" s="20">
        <f>SUMIF(RAW_DEATHS!$B:$B,$A$3,RAW_DEATHS!DH:DH)</f>
        <v>0</v>
      </c>
      <c r="DH5" s="20">
        <f>SUMIF(RAW_DEATHS!$B:$B,$A$3,RAW_DEATHS!DI:DI)</f>
        <v>0</v>
      </c>
      <c r="DI5" s="20">
        <f>SUMIF(RAW_DEATHS!$B:$B,$A$3,RAW_DEATHS!DJ:DJ)</f>
        <v>0</v>
      </c>
      <c r="DJ5" s="20">
        <f>SUMIF(RAW_DEATHS!$B:$B,$A$3,RAW_DEATHS!DK:DK)</f>
        <v>0</v>
      </c>
      <c r="DK5" s="20">
        <f>SUMIF(RAW_DEATHS!$B:$B,$A$3,RAW_DEATHS!DL:DL)</f>
        <v>0</v>
      </c>
      <c r="DL5" s="20">
        <f>SUMIF(RAW_DEATHS!$B:$B,$A$3,RAW_DEATHS!DM:DM)</f>
        <v>0</v>
      </c>
      <c r="DM5" s="20">
        <f>SUMIF(RAW_DEATHS!$B:$B,$A$3,RAW_DEATHS!DN:DN)</f>
        <v>0</v>
      </c>
      <c r="DN5" s="20">
        <f>SUMIF(RAW_DEATHS!$B:$B,$A$3,RAW_DEATHS!DO:DO)</f>
        <v>0</v>
      </c>
      <c r="DO5" s="20">
        <f>SUMIF(RAW_DEATHS!$B:$B,$A$3,RAW_DEATHS!DP:DP)</f>
        <v>0</v>
      </c>
      <c r="DP5" s="20">
        <f>SUMIF(RAW_DEATHS!$B:$B,$A$3,RAW_DEATHS!DQ:DQ)</f>
        <v>0</v>
      </c>
      <c r="DQ5" s="20">
        <f>SUMIF(RAW_DEATHS!$B:$B,$A$3,RAW_DEATHS!DR:DR)</f>
        <v>0</v>
      </c>
      <c r="DR5" s="20">
        <f>SUMIF(RAW_DEATHS!$B:$B,$A$3,RAW_DEATHS!DS:DS)</f>
        <v>0</v>
      </c>
      <c r="DS5" s="20">
        <f>SUMIF(RAW_DEATHS!$B:$B,$A$3,RAW_DEATHS!DT:DT)</f>
        <v>0</v>
      </c>
      <c r="DT5" s="20">
        <f>SUMIF(RAW_DEATHS!$B:$B,$A$3,RAW_DEATHS!DU:DU)</f>
        <v>0</v>
      </c>
      <c r="DU5" s="20">
        <f>SUMIF(RAW_DEATHS!$B:$B,$A$3,RAW_DEATHS!DV:DV)</f>
        <v>0</v>
      </c>
      <c r="DV5" s="20">
        <f>SUMIF(RAW_DEATHS!$B:$B,$A$3,RAW_DEATHS!DW:DW)</f>
        <v>0</v>
      </c>
      <c r="DW5" s="20">
        <f>SUMIF(RAW_DEATHS!$B:$B,$A$3,RAW_DEATHS!DX:DX)</f>
        <v>0</v>
      </c>
      <c r="DX5" s="20">
        <f>SUMIF(RAW_DEATHS!$B:$B,$A$3,RAW_DEATHS!DY:DY)</f>
        <v>0</v>
      </c>
      <c r="DY5" s="20">
        <f>SUMIF(RAW_DEATHS!$B:$B,$A$3,RAW_DEATHS!DZ:DZ)</f>
        <v>0</v>
      </c>
      <c r="DZ5" s="20">
        <f>SUMIF(RAW_DEATHS!$B:$B,$A$3,RAW_DEATHS!EA:EA)</f>
        <v>0</v>
      </c>
      <c r="EA5" s="20">
        <f>SUMIF(RAW_DEATHS!$B:$B,$A$3,RAW_DEATHS!EB:EB)</f>
        <v>0</v>
      </c>
    </row>
    <row r="6" spans="1:131" s="10" customFormat="1" ht="13.15" x14ac:dyDescent="0.4">
      <c r="A6" s="19" t="s">
        <v>245</v>
      </c>
      <c r="B6" s="20">
        <f>SUMIF(RAW_RECOVERED!$B:$B,$A$3,RAW_RECOVERED!C:C)</f>
        <v>0</v>
      </c>
      <c r="C6" s="20">
        <f>SUMIF(RAW_RECOVERED!$B:$B,$A$3,RAW_RECOVERED!D:D)</f>
        <v>0</v>
      </c>
      <c r="D6" s="20">
        <f>SUMIF(RAW_RECOVERED!$B:$B,$A$3,RAW_RECOVERED!E:E)</f>
        <v>0</v>
      </c>
      <c r="E6" s="20">
        <f>SUMIF(RAW_RECOVERED!$B:$B,$A$3,RAW_RECOVERED!F:F)</f>
        <v>0</v>
      </c>
      <c r="F6" s="20">
        <f>SUMIF(RAW_RECOVERED!$B:$B,$A$3,RAW_RECOVERED!G:G)</f>
        <v>0</v>
      </c>
      <c r="G6" s="20">
        <f>SUMIF(RAW_RECOVERED!$B:$B,$A$3,RAW_RECOVERED!H:H)</f>
        <v>0</v>
      </c>
      <c r="H6" s="20">
        <f>SUMIF(RAW_RECOVERED!$B:$B,$A$3,RAW_RECOVERED!I:I)</f>
        <v>0</v>
      </c>
      <c r="I6" s="20">
        <f>SUMIF(RAW_RECOVERED!$B:$B,$A$3,RAW_RECOVERED!J:J)</f>
        <v>0</v>
      </c>
      <c r="J6" s="20">
        <f>SUMIF(RAW_RECOVERED!$B:$B,$A$3,RAW_RECOVERED!K:K)</f>
        <v>0</v>
      </c>
      <c r="K6" s="20">
        <f>SUMIF(RAW_RECOVERED!$B:$B,$A$3,RAW_RECOVERED!L:L)</f>
        <v>0</v>
      </c>
      <c r="L6" s="20">
        <f>SUMIF(RAW_RECOVERED!$B:$B,$A$3,RAW_RECOVERED!M:M)</f>
        <v>0</v>
      </c>
      <c r="M6" s="20">
        <f>SUMIF(RAW_RECOVERED!$B:$B,$A$3,RAW_RECOVERED!N:N)</f>
        <v>0</v>
      </c>
      <c r="N6" s="20">
        <f>SUMIF(RAW_RECOVERED!$B:$B,$A$3,RAW_RECOVERED!O:O)</f>
        <v>0</v>
      </c>
      <c r="O6" s="20">
        <f>SUMIF(RAW_RECOVERED!$B:$B,$A$3,RAW_RECOVERED!P:P)</f>
        <v>0</v>
      </c>
      <c r="P6" s="20">
        <f>SUMIF(RAW_RECOVERED!$B:$B,$A$3,RAW_RECOVERED!Q:Q)</f>
        <v>0</v>
      </c>
      <c r="Q6" s="20">
        <f>SUMIF(RAW_RECOVERED!$B:$B,$A$3,RAW_RECOVERED!R:R)</f>
        <v>0</v>
      </c>
      <c r="R6" s="20">
        <f>SUMIF(RAW_RECOVERED!$B:$B,$A$3,RAW_RECOVERED!S:S)</f>
        <v>0</v>
      </c>
      <c r="S6" s="20">
        <f>SUMIF(RAW_RECOVERED!$B:$B,$A$3,RAW_RECOVERED!T:T)</f>
        <v>0</v>
      </c>
      <c r="T6" s="20">
        <f>SUMIF(RAW_RECOVERED!$B:$B,$A$3,RAW_RECOVERED!U:U)</f>
        <v>0</v>
      </c>
      <c r="U6" s="20">
        <f>SUMIF(RAW_RECOVERED!$B:$B,$A$3,RAW_RECOVERED!V:V)</f>
        <v>0</v>
      </c>
      <c r="V6" s="20">
        <f>SUMIF(RAW_RECOVERED!$B:$B,$A$3,RAW_RECOVERED!W:W)</f>
        <v>0</v>
      </c>
      <c r="W6" s="20">
        <f>SUMIF(RAW_RECOVERED!$B:$B,$A$3,RAW_RECOVERED!X:X)</f>
        <v>0</v>
      </c>
      <c r="X6" s="20">
        <f>SUMIF(RAW_RECOVERED!$B:$B,$A$3,RAW_RECOVERED!Y:Y)</f>
        <v>1</v>
      </c>
      <c r="Y6" s="20">
        <f>SUMIF(RAW_RECOVERED!$B:$B,$A$3,RAW_RECOVERED!Z:Z)</f>
        <v>1</v>
      </c>
      <c r="Z6" s="20">
        <f>SUMIF(RAW_RECOVERED!$B:$B,$A$3,RAW_RECOVERED!AA:AA)</f>
        <v>1</v>
      </c>
      <c r="AA6" s="20">
        <f>SUMIF(RAW_RECOVERED!$B:$B,$A$3,RAW_RECOVERED!AB:AB)</f>
        <v>1</v>
      </c>
      <c r="AB6" s="20">
        <f>SUMIF(RAW_RECOVERED!$B:$B,$A$3,RAW_RECOVERED!AC:AC)</f>
        <v>1</v>
      </c>
      <c r="AC6" s="20">
        <f>SUMIF(RAW_RECOVERED!$B:$B,$A$3,RAW_RECOVERED!AD:AD)</f>
        <v>12</v>
      </c>
      <c r="AD6" s="20">
        <f>SUMIF(RAW_RECOVERED!$B:$B,$A$3,RAW_RECOVERED!AE:AE)</f>
        <v>12</v>
      </c>
      <c r="AE6" s="20">
        <f>SUMIF(RAW_RECOVERED!$B:$B,$A$3,RAW_RECOVERED!AF:AF)</f>
        <v>12</v>
      </c>
      <c r="AF6" s="20">
        <f>SUMIF(RAW_RECOVERED!$B:$B,$A$3,RAW_RECOVERED!AG:AG)</f>
        <v>14</v>
      </c>
      <c r="AG6" s="20">
        <f>SUMIF(RAW_RECOVERED!$B:$B,$A$3,RAW_RECOVERED!AH:AH)</f>
        <v>14</v>
      </c>
      <c r="AH6" s="20">
        <f>SUMIF(RAW_RECOVERED!$B:$B,$A$3,RAW_RECOVERED!AI:AI)</f>
        <v>14</v>
      </c>
      <c r="AI6" s="20">
        <f>SUMIF(RAW_RECOVERED!$B:$B,$A$3,RAW_RECOVERED!AJ:AJ)</f>
        <v>14</v>
      </c>
      <c r="AJ6" s="20">
        <f>SUMIF(RAW_RECOVERED!$B:$B,$A$3,RAW_RECOVERED!AK:AK)</f>
        <v>14</v>
      </c>
      <c r="AK6" s="20">
        <f>SUMIF(RAW_RECOVERED!$B:$B,$A$3,RAW_RECOVERED!AL:AL)</f>
        <v>15</v>
      </c>
      <c r="AL6" s="20">
        <f>SUMIF(RAW_RECOVERED!$B:$B,$A$3,RAW_RECOVERED!AM:AM)</f>
        <v>16</v>
      </c>
      <c r="AM6" s="20">
        <f>SUMIF(RAW_RECOVERED!$B:$B,$A$3,RAW_RECOVERED!AN:AN)</f>
        <v>16</v>
      </c>
      <c r="AN6" s="20">
        <f>SUMIF(RAW_RECOVERED!$B:$B,$A$3,RAW_RECOVERED!AO:AO)</f>
        <v>16</v>
      </c>
      <c r="AO6" s="20">
        <f>SUMIF(RAW_RECOVERED!$B:$B,$A$3,RAW_RECOVERED!AP:AP)</f>
        <v>16</v>
      </c>
      <c r="AP6" s="20">
        <f>SUMIF(RAW_RECOVERED!$B:$B,$A$3,RAW_RECOVERED!AQ:AQ)</f>
        <v>16</v>
      </c>
      <c r="AQ6" s="20">
        <f>SUMIF(RAW_RECOVERED!$B:$B,$A$3,RAW_RECOVERED!AR:AR)</f>
        <v>16</v>
      </c>
      <c r="AR6" s="20">
        <f>SUMIF(RAW_RECOVERED!$B:$B,$A$3,RAW_RECOVERED!AS:AS)</f>
        <v>16</v>
      </c>
      <c r="AS6" s="20">
        <f>SUMIF(RAW_RECOVERED!$B:$B,$A$3,RAW_RECOVERED!AT:AT)</f>
        <v>16</v>
      </c>
      <c r="AT6" s="20">
        <f>SUMIF(RAW_RECOVERED!$B:$B,$A$3,RAW_RECOVERED!AU:AU)</f>
        <v>17</v>
      </c>
      <c r="AU6" s="20">
        <f>SUMIF(RAW_RECOVERED!$B:$B,$A$3,RAW_RECOVERED!AV:AV)</f>
        <v>18</v>
      </c>
      <c r="AV6" s="20">
        <f>SUMIF(RAW_RECOVERED!$B:$B,$A$3,RAW_RECOVERED!AW:AW)</f>
        <v>18</v>
      </c>
      <c r="AW6" s="20">
        <f>SUMIF(RAW_RECOVERED!$B:$B,$A$3,RAW_RECOVERED!AX:AX)</f>
        <v>18</v>
      </c>
      <c r="AX6" s="20">
        <f>SUMIF(RAW_RECOVERED!$B:$B,$A$3,RAW_RECOVERED!AY:AY)</f>
        <v>18</v>
      </c>
      <c r="AY6" s="20">
        <f>SUMIF(RAW_RECOVERED!$B:$B,$A$3,RAW_RECOVERED!AZ:AZ)</f>
        <v>25</v>
      </c>
      <c r="AZ6" s="20">
        <f>SUMIF(RAW_RECOVERED!$B:$B,$A$3,RAW_RECOVERED!BA:BA)</f>
        <v>25</v>
      </c>
      <c r="BA6" s="20">
        <f>SUMIF(RAW_RECOVERED!$B:$B,$A$3,RAW_RECOVERED!BB:BB)</f>
        <v>46</v>
      </c>
      <c r="BB6" s="20">
        <f>SUMIF(RAW_RECOVERED!$B:$B,$A$3,RAW_RECOVERED!BC:BC)</f>
        <v>46</v>
      </c>
      <c r="BC6" s="20">
        <f>SUMIF(RAW_RECOVERED!$B:$B,$A$3,RAW_RECOVERED!BD:BD)</f>
        <v>46</v>
      </c>
      <c r="BD6" s="20">
        <f>SUMIF(RAW_RECOVERED!$B:$B,$A$3,RAW_RECOVERED!BE:BE)</f>
        <v>67</v>
      </c>
      <c r="BE6" s="20">
        <f>SUMIF(RAW_RECOVERED!$B:$B,$A$3,RAW_RECOVERED!BF:BF)</f>
        <v>67</v>
      </c>
      <c r="BF6" s="20">
        <f>SUMIF(RAW_RECOVERED!$B:$B,$A$3,RAW_RECOVERED!BG:BG)</f>
        <v>105</v>
      </c>
      <c r="BG6" s="20">
        <f>SUMIF(RAW_RECOVERED!$B:$B,$A$3,RAW_RECOVERED!BH:BH)</f>
        <v>113</v>
      </c>
      <c r="BH6" s="20">
        <f>SUMIF(RAW_RECOVERED!$B:$B,$A$3,RAW_RECOVERED!BI:BI)</f>
        <v>180</v>
      </c>
      <c r="BI6" s="20">
        <f>SUMIF(RAW_RECOVERED!$B:$B,$A$3,RAW_RECOVERED!BJ:BJ)</f>
        <v>233</v>
      </c>
      <c r="BJ6" s="20">
        <f>SUMIF(RAW_RECOVERED!$B:$B,$A$3,RAW_RECOVERED!BK:BK)</f>
        <v>266</v>
      </c>
      <c r="BK6" s="20">
        <f>SUMIF(RAW_RECOVERED!$B:$B,$A$3,RAW_RECOVERED!BL:BL)</f>
        <v>266</v>
      </c>
      <c r="BL6" s="20">
        <f>SUMIF(RAW_RECOVERED!$B:$B,$A$3,RAW_RECOVERED!BM:BM)</f>
        <v>3243</v>
      </c>
      <c r="BM6" s="20">
        <f>SUMIF(RAW_RECOVERED!$B:$B,$A$3,RAW_RECOVERED!BN:BN)</f>
        <v>3547</v>
      </c>
      <c r="BN6" s="20">
        <f>SUMIF(RAW_RECOVERED!$B:$B,$A$3,RAW_RECOVERED!BO:BO)</f>
        <v>5673</v>
      </c>
      <c r="BO6" s="20">
        <f>SUMIF(RAW_RECOVERED!$B:$B,$A$3,RAW_RECOVERED!BP:BP)</f>
        <v>6658</v>
      </c>
      <c r="BP6" s="20">
        <f>SUMIF(RAW_RECOVERED!$B:$B,$A$3,RAW_RECOVERED!BQ:BQ)</f>
        <v>8481</v>
      </c>
      <c r="BQ6" s="20">
        <f>SUMIF(RAW_RECOVERED!$B:$B,$A$3,RAW_RECOVERED!BR:BR)</f>
        <v>9211</v>
      </c>
      <c r="BR6" s="20">
        <f>SUMIF(RAW_RECOVERED!$B:$B,$A$3,RAW_RECOVERED!BS:BS)</f>
        <v>13500</v>
      </c>
      <c r="BS6" s="20">
        <f>SUMIF(RAW_RECOVERED!$B:$B,$A$3,RAW_RECOVERED!BT:BT)</f>
        <v>16100</v>
      </c>
      <c r="BT6" s="20">
        <f>SUMIF(RAW_RECOVERED!$B:$B,$A$3,RAW_RECOVERED!BU:BU)</f>
        <v>18700</v>
      </c>
      <c r="BU6" s="20">
        <f>SUMIF(RAW_RECOVERED!$B:$B,$A$3,RAW_RECOVERED!BV:BV)</f>
        <v>22440</v>
      </c>
      <c r="BV6" s="20">
        <f>SUMIF(RAW_RECOVERED!$B:$B,$A$3,RAW_RECOVERED!BW:BW)</f>
        <v>24575</v>
      </c>
      <c r="BW6" s="20">
        <f>SUMIF(RAW_RECOVERED!$B:$B,$A$3,RAW_RECOVERED!BX:BX)</f>
        <v>26400</v>
      </c>
      <c r="BX6" s="20">
        <f>SUMIF(RAW_RECOVERED!$B:$B,$A$3,RAW_RECOVERED!BY:BY)</f>
        <v>28700</v>
      </c>
      <c r="BY6" s="20">
        <f>SUMIF(RAW_RECOVERED!$B:$B,$A$3,RAW_RECOVERED!BZ:BZ)</f>
        <v>28700</v>
      </c>
      <c r="BZ6" s="20">
        <f>SUMIF(RAW_RECOVERED!$B:$B,$A$3,RAW_RECOVERED!CA:CA)</f>
        <v>36081</v>
      </c>
      <c r="CA6" s="20">
        <f>SUMIF(RAW_RECOVERED!$B:$B,$A$3,RAW_RECOVERED!CB:CB)</f>
        <v>46300</v>
      </c>
      <c r="CB6" s="20">
        <f>SUMIF(RAW_RECOVERED!$B:$B,$A$3,RAW_RECOVERED!CC:CC)</f>
        <v>52407</v>
      </c>
      <c r="CC6" s="20">
        <f>SUMIF(RAW_RECOVERED!$B:$B,$A$3,RAW_RECOVERED!CD:CD)</f>
        <v>53913</v>
      </c>
      <c r="CD6" s="20">
        <f>SUMIF(RAW_RECOVERED!$B:$B,$A$3,RAW_RECOVERED!CE:CE)</f>
        <v>57400</v>
      </c>
      <c r="CE6" s="20">
        <f>SUMIF(RAW_RECOVERED!$B:$B,$A$3,RAW_RECOVERED!CF:CF)</f>
        <v>60300</v>
      </c>
      <c r="CF6" s="20">
        <f>SUMIF(RAW_RECOVERED!$B:$B,$A$3,RAW_RECOVERED!CG:CG)</f>
        <v>64300</v>
      </c>
      <c r="CG6" s="20">
        <f>SUMIF(RAW_RECOVERED!$B:$B,$A$3,RAW_RECOVERED!CH:CH)</f>
        <v>68200</v>
      </c>
      <c r="CH6" s="20">
        <f>SUMIF(RAW_RECOVERED!$B:$B,$A$3,RAW_RECOVERED!CI:CI)</f>
        <v>72600</v>
      </c>
      <c r="CI6" s="20">
        <f>SUMIF(RAW_RECOVERED!$B:$B,$A$3,RAW_RECOVERED!CJ:CJ)</f>
        <v>77000</v>
      </c>
      <c r="CJ6" s="20">
        <f>SUMIF(RAW_RECOVERED!$B:$B,$A$3,RAW_RECOVERED!CK:CK)</f>
        <v>83114</v>
      </c>
      <c r="CK6" s="20">
        <f>SUMIF(RAW_RECOVERED!$B:$B,$A$3,RAW_RECOVERED!CL:CL)</f>
        <v>85400</v>
      </c>
      <c r="CL6" s="20">
        <f>SUMIF(RAW_RECOVERED!$B:$B,$A$3,RAW_RECOVERED!CM:CM)</f>
        <v>88000</v>
      </c>
      <c r="CM6" s="20">
        <f>SUMIF(RAW_RECOVERED!$B:$B,$A$3,RAW_RECOVERED!CN:CN)</f>
        <v>91500</v>
      </c>
      <c r="CN6" s="20">
        <f>SUMIF(RAW_RECOVERED!$B:$B,$A$3,RAW_RECOVERED!CO:CO)</f>
        <v>95200</v>
      </c>
      <c r="CO6" s="20">
        <f>SUMIF(RAW_RECOVERED!$B:$B,$A$3,RAW_RECOVERED!CP:CP)</f>
        <v>99400</v>
      </c>
      <c r="CP6" s="20">
        <f>SUMIF(RAW_RECOVERED!$B:$B,$A$3,RAW_RECOVERED!CQ:CQ)</f>
        <v>103300</v>
      </c>
      <c r="CQ6" s="20">
        <f>SUMIF(RAW_RECOVERED!$B:$B,$A$3,RAW_RECOVERED!CR:CR)</f>
        <v>109800</v>
      </c>
      <c r="CR6" s="20">
        <f>SUMIF(RAW_RECOVERED!$B:$B,$A$3,RAW_RECOVERED!CS:CS)</f>
        <v>109800</v>
      </c>
      <c r="CS6" s="20">
        <f>SUMIF(RAW_RECOVERED!$B:$B,$A$3,RAW_RECOVERED!CT:CT)</f>
        <v>112000</v>
      </c>
      <c r="CT6" s="20">
        <f>SUMIF(RAW_RECOVERED!$B:$B,$A$3,RAW_RECOVERED!CU:CU)</f>
        <v>114500</v>
      </c>
      <c r="CU6" s="20">
        <f>SUMIF(RAW_RECOVERED!$B:$B,$A$3,RAW_RECOVERED!CV:CV)</f>
        <v>117400</v>
      </c>
      <c r="CV6" s="20">
        <f>SUMIF(RAW_RECOVERED!$B:$B,$A$3,RAW_RECOVERED!CW:CW)</f>
        <v>120400</v>
      </c>
      <c r="CW6" s="20">
        <f>SUMIF(RAW_RECOVERED!$B:$B,$A$3,RAW_RECOVERED!CX:CX)</f>
        <v>123500</v>
      </c>
      <c r="CX6" s="20">
        <f>SUMIF(RAW_RECOVERED!$B:$B,$A$3,RAW_RECOVERED!CY:CY)</f>
        <v>126900</v>
      </c>
      <c r="CY6" s="20">
        <f>SUMIF(RAW_RECOVERED!$B:$B,$A$3,RAW_RECOVERED!CZ:CZ)</f>
        <v>129000</v>
      </c>
      <c r="CZ6" s="20">
        <f>SUMIF(RAW_RECOVERED!$B:$B,$A$3,RAW_RECOVERED!DA:DA)</f>
        <v>130600</v>
      </c>
      <c r="DA6" s="20">
        <f>SUMIF(RAW_RECOVERED!$B:$B,$A$3,RAW_RECOVERED!DB:DB)</f>
        <v>0</v>
      </c>
      <c r="DB6" s="20">
        <f>SUMIF(RAW_RECOVERED!$B:$B,$A$3,RAW_RECOVERED!DC:DC)</f>
        <v>0</v>
      </c>
      <c r="DC6" s="20">
        <f>SUMIF(RAW_RECOVERED!$B:$B,$A$3,RAW_RECOVERED!DD:DD)</f>
        <v>0</v>
      </c>
      <c r="DD6" s="20">
        <f>SUMIF(RAW_RECOVERED!$B:$B,$A$3,RAW_RECOVERED!DE:DE)</f>
        <v>0</v>
      </c>
      <c r="DE6" s="20">
        <f>SUMIF(RAW_RECOVERED!$B:$B,$A$3,RAW_RECOVERED!DF:DF)</f>
        <v>0</v>
      </c>
      <c r="DF6" s="20">
        <f>SUMIF(RAW_RECOVERED!$B:$B,$A$3,RAW_RECOVERED!DG:DG)</f>
        <v>0</v>
      </c>
      <c r="DG6" s="20">
        <f>SUMIF(RAW_RECOVERED!$B:$B,$A$3,RAW_RECOVERED!DH:DH)</f>
        <v>0</v>
      </c>
      <c r="DH6" s="20">
        <f>SUMIF(RAW_RECOVERED!$B:$B,$A$3,RAW_RECOVERED!DI:DI)</f>
        <v>0</v>
      </c>
      <c r="DI6" s="20">
        <f>SUMIF(RAW_RECOVERED!$B:$B,$A$3,RAW_RECOVERED!DJ:DJ)</f>
        <v>0</v>
      </c>
      <c r="DJ6" s="20">
        <f>SUMIF(RAW_RECOVERED!$B:$B,$A$3,RAW_RECOVERED!DK:DK)</f>
        <v>0</v>
      </c>
      <c r="DK6" s="20">
        <f>SUMIF(RAW_RECOVERED!$B:$B,$A$3,RAW_RECOVERED!DL:DL)</f>
        <v>0</v>
      </c>
      <c r="DL6" s="20">
        <f>SUMIF(RAW_RECOVERED!$B:$B,$A$3,RAW_RECOVERED!DM:DM)</f>
        <v>0</v>
      </c>
      <c r="DM6" s="20">
        <f>SUMIF(RAW_RECOVERED!$B:$B,$A$3,RAW_RECOVERED!DN:DN)</f>
        <v>0</v>
      </c>
      <c r="DN6" s="20">
        <f>SUMIF(RAW_RECOVERED!$B:$B,$A$3,RAW_RECOVERED!DO:DO)</f>
        <v>0</v>
      </c>
      <c r="DO6" s="20">
        <f>SUMIF(RAW_RECOVERED!$B:$B,$A$3,RAW_RECOVERED!DP:DP)</f>
        <v>0</v>
      </c>
      <c r="DP6" s="20">
        <f>SUMIF(RAW_RECOVERED!$B:$B,$A$3,RAW_RECOVERED!DQ:DQ)</f>
        <v>0</v>
      </c>
      <c r="DQ6" s="20">
        <f>SUMIF(RAW_RECOVERED!$B:$B,$A$3,RAW_RECOVERED!DR:DR)</f>
        <v>0</v>
      </c>
      <c r="DR6" s="20">
        <f>SUMIF(RAW_RECOVERED!$B:$B,$A$3,RAW_RECOVERED!DS:DS)</f>
        <v>0</v>
      </c>
      <c r="DS6" s="20">
        <f>SUMIF(RAW_RECOVERED!$B:$B,$A$3,RAW_RECOVERED!DT:DT)</f>
        <v>0</v>
      </c>
      <c r="DT6" s="20">
        <f>SUMIF(RAW_RECOVERED!$B:$B,$A$3,RAW_RECOVERED!DU:DU)</f>
        <v>0</v>
      </c>
      <c r="DU6" s="20">
        <f>SUMIF(RAW_RECOVERED!$B:$B,$A$3,RAW_RECOVERED!DV:DV)</f>
        <v>0</v>
      </c>
      <c r="DV6" s="20">
        <f>SUMIF(RAW_RECOVERED!$B:$B,$A$3,RAW_RECOVERED!DW:DW)</f>
        <v>0</v>
      </c>
      <c r="DW6" s="20">
        <f>SUMIF(RAW_RECOVERED!$B:$B,$A$3,RAW_RECOVERED!DX:DX)</f>
        <v>0</v>
      </c>
      <c r="DX6" s="20">
        <f>SUMIF(RAW_RECOVERED!$B:$B,$A$3,RAW_RECOVERED!DY:DY)</f>
        <v>0</v>
      </c>
      <c r="DY6" s="20">
        <f>SUMIF(RAW_RECOVERED!$B:$B,$A$3,RAW_RECOVERED!DZ:DZ)</f>
        <v>0</v>
      </c>
      <c r="DZ6" s="20">
        <f>SUMIF(RAW_RECOVERED!$B:$B,$A$3,RAW_RECOVERED!EA:EA)</f>
        <v>0</v>
      </c>
      <c r="EA6" s="20">
        <f>SUMIF(RAW_RECOVERED!$B:$B,$A$3,RAW_RECOVERED!EB:EB)</f>
        <v>0</v>
      </c>
    </row>
    <row r="7" spans="1:131" s="10" customFormat="1" ht="13.15" x14ac:dyDescent="0.4">
      <c r="A7" s="19" t="s">
        <v>354</v>
      </c>
      <c r="B7" s="20"/>
      <c r="C7" s="20">
        <f t="shared" ref="C7:AH7" si="0">C4-B4</f>
        <v>0</v>
      </c>
      <c r="D7" s="20">
        <f t="shared" si="0"/>
        <v>0</v>
      </c>
      <c r="E7" s="20">
        <f t="shared" si="0"/>
        <v>0</v>
      </c>
      <c r="F7" s="20">
        <f t="shared" si="0"/>
        <v>0</v>
      </c>
      <c r="G7" s="20">
        <f t="shared" si="0"/>
        <v>1</v>
      </c>
      <c r="H7" s="20">
        <f t="shared" si="0"/>
        <v>3</v>
      </c>
      <c r="I7" s="20">
        <f t="shared" si="0"/>
        <v>0</v>
      </c>
      <c r="J7" s="20">
        <f t="shared" si="0"/>
        <v>0</v>
      </c>
      <c r="K7" s="20">
        <f t="shared" si="0"/>
        <v>1</v>
      </c>
      <c r="L7" s="20">
        <f t="shared" si="0"/>
        <v>3</v>
      </c>
      <c r="M7" s="20">
        <f t="shared" si="0"/>
        <v>2</v>
      </c>
      <c r="N7" s="20">
        <f t="shared" si="0"/>
        <v>2</v>
      </c>
      <c r="O7" s="20">
        <f t="shared" si="0"/>
        <v>0</v>
      </c>
      <c r="P7" s="20">
        <f t="shared" si="0"/>
        <v>0</v>
      </c>
      <c r="Q7" s="20">
        <f t="shared" si="0"/>
        <v>0</v>
      </c>
      <c r="R7" s="20">
        <f t="shared" si="0"/>
        <v>1</v>
      </c>
      <c r="S7" s="20">
        <f t="shared" si="0"/>
        <v>0</v>
      </c>
      <c r="T7" s="20">
        <f t="shared" si="0"/>
        <v>1</v>
      </c>
      <c r="U7" s="20">
        <f t="shared" si="0"/>
        <v>0</v>
      </c>
      <c r="V7" s="20">
        <f t="shared" si="0"/>
        <v>2</v>
      </c>
      <c r="W7" s="20">
        <f t="shared" si="0"/>
        <v>0</v>
      </c>
      <c r="X7" s="20">
        <f t="shared" si="0"/>
        <v>0</v>
      </c>
      <c r="Y7" s="20">
        <f t="shared" si="0"/>
        <v>0</v>
      </c>
      <c r="Z7" s="20">
        <f t="shared" si="0"/>
        <v>0</v>
      </c>
      <c r="AA7" s="20">
        <f t="shared" si="0"/>
        <v>0</v>
      </c>
      <c r="AB7" s="20">
        <f t="shared" si="0"/>
        <v>0</v>
      </c>
      <c r="AC7" s="20">
        <f t="shared" si="0"/>
        <v>0</v>
      </c>
      <c r="AD7" s="20">
        <f t="shared" si="0"/>
        <v>0</v>
      </c>
      <c r="AE7" s="20">
        <f t="shared" si="0"/>
        <v>0</v>
      </c>
      <c r="AF7" s="20">
        <f t="shared" si="0"/>
        <v>0</v>
      </c>
      <c r="AG7" s="20">
        <f t="shared" si="0"/>
        <v>0</v>
      </c>
      <c r="AH7" s="20">
        <f t="shared" si="0"/>
        <v>0</v>
      </c>
      <c r="AI7" s="20">
        <f t="shared" ref="AI7:BN7" si="1">AI4-AH4</f>
        <v>0</v>
      </c>
      <c r="AJ7" s="20">
        <f t="shared" si="1"/>
        <v>1</v>
      </c>
      <c r="AK7" s="20">
        <f t="shared" si="1"/>
        <v>10</v>
      </c>
      <c r="AL7" s="20">
        <f t="shared" si="1"/>
        <v>19</v>
      </c>
      <c r="AM7" s="20">
        <f t="shared" si="1"/>
        <v>2</v>
      </c>
      <c r="AN7" s="20">
        <f t="shared" si="1"/>
        <v>31</v>
      </c>
      <c r="AO7" s="20">
        <f t="shared" si="1"/>
        <v>51</v>
      </c>
      <c r="AP7" s="20">
        <f t="shared" si="1"/>
        <v>29</v>
      </c>
      <c r="AQ7" s="20">
        <f t="shared" si="1"/>
        <v>37</v>
      </c>
      <c r="AR7" s="20">
        <f t="shared" si="1"/>
        <v>66</v>
      </c>
      <c r="AS7" s="20">
        <f t="shared" si="1"/>
        <v>220</v>
      </c>
      <c r="AT7" s="20">
        <f t="shared" si="1"/>
        <v>188</v>
      </c>
      <c r="AU7" s="20">
        <f t="shared" si="1"/>
        <v>129</v>
      </c>
      <c r="AV7" s="20">
        <f t="shared" si="1"/>
        <v>241</v>
      </c>
      <c r="AW7" s="20">
        <f t="shared" si="1"/>
        <v>136</v>
      </c>
      <c r="AX7" s="20">
        <f t="shared" si="1"/>
        <v>281</v>
      </c>
      <c r="AY7" s="20">
        <f t="shared" si="1"/>
        <v>451</v>
      </c>
      <c r="AZ7" s="20">
        <f t="shared" si="1"/>
        <v>170</v>
      </c>
      <c r="BA7" s="20">
        <f t="shared" si="1"/>
        <v>1597</v>
      </c>
      <c r="BB7" s="20">
        <f t="shared" si="1"/>
        <v>910</v>
      </c>
      <c r="BC7" s="20">
        <f t="shared" si="1"/>
        <v>1210</v>
      </c>
      <c r="BD7" s="20">
        <f t="shared" si="1"/>
        <v>1477</v>
      </c>
      <c r="BE7" s="20">
        <f t="shared" si="1"/>
        <v>1985</v>
      </c>
      <c r="BF7" s="20">
        <f t="shared" si="1"/>
        <v>3070</v>
      </c>
      <c r="BG7" s="20">
        <f t="shared" si="1"/>
        <v>2993</v>
      </c>
      <c r="BH7" s="20">
        <f t="shared" si="1"/>
        <v>4528</v>
      </c>
      <c r="BI7" s="20">
        <f t="shared" si="1"/>
        <v>2365</v>
      </c>
      <c r="BJ7" s="20">
        <f t="shared" si="1"/>
        <v>2660</v>
      </c>
      <c r="BK7" s="20">
        <f t="shared" si="1"/>
        <v>4183</v>
      </c>
      <c r="BL7" s="20">
        <f t="shared" si="1"/>
        <v>3930</v>
      </c>
      <c r="BM7" s="20">
        <f t="shared" si="1"/>
        <v>4337</v>
      </c>
      <c r="BN7" s="20">
        <f t="shared" si="1"/>
        <v>6615</v>
      </c>
      <c r="BO7" s="20">
        <f t="shared" ref="BO7:CE7" si="2">BO4-BN4</f>
        <v>6933</v>
      </c>
      <c r="BP7" s="20">
        <f t="shared" si="2"/>
        <v>6824</v>
      </c>
      <c r="BQ7" s="20">
        <f t="shared" si="2"/>
        <v>4400</v>
      </c>
      <c r="BR7" s="20">
        <f t="shared" si="2"/>
        <v>4790</v>
      </c>
      <c r="BS7" s="20">
        <f t="shared" si="2"/>
        <v>4923</v>
      </c>
      <c r="BT7" s="20">
        <f t="shared" si="2"/>
        <v>6064</v>
      </c>
      <c r="BU7" s="20">
        <f t="shared" si="2"/>
        <v>6922</v>
      </c>
      <c r="BV7" s="20">
        <f t="shared" si="2"/>
        <v>6365</v>
      </c>
      <c r="BW7" s="20">
        <f t="shared" si="2"/>
        <v>4933</v>
      </c>
      <c r="BX7" s="20">
        <f t="shared" si="2"/>
        <v>4031</v>
      </c>
      <c r="BY7" s="20">
        <f t="shared" si="2"/>
        <v>3251</v>
      </c>
      <c r="BZ7" s="20">
        <f t="shared" si="2"/>
        <v>4289</v>
      </c>
      <c r="CA7" s="20">
        <f t="shared" si="2"/>
        <v>5633</v>
      </c>
      <c r="CB7" s="20">
        <f t="shared" si="2"/>
        <v>4885</v>
      </c>
      <c r="CC7" s="20">
        <f t="shared" si="2"/>
        <v>3990</v>
      </c>
      <c r="CD7" s="20">
        <f t="shared" si="2"/>
        <v>2737</v>
      </c>
      <c r="CE7" s="20">
        <f t="shared" si="2"/>
        <v>2946</v>
      </c>
      <c r="CF7" s="20">
        <f t="shared" ref="CF7:CF9" si="3">CF4-CE4</f>
        <v>2218</v>
      </c>
      <c r="CG7" s="20">
        <f t="shared" ref="CG7:CG9" si="4">CG4-CF4</f>
        <v>1287</v>
      </c>
      <c r="CH7" s="20">
        <f t="shared" ref="CH7:CH9" si="5">CH4-CG4</f>
        <v>3394</v>
      </c>
      <c r="CI7" s="20">
        <f t="shared" ref="CI7:CI9" si="6">CI4-CH4</f>
        <v>2945</v>
      </c>
      <c r="CJ7" s="20">
        <f t="shared" ref="CJ7:CJ9" si="7">CJ4-CI4</f>
        <v>3699</v>
      </c>
      <c r="CK7" s="20">
        <f t="shared" ref="CK7:CK9" si="8">CK4-CJ4</f>
        <v>1945</v>
      </c>
      <c r="CL7" s="20">
        <f t="shared" ref="CL7:CL9" si="9">CL4-CK4</f>
        <v>1842</v>
      </c>
      <c r="CM7" s="20">
        <f t="shared" ref="CM7:CM9" si="10">CM4-CL4</f>
        <v>1881</v>
      </c>
      <c r="CN7" s="20">
        <f t="shared" ref="CN7:CN9" si="11">CN4-CM4</f>
        <v>1226</v>
      </c>
      <c r="CO7" s="20">
        <f t="shared" ref="CO7:CO9" si="12">CO4-CN4</f>
        <v>2357</v>
      </c>
      <c r="CP7" s="20">
        <f t="shared" ref="CP7:CP9" si="13">CP4-CO4</f>
        <v>2481</v>
      </c>
      <c r="CQ7" s="20">
        <f t="shared" ref="CQ7:CQ9" si="14">CQ4-CP4</f>
        <v>1870</v>
      </c>
      <c r="CR7" s="20">
        <f t="shared" ref="CR7:CR9" si="15">CR4-CQ4</f>
        <v>1514</v>
      </c>
      <c r="CS7" s="20">
        <f t="shared" ref="CS7:CS9" si="16">CS4-CR4</f>
        <v>1257</v>
      </c>
      <c r="CT7" s="20">
        <f t="shared" ref="CT7:CT9" si="17">CT4-CS4</f>
        <v>988</v>
      </c>
      <c r="CU7" s="20">
        <f t="shared" ref="CU7:CU9" si="18">CU4-CT4</f>
        <v>1154</v>
      </c>
      <c r="CV7" s="20">
        <f t="shared" ref="CV7:CV9" si="19">CV4-CU4</f>
        <v>1627</v>
      </c>
      <c r="CW7" s="20">
        <f t="shared" ref="CW7:CW9" si="20">CW4-CV4</f>
        <v>1470</v>
      </c>
      <c r="CX7" s="20">
        <f t="shared" ref="CX7:CX9" si="21">CX4-CW4</f>
        <v>1068</v>
      </c>
      <c r="CY7" s="20">
        <f t="shared" ref="CY7:CY9" si="22">CY4-CX4</f>
        <v>890</v>
      </c>
      <c r="CZ7" s="20">
        <f t="shared" ref="CZ7:CZ9" si="23">CZ4-CY4</f>
        <v>697</v>
      </c>
      <c r="DA7" s="20">
        <f t="shared" ref="DA7:DA9" si="24">DA4-CZ4</f>
        <v>-165664</v>
      </c>
      <c r="DB7" s="20">
        <f t="shared" ref="DB7:DB9" si="25">DB4-DA4</f>
        <v>0</v>
      </c>
      <c r="DC7" s="20">
        <f t="shared" ref="DC7:DC9" si="26">DC4-DB4</f>
        <v>0</v>
      </c>
      <c r="DD7" s="20">
        <f t="shared" ref="DD7:DD9" si="27">DD4-DC4</f>
        <v>0</v>
      </c>
      <c r="DE7" s="20">
        <f t="shared" ref="DE7:DE9" si="28">DE4-DD4</f>
        <v>0</v>
      </c>
      <c r="DF7" s="20">
        <f t="shared" ref="DF7:DF9" si="29">DF4-DE4</f>
        <v>0</v>
      </c>
      <c r="DG7" s="20">
        <f t="shared" ref="DG7:DG9" si="30">DG4-DF4</f>
        <v>0</v>
      </c>
      <c r="DH7" s="20">
        <f t="shared" ref="DH7:DH9" si="31">DH4-DG4</f>
        <v>0</v>
      </c>
      <c r="DI7" s="20">
        <f t="shared" ref="DI7:DI9" si="32">DI4-DH4</f>
        <v>0</v>
      </c>
      <c r="DJ7" s="20">
        <f t="shared" ref="DJ7:DJ9" si="33">DJ4-DI4</f>
        <v>0</v>
      </c>
      <c r="DK7" s="20">
        <f t="shared" ref="DK7:DK9" si="34">DK4-DJ4</f>
        <v>0</v>
      </c>
      <c r="DL7" s="20">
        <f t="shared" ref="DL7:DL9" si="35">DL4-DK4</f>
        <v>0</v>
      </c>
      <c r="DM7" s="20">
        <f t="shared" ref="DM7:DM9" si="36">DM4-DL4</f>
        <v>0</v>
      </c>
      <c r="DN7" s="20">
        <f t="shared" ref="DN7:DN9" si="37">DN4-DM4</f>
        <v>0</v>
      </c>
      <c r="DO7" s="20">
        <f t="shared" ref="DO7:DO9" si="38">DO4-DN4</f>
        <v>0</v>
      </c>
      <c r="DP7" s="20">
        <f t="shared" ref="DP7:DP9" si="39">DP4-DO4</f>
        <v>0</v>
      </c>
      <c r="DQ7" s="20">
        <f t="shared" ref="DQ7:DQ9" si="40">DQ4-DP4</f>
        <v>0</v>
      </c>
      <c r="DR7" s="20">
        <f t="shared" ref="DR7:DR9" si="41">DR4-DQ4</f>
        <v>0</v>
      </c>
      <c r="DS7" s="20">
        <f t="shared" ref="DS7:DS9" si="42">DS4-DR4</f>
        <v>0</v>
      </c>
      <c r="DT7" s="20">
        <f t="shared" ref="DT7:DT9" si="43">DT4-DS4</f>
        <v>0</v>
      </c>
      <c r="DU7" s="20">
        <f t="shared" ref="DU7:DU9" si="44">DU4-DT4</f>
        <v>0</v>
      </c>
      <c r="DV7" s="20">
        <f t="shared" ref="DV7:DV9" si="45">DV4-DU4</f>
        <v>0</v>
      </c>
      <c r="DW7" s="20">
        <f t="shared" ref="DW7:DW9" si="46">DW4-DV4</f>
        <v>0</v>
      </c>
      <c r="DX7" s="20">
        <f t="shared" ref="DX7:DX9" si="47">DX4-DW4</f>
        <v>0</v>
      </c>
      <c r="DY7" s="20">
        <f t="shared" ref="DY7:DY9" si="48">DY4-DX4</f>
        <v>0</v>
      </c>
      <c r="DZ7" s="20">
        <f t="shared" ref="DZ7:DZ9" si="49">DZ4-DY4</f>
        <v>0</v>
      </c>
      <c r="EA7" s="20">
        <f t="shared" ref="EA7:EA9" si="50">EA4-DZ4</f>
        <v>0</v>
      </c>
    </row>
    <row r="8" spans="1:131" s="10" customFormat="1" ht="13.15" x14ac:dyDescent="0.4">
      <c r="A8" s="19" t="s">
        <v>353</v>
      </c>
      <c r="B8" s="20"/>
      <c r="C8" s="20">
        <f t="shared" ref="C8:AH8" si="51">C5-B5</f>
        <v>0</v>
      </c>
      <c r="D8" s="20">
        <f t="shared" si="51"/>
        <v>0</v>
      </c>
      <c r="E8" s="20">
        <f t="shared" si="51"/>
        <v>0</v>
      </c>
      <c r="F8" s="20">
        <f t="shared" si="51"/>
        <v>0</v>
      </c>
      <c r="G8" s="20">
        <f t="shared" si="51"/>
        <v>0</v>
      </c>
      <c r="H8" s="20">
        <f t="shared" si="51"/>
        <v>0</v>
      </c>
      <c r="I8" s="20">
        <f t="shared" si="51"/>
        <v>0</v>
      </c>
      <c r="J8" s="20">
        <f t="shared" si="51"/>
        <v>0</v>
      </c>
      <c r="K8" s="20">
        <f t="shared" si="51"/>
        <v>0</v>
      </c>
      <c r="L8" s="20">
        <f t="shared" si="51"/>
        <v>0</v>
      </c>
      <c r="M8" s="20">
        <f t="shared" si="51"/>
        <v>0</v>
      </c>
      <c r="N8" s="20">
        <f t="shared" si="51"/>
        <v>0</v>
      </c>
      <c r="O8" s="20">
        <f t="shared" si="51"/>
        <v>0</v>
      </c>
      <c r="P8" s="20">
        <f t="shared" si="51"/>
        <v>0</v>
      </c>
      <c r="Q8" s="20">
        <f t="shared" si="51"/>
        <v>0</v>
      </c>
      <c r="R8" s="20">
        <f t="shared" si="51"/>
        <v>0</v>
      </c>
      <c r="S8" s="20">
        <f t="shared" si="51"/>
        <v>0</v>
      </c>
      <c r="T8" s="20">
        <f t="shared" si="51"/>
        <v>0</v>
      </c>
      <c r="U8" s="20">
        <f t="shared" si="51"/>
        <v>0</v>
      </c>
      <c r="V8" s="20">
        <f t="shared" si="51"/>
        <v>0</v>
      </c>
      <c r="W8" s="20">
        <f t="shared" si="51"/>
        <v>0</v>
      </c>
      <c r="X8" s="20">
        <f t="shared" si="51"/>
        <v>0</v>
      </c>
      <c r="Y8" s="20">
        <f t="shared" si="51"/>
        <v>0</v>
      </c>
      <c r="Z8" s="20">
        <f t="shared" si="51"/>
        <v>0</v>
      </c>
      <c r="AA8" s="20">
        <f t="shared" si="51"/>
        <v>0</v>
      </c>
      <c r="AB8" s="20">
        <f t="shared" si="51"/>
        <v>0</v>
      </c>
      <c r="AC8" s="20">
        <f t="shared" si="51"/>
        <v>0</v>
      </c>
      <c r="AD8" s="20">
        <f t="shared" si="51"/>
        <v>0</v>
      </c>
      <c r="AE8" s="20">
        <f t="shared" si="51"/>
        <v>0</v>
      </c>
      <c r="AF8" s="20">
        <f t="shared" si="51"/>
        <v>0</v>
      </c>
      <c r="AG8" s="20">
        <f t="shared" si="51"/>
        <v>0</v>
      </c>
      <c r="AH8" s="20">
        <f t="shared" si="51"/>
        <v>0</v>
      </c>
      <c r="AI8" s="20">
        <f t="shared" ref="AI8:BN8" si="52">AI5-AH5</f>
        <v>0</v>
      </c>
      <c r="AJ8" s="20">
        <f t="shared" si="52"/>
        <v>0</v>
      </c>
      <c r="AK8" s="20">
        <f t="shared" si="52"/>
        <v>0</v>
      </c>
      <c r="AL8" s="20">
        <f t="shared" si="52"/>
        <v>0</v>
      </c>
      <c r="AM8" s="20">
        <f t="shared" si="52"/>
        <v>0</v>
      </c>
      <c r="AN8" s="20">
        <f t="shared" si="52"/>
        <v>0</v>
      </c>
      <c r="AO8" s="20">
        <f t="shared" si="52"/>
        <v>0</v>
      </c>
      <c r="AP8" s="20">
        <f t="shared" si="52"/>
        <v>0</v>
      </c>
      <c r="AQ8" s="20">
        <f t="shared" si="52"/>
        <v>0</v>
      </c>
      <c r="AR8" s="20">
        <f t="shared" si="52"/>
        <v>0</v>
      </c>
      <c r="AS8" s="20">
        <f t="shared" si="52"/>
        <v>0</v>
      </c>
      <c r="AT8" s="20">
        <f t="shared" si="52"/>
        <v>0</v>
      </c>
      <c r="AU8" s="20">
        <f t="shared" si="52"/>
        <v>0</v>
      </c>
      <c r="AV8" s="20">
        <f t="shared" si="52"/>
        <v>0</v>
      </c>
      <c r="AW8" s="20">
        <f t="shared" si="52"/>
        <v>2</v>
      </c>
      <c r="AX8" s="20">
        <f t="shared" si="52"/>
        <v>0</v>
      </c>
      <c r="AY8" s="20">
        <f t="shared" si="52"/>
        <v>1</v>
      </c>
      <c r="AZ8" s="20">
        <f t="shared" si="52"/>
        <v>0</v>
      </c>
      <c r="BA8" s="20">
        <f t="shared" si="52"/>
        <v>4</v>
      </c>
      <c r="BB8" s="20">
        <f t="shared" si="52"/>
        <v>2</v>
      </c>
      <c r="BC8" s="20">
        <f t="shared" si="52"/>
        <v>2</v>
      </c>
      <c r="BD8" s="20">
        <f t="shared" si="52"/>
        <v>6</v>
      </c>
      <c r="BE8" s="20">
        <f t="shared" si="52"/>
        <v>7</v>
      </c>
      <c r="BF8" s="20">
        <f t="shared" si="52"/>
        <v>4</v>
      </c>
      <c r="BG8" s="20">
        <f t="shared" si="52"/>
        <v>16</v>
      </c>
      <c r="BH8" s="20">
        <f t="shared" si="52"/>
        <v>23</v>
      </c>
      <c r="BI8" s="20">
        <f t="shared" si="52"/>
        <v>17</v>
      </c>
      <c r="BJ8" s="20">
        <f t="shared" si="52"/>
        <v>10</v>
      </c>
      <c r="BK8" s="20">
        <f t="shared" si="52"/>
        <v>29</v>
      </c>
      <c r="BL8" s="20">
        <f t="shared" si="52"/>
        <v>34</v>
      </c>
      <c r="BM8" s="20">
        <f t="shared" si="52"/>
        <v>49</v>
      </c>
      <c r="BN8" s="20">
        <f t="shared" si="52"/>
        <v>61</v>
      </c>
      <c r="BO8" s="20">
        <f t="shared" ref="BO8:CE8" si="53">BO5-BN5</f>
        <v>75</v>
      </c>
      <c r="BP8" s="20">
        <f t="shared" si="53"/>
        <v>91</v>
      </c>
      <c r="BQ8" s="20">
        <f t="shared" si="53"/>
        <v>100</v>
      </c>
      <c r="BR8" s="20">
        <f t="shared" si="53"/>
        <v>112</v>
      </c>
      <c r="BS8" s="20">
        <f t="shared" si="53"/>
        <v>130</v>
      </c>
      <c r="BT8" s="20">
        <f t="shared" si="53"/>
        <v>145</v>
      </c>
      <c r="BU8" s="20">
        <f t="shared" si="53"/>
        <v>187</v>
      </c>
      <c r="BV8" s="20">
        <f t="shared" si="53"/>
        <v>168</v>
      </c>
      <c r="BW8" s="20">
        <f t="shared" si="53"/>
        <v>169</v>
      </c>
      <c r="BX8" s="20">
        <f t="shared" si="53"/>
        <v>140</v>
      </c>
      <c r="BY8" s="20">
        <f t="shared" si="53"/>
        <v>226</v>
      </c>
      <c r="BZ8" s="20">
        <f t="shared" si="53"/>
        <v>206</v>
      </c>
      <c r="CA8" s="20">
        <f t="shared" si="53"/>
        <v>333</v>
      </c>
      <c r="CB8" s="20">
        <f t="shared" si="53"/>
        <v>258</v>
      </c>
      <c r="CC8" s="20">
        <f t="shared" si="53"/>
        <v>160</v>
      </c>
      <c r="CD8" s="20">
        <f t="shared" si="53"/>
        <v>-31</v>
      </c>
      <c r="CE8" s="20">
        <f t="shared" si="53"/>
        <v>286</v>
      </c>
      <c r="CF8" s="20">
        <f t="shared" si="3"/>
        <v>172</v>
      </c>
      <c r="CG8" s="20">
        <f t="shared" si="4"/>
        <v>100</v>
      </c>
      <c r="CH8" s="20">
        <f t="shared" si="5"/>
        <v>510</v>
      </c>
      <c r="CI8" s="20">
        <f t="shared" si="6"/>
        <v>248</v>
      </c>
      <c r="CJ8" s="20">
        <f t="shared" si="7"/>
        <v>300</v>
      </c>
      <c r="CK8" s="20">
        <f t="shared" si="8"/>
        <v>107</v>
      </c>
      <c r="CL8" s="20">
        <f t="shared" si="9"/>
        <v>127</v>
      </c>
      <c r="CM8" s="20">
        <f t="shared" si="10"/>
        <v>276</v>
      </c>
      <c r="CN8" s="20">
        <f t="shared" si="11"/>
        <v>171</v>
      </c>
      <c r="CO8" s="20">
        <f t="shared" si="12"/>
        <v>246</v>
      </c>
      <c r="CP8" s="20">
        <f t="shared" si="13"/>
        <v>296</v>
      </c>
      <c r="CQ8" s="20">
        <f t="shared" si="14"/>
        <v>185</v>
      </c>
      <c r="CR8" s="20">
        <f t="shared" si="15"/>
        <v>117</v>
      </c>
      <c r="CS8" s="20">
        <f t="shared" si="16"/>
        <v>99</v>
      </c>
      <c r="CT8" s="20">
        <f t="shared" si="17"/>
        <v>150</v>
      </c>
      <c r="CU8" s="20">
        <f t="shared" si="18"/>
        <v>188</v>
      </c>
      <c r="CV8" s="20">
        <f t="shared" si="19"/>
        <v>153</v>
      </c>
      <c r="CW8" s="20">
        <f t="shared" si="20"/>
        <v>156</v>
      </c>
      <c r="CX8" s="20">
        <f t="shared" si="21"/>
        <v>113</v>
      </c>
      <c r="CY8" s="20">
        <f t="shared" si="22"/>
        <v>76</v>
      </c>
      <c r="CZ8" s="20">
        <f t="shared" si="23"/>
        <v>54</v>
      </c>
      <c r="DA8" s="20">
        <f t="shared" si="24"/>
        <v>-6866</v>
      </c>
      <c r="DB8" s="20">
        <f t="shared" si="25"/>
        <v>0</v>
      </c>
      <c r="DC8" s="20">
        <f t="shared" si="26"/>
        <v>0</v>
      </c>
      <c r="DD8" s="20">
        <f t="shared" si="27"/>
        <v>0</v>
      </c>
      <c r="DE8" s="20">
        <f t="shared" si="28"/>
        <v>0</v>
      </c>
      <c r="DF8" s="20">
        <f t="shared" si="29"/>
        <v>0</v>
      </c>
      <c r="DG8" s="20">
        <f t="shared" si="30"/>
        <v>0</v>
      </c>
      <c r="DH8" s="20">
        <f t="shared" si="31"/>
        <v>0</v>
      </c>
      <c r="DI8" s="20">
        <f t="shared" si="32"/>
        <v>0</v>
      </c>
      <c r="DJ8" s="20">
        <f t="shared" si="33"/>
        <v>0</v>
      </c>
      <c r="DK8" s="20">
        <f t="shared" si="34"/>
        <v>0</v>
      </c>
      <c r="DL8" s="20">
        <f t="shared" si="35"/>
        <v>0</v>
      </c>
      <c r="DM8" s="20">
        <f t="shared" si="36"/>
        <v>0</v>
      </c>
      <c r="DN8" s="20">
        <f t="shared" si="37"/>
        <v>0</v>
      </c>
      <c r="DO8" s="20">
        <f t="shared" si="38"/>
        <v>0</v>
      </c>
      <c r="DP8" s="20">
        <f t="shared" si="39"/>
        <v>0</v>
      </c>
      <c r="DQ8" s="20">
        <f t="shared" si="40"/>
        <v>0</v>
      </c>
      <c r="DR8" s="20">
        <f t="shared" si="41"/>
        <v>0</v>
      </c>
      <c r="DS8" s="20">
        <f t="shared" si="42"/>
        <v>0</v>
      </c>
      <c r="DT8" s="20">
        <f t="shared" si="43"/>
        <v>0</v>
      </c>
      <c r="DU8" s="20">
        <f t="shared" si="44"/>
        <v>0</v>
      </c>
      <c r="DV8" s="20">
        <f t="shared" si="45"/>
        <v>0</v>
      </c>
      <c r="DW8" s="20">
        <f t="shared" si="46"/>
        <v>0</v>
      </c>
      <c r="DX8" s="20">
        <f t="shared" si="47"/>
        <v>0</v>
      </c>
      <c r="DY8" s="20">
        <f t="shared" si="48"/>
        <v>0</v>
      </c>
      <c r="DZ8" s="20">
        <f t="shared" si="49"/>
        <v>0</v>
      </c>
      <c r="EA8" s="20">
        <f t="shared" si="50"/>
        <v>0</v>
      </c>
    </row>
    <row r="9" spans="1:131" s="10" customFormat="1" ht="13.15" x14ac:dyDescent="0.4">
      <c r="A9" s="19" t="s">
        <v>355</v>
      </c>
      <c r="B9" s="20"/>
      <c r="C9" s="20">
        <f t="shared" ref="C9:AH9" si="54">C6-B6</f>
        <v>0</v>
      </c>
      <c r="D9" s="20">
        <f t="shared" si="54"/>
        <v>0</v>
      </c>
      <c r="E9" s="20">
        <f t="shared" si="54"/>
        <v>0</v>
      </c>
      <c r="F9" s="20">
        <f t="shared" si="54"/>
        <v>0</v>
      </c>
      <c r="G9" s="20">
        <f t="shared" si="54"/>
        <v>0</v>
      </c>
      <c r="H9" s="20">
        <f t="shared" si="54"/>
        <v>0</v>
      </c>
      <c r="I9" s="20">
        <f t="shared" si="54"/>
        <v>0</v>
      </c>
      <c r="J9" s="20">
        <f t="shared" si="54"/>
        <v>0</v>
      </c>
      <c r="K9" s="20">
        <f t="shared" si="54"/>
        <v>0</v>
      </c>
      <c r="L9" s="20">
        <f t="shared" si="54"/>
        <v>0</v>
      </c>
      <c r="M9" s="20">
        <f t="shared" si="54"/>
        <v>0</v>
      </c>
      <c r="N9" s="20">
        <f t="shared" si="54"/>
        <v>0</v>
      </c>
      <c r="O9" s="20">
        <f t="shared" si="54"/>
        <v>0</v>
      </c>
      <c r="P9" s="20">
        <f t="shared" si="54"/>
        <v>0</v>
      </c>
      <c r="Q9" s="20">
        <f t="shared" si="54"/>
        <v>0</v>
      </c>
      <c r="R9" s="20">
        <f t="shared" si="54"/>
        <v>0</v>
      </c>
      <c r="S9" s="20">
        <f t="shared" si="54"/>
        <v>0</v>
      </c>
      <c r="T9" s="20">
        <f t="shared" si="54"/>
        <v>0</v>
      </c>
      <c r="U9" s="20">
        <f t="shared" si="54"/>
        <v>0</v>
      </c>
      <c r="V9" s="20">
        <f t="shared" si="54"/>
        <v>0</v>
      </c>
      <c r="W9" s="20">
        <f t="shared" si="54"/>
        <v>0</v>
      </c>
      <c r="X9" s="20">
        <f t="shared" si="54"/>
        <v>1</v>
      </c>
      <c r="Y9" s="20">
        <f t="shared" si="54"/>
        <v>0</v>
      </c>
      <c r="Z9" s="20">
        <f t="shared" si="54"/>
        <v>0</v>
      </c>
      <c r="AA9" s="20">
        <f t="shared" si="54"/>
        <v>0</v>
      </c>
      <c r="AB9" s="20">
        <f t="shared" si="54"/>
        <v>0</v>
      </c>
      <c r="AC9" s="20">
        <f t="shared" si="54"/>
        <v>11</v>
      </c>
      <c r="AD9" s="20">
        <f t="shared" si="54"/>
        <v>0</v>
      </c>
      <c r="AE9" s="20">
        <f t="shared" si="54"/>
        <v>0</v>
      </c>
      <c r="AF9" s="20">
        <f t="shared" si="54"/>
        <v>2</v>
      </c>
      <c r="AG9" s="20">
        <f t="shared" si="54"/>
        <v>0</v>
      </c>
      <c r="AH9" s="20">
        <f t="shared" si="54"/>
        <v>0</v>
      </c>
      <c r="AI9" s="20">
        <f t="shared" ref="AI9:BN9" si="55">AI6-AH6</f>
        <v>0</v>
      </c>
      <c r="AJ9" s="20">
        <f t="shared" si="55"/>
        <v>0</v>
      </c>
      <c r="AK9" s="20">
        <f t="shared" si="55"/>
        <v>1</v>
      </c>
      <c r="AL9" s="20">
        <f t="shared" si="55"/>
        <v>1</v>
      </c>
      <c r="AM9" s="20">
        <f t="shared" si="55"/>
        <v>0</v>
      </c>
      <c r="AN9" s="20">
        <f t="shared" si="55"/>
        <v>0</v>
      </c>
      <c r="AO9" s="20">
        <f t="shared" si="55"/>
        <v>0</v>
      </c>
      <c r="AP9" s="20">
        <f t="shared" si="55"/>
        <v>0</v>
      </c>
      <c r="AQ9" s="20">
        <f t="shared" si="55"/>
        <v>0</v>
      </c>
      <c r="AR9" s="20">
        <f t="shared" si="55"/>
        <v>0</v>
      </c>
      <c r="AS9" s="20">
        <f t="shared" si="55"/>
        <v>0</v>
      </c>
      <c r="AT9" s="20">
        <f t="shared" si="55"/>
        <v>1</v>
      </c>
      <c r="AU9" s="20">
        <f t="shared" si="55"/>
        <v>1</v>
      </c>
      <c r="AV9" s="20">
        <f t="shared" si="55"/>
        <v>0</v>
      </c>
      <c r="AW9" s="20">
        <f t="shared" si="55"/>
        <v>0</v>
      </c>
      <c r="AX9" s="20">
        <f t="shared" si="55"/>
        <v>0</v>
      </c>
      <c r="AY9" s="20">
        <f t="shared" si="55"/>
        <v>7</v>
      </c>
      <c r="AZ9" s="20">
        <f t="shared" si="55"/>
        <v>0</v>
      </c>
      <c r="BA9" s="20">
        <f t="shared" si="55"/>
        <v>21</v>
      </c>
      <c r="BB9" s="20">
        <f t="shared" si="55"/>
        <v>0</v>
      </c>
      <c r="BC9" s="20">
        <f t="shared" si="55"/>
        <v>0</v>
      </c>
      <c r="BD9" s="20">
        <f t="shared" si="55"/>
        <v>21</v>
      </c>
      <c r="BE9" s="20">
        <f t="shared" si="55"/>
        <v>0</v>
      </c>
      <c r="BF9" s="20">
        <f t="shared" si="55"/>
        <v>38</v>
      </c>
      <c r="BG9" s="20">
        <f t="shared" si="55"/>
        <v>8</v>
      </c>
      <c r="BH9" s="20">
        <f t="shared" si="55"/>
        <v>67</v>
      </c>
      <c r="BI9" s="20">
        <f t="shared" si="55"/>
        <v>53</v>
      </c>
      <c r="BJ9" s="20">
        <f t="shared" si="55"/>
        <v>33</v>
      </c>
      <c r="BK9" s="20">
        <f t="shared" si="55"/>
        <v>0</v>
      </c>
      <c r="BL9" s="20">
        <f t="shared" si="55"/>
        <v>2977</v>
      </c>
      <c r="BM9" s="20">
        <f t="shared" si="55"/>
        <v>304</v>
      </c>
      <c r="BN9" s="20">
        <f t="shared" si="55"/>
        <v>2126</v>
      </c>
      <c r="BO9" s="20">
        <f t="shared" ref="BO9:CE9" si="56">BO6-BN6</f>
        <v>985</v>
      </c>
      <c r="BP9" s="20">
        <f t="shared" si="56"/>
        <v>1823</v>
      </c>
      <c r="BQ9" s="20">
        <f t="shared" si="56"/>
        <v>730</v>
      </c>
      <c r="BR9" s="20">
        <f t="shared" si="56"/>
        <v>4289</v>
      </c>
      <c r="BS9" s="20">
        <f t="shared" si="56"/>
        <v>2600</v>
      </c>
      <c r="BT9" s="20">
        <f t="shared" si="56"/>
        <v>2600</v>
      </c>
      <c r="BU9" s="20">
        <f t="shared" si="56"/>
        <v>3740</v>
      </c>
      <c r="BV9" s="20">
        <f t="shared" si="56"/>
        <v>2135</v>
      </c>
      <c r="BW9" s="20">
        <f t="shared" si="56"/>
        <v>1825</v>
      </c>
      <c r="BX9" s="20">
        <f t="shared" si="56"/>
        <v>2300</v>
      </c>
      <c r="BY9" s="20">
        <f t="shared" si="56"/>
        <v>0</v>
      </c>
      <c r="BZ9" s="20">
        <f t="shared" si="56"/>
        <v>7381</v>
      </c>
      <c r="CA9" s="20">
        <f t="shared" si="56"/>
        <v>10219</v>
      </c>
      <c r="CB9" s="20">
        <f t="shared" si="56"/>
        <v>6107</v>
      </c>
      <c r="CC9" s="20">
        <f t="shared" si="56"/>
        <v>1506</v>
      </c>
      <c r="CD9" s="20">
        <f t="shared" si="56"/>
        <v>3487</v>
      </c>
      <c r="CE9" s="20">
        <f t="shared" si="56"/>
        <v>2900</v>
      </c>
      <c r="CF9" s="20">
        <f t="shared" si="3"/>
        <v>4000</v>
      </c>
      <c r="CG9" s="20">
        <f t="shared" si="4"/>
        <v>3900</v>
      </c>
      <c r="CH9" s="20">
        <f t="shared" si="5"/>
        <v>4400</v>
      </c>
      <c r="CI9" s="20">
        <f t="shared" si="6"/>
        <v>4400</v>
      </c>
      <c r="CJ9" s="20">
        <f t="shared" si="7"/>
        <v>6114</v>
      </c>
      <c r="CK9" s="20">
        <f t="shared" si="8"/>
        <v>2286</v>
      </c>
      <c r="CL9" s="20">
        <f t="shared" si="9"/>
        <v>2600</v>
      </c>
      <c r="CM9" s="20">
        <f t="shared" si="10"/>
        <v>3500</v>
      </c>
      <c r="CN9" s="20">
        <f t="shared" si="11"/>
        <v>3700</v>
      </c>
      <c r="CO9" s="20">
        <f t="shared" si="12"/>
        <v>4200</v>
      </c>
      <c r="CP9" s="20">
        <f t="shared" si="13"/>
        <v>3900</v>
      </c>
      <c r="CQ9" s="20">
        <f t="shared" si="14"/>
        <v>6500</v>
      </c>
      <c r="CR9" s="20">
        <f t="shared" si="15"/>
        <v>0</v>
      </c>
      <c r="CS9" s="20">
        <f t="shared" si="16"/>
        <v>2200</v>
      </c>
      <c r="CT9" s="20">
        <f t="shared" si="17"/>
        <v>2500</v>
      </c>
      <c r="CU9" s="20">
        <f t="shared" si="18"/>
        <v>2900</v>
      </c>
      <c r="CV9" s="20">
        <f t="shared" si="19"/>
        <v>3000</v>
      </c>
      <c r="CW9" s="20">
        <f t="shared" si="20"/>
        <v>3100</v>
      </c>
      <c r="CX9" s="20">
        <f t="shared" si="21"/>
        <v>3400</v>
      </c>
      <c r="CY9" s="20">
        <f t="shared" si="22"/>
        <v>2100</v>
      </c>
      <c r="CZ9" s="20">
        <f t="shared" si="23"/>
        <v>1600</v>
      </c>
      <c r="DA9" s="20">
        <f t="shared" si="24"/>
        <v>-130600</v>
      </c>
      <c r="DB9" s="20">
        <f t="shared" si="25"/>
        <v>0</v>
      </c>
      <c r="DC9" s="20">
        <f t="shared" si="26"/>
        <v>0</v>
      </c>
      <c r="DD9" s="20">
        <f t="shared" si="27"/>
        <v>0</v>
      </c>
      <c r="DE9" s="20">
        <f t="shared" si="28"/>
        <v>0</v>
      </c>
      <c r="DF9" s="20">
        <f t="shared" si="29"/>
        <v>0</v>
      </c>
      <c r="DG9" s="20">
        <f t="shared" si="30"/>
        <v>0</v>
      </c>
      <c r="DH9" s="20">
        <f t="shared" si="31"/>
        <v>0</v>
      </c>
      <c r="DI9" s="20">
        <f t="shared" si="32"/>
        <v>0</v>
      </c>
      <c r="DJ9" s="20">
        <f t="shared" si="33"/>
        <v>0</v>
      </c>
      <c r="DK9" s="20">
        <f t="shared" si="34"/>
        <v>0</v>
      </c>
      <c r="DL9" s="20">
        <f t="shared" si="35"/>
        <v>0</v>
      </c>
      <c r="DM9" s="20">
        <f t="shared" si="36"/>
        <v>0</v>
      </c>
      <c r="DN9" s="20">
        <f t="shared" si="37"/>
        <v>0</v>
      </c>
      <c r="DO9" s="20">
        <f t="shared" si="38"/>
        <v>0</v>
      </c>
      <c r="DP9" s="20">
        <f t="shared" si="39"/>
        <v>0</v>
      </c>
      <c r="DQ9" s="20">
        <f t="shared" si="40"/>
        <v>0</v>
      </c>
      <c r="DR9" s="20">
        <f t="shared" si="41"/>
        <v>0</v>
      </c>
      <c r="DS9" s="20">
        <f t="shared" si="42"/>
        <v>0</v>
      </c>
      <c r="DT9" s="20">
        <f t="shared" si="43"/>
        <v>0</v>
      </c>
      <c r="DU9" s="20">
        <f t="shared" si="44"/>
        <v>0</v>
      </c>
      <c r="DV9" s="20">
        <f t="shared" si="45"/>
        <v>0</v>
      </c>
      <c r="DW9" s="20">
        <f t="shared" si="46"/>
        <v>0</v>
      </c>
      <c r="DX9" s="20">
        <f t="shared" si="47"/>
        <v>0</v>
      </c>
      <c r="DY9" s="20">
        <f t="shared" si="48"/>
        <v>0</v>
      </c>
      <c r="DZ9" s="20">
        <f t="shared" si="49"/>
        <v>0</v>
      </c>
      <c r="EA9" s="20">
        <f t="shared" si="50"/>
        <v>0</v>
      </c>
    </row>
    <row r="10" spans="1:131" s="10" customFormat="1" ht="13.15" x14ac:dyDescent="0.4">
      <c r="A10" s="19" t="s">
        <v>358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2">
        <f t="shared" ref="AO10:CE10" si="57">IF(AO4=0,"",AO5/AO4)</f>
        <v>0</v>
      </c>
      <c r="AP10" s="22">
        <f t="shared" si="57"/>
        <v>0</v>
      </c>
      <c r="AQ10" s="22">
        <f t="shared" si="57"/>
        <v>0</v>
      </c>
      <c r="AR10" s="22">
        <f t="shared" si="57"/>
        <v>0</v>
      </c>
      <c r="AS10" s="22">
        <f t="shared" si="57"/>
        <v>0</v>
      </c>
      <c r="AT10" s="22">
        <f t="shared" si="57"/>
        <v>0</v>
      </c>
      <c r="AU10" s="22">
        <f t="shared" si="57"/>
        <v>0</v>
      </c>
      <c r="AV10" s="22">
        <f t="shared" si="57"/>
        <v>0</v>
      </c>
      <c r="AW10" s="22">
        <f t="shared" si="57"/>
        <v>1.7006802721088435E-3</v>
      </c>
      <c r="AX10" s="22">
        <f t="shared" si="57"/>
        <v>1.3726835964310226E-3</v>
      </c>
      <c r="AY10" s="22">
        <f t="shared" si="57"/>
        <v>1.5723270440251573E-3</v>
      </c>
      <c r="AZ10" s="22">
        <f t="shared" si="57"/>
        <v>1.4436958614051972E-3</v>
      </c>
      <c r="BA10" s="22">
        <f t="shared" si="57"/>
        <v>1.9047619047619048E-3</v>
      </c>
      <c r="BB10" s="22">
        <f t="shared" si="57"/>
        <v>1.9629225736095966E-3</v>
      </c>
      <c r="BC10" s="22">
        <f t="shared" si="57"/>
        <v>1.8981880931837791E-3</v>
      </c>
      <c r="BD10" s="22">
        <f t="shared" si="57"/>
        <v>2.3377337733773377E-3</v>
      </c>
      <c r="BE10" s="22">
        <f t="shared" si="57"/>
        <v>2.5926326023549746E-3</v>
      </c>
      <c r="BF10" s="22">
        <f t="shared" si="57"/>
        <v>2.2714366837024418E-3</v>
      </c>
      <c r="BG10" s="22">
        <f t="shared" si="57"/>
        <v>2.8720626631853785E-3</v>
      </c>
      <c r="BH10" s="22">
        <f t="shared" si="57"/>
        <v>3.3756549778315194E-3</v>
      </c>
      <c r="BI10" s="22">
        <f t="shared" si="57"/>
        <v>3.7815693512807816E-3</v>
      </c>
      <c r="BJ10" s="22">
        <f t="shared" si="57"/>
        <v>3.7791983275037187E-3</v>
      </c>
      <c r="BK10" s="22">
        <f t="shared" si="57"/>
        <v>4.2332048458149779E-3</v>
      </c>
      <c r="BL10" s="22">
        <f t="shared" si="57"/>
        <v>4.7595949796883528E-3</v>
      </c>
      <c r="BM10" s="22">
        <f t="shared" si="57"/>
        <v>5.519384829729657E-3</v>
      </c>
      <c r="BN10" s="22">
        <f t="shared" si="57"/>
        <v>6.0767445036187355E-3</v>
      </c>
      <c r="BO10" s="22">
        <f t="shared" si="57"/>
        <v>6.7228873031786283E-3</v>
      </c>
      <c r="BP10" s="22">
        <f t="shared" si="57"/>
        <v>7.5049831007886298E-3</v>
      </c>
      <c r="BQ10" s="22">
        <f t="shared" si="57"/>
        <v>8.5836218697157574E-3</v>
      </c>
      <c r="BR10" s="22">
        <f t="shared" si="57"/>
        <v>9.6434178066831123E-3</v>
      </c>
      <c r="BS10" s="22">
        <f t="shared" si="57"/>
        <v>1.0792669340463457E-2</v>
      </c>
      <c r="BT10" s="22">
        <f t="shared" si="57"/>
        <v>1.1814259297308404E-2</v>
      </c>
      <c r="BU10" s="22">
        <f t="shared" si="57"/>
        <v>1.3055168997806449E-2</v>
      </c>
      <c r="BV10" s="22">
        <f t="shared" si="57"/>
        <v>1.3986550971379677E-2</v>
      </c>
      <c r="BW10" s="22">
        <f t="shared" si="57"/>
        <v>1.5027265537193522E-2</v>
      </c>
      <c r="BX10" s="22">
        <f t="shared" si="57"/>
        <v>1.5820540734896079E-2</v>
      </c>
      <c r="BY10" s="22">
        <f t="shared" si="57"/>
        <v>1.7509238299765899E-2</v>
      </c>
      <c r="BZ10" s="22">
        <f t="shared" si="57"/>
        <v>1.87250959010988E-2</v>
      </c>
      <c r="CA10" s="22">
        <f t="shared" si="57"/>
        <v>2.0733300381302076E-2</v>
      </c>
      <c r="CB10" s="22">
        <f t="shared" si="57"/>
        <v>2.2059383488039534E-2</v>
      </c>
      <c r="CC10" s="22">
        <f t="shared" si="57"/>
        <v>2.2648582724214422E-2</v>
      </c>
      <c r="CD10" s="22">
        <f t="shared" si="57"/>
        <v>2.1904121433374963E-2</v>
      </c>
      <c r="CE10" s="22">
        <f t="shared" si="57"/>
        <v>2.3636335194831604E-2</v>
      </c>
      <c r="CF10" s="22">
        <f t="shared" ref="CF10:CK10" si="58">IF(CF4=0,"",CF5/CF4)</f>
        <v>2.4555630727597023E-2</v>
      </c>
      <c r="CG10" s="22">
        <f t="shared" si="58"/>
        <v>2.5076317572454113E-2</v>
      </c>
      <c r="CH10" s="22">
        <f t="shared" si="58"/>
        <v>2.8229427174163099E-2</v>
      </c>
      <c r="CI10" s="22">
        <f t="shared" si="58"/>
        <v>2.9426716437421022E-2</v>
      </c>
      <c r="CJ10" s="22">
        <f t="shared" si="58"/>
        <v>3.0778587947410483E-2</v>
      </c>
      <c r="CK10" s="22">
        <f t="shared" si="58"/>
        <v>3.1107421411728592E-2</v>
      </c>
      <c r="CL10" s="22">
        <f t="shared" ref="CL10:CR10" si="59">IF(CL4=0,"",CL5/CL4)</f>
        <v>3.1587502755124529E-2</v>
      </c>
      <c r="CM10" s="22">
        <f t="shared" si="59"/>
        <v>3.3060211471118213E-2</v>
      </c>
      <c r="CN10" s="22">
        <f t="shared" si="59"/>
        <v>3.3940023332501637E-2</v>
      </c>
      <c r="CO10" s="22">
        <f t="shared" si="59"/>
        <v>3.5041952100260211E-2</v>
      </c>
      <c r="CP10" s="22">
        <f t="shared" si="59"/>
        <v>3.6407212219762425E-2</v>
      </c>
      <c r="CQ10" s="22">
        <f t="shared" si="59"/>
        <v>3.7161530074387578E-2</v>
      </c>
      <c r="CR10" s="22">
        <f t="shared" si="59"/>
        <v>3.7549596519138986E-2</v>
      </c>
      <c r="CS10" s="22">
        <f t="shared" ref="CS10:DC10" si="60">IF(CS4=0,"",CS5/CS4)</f>
        <v>3.7877923559612094E-2</v>
      </c>
      <c r="CT10" s="22">
        <f t="shared" ref="CT10:EA10" si="61">IF(CT4=0,"",CT5/CT4)</f>
        <v>3.858703183461621E-2</v>
      </c>
      <c r="CU10" s="22">
        <f t="shared" si="61"/>
        <v>3.9484216318975439E-2</v>
      </c>
      <c r="CV10" s="22">
        <f t="shared" si="61"/>
        <v>4.0033676078222599E-2</v>
      </c>
      <c r="CW10" s="22">
        <f t="shared" si="61"/>
        <v>4.0629658485114316E-2</v>
      </c>
      <c r="CX10" s="22">
        <f t="shared" si="61"/>
        <v>4.1053895427147012E-2</v>
      </c>
      <c r="CY10" s="22">
        <f t="shared" si="61"/>
        <v>4.1293107106269739E-2</v>
      </c>
      <c r="CZ10" s="22">
        <f t="shared" si="61"/>
        <v>4.1445335136179255E-2</v>
      </c>
      <c r="DA10" s="22" t="str">
        <f t="shared" si="61"/>
        <v/>
      </c>
      <c r="DB10" s="22" t="str">
        <f t="shared" si="61"/>
        <v/>
      </c>
      <c r="DC10" s="22" t="str">
        <f t="shared" si="61"/>
        <v/>
      </c>
      <c r="DD10" s="22" t="str">
        <f t="shared" si="61"/>
        <v/>
      </c>
      <c r="DE10" s="22" t="str">
        <f t="shared" si="61"/>
        <v/>
      </c>
      <c r="DF10" s="22" t="str">
        <f t="shared" si="61"/>
        <v/>
      </c>
      <c r="DG10" s="22" t="str">
        <f t="shared" si="61"/>
        <v/>
      </c>
      <c r="DH10" s="22" t="str">
        <f t="shared" si="61"/>
        <v/>
      </c>
      <c r="DI10" s="22" t="str">
        <f t="shared" si="61"/>
        <v/>
      </c>
      <c r="DJ10" s="22" t="str">
        <f t="shared" si="61"/>
        <v/>
      </c>
      <c r="DK10" s="22" t="str">
        <f t="shared" si="61"/>
        <v/>
      </c>
      <c r="DL10" s="22" t="str">
        <f t="shared" si="61"/>
        <v/>
      </c>
      <c r="DM10" s="22" t="str">
        <f t="shared" si="61"/>
        <v/>
      </c>
      <c r="DN10" s="22" t="str">
        <f t="shared" si="61"/>
        <v/>
      </c>
      <c r="DO10" s="22" t="str">
        <f t="shared" si="61"/>
        <v/>
      </c>
      <c r="DP10" s="22" t="str">
        <f t="shared" si="61"/>
        <v/>
      </c>
      <c r="DQ10" s="22" t="str">
        <f t="shared" si="61"/>
        <v/>
      </c>
      <c r="DR10" s="22" t="str">
        <f t="shared" si="61"/>
        <v/>
      </c>
      <c r="DS10" s="22" t="str">
        <f t="shared" si="61"/>
        <v/>
      </c>
      <c r="DT10" s="22" t="str">
        <f t="shared" si="61"/>
        <v/>
      </c>
      <c r="DU10" s="22" t="str">
        <f t="shared" si="61"/>
        <v/>
      </c>
      <c r="DV10" s="22" t="str">
        <f t="shared" si="61"/>
        <v/>
      </c>
      <c r="DW10" s="22" t="str">
        <f t="shared" si="61"/>
        <v/>
      </c>
      <c r="DX10" s="22" t="str">
        <f t="shared" si="61"/>
        <v/>
      </c>
      <c r="DY10" s="22" t="str">
        <f t="shared" si="61"/>
        <v/>
      </c>
      <c r="DZ10" s="22" t="str">
        <f t="shared" si="61"/>
        <v/>
      </c>
      <c r="EA10" s="22" t="str">
        <f t="shared" si="61"/>
        <v/>
      </c>
    </row>
    <row r="11" spans="1:131" s="10" customFormat="1" ht="13.15" x14ac:dyDescent="0.4">
      <c r="A11" s="19" t="s">
        <v>379</v>
      </c>
      <c r="B11" s="21"/>
      <c r="C11" s="21" t="str">
        <f t="shared" ref="C11:AH11" si="62">IF(C4-B4,(2*B4-C4)/(C4-B4)+1,"infinite")</f>
        <v>infinite</v>
      </c>
      <c r="D11" s="21" t="str">
        <f t="shared" si="62"/>
        <v>infinite</v>
      </c>
      <c r="E11" s="21" t="str">
        <f t="shared" si="62"/>
        <v>infinite</v>
      </c>
      <c r="F11" s="21" t="str">
        <f t="shared" si="62"/>
        <v>infinite</v>
      </c>
      <c r="G11" s="21">
        <f t="shared" si="62"/>
        <v>0</v>
      </c>
      <c r="H11" s="21">
        <f t="shared" si="62"/>
        <v>0.33333333333333337</v>
      </c>
      <c r="I11" s="21" t="str">
        <f t="shared" si="62"/>
        <v>infinite</v>
      </c>
      <c r="J11" s="21" t="str">
        <f t="shared" si="62"/>
        <v>infinite</v>
      </c>
      <c r="K11" s="21">
        <f t="shared" si="62"/>
        <v>4</v>
      </c>
      <c r="L11" s="21">
        <f t="shared" si="62"/>
        <v>1.6666666666666665</v>
      </c>
      <c r="M11" s="21">
        <f t="shared" si="62"/>
        <v>4</v>
      </c>
      <c r="N11" s="21">
        <f t="shared" si="62"/>
        <v>5</v>
      </c>
      <c r="O11" s="21" t="str">
        <f t="shared" si="62"/>
        <v>infinite</v>
      </c>
      <c r="P11" s="21" t="str">
        <f t="shared" si="62"/>
        <v>infinite</v>
      </c>
      <c r="Q11" s="21" t="str">
        <f t="shared" si="62"/>
        <v>infinite</v>
      </c>
      <c r="R11" s="21">
        <f t="shared" si="62"/>
        <v>12</v>
      </c>
      <c r="S11" s="21" t="str">
        <f t="shared" si="62"/>
        <v>infinite</v>
      </c>
      <c r="T11" s="21">
        <f t="shared" si="62"/>
        <v>13</v>
      </c>
      <c r="U11" s="21" t="str">
        <f t="shared" si="62"/>
        <v>infinite</v>
      </c>
      <c r="V11" s="21">
        <f t="shared" si="62"/>
        <v>7</v>
      </c>
      <c r="W11" s="21" t="str">
        <f t="shared" si="62"/>
        <v>infinite</v>
      </c>
      <c r="X11" s="21" t="str">
        <f t="shared" si="62"/>
        <v>infinite</v>
      </c>
      <c r="Y11" s="21" t="str">
        <f t="shared" si="62"/>
        <v>infinite</v>
      </c>
      <c r="Z11" s="21" t="str">
        <f t="shared" si="62"/>
        <v>infinite</v>
      </c>
      <c r="AA11" s="21" t="str">
        <f t="shared" si="62"/>
        <v>infinite</v>
      </c>
      <c r="AB11" s="21" t="str">
        <f t="shared" si="62"/>
        <v>infinite</v>
      </c>
      <c r="AC11" s="21" t="str">
        <f t="shared" si="62"/>
        <v>infinite</v>
      </c>
      <c r="AD11" s="21" t="str">
        <f t="shared" si="62"/>
        <v>infinite</v>
      </c>
      <c r="AE11" s="21" t="str">
        <f t="shared" si="62"/>
        <v>infinite</v>
      </c>
      <c r="AF11" s="21" t="str">
        <f t="shared" si="62"/>
        <v>infinite</v>
      </c>
      <c r="AG11" s="21" t="str">
        <f t="shared" si="62"/>
        <v>infinite</v>
      </c>
      <c r="AH11" s="21" t="str">
        <f t="shared" si="62"/>
        <v>infinite</v>
      </c>
      <c r="AI11" s="21" t="str">
        <f t="shared" ref="AI11:BN11" si="63">IF(AI4-AH4,(2*AH4-AI4)/(AI4-AH4)+1,"infinite")</f>
        <v>infinite</v>
      </c>
      <c r="AJ11" s="21">
        <f t="shared" si="63"/>
        <v>16</v>
      </c>
      <c r="AK11" s="21">
        <f t="shared" si="63"/>
        <v>1.7</v>
      </c>
      <c r="AL11" s="21">
        <f t="shared" si="63"/>
        <v>1.4210526315789473</v>
      </c>
      <c r="AM11" s="21">
        <f t="shared" si="63"/>
        <v>23</v>
      </c>
      <c r="AN11" s="21">
        <f t="shared" si="63"/>
        <v>1.5483870967741935</v>
      </c>
      <c r="AO11" s="21">
        <f t="shared" si="63"/>
        <v>1.5490196078431373</v>
      </c>
      <c r="AP11" s="21">
        <f t="shared" si="63"/>
        <v>4.4827586206896548</v>
      </c>
      <c r="AQ11" s="21">
        <f t="shared" si="63"/>
        <v>4.2972972972972974</v>
      </c>
      <c r="AR11" s="21">
        <f t="shared" si="63"/>
        <v>2.9696969696969697</v>
      </c>
      <c r="AS11" s="21">
        <f t="shared" si="63"/>
        <v>1.1909090909090909</v>
      </c>
      <c r="AT11" s="21">
        <f t="shared" si="63"/>
        <v>2.5638297872340425</v>
      </c>
      <c r="AU11" s="21">
        <f t="shared" si="63"/>
        <v>5.1937984496124034</v>
      </c>
      <c r="AV11" s="21">
        <f t="shared" si="63"/>
        <v>3.3153526970954359</v>
      </c>
      <c r="AW11" s="21">
        <f t="shared" si="63"/>
        <v>7.6470588235294121</v>
      </c>
      <c r="AX11" s="21">
        <f t="shared" si="63"/>
        <v>4.185053380782918</v>
      </c>
      <c r="AY11" s="21">
        <f t="shared" si="63"/>
        <v>3.2305986696230597</v>
      </c>
      <c r="AZ11" s="21">
        <f t="shared" si="63"/>
        <v>11.223529411764705</v>
      </c>
      <c r="BA11" s="21">
        <f t="shared" si="63"/>
        <v>1.3011897307451472</v>
      </c>
      <c r="BB11" s="21">
        <f t="shared" si="63"/>
        <v>4.0384615384615383</v>
      </c>
      <c r="BC11" s="21">
        <f t="shared" si="63"/>
        <v>3.7892561983471076</v>
      </c>
      <c r="BD11" s="21">
        <f t="shared" si="63"/>
        <v>3.9234935680433312</v>
      </c>
      <c r="BE11" s="21">
        <f t="shared" si="63"/>
        <v>3.6634760705289673</v>
      </c>
      <c r="BF11" s="21">
        <f t="shared" si="63"/>
        <v>3.0153094462540717</v>
      </c>
      <c r="BG11" s="21">
        <f t="shared" si="63"/>
        <v>4.118610090210491</v>
      </c>
      <c r="BH11" s="21">
        <f t="shared" si="63"/>
        <v>3.38339222614841</v>
      </c>
      <c r="BI11" s="21">
        <f t="shared" si="63"/>
        <v>8.3923890063424942</v>
      </c>
      <c r="BJ11" s="21">
        <f t="shared" si="63"/>
        <v>8.3507518796992493</v>
      </c>
      <c r="BK11" s="21">
        <f t="shared" si="63"/>
        <v>5.9462108534544589</v>
      </c>
      <c r="BL11" s="21">
        <f t="shared" si="63"/>
        <v>7.3933842239185754</v>
      </c>
      <c r="BM11" s="21">
        <f t="shared" si="63"/>
        <v>7.6057182384136501</v>
      </c>
      <c r="BN11" s="21">
        <f t="shared" si="63"/>
        <v>5.6421768707482993</v>
      </c>
      <c r="BO11" s="21">
        <f t="shared" ref="BO11:CE11" si="64">IF(BO4-BN4,(2*BN4-BO4)/(BO4-BN4)+1,"infinite")</f>
        <v>6.3375162267416707</v>
      </c>
      <c r="BP11" s="21">
        <f t="shared" si="64"/>
        <v>7.4547186400937866</v>
      </c>
      <c r="BQ11" s="21">
        <f t="shared" si="64"/>
        <v>13.112500000000001</v>
      </c>
      <c r="BR11" s="21">
        <f t="shared" si="64"/>
        <v>12.963465553235908</v>
      </c>
      <c r="BS11" s="21">
        <f t="shared" si="64"/>
        <v>13.586227909811091</v>
      </c>
      <c r="BT11" s="21">
        <f t="shared" si="64"/>
        <v>11.841688654353563</v>
      </c>
      <c r="BU11" s="21">
        <f t="shared" si="64"/>
        <v>11.249927766541463</v>
      </c>
      <c r="BV11" s="21">
        <f t="shared" si="64"/>
        <v>13.32191673212883</v>
      </c>
      <c r="BW11" s="21">
        <f t="shared" si="64"/>
        <v>18.479424285424692</v>
      </c>
      <c r="BX11" s="21">
        <f t="shared" si="64"/>
        <v>23.838253535102954</v>
      </c>
      <c r="BY11" s="21">
        <f t="shared" si="64"/>
        <v>30.79760073823439</v>
      </c>
      <c r="BZ11" s="21">
        <f t="shared" si="64"/>
        <v>24.102121706691538</v>
      </c>
      <c r="CA11" s="21">
        <f t="shared" si="64"/>
        <v>19.112906089117701</v>
      </c>
      <c r="CB11" s="21">
        <f t="shared" si="64"/>
        <v>23.192630501535312</v>
      </c>
      <c r="CC11" s="21">
        <f t="shared" si="64"/>
        <v>29.619298245614036</v>
      </c>
      <c r="CD11" s="21">
        <f t="shared" si="64"/>
        <v>44.636828644501279</v>
      </c>
      <c r="CE11" s="21">
        <f t="shared" si="64"/>
        <v>42.39918533604888</v>
      </c>
      <c r="CF11" s="21">
        <f t="shared" ref="CF11" si="65">IF(CF4-CE4,(2*CE4-CF4)/(CF4-CE4)+1,"infinite")</f>
        <v>57.643823264201984</v>
      </c>
      <c r="CG11" s="21">
        <f t="shared" ref="CG11" si="66">IF(CG4-CF4,(2*CF4-CG4)/(CG4-CF4)+1,"infinite")</f>
        <v>101.06604506604506</v>
      </c>
      <c r="CH11" s="21">
        <f t="shared" ref="CH11" si="67">IF(CH4-CG4,(2*CG4-CH4)/(CH4-CG4)+1,"infinite")</f>
        <v>38.70329994107248</v>
      </c>
      <c r="CI11" s="21">
        <f t="shared" ref="CI11" si="68">IF(CI4-CH4,(2*CH4-CI4)/(CI4-CH4)+1,"infinite")</f>
        <v>45.756536502546687</v>
      </c>
      <c r="CJ11" s="21">
        <f t="shared" ref="CJ11" si="69">IF(CJ4-CI4,(2*CI4-CJ4)/(CJ4-CI4)+1,"infinite")</f>
        <v>37.225736685590704</v>
      </c>
      <c r="CK11" s="21">
        <f t="shared" ref="CK11" si="70">IF(CK4-CJ4,(2*CJ4-CK4)/(CK4-CJ4)+1,"infinite")</f>
        <v>72.697686375321339</v>
      </c>
      <c r="CL11" s="21">
        <f t="shared" ref="CL11" si="71">IF(CL4-CK4,(2*CK4-CL4)/(CL4-CK4)+1,"infinite")</f>
        <v>77.818675352877307</v>
      </c>
      <c r="CM11" s="21">
        <f t="shared" ref="CM11" si="72">IF(CM4-CL4,(2*CL4-CM4)/(CM4-CL4)+1,"infinite")</f>
        <v>77.184476342371084</v>
      </c>
      <c r="CN11" s="21">
        <f t="shared" ref="CN11" si="73">IF(CN4-CM4,(2*CM4-CN4)/(CN4-CM4)+1,"infinite")</f>
        <v>119.95513866231647</v>
      </c>
      <c r="CO11" s="21">
        <f t="shared" ref="CO11" si="74">IF(CO4-CN4,(2*CN4-CO4)/(CO4-CN4)+1,"infinite")</f>
        <v>62.915146372507422</v>
      </c>
      <c r="CP11" s="21">
        <f t="shared" ref="CP11" si="75">IF(CP4-CO4,(2*CO4-CP4)/(CP4-CO4)+1,"infinite")</f>
        <v>60.720677146311971</v>
      </c>
      <c r="CQ11" s="21">
        <f t="shared" ref="CQ11" si="76">IF(CQ4-CP4,(2*CP4-CQ4)/(CQ4-CP4)+1,"infinite")</f>
        <v>81.887165775401073</v>
      </c>
      <c r="CR11" s="21">
        <f t="shared" ref="CR11" si="77">IF(CR4-CQ4,(2*CQ4-CR4)/(CR4-CQ4)+1,"infinite")</f>
        <v>102.3771466314399</v>
      </c>
      <c r="CS11" s="21">
        <f t="shared" ref="CS11" si="78">IF(CS4-CR4,(2*CR4-CS4)/(CS4-CR4)+1,"infinite")</f>
        <v>124.51312649164677</v>
      </c>
      <c r="CT11" s="21">
        <f t="shared" ref="CT11" si="79">IF(CT4-CS4,(2*CS4-CT4)/(CT4-CS4)+1,"infinite")</f>
        <v>159.68623481781376</v>
      </c>
      <c r="CU11" s="21">
        <f t="shared" ref="CU11" si="80">IF(CU4-CT4,(2*CT4-CU4)/(CU4-CT4)+1,"infinite")</f>
        <v>137.57192374350086</v>
      </c>
      <c r="CV11" s="21">
        <f t="shared" ref="CV11" si="81">IF(CV4-CU4,(2*CU4-CV4)/(CV4-CU4)+1,"infinite")</f>
        <v>98.286416717885686</v>
      </c>
      <c r="CW11" s="21">
        <f t="shared" ref="CW11" si="82">IF(CW4-CV4,(2*CV4-CW4)/(CW4-CV4)+1,"infinite")</f>
        <v>109.89047619047619</v>
      </c>
      <c r="CX11" s="21">
        <f t="shared" ref="CX11" si="83">IF(CX4-CW4,(2*CW4-CX4)/(CX4-CW4)+1,"infinite")</f>
        <v>152.63014981273409</v>
      </c>
      <c r="CY11" s="21">
        <f t="shared" ref="CY11" si="84">IF(CY4-CX4,(2*CX4-CY4)/(CY4-CX4)+1,"infinite")</f>
        <v>184.35617977528091</v>
      </c>
      <c r="CZ11" s="21">
        <f t="shared" ref="CZ11" si="85">IF(CZ4-CY4,(2*CY4-CZ4)/(CZ4-CY4)+1,"infinite")</f>
        <v>236.68149210903874</v>
      </c>
      <c r="DA11" s="21">
        <f t="shared" ref="DA11" si="86">IF(DA4-CZ4,(2*CZ4-DA4)/(DA4-CZ4)+1,"infinite")</f>
        <v>-1</v>
      </c>
      <c r="DB11" s="21" t="str">
        <f t="shared" ref="DB11" si="87">IF(DB4-DA4,(2*DA4-DB4)/(DB4-DA4)+1,"infinite")</f>
        <v>infinite</v>
      </c>
      <c r="DC11" s="21" t="str">
        <f t="shared" ref="DC11" si="88">IF(DC4-DB4,(2*DB4-DC4)/(DC4-DB4)+1,"infinite")</f>
        <v>infinite</v>
      </c>
      <c r="DD11" s="21" t="str">
        <f t="shared" ref="DD11" si="89">IF(DD4-DC4,(2*DC4-DD4)/(DD4-DC4)+1,"infinite")</f>
        <v>infinite</v>
      </c>
      <c r="DE11" s="21" t="str">
        <f t="shared" ref="DE11" si="90">IF(DE4-DD4,(2*DD4-DE4)/(DE4-DD4)+1,"infinite")</f>
        <v>infinite</v>
      </c>
      <c r="DF11" s="21" t="str">
        <f t="shared" ref="DF11" si="91">IF(DF4-DE4,(2*DE4-DF4)/(DF4-DE4)+1,"infinite")</f>
        <v>infinite</v>
      </c>
      <c r="DG11" s="21" t="str">
        <f t="shared" ref="DG11" si="92">IF(DG4-DF4,(2*DF4-DG4)/(DG4-DF4)+1,"infinite")</f>
        <v>infinite</v>
      </c>
      <c r="DH11" s="21" t="str">
        <f t="shared" ref="DH11" si="93">IF(DH4-DG4,(2*DG4-DH4)/(DH4-DG4)+1,"infinite")</f>
        <v>infinite</v>
      </c>
      <c r="DI11" s="21" t="str">
        <f t="shared" ref="DI11" si="94">IF(DI4-DH4,(2*DH4-DI4)/(DI4-DH4)+1,"infinite")</f>
        <v>infinite</v>
      </c>
      <c r="DJ11" s="21" t="str">
        <f t="shared" ref="DJ11" si="95">IF(DJ4-DI4,(2*DI4-DJ4)/(DJ4-DI4)+1,"infinite")</f>
        <v>infinite</v>
      </c>
      <c r="DK11" s="21" t="str">
        <f t="shared" ref="DK11" si="96">IF(DK4-DJ4,(2*DJ4-DK4)/(DK4-DJ4)+1,"infinite")</f>
        <v>infinite</v>
      </c>
      <c r="DL11" s="21" t="str">
        <f t="shared" ref="DL11" si="97">IF(DL4-DK4,(2*DK4-DL4)/(DL4-DK4)+1,"infinite")</f>
        <v>infinite</v>
      </c>
      <c r="DM11" s="21" t="str">
        <f t="shared" ref="DM11" si="98">IF(DM4-DL4,(2*DL4-DM4)/(DM4-DL4)+1,"infinite")</f>
        <v>infinite</v>
      </c>
      <c r="DN11" s="21" t="str">
        <f t="shared" ref="DN11" si="99">IF(DN4-DM4,(2*DM4-DN4)/(DN4-DM4)+1,"infinite")</f>
        <v>infinite</v>
      </c>
      <c r="DO11" s="21" t="str">
        <f t="shared" ref="DO11" si="100">IF(DO4-DN4,(2*DN4-DO4)/(DO4-DN4)+1,"infinite")</f>
        <v>infinite</v>
      </c>
      <c r="DP11" s="21" t="str">
        <f t="shared" ref="DP11" si="101">IF(DP4-DO4,(2*DO4-DP4)/(DP4-DO4)+1,"infinite")</f>
        <v>infinite</v>
      </c>
      <c r="DQ11" s="21" t="str">
        <f t="shared" ref="DQ11" si="102">IF(DQ4-DP4,(2*DP4-DQ4)/(DQ4-DP4)+1,"infinite")</f>
        <v>infinite</v>
      </c>
      <c r="DR11" s="21" t="str">
        <f t="shared" ref="DR11" si="103">IF(DR4-DQ4,(2*DQ4-DR4)/(DR4-DQ4)+1,"infinite")</f>
        <v>infinite</v>
      </c>
      <c r="DS11" s="21" t="str">
        <f t="shared" ref="DS11" si="104">IF(DS4-DR4,(2*DR4-DS4)/(DS4-DR4)+1,"infinite")</f>
        <v>infinite</v>
      </c>
      <c r="DT11" s="21" t="str">
        <f t="shared" ref="DT11" si="105">IF(DT4-DS4,(2*DS4-DT4)/(DT4-DS4)+1,"infinite")</f>
        <v>infinite</v>
      </c>
      <c r="DU11" s="21" t="str">
        <f t="shared" ref="DU11" si="106">IF(DU4-DT4,(2*DT4-DU4)/(DU4-DT4)+1,"infinite")</f>
        <v>infinite</v>
      </c>
      <c r="DV11" s="21" t="str">
        <f t="shared" ref="DV11" si="107">IF(DV4-DU4,(2*DU4-DV4)/(DV4-DU4)+1,"infinite")</f>
        <v>infinite</v>
      </c>
      <c r="DW11" s="21" t="str">
        <f t="shared" ref="DW11" si="108">IF(DW4-DV4,(2*DV4-DW4)/(DW4-DV4)+1,"infinite")</f>
        <v>infinite</v>
      </c>
      <c r="DX11" s="21" t="str">
        <f t="shared" ref="DX11" si="109">IF(DX4-DW4,(2*DW4-DX4)/(DX4-DW4)+1,"infinite")</f>
        <v>infinite</v>
      </c>
      <c r="DY11" s="21" t="str">
        <f t="shared" ref="DY11" si="110">IF(DY4-DX4,(2*DX4-DY4)/(DY4-DX4)+1,"infinite")</f>
        <v>infinite</v>
      </c>
      <c r="DZ11" s="21" t="str">
        <f t="shared" ref="DZ11" si="111">IF(DZ4-DY4,(2*DY4-DZ4)/(DZ4-DY4)+1,"infinite")</f>
        <v>infinite</v>
      </c>
      <c r="EA11" s="21" t="str">
        <f t="shared" ref="EA11" si="112">IF(EA4-DZ4,(2*DZ4-EA4)/(EA4-DZ4)+1,"infinite")</f>
        <v>infinite</v>
      </c>
    </row>
    <row r="12" spans="1:131" s="10" customFormat="1" ht="13.15" x14ac:dyDescent="0.4">
      <c r="A12" s="19" t="s">
        <v>364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2">
        <f t="shared" ref="AO12:CE12" si="113">IF(AO4=0,"",AO6/AO4)</f>
        <v>0.12307692307692308</v>
      </c>
      <c r="AP12" s="22">
        <f t="shared" si="113"/>
        <v>0.10062893081761007</v>
      </c>
      <c r="AQ12" s="22">
        <f t="shared" si="113"/>
        <v>8.1632653061224483E-2</v>
      </c>
      <c r="AR12" s="22">
        <f t="shared" si="113"/>
        <v>6.1068702290076333E-2</v>
      </c>
      <c r="AS12" s="22">
        <f t="shared" si="113"/>
        <v>3.3195020746887967E-2</v>
      </c>
      <c r="AT12" s="22">
        <f t="shared" si="113"/>
        <v>2.5373134328358207E-2</v>
      </c>
      <c r="AU12" s="22">
        <f t="shared" si="113"/>
        <v>2.2528160200250311E-2</v>
      </c>
      <c r="AV12" s="22">
        <f t="shared" si="113"/>
        <v>1.7307692307692309E-2</v>
      </c>
      <c r="AW12" s="22">
        <f t="shared" si="113"/>
        <v>1.5306122448979591E-2</v>
      </c>
      <c r="AX12" s="22">
        <f t="shared" si="113"/>
        <v>1.2354152367879203E-2</v>
      </c>
      <c r="AY12" s="22">
        <f t="shared" si="113"/>
        <v>1.310272536687631E-2</v>
      </c>
      <c r="AZ12" s="22">
        <f t="shared" si="113"/>
        <v>1.203079884504331E-2</v>
      </c>
      <c r="BA12" s="22">
        <f t="shared" si="113"/>
        <v>1.2517006802721088E-2</v>
      </c>
      <c r="BB12" s="22">
        <f t="shared" si="113"/>
        <v>1.0032715376226827E-2</v>
      </c>
      <c r="BC12" s="22">
        <f t="shared" si="113"/>
        <v>7.9378774805867122E-3</v>
      </c>
      <c r="BD12" s="22">
        <f t="shared" si="113"/>
        <v>9.2134213421342127E-3</v>
      </c>
      <c r="BE12" s="22">
        <f t="shared" si="113"/>
        <v>7.2377660149076373E-3</v>
      </c>
      <c r="BF12" s="22">
        <f t="shared" si="113"/>
        <v>8.5178875638841564E-3</v>
      </c>
      <c r="BG12" s="22">
        <f t="shared" si="113"/>
        <v>7.3759791122715405E-3</v>
      </c>
      <c r="BH12" s="22">
        <f t="shared" si="113"/>
        <v>9.068923821039904E-3</v>
      </c>
      <c r="BI12" s="22">
        <f t="shared" si="113"/>
        <v>1.0489353081528834E-2</v>
      </c>
      <c r="BJ12" s="22">
        <f t="shared" si="113"/>
        <v>1.0694327182084991E-2</v>
      </c>
      <c r="BK12" s="22">
        <f t="shared" si="113"/>
        <v>9.1547356828193833E-3</v>
      </c>
      <c r="BL12" s="22">
        <f t="shared" si="113"/>
        <v>9.8314436427575341E-2</v>
      </c>
      <c r="BM12" s="22">
        <f t="shared" si="113"/>
        <v>9.5035232966267452E-2</v>
      </c>
      <c r="BN12" s="22">
        <f t="shared" si="113"/>
        <v>0.12911375119486548</v>
      </c>
      <c r="BO12" s="22">
        <f t="shared" si="113"/>
        <v>0.13088006919462955</v>
      </c>
      <c r="BP12" s="22">
        <f t="shared" si="113"/>
        <v>0.14699714013346044</v>
      </c>
      <c r="BQ12" s="22">
        <f t="shared" si="113"/>
        <v>0.14833722521942186</v>
      </c>
      <c r="BR12" s="22">
        <f t="shared" si="113"/>
        <v>0.20183897734918144</v>
      </c>
      <c r="BS12" s="22">
        <f t="shared" si="113"/>
        <v>0.2242090017825312</v>
      </c>
      <c r="BT12" s="22">
        <f t="shared" si="113"/>
        <v>0.24013766180398602</v>
      </c>
      <c r="BU12" s="22">
        <f t="shared" si="113"/>
        <v>0.26464136613439632</v>
      </c>
      <c r="BV12" s="22">
        <f t="shared" si="113"/>
        <v>0.26958391382090635</v>
      </c>
      <c r="BW12" s="22">
        <f t="shared" si="113"/>
        <v>0.27473671065229155</v>
      </c>
      <c r="BX12" s="22">
        <f t="shared" si="113"/>
        <v>0.28664742366888729</v>
      </c>
      <c r="BY12" s="22">
        <f t="shared" si="113"/>
        <v>0.27763267359297311</v>
      </c>
      <c r="BZ12" s="22">
        <f t="shared" si="113"/>
        <v>0.33512906012279053</v>
      </c>
      <c r="CA12" s="22">
        <f t="shared" si="113"/>
        <v>0.40866403050416605</v>
      </c>
      <c r="CB12" s="22">
        <f t="shared" si="113"/>
        <v>0.44344691617095811</v>
      </c>
      <c r="CC12" s="22">
        <f t="shared" si="113"/>
        <v>0.44129130481047057</v>
      </c>
      <c r="CD12" s="22">
        <f t="shared" si="113"/>
        <v>0.45953822013001572</v>
      </c>
      <c r="CE12" s="22">
        <f t="shared" si="113"/>
        <v>0.47163170491341688</v>
      </c>
      <c r="CF12" s="22">
        <f t="shared" ref="CF12:CK12" si="114">IF(CF4=0,"",CF6/CF4)</f>
        <v>0.4943415954240728</v>
      </c>
      <c r="CG12" s="22">
        <f t="shared" si="114"/>
        <v>0.51918787445093217</v>
      </c>
      <c r="CH12" s="22">
        <f t="shared" si="114"/>
        <v>0.53876351546904333</v>
      </c>
      <c r="CI12" s="22">
        <f t="shared" si="114"/>
        <v>0.55919475954625342</v>
      </c>
      <c r="CJ12" s="22">
        <f t="shared" si="114"/>
        <v>0.58780596476587199</v>
      </c>
      <c r="CK12" s="22">
        <f t="shared" si="114"/>
        <v>0.59577792970657584</v>
      </c>
      <c r="CL12" s="22">
        <f t="shared" ref="CL12:CR12" si="115">IF(CL4=0,"",CL6/CL4)</f>
        <v>0.6061273969583425</v>
      </c>
      <c r="CM12" s="22">
        <f t="shared" si="115"/>
        <v>0.62217386869751468</v>
      </c>
      <c r="CN12" s="22">
        <f t="shared" si="115"/>
        <v>0.64198096984982234</v>
      </c>
      <c r="CO12" s="22">
        <f t="shared" si="115"/>
        <v>0.65981626042164521</v>
      </c>
      <c r="CP12" s="22">
        <f t="shared" si="115"/>
        <v>0.67459462283434224</v>
      </c>
      <c r="CQ12" s="22">
        <f t="shared" si="115"/>
        <v>0.70839166704301315</v>
      </c>
      <c r="CR12" s="22">
        <f t="shared" si="115"/>
        <v>0.70153916927028426</v>
      </c>
      <c r="CS12" s="22">
        <f t="shared" ref="CS12:DC12" si="116">IF(CS4=0,"",CS6/CS4)</f>
        <v>0.70989414971160547</v>
      </c>
      <c r="CT12" s="22">
        <f t="shared" ref="CT12:EA12" si="117">IF(CT4=0,"",CT6/CT4)</f>
        <v>0.72122349739855629</v>
      </c>
      <c r="CU12" s="22">
        <f t="shared" si="117"/>
        <v>0.73415378458151981</v>
      </c>
      <c r="CV12" s="22">
        <f t="shared" si="117"/>
        <v>0.74533084889717038</v>
      </c>
      <c r="CW12" s="22">
        <f t="shared" si="117"/>
        <v>0.75762687949745111</v>
      </c>
      <c r="CX12" s="22">
        <f t="shared" si="117"/>
        <v>0.77341735892294472</v>
      </c>
      <c r="CY12" s="22">
        <f t="shared" si="117"/>
        <v>0.78197457673352855</v>
      </c>
      <c r="CZ12" s="22">
        <f t="shared" si="117"/>
        <v>0.78834266949971021</v>
      </c>
      <c r="DA12" s="22" t="str">
        <f t="shared" si="117"/>
        <v/>
      </c>
      <c r="DB12" s="22" t="str">
        <f t="shared" si="117"/>
        <v/>
      </c>
      <c r="DC12" s="22" t="str">
        <f t="shared" si="117"/>
        <v/>
      </c>
      <c r="DD12" s="22" t="str">
        <f t="shared" si="117"/>
        <v/>
      </c>
      <c r="DE12" s="22" t="str">
        <f t="shared" si="117"/>
        <v/>
      </c>
      <c r="DF12" s="22" t="str">
        <f t="shared" si="117"/>
        <v/>
      </c>
      <c r="DG12" s="22" t="str">
        <f t="shared" si="117"/>
        <v/>
      </c>
      <c r="DH12" s="22" t="str">
        <f t="shared" si="117"/>
        <v/>
      </c>
      <c r="DI12" s="22" t="str">
        <f t="shared" si="117"/>
        <v/>
      </c>
      <c r="DJ12" s="22" t="str">
        <f t="shared" si="117"/>
        <v/>
      </c>
      <c r="DK12" s="22" t="str">
        <f t="shared" si="117"/>
        <v/>
      </c>
      <c r="DL12" s="22" t="str">
        <f t="shared" si="117"/>
        <v/>
      </c>
      <c r="DM12" s="22" t="str">
        <f t="shared" si="117"/>
        <v/>
      </c>
      <c r="DN12" s="22" t="str">
        <f t="shared" si="117"/>
        <v/>
      </c>
      <c r="DO12" s="22" t="str">
        <f t="shared" si="117"/>
        <v/>
      </c>
      <c r="DP12" s="22" t="str">
        <f t="shared" si="117"/>
        <v/>
      </c>
      <c r="DQ12" s="22" t="str">
        <f t="shared" si="117"/>
        <v/>
      </c>
      <c r="DR12" s="22" t="str">
        <f t="shared" si="117"/>
        <v/>
      </c>
      <c r="DS12" s="22" t="str">
        <f t="shared" si="117"/>
        <v/>
      </c>
      <c r="DT12" s="22" t="str">
        <f t="shared" si="117"/>
        <v/>
      </c>
      <c r="DU12" s="22" t="str">
        <f t="shared" si="117"/>
        <v/>
      </c>
      <c r="DV12" s="22" t="str">
        <f t="shared" si="117"/>
        <v/>
      </c>
      <c r="DW12" s="22" t="str">
        <f t="shared" si="117"/>
        <v/>
      </c>
      <c r="DX12" s="22" t="str">
        <f t="shared" si="117"/>
        <v/>
      </c>
      <c r="DY12" s="22" t="str">
        <f t="shared" si="117"/>
        <v/>
      </c>
      <c r="DZ12" s="22" t="str">
        <f t="shared" si="117"/>
        <v/>
      </c>
      <c r="EA12" s="22" t="str">
        <f t="shared" si="117"/>
        <v/>
      </c>
    </row>
    <row r="13" spans="1:131" s="11" customFormat="1" x14ac:dyDescent="0.4">
      <c r="A13" s="19" t="s">
        <v>377</v>
      </c>
      <c r="B13" s="12"/>
      <c r="AO13" s="21" t="e">
        <f t="shared" ref="AO13:CR13" si="118">(AO4-AN4)/(AO6-AN6)</f>
        <v>#DIV/0!</v>
      </c>
      <c r="AP13" s="21" t="e">
        <f t="shared" si="118"/>
        <v>#DIV/0!</v>
      </c>
      <c r="AQ13" s="21" t="e">
        <f t="shared" si="118"/>
        <v>#DIV/0!</v>
      </c>
      <c r="AR13" s="21" t="e">
        <f t="shared" si="118"/>
        <v>#DIV/0!</v>
      </c>
      <c r="AS13" s="21" t="e">
        <f t="shared" si="118"/>
        <v>#DIV/0!</v>
      </c>
      <c r="AT13" s="21">
        <f t="shared" si="118"/>
        <v>188</v>
      </c>
      <c r="AU13" s="21">
        <f t="shared" si="118"/>
        <v>129</v>
      </c>
      <c r="AV13" s="21" t="e">
        <f t="shared" si="118"/>
        <v>#DIV/0!</v>
      </c>
      <c r="AW13" s="21" t="e">
        <f t="shared" si="118"/>
        <v>#DIV/0!</v>
      </c>
      <c r="AX13" s="21" t="e">
        <f t="shared" si="118"/>
        <v>#DIV/0!</v>
      </c>
      <c r="AY13" s="21">
        <f t="shared" si="118"/>
        <v>64.428571428571431</v>
      </c>
      <c r="AZ13" s="21" t="e">
        <f t="shared" si="118"/>
        <v>#DIV/0!</v>
      </c>
      <c r="BA13" s="21">
        <f t="shared" si="118"/>
        <v>76.047619047619051</v>
      </c>
      <c r="BB13" s="21" t="e">
        <f t="shared" si="118"/>
        <v>#DIV/0!</v>
      </c>
      <c r="BC13" s="21" t="e">
        <f t="shared" si="118"/>
        <v>#DIV/0!</v>
      </c>
      <c r="BD13" s="21">
        <f t="shared" si="118"/>
        <v>70.333333333333329</v>
      </c>
      <c r="BE13" s="21" t="e">
        <f t="shared" si="118"/>
        <v>#DIV/0!</v>
      </c>
      <c r="BF13" s="21">
        <f t="shared" si="118"/>
        <v>80.78947368421052</v>
      </c>
      <c r="BG13" s="21">
        <f t="shared" si="118"/>
        <v>374.125</v>
      </c>
      <c r="BH13" s="21">
        <f t="shared" si="118"/>
        <v>67.582089552238813</v>
      </c>
      <c r="BI13" s="21">
        <f t="shared" si="118"/>
        <v>44.622641509433961</v>
      </c>
      <c r="BJ13" s="21">
        <f t="shared" si="118"/>
        <v>80.606060606060609</v>
      </c>
      <c r="BK13" s="21" t="e">
        <f t="shared" si="118"/>
        <v>#DIV/0!</v>
      </c>
      <c r="BL13" s="21">
        <f t="shared" si="118"/>
        <v>1.3201209271078267</v>
      </c>
      <c r="BM13" s="21">
        <f t="shared" si="118"/>
        <v>14.266447368421053</v>
      </c>
      <c r="BN13" s="21">
        <f t="shared" si="118"/>
        <v>3.1114769520225778</v>
      </c>
      <c r="BO13" s="21">
        <f t="shared" si="118"/>
        <v>7.0385786802030461</v>
      </c>
      <c r="BP13" s="21">
        <f t="shared" si="118"/>
        <v>3.7432803071859571</v>
      </c>
      <c r="BQ13" s="21">
        <f t="shared" si="118"/>
        <v>6.0273972602739727</v>
      </c>
      <c r="BR13" s="21">
        <f t="shared" si="118"/>
        <v>1.1168104453252505</v>
      </c>
      <c r="BS13" s="21">
        <f t="shared" si="118"/>
        <v>1.8934615384615385</v>
      </c>
      <c r="BT13" s="21">
        <f t="shared" si="118"/>
        <v>2.3323076923076922</v>
      </c>
      <c r="BU13" s="21">
        <f t="shared" si="118"/>
        <v>1.8508021390374332</v>
      </c>
      <c r="BV13" s="21">
        <f t="shared" si="118"/>
        <v>2.9812646370023419</v>
      </c>
      <c r="BW13" s="21">
        <f t="shared" si="118"/>
        <v>2.7030136986301372</v>
      </c>
      <c r="BX13" s="21">
        <f t="shared" si="118"/>
        <v>1.7526086956521738</v>
      </c>
      <c r="BY13" s="21" t="e">
        <f t="shared" si="118"/>
        <v>#DIV/0!</v>
      </c>
      <c r="BZ13" s="21">
        <f t="shared" si="118"/>
        <v>0.58108657363500882</v>
      </c>
      <c r="CA13" s="21">
        <f t="shared" si="118"/>
        <v>0.55122810451120463</v>
      </c>
      <c r="CB13" s="21">
        <f t="shared" si="118"/>
        <v>0.79990175208776815</v>
      </c>
      <c r="CC13" s="21">
        <f t="shared" si="118"/>
        <v>2.6494023904382469</v>
      </c>
      <c r="CD13" s="21">
        <f t="shared" si="118"/>
        <v>0.78491540005735594</v>
      </c>
      <c r="CE13" s="21">
        <f t="shared" si="118"/>
        <v>1.0158620689655173</v>
      </c>
      <c r="CF13" s="21">
        <f t="shared" si="118"/>
        <v>0.55449999999999999</v>
      </c>
      <c r="CG13" s="21">
        <f t="shared" si="118"/>
        <v>0.33</v>
      </c>
      <c r="CH13" s="21">
        <f t="shared" si="118"/>
        <v>0.77136363636363636</v>
      </c>
      <c r="CI13" s="21">
        <f t="shared" si="118"/>
        <v>0.66931818181818181</v>
      </c>
      <c r="CJ13" s="21">
        <f t="shared" si="118"/>
        <v>0.60500490677134444</v>
      </c>
      <c r="CK13" s="21">
        <f t="shared" si="118"/>
        <v>0.85083114610673671</v>
      </c>
      <c r="CL13" s="21">
        <f t="shared" si="118"/>
        <v>0.70846153846153848</v>
      </c>
      <c r="CM13" s="21">
        <f t="shared" si="118"/>
        <v>0.53742857142857148</v>
      </c>
      <c r="CN13" s="21">
        <f t="shared" si="118"/>
        <v>0.33135135135135135</v>
      </c>
      <c r="CO13" s="21">
        <f t="shared" ref="CO13" si="119">(CO4-CN4)/(CO6-CN6)</f>
        <v>0.56119047619047624</v>
      </c>
      <c r="CP13" s="21">
        <f t="shared" si="118"/>
        <v>0.63615384615384618</v>
      </c>
      <c r="CQ13" s="21">
        <f t="shared" si="118"/>
        <v>0.28769230769230769</v>
      </c>
      <c r="CR13" s="21" t="e">
        <f t="shared" ref="CR13" si="120">(CR4-CQ4)/(CR6-CQ6)</f>
        <v>#DIV/0!</v>
      </c>
      <c r="CS13" s="21">
        <f t="shared" ref="CS13" si="121">(CS4-CR4)/(CS6-CR6)</f>
        <v>0.57136363636363641</v>
      </c>
      <c r="CT13" s="21">
        <f t="shared" ref="CT13" si="122">(CT4-CS4)/(CT6-CS6)</f>
        <v>0.3952</v>
      </c>
      <c r="CU13" s="21">
        <f t="shared" ref="CU13" si="123">(CU4-CT4)/(CU6-CT6)</f>
        <v>0.39793103448275863</v>
      </c>
      <c r="CV13" s="21">
        <f t="shared" ref="CV13" si="124">(CV4-CU4)/(CV6-CU6)</f>
        <v>0.54233333333333333</v>
      </c>
      <c r="CW13" s="21">
        <f t="shared" ref="CW13" si="125">(CW4-CV4)/(CW6-CV6)</f>
        <v>0.47419354838709676</v>
      </c>
      <c r="CX13" s="21">
        <f t="shared" ref="CX13" si="126">(CX4-CW4)/(CX6-CW6)</f>
        <v>0.31411764705882356</v>
      </c>
      <c r="CY13" s="21">
        <f t="shared" ref="CY13" si="127">(CY4-CX4)/(CY6-CX6)</f>
        <v>0.4238095238095238</v>
      </c>
      <c r="CZ13" s="21">
        <f>(CZ4-CY4)/(CZ6-CY6)</f>
        <v>0.43562499999999998</v>
      </c>
      <c r="DA13" s="21">
        <f t="shared" ref="DA13" si="128">(DA4-CZ4)/(DA6-CZ6)</f>
        <v>1.2684839203675344</v>
      </c>
      <c r="DB13" s="21" t="e">
        <f t="shared" ref="DB13" si="129">(DB4-DA4)/(DB6-DA6)</f>
        <v>#DIV/0!</v>
      </c>
      <c r="DC13" s="21" t="e">
        <f t="shared" ref="DC13" si="130">(DC4-DB4)/(DC6-DB6)</f>
        <v>#DIV/0!</v>
      </c>
      <c r="DD13" s="21" t="e">
        <f t="shared" ref="DD13" si="131">(DD4-DC4)/(DD6-DC6)</f>
        <v>#DIV/0!</v>
      </c>
      <c r="DE13" s="21" t="e">
        <f t="shared" ref="DE13" si="132">(DE4-DD4)/(DE6-DD6)</f>
        <v>#DIV/0!</v>
      </c>
      <c r="DF13" s="21" t="e">
        <f t="shared" ref="DF13" si="133">(DF4-DE4)/(DF6-DE6)</f>
        <v>#DIV/0!</v>
      </c>
      <c r="DG13" s="21" t="e">
        <f t="shared" ref="DG13" si="134">(DG4-DF4)/(DG6-DF6)</f>
        <v>#DIV/0!</v>
      </c>
      <c r="DH13" s="21" t="e">
        <f t="shared" ref="DH13" si="135">(DH4-DG4)/(DH6-DG6)</f>
        <v>#DIV/0!</v>
      </c>
      <c r="DI13" s="21" t="e">
        <f t="shared" ref="DI13" si="136">(DI4-DH4)/(DI6-DH6)</f>
        <v>#DIV/0!</v>
      </c>
      <c r="DJ13" s="21" t="e">
        <f t="shared" ref="DJ13" si="137">(DJ4-DI4)/(DJ6-DI6)</f>
        <v>#DIV/0!</v>
      </c>
      <c r="DK13" s="21" t="e">
        <f t="shared" ref="DK13" si="138">(DK4-DJ4)/(DK6-DJ6)</f>
        <v>#DIV/0!</v>
      </c>
      <c r="DL13" s="21" t="e">
        <f t="shared" ref="DL13" si="139">(DL4-DK4)/(DL6-DK6)</f>
        <v>#DIV/0!</v>
      </c>
      <c r="DM13" s="21" t="e">
        <f t="shared" ref="DM13" si="140">(DM4-DL4)/(DM6-DL6)</f>
        <v>#DIV/0!</v>
      </c>
      <c r="DN13" s="21" t="e">
        <f t="shared" ref="DN13" si="141">(DN4-DM4)/(DN6-DM6)</f>
        <v>#DIV/0!</v>
      </c>
      <c r="DO13" s="21" t="e">
        <f t="shared" ref="DO13" si="142">(DO4-DN4)/(DO6-DN6)</f>
        <v>#DIV/0!</v>
      </c>
      <c r="DP13" s="21" t="e">
        <f t="shared" ref="DP13" si="143">(DP4-DO4)/(DP6-DO6)</f>
        <v>#DIV/0!</v>
      </c>
      <c r="DQ13" s="21" t="e">
        <f t="shared" ref="DQ13" si="144">(DQ4-DP4)/(DQ6-DP6)</f>
        <v>#DIV/0!</v>
      </c>
      <c r="DR13" s="21" t="e">
        <f t="shared" ref="DR13" si="145">(DR4-DQ4)/(DR6-DQ6)</f>
        <v>#DIV/0!</v>
      </c>
      <c r="DS13" s="21" t="e">
        <f t="shared" ref="DS13" si="146">(DS4-DR4)/(DS6-DR6)</f>
        <v>#DIV/0!</v>
      </c>
      <c r="DT13" s="21" t="e">
        <f t="shared" ref="DT13" si="147">(DT4-DS4)/(DT6-DS6)</f>
        <v>#DIV/0!</v>
      </c>
      <c r="DU13" s="21" t="e">
        <f t="shared" ref="DU13" si="148">(DU4-DT4)/(DU6-DT6)</f>
        <v>#DIV/0!</v>
      </c>
      <c r="DV13" s="21" t="e">
        <f t="shared" ref="DV13" si="149">(DV4-DU4)/(DV6-DU6)</f>
        <v>#DIV/0!</v>
      </c>
      <c r="DW13" s="21" t="e">
        <f t="shared" ref="DW13" si="150">(DW4-DV4)/(DW6-DV6)</f>
        <v>#DIV/0!</v>
      </c>
      <c r="DX13" s="21" t="e">
        <f t="shared" ref="DX13" si="151">(DX4-DW4)/(DX6-DW6)</f>
        <v>#DIV/0!</v>
      </c>
      <c r="DY13" s="21" t="e">
        <f t="shared" ref="DY13" si="152">(DY4-DX4)/(DY6-DX6)</f>
        <v>#DIV/0!</v>
      </c>
      <c r="DZ13" s="21" t="e">
        <f t="shared" ref="DZ13" si="153">(DZ4-DY4)/(DZ6-DY6)</f>
        <v>#DIV/0!</v>
      </c>
      <c r="EA13" s="21" t="e">
        <f t="shared" ref="EA13" si="154">(EA4-DZ4)/(EA6-DZ6)</f>
        <v>#DIV/0!</v>
      </c>
    </row>
    <row r="14" spans="1:131" s="15" customFormat="1" ht="29.25" customHeight="1" x14ac:dyDescent="0.4">
      <c r="A14" s="13" t="s">
        <v>241</v>
      </c>
      <c r="B14" s="14"/>
    </row>
    <row r="15" spans="1:131" s="34" customFormat="1" ht="21.75" customHeight="1" x14ac:dyDescent="0.45">
      <c r="A15" s="34" t="s">
        <v>0</v>
      </c>
      <c r="B15" s="33" t="s">
        <v>378</v>
      </c>
      <c r="C15" s="34">
        <v>43853</v>
      </c>
      <c r="D15" s="34">
        <v>43854</v>
      </c>
      <c r="E15" s="34">
        <v>43855</v>
      </c>
      <c r="F15" s="34">
        <v>43856</v>
      </c>
      <c r="G15" s="34">
        <v>43857</v>
      </c>
      <c r="H15" s="34">
        <v>43858</v>
      </c>
      <c r="I15" s="34">
        <v>43859</v>
      </c>
      <c r="J15" s="34">
        <v>43860</v>
      </c>
      <c r="K15" s="34">
        <v>43861</v>
      </c>
      <c r="L15" s="34">
        <v>43862</v>
      </c>
      <c r="M15" s="34">
        <v>43863</v>
      </c>
      <c r="N15" s="34">
        <v>43864</v>
      </c>
      <c r="O15" s="34">
        <v>43865</v>
      </c>
      <c r="P15" s="34">
        <v>43866</v>
      </c>
      <c r="Q15" s="34">
        <v>43867</v>
      </c>
      <c r="R15" s="34">
        <v>43868</v>
      </c>
      <c r="S15" s="34">
        <v>43869</v>
      </c>
      <c r="T15" s="34">
        <v>43870</v>
      </c>
      <c r="U15" s="34">
        <v>43871</v>
      </c>
      <c r="V15" s="34">
        <v>43872</v>
      </c>
      <c r="W15" s="34">
        <v>43873</v>
      </c>
      <c r="X15" s="34">
        <v>43874</v>
      </c>
      <c r="Y15" s="34">
        <v>43875</v>
      </c>
      <c r="Z15" s="34">
        <v>43876</v>
      </c>
      <c r="AA15" s="34">
        <v>43877</v>
      </c>
      <c r="AB15" s="34">
        <v>43878</v>
      </c>
      <c r="AC15" s="34">
        <v>43879</v>
      </c>
      <c r="AD15" s="34">
        <v>43880</v>
      </c>
      <c r="AE15" s="34">
        <v>43881</v>
      </c>
      <c r="AF15" s="34">
        <v>43882</v>
      </c>
      <c r="AG15" s="34">
        <v>43883</v>
      </c>
      <c r="AH15" s="34">
        <v>43884</v>
      </c>
      <c r="AI15" s="34">
        <v>43885</v>
      </c>
      <c r="AJ15" s="34">
        <v>43886</v>
      </c>
      <c r="AK15" s="34">
        <v>43887</v>
      </c>
      <c r="AL15" s="34">
        <v>43888</v>
      </c>
      <c r="AM15" s="34">
        <v>43889</v>
      </c>
      <c r="AN15" s="34">
        <v>43890</v>
      </c>
      <c r="AO15" s="34">
        <v>43891</v>
      </c>
      <c r="AP15" s="34">
        <v>43892</v>
      </c>
      <c r="AQ15" s="34">
        <v>43893</v>
      </c>
      <c r="AR15" s="34">
        <v>43894</v>
      </c>
      <c r="AS15" s="34">
        <v>43895</v>
      </c>
      <c r="AT15" s="34">
        <v>43896</v>
      </c>
      <c r="AU15" s="34">
        <v>43897</v>
      </c>
      <c r="AV15" s="34">
        <v>43898</v>
      </c>
      <c r="AW15" s="34">
        <v>43899</v>
      </c>
      <c r="AX15" s="34">
        <v>43900</v>
      </c>
      <c r="AY15" s="34">
        <v>43901</v>
      </c>
      <c r="AZ15" s="34">
        <v>43902</v>
      </c>
      <c r="BA15" s="34">
        <v>43903</v>
      </c>
      <c r="BB15" s="34">
        <v>43904</v>
      </c>
      <c r="BC15" s="34">
        <v>43905</v>
      </c>
      <c r="BD15" s="34">
        <v>43906</v>
      </c>
      <c r="BE15" s="34">
        <v>43907</v>
      </c>
      <c r="BF15" s="34">
        <v>43908</v>
      </c>
      <c r="BG15" s="34">
        <v>43909</v>
      </c>
      <c r="BH15" s="34">
        <v>43910</v>
      </c>
      <c r="BI15" s="34">
        <v>43911</v>
      </c>
      <c r="BJ15" s="34">
        <v>43912</v>
      </c>
      <c r="BK15" s="34">
        <v>43913</v>
      </c>
      <c r="BL15" s="34">
        <v>43914</v>
      </c>
      <c r="BM15" s="34">
        <v>43915</v>
      </c>
      <c r="BN15" s="34">
        <v>43916</v>
      </c>
      <c r="BO15" s="34">
        <v>43917</v>
      </c>
      <c r="BP15" s="34">
        <v>43918</v>
      </c>
      <c r="BQ15" s="34">
        <v>43919</v>
      </c>
      <c r="BR15" s="34">
        <v>43920</v>
      </c>
      <c r="BS15" s="34">
        <v>43921</v>
      </c>
      <c r="BT15" s="34">
        <v>43922</v>
      </c>
      <c r="BU15" s="34">
        <v>43923</v>
      </c>
      <c r="BV15" s="34">
        <v>43924</v>
      </c>
      <c r="BW15" s="34">
        <v>43925</v>
      </c>
      <c r="BX15" s="34">
        <v>43926</v>
      </c>
      <c r="BY15" s="34">
        <v>43927</v>
      </c>
      <c r="BZ15" s="34">
        <v>43928</v>
      </c>
      <c r="CA15" s="34">
        <v>43929</v>
      </c>
      <c r="CB15" s="34">
        <v>43930</v>
      </c>
      <c r="CC15" s="34">
        <v>43931</v>
      </c>
      <c r="CD15" s="34">
        <v>43932</v>
      </c>
      <c r="CE15" s="34">
        <v>43933</v>
      </c>
      <c r="CF15" s="34">
        <v>43934</v>
      </c>
      <c r="CG15" s="34">
        <v>43935</v>
      </c>
      <c r="CH15" s="34">
        <v>43936</v>
      </c>
      <c r="CI15" s="34">
        <v>43937</v>
      </c>
      <c r="CJ15" s="34">
        <v>43938</v>
      </c>
      <c r="CK15" s="34">
        <v>43939</v>
      </c>
      <c r="CL15" s="34">
        <v>43940</v>
      </c>
      <c r="CM15" s="34">
        <v>43941</v>
      </c>
      <c r="CN15" s="34">
        <v>43942</v>
      </c>
      <c r="CO15" s="34">
        <v>43943</v>
      </c>
      <c r="CP15" s="34">
        <v>43944</v>
      </c>
      <c r="CQ15" s="34">
        <v>43945</v>
      </c>
      <c r="CR15" s="34">
        <v>43946</v>
      </c>
      <c r="CS15" s="34">
        <v>43947</v>
      </c>
      <c r="CT15" s="34">
        <v>43948</v>
      </c>
      <c r="CU15" s="34">
        <v>43949</v>
      </c>
      <c r="CV15" s="34">
        <v>43950</v>
      </c>
      <c r="CW15" s="34">
        <v>43951</v>
      </c>
      <c r="CX15" s="34">
        <v>43952</v>
      </c>
      <c r="CY15" s="34">
        <v>43953</v>
      </c>
      <c r="CZ15" s="34">
        <v>43954</v>
      </c>
      <c r="DA15" s="34">
        <v>43955</v>
      </c>
      <c r="DB15" s="34">
        <v>43956</v>
      </c>
      <c r="DC15" s="34">
        <v>43957</v>
      </c>
      <c r="DD15" s="34">
        <v>43958</v>
      </c>
      <c r="DE15" s="34">
        <v>43959</v>
      </c>
      <c r="DF15" s="34">
        <v>43960</v>
      </c>
      <c r="DG15" s="34">
        <v>43961</v>
      </c>
      <c r="DH15" s="34">
        <v>43962</v>
      </c>
      <c r="DI15" s="34">
        <v>43963</v>
      </c>
      <c r="DJ15" s="34">
        <v>43964</v>
      </c>
      <c r="DK15" s="34">
        <v>43965</v>
      </c>
      <c r="DL15" s="34">
        <v>43966</v>
      </c>
      <c r="DM15" s="34">
        <v>43967</v>
      </c>
      <c r="DN15" s="34">
        <v>43968</v>
      </c>
      <c r="DO15" s="34">
        <v>43969</v>
      </c>
      <c r="DP15" s="34">
        <v>43970</v>
      </c>
      <c r="DQ15" s="34">
        <v>43971</v>
      </c>
      <c r="DR15" s="34">
        <v>43972</v>
      </c>
      <c r="DS15" s="34">
        <v>43973</v>
      </c>
      <c r="DT15" s="34">
        <v>43974</v>
      </c>
      <c r="DU15" s="34">
        <v>43975</v>
      </c>
      <c r="DV15" s="34">
        <v>43976</v>
      </c>
      <c r="DW15" s="34">
        <v>43977</v>
      </c>
      <c r="DX15" s="34">
        <v>43978</v>
      </c>
      <c r="DY15" s="34">
        <v>43979</v>
      </c>
      <c r="DZ15" s="34">
        <v>43980</v>
      </c>
      <c r="EA15" s="34">
        <v>43981</v>
      </c>
    </row>
    <row r="16" spans="1:131" s="10" customFormat="1" ht="13.15" x14ac:dyDescent="0.4">
      <c r="A16" s="24" t="s">
        <v>15</v>
      </c>
      <c r="B16" s="25">
        <f>SUMIF(RAW_Cases!$B:$B,Overview!$A16,RAW_Cases!C:C)</f>
        <v>0</v>
      </c>
      <c r="C16" s="25">
        <f>SUMIF(RAW_Cases!$B:$B,Overview!$A16,RAW_Cases!D:D)</f>
        <v>0</v>
      </c>
      <c r="D16" s="25">
        <f>SUMIF(RAW_Cases!$B:$B,Overview!$A16,RAW_Cases!E:E)</f>
        <v>0</v>
      </c>
      <c r="E16" s="25">
        <f>SUMIF(RAW_Cases!$B:$B,Overview!$A16,RAW_Cases!F:F)</f>
        <v>0</v>
      </c>
      <c r="F16" s="25">
        <f>SUMIF(RAW_Cases!$B:$B,Overview!$A16,RAW_Cases!G:G)</f>
        <v>0</v>
      </c>
      <c r="G16" s="25">
        <f>SUMIF(RAW_Cases!$B:$B,Overview!$A16,RAW_Cases!H:H)</f>
        <v>1</v>
      </c>
      <c r="H16" s="25">
        <f>SUMIF(RAW_Cases!$B:$B,Overview!$A16,RAW_Cases!I:I)</f>
        <v>4</v>
      </c>
      <c r="I16" s="25">
        <f>SUMIF(RAW_Cases!$B:$B,Overview!$A16,RAW_Cases!J:J)</f>
        <v>4</v>
      </c>
      <c r="J16" s="25">
        <f>SUMIF(RAW_Cases!$B:$B,Overview!$A16,RAW_Cases!K:K)</f>
        <v>4</v>
      </c>
      <c r="K16" s="25">
        <f>SUMIF(RAW_Cases!$B:$B,Overview!$A16,RAW_Cases!L:L)</f>
        <v>5</v>
      </c>
      <c r="L16" s="25">
        <f>SUMIF(RAW_Cases!$B:$B,Overview!$A16,RAW_Cases!M:M)</f>
        <v>8</v>
      </c>
      <c r="M16" s="25">
        <f>SUMIF(RAW_Cases!$B:$B,Overview!$A16,RAW_Cases!N:N)</f>
        <v>10</v>
      </c>
      <c r="N16" s="25">
        <f>SUMIF(RAW_Cases!$B:$B,Overview!$A16,RAW_Cases!O:O)</f>
        <v>12</v>
      </c>
      <c r="O16" s="25">
        <f>SUMIF(RAW_Cases!$B:$B,Overview!$A16,RAW_Cases!P:P)</f>
        <v>12</v>
      </c>
      <c r="P16" s="25">
        <f>SUMIF(RAW_Cases!$B:$B,Overview!$A16,RAW_Cases!Q:Q)</f>
        <v>12</v>
      </c>
      <c r="Q16" s="25">
        <f>SUMIF(RAW_Cases!$B:$B,Overview!$A16,RAW_Cases!R:R)</f>
        <v>12</v>
      </c>
      <c r="R16" s="25">
        <f>SUMIF(RAW_Cases!$B:$B,Overview!$A16,RAW_Cases!S:S)</f>
        <v>13</v>
      </c>
      <c r="S16" s="25">
        <f>SUMIF(RAW_Cases!$B:$B,Overview!$A16,RAW_Cases!T:T)</f>
        <v>13</v>
      </c>
      <c r="T16" s="25">
        <f>SUMIF(RAW_Cases!$B:$B,Overview!$A16,RAW_Cases!U:U)</f>
        <v>14</v>
      </c>
      <c r="U16" s="25">
        <f>SUMIF(RAW_Cases!$B:$B,Overview!$A16,RAW_Cases!V:V)</f>
        <v>14</v>
      </c>
      <c r="V16" s="25">
        <f>SUMIF(RAW_Cases!$B:$B,Overview!$A16,RAW_Cases!W:W)</f>
        <v>16</v>
      </c>
      <c r="W16" s="25">
        <f>SUMIF(RAW_Cases!$B:$B,Overview!$A16,RAW_Cases!X:X)</f>
        <v>16</v>
      </c>
      <c r="X16" s="25">
        <f>SUMIF(RAW_Cases!$B:$B,Overview!$A16,RAW_Cases!Y:Y)</f>
        <v>16</v>
      </c>
      <c r="Y16" s="25">
        <f>SUMIF(RAW_Cases!$B:$B,Overview!$A16,RAW_Cases!Z:Z)</f>
        <v>16</v>
      </c>
      <c r="Z16" s="25">
        <f>SUMIF(RAW_Cases!$B:$B,Overview!$A16,RAW_Cases!AA:AA)</f>
        <v>16</v>
      </c>
      <c r="AA16" s="25">
        <f>SUMIF(RAW_Cases!$B:$B,Overview!$A16,RAW_Cases!AB:AB)</f>
        <v>16</v>
      </c>
      <c r="AB16" s="25">
        <f>SUMIF(RAW_Cases!$B:$B,Overview!$A16,RAW_Cases!AC:AC)</f>
        <v>16</v>
      </c>
      <c r="AC16" s="25">
        <f>SUMIF(RAW_Cases!$B:$B,Overview!$A16,RAW_Cases!AD:AD)</f>
        <v>16</v>
      </c>
      <c r="AD16" s="25">
        <f>SUMIF(RAW_Cases!$B:$B,Overview!$A16,RAW_Cases!AE:AE)</f>
        <v>16</v>
      </c>
      <c r="AE16" s="25">
        <f>SUMIF(RAW_Cases!$B:$B,Overview!$A16,RAW_Cases!AF:AF)</f>
        <v>16</v>
      </c>
      <c r="AF16" s="25">
        <f>SUMIF(RAW_Cases!$B:$B,Overview!$A16,RAW_Cases!AG:AG)</f>
        <v>16</v>
      </c>
      <c r="AG16" s="25">
        <f>SUMIF(RAW_Cases!$B:$B,Overview!$A16,RAW_Cases!AH:AH)</f>
        <v>16</v>
      </c>
      <c r="AH16" s="25">
        <f>SUMIF(RAW_Cases!$B:$B,Overview!$A16,RAW_Cases!AI:AI)</f>
        <v>16</v>
      </c>
      <c r="AI16" s="25">
        <f>SUMIF(RAW_Cases!$B:$B,Overview!$A16,RAW_Cases!AJ:AJ)</f>
        <v>16</v>
      </c>
      <c r="AJ16" s="25">
        <f>SUMIF(RAW_Cases!$B:$B,Overview!$A16,RAW_Cases!AK:AK)</f>
        <v>17</v>
      </c>
      <c r="AK16" s="25">
        <f>SUMIF(RAW_Cases!$B:$B,Overview!$A16,RAW_Cases!AL:AL)</f>
        <v>27</v>
      </c>
      <c r="AL16" s="25">
        <f>SUMIF(RAW_Cases!$B:$B,Overview!$A16,RAW_Cases!AM:AM)</f>
        <v>46</v>
      </c>
      <c r="AM16" s="25">
        <f>SUMIF(RAW_Cases!$B:$B,Overview!$A16,RAW_Cases!AN:AN)</f>
        <v>48</v>
      </c>
      <c r="AN16" s="25">
        <f>SUMIF(RAW_Cases!$B:$B,Overview!$A16,RAW_Cases!AO:AO)</f>
        <v>79</v>
      </c>
      <c r="AO16" s="25">
        <f>SUMIF(RAW_Cases!$B:$B,Overview!$A16,RAW_Cases!AP:AP)</f>
        <v>130</v>
      </c>
      <c r="AP16" s="25">
        <f>SUMIF(RAW_Cases!$B:$B,Overview!$A16,RAW_Cases!AQ:AQ)</f>
        <v>159</v>
      </c>
      <c r="AQ16" s="25">
        <f>SUMIF(RAW_Cases!$B:$B,Overview!$A16,RAW_Cases!AR:AR)</f>
        <v>196</v>
      </c>
      <c r="AR16" s="25">
        <f>SUMIF(RAW_Cases!$B:$B,Overview!$A16,RAW_Cases!AS:AS)</f>
        <v>262</v>
      </c>
      <c r="AS16" s="25">
        <f>SUMIF(RAW_Cases!$B:$B,Overview!$A16,RAW_Cases!AT:AT)</f>
        <v>482</v>
      </c>
      <c r="AT16" s="25">
        <f>SUMIF(RAW_Cases!$B:$B,Overview!$A16,RAW_Cases!AU:AU)</f>
        <v>670</v>
      </c>
      <c r="AU16" s="25">
        <f>SUMIF(RAW_Cases!$B:$B,Overview!$A16,RAW_Cases!AV:AV)</f>
        <v>799</v>
      </c>
      <c r="AV16" s="25">
        <f>SUMIF(RAW_Cases!$B:$B,Overview!$A16,RAW_Cases!AW:AW)</f>
        <v>1040</v>
      </c>
      <c r="AW16" s="25">
        <f>SUMIF(RAW_Cases!$B:$B,Overview!$A16,RAW_Cases!AX:AX)</f>
        <v>1176</v>
      </c>
      <c r="AX16" s="25">
        <f>SUMIF(RAW_Cases!$B:$B,Overview!$A16,RAW_Cases!AY:AY)</f>
        <v>1457</v>
      </c>
      <c r="AY16" s="25">
        <f>SUMIF(RAW_Cases!$B:$B,Overview!$A16,RAW_Cases!AZ:AZ)</f>
        <v>1908</v>
      </c>
      <c r="AZ16" s="25">
        <f>SUMIF(RAW_Cases!$B:$B,Overview!$A16,RAW_Cases!BA:BA)</f>
        <v>2078</v>
      </c>
      <c r="BA16" s="25">
        <f>SUMIF(RAW_Cases!$B:$B,Overview!$A16,RAW_Cases!BB:BB)</f>
        <v>3675</v>
      </c>
      <c r="BB16" s="25">
        <f>SUMIF(RAW_Cases!$B:$B,Overview!$A16,RAW_Cases!BC:BC)</f>
        <v>4585</v>
      </c>
      <c r="BC16" s="25">
        <f>SUMIF(RAW_Cases!$B:$B,Overview!$A16,RAW_Cases!BD:BD)</f>
        <v>5795</v>
      </c>
      <c r="BD16" s="25">
        <f>SUMIF(RAW_Cases!$B:$B,Overview!$A16,RAW_Cases!BE:BE)</f>
        <v>7272</v>
      </c>
      <c r="BE16" s="25">
        <f>SUMIF(RAW_Cases!$B:$B,Overview!$A16,RAW_Cases!BF:BF)</f>
        <v>9257</v>
      </c>
      <c r="BF16" s="25">
        <f>SUMIF(RAW_Cases!$B:$B,Overview!$A16,RAW_Cases!BG:BG)</f>
        <v>12327</v>
      </c>
      <c r="BG16" s="25">
        <f>SUMIF(RAW_Cases!$B:$B,Overview!$A16,RAW_Cases!BH:BH)</f>
        <v>15320</v>
      </c>
      <c r="BH16" s="25">
        <f>SUMIF(RAW_Cases!$B:$B,Overview!$A16,RAW_Cases!BI:BI)</f>
        <v>19848</v>
      </c>
      <c r="BI16" s="25">
        <f>SUMIF(RAW_Cases!$B:$B,Overview!$A16,RAW_Cases!BJ:BJ)</f>
        <v>22213</v>
      </c>
      <c r="BJ16" s="25">
        <f>SUMIF(RAW_Cases!$B:$B,Overview!$A16,RAW_Cases!BK:BK)</f>
        <v>24873</v>
      </c>
      <c r="BK16" s="25">
        <f>SUMIF(RAW_Cases!$B:$B,Overview!$A16,RAW_Cases!BL:BL)</f>
        <v>29056</v>
      </c>
      <c r="BL16" s="25">
        <f>SUMIF(RAW_Cases!$B:$B,Overview!$A16,RAW_Cases!BM:BM)</f>
        <v>32986</v>
      </c>
      <c r="BM16" s="25">
        <f>SUMIF(RAW_Cases!$B:$B,Overview!$A16,RAW_Cases!BN:BN)</f>
        <v>37323</v>
      </c>
      <c r="BN16" s="25">
        <f>SUMIF(RAW_Cases!$B:$B,Overview!$A16,RAW_Cases!BO:BO)</f>
        <v>43938</v>
      </c>
      <c r="BO16" s="25">
        <f>SUMIF(RAW_Cases!$B:$B,Overview!$A16,RAW_Cases!BP:BP)</f>
        <v>50871</v>
      </c>
      <c r="BP16" s="25">
        <f>SUMIF(RAW_Cases!$B:$B,Overview!$A16,RAW_Cases!BQ:BQ)</f>
        <v>57695</v>
      </c>
      <c r="BQ16" s="25">
        <f>SUMIF(RAW_Cases!$B:$B,Overview!$A16,RAW_Cases!BR:BR)</f>
        <v>62095</v>
      </c>
      <c r="BR16" s="25">
        <f>SUMIF(RAW_Cases!$B:$B,Overview!$A16,RAW_Cases!BS:BS)</f>
        <v>66885</v>
      </c>
      <c r="BS16" s="25">
        <f>SUMIF(RAW_Cases!$B:$B,Overview!$A16,RAW_Cases!BT:BT)</f>
        <v>71808</v>
      </c>
      <c r="BT16" s="25">
        <f>SUMIF(RAW_Cases!$B:$B,Overview!$A16,RAW_Cases!BU:BU)</f>
        <v>77872</v>
      </c>
      <c r="BU16" s="25">
        <f>SUMIF(RAW_Cases!$B:$B,Overview!$A16,RAW_Cases!BV:BV)</f>
        <v>84794</v>
      </c>
      <c r="BV16" s="25">
        <f>SUMIF(RAW_Cases!$B:$B,Overview!$A16,RAW_Cases!BW:BW)</f>
        <v>91159</v>
      </c>
      <c r="BW16" s="25">
        <f>SUMIF(RAW_Cases!$B:$B,Overview!$A16,RAW_Cases!BX:BX)</f>
        <v>96092</v>
      </c>
      <c r="BX16" s="25">
        <f>SUMIF(RAW_Cases!$B:$B,Overview!$A16,RAW_Cases!BY:BY)</f>
        <v>100123</v>
      </c>
      <c r="BY16" s="25">
        <f>SUMIF(RAW_Cases!$B:$B,Overview!$A16,RAW_Cases!BZ:BZ)</f>
        <v>103374</v>
      </c>
      <c r="BZ16" s="25">
        <f>SUMIF(RAW_Cases!$B:$B,Overview!$A16,RAW_Cases!CA:CA)</f>
        <v>107663</v>
      </c>
      <c r="CA16" s="25">
        <f>SUMIF(RAW_Cases!$B:$B,Overview!$A16,RAW_Cases!CB:CB)</f>
        <v>113296</v>
      </c>
      <c r="CB16" s="25">
        <f>SUMIF(RAW_Cases!$B:$B,Overview!$A16,RAW_Cases!CC:CC)</f>
        <v>118181</v>
      </c>
      <c r="CC16" s="25">
        <f>SUMIF(RAW_Cases!$B:$B,Overview!$A16,RAW_Cases!CD:CD)</f>
        <v>122171</v>
      </c>
      <c r="CD16" s="25">
        <f>SUMIF(RAW_Cases!$B:$B,Overview!$A16,RAW_Cases!CE:CE)</f>
        <v>124908</v>
      </c>
      <c r="CE16" s="25">
        <f>SUMIF(RAW_Cases!$B:$B,Overview!$A16,RAW_Cases!CF:CF)</f>
        <v>127854</v>
      </c>
      <c r="CF16" s="25">
        <f>SUMIF(RAW_Cases!$B:$B,Overview!$A16,RAW_Cases!CG:CG)</f>
        <v>130072</v>
      </c>
      <c r="CG16" s="25">
        <f>SUMIF(RAW_Cases!$B:$B,Overview!$A16,RAW_Cases!CH:CH)</f>
        <v>131359</v>
      </c>
      <c r="CH16" s="25">
        <f>SUMIF(RAW_Cases!$B:$B,Overview!$A16,RAW_Cases!CI:CI)</f>
        <v>134753</v>
      </c>
      <c r="CI16" s="25">
        <f>SUMIF(RAW_Cases!$B:$B,Overview!$A16,RAW_Cases!CJ:CJ)</f>
        <v>137698</v>
      </c>
      <c r="CJ16" s="25">
        <f>SUMIF(RAW_Cases!$B:$B,Overview!$A16,RAW_Cases!CK:CK)</f>
        <v>141397</v>
      </c>
      <c r="CK16" s="25">
        <f>SUMIF(RAW_Cases!$B:$B,Overview!$A16,RAW_Cases!CL:CL)</f>
        <v>143342</v>
      </c>
      <c r="CL16" s="25">
        <f>SUMIF(RAW_Cases!$B:$B,Overview!$A16,RAW_Cases!CM:CM)</f>
        <v>145184</v>
      </c>
      <c r="CM16" s="25">
        <f>SUMIF(RAW_Cases!$B:$B,Overview!$A16,RAW_Cases!CN:CN)</f>
        <v>147065</v>
      </c>
      <c r="CN16" s="25">
        <f>SUMIF(RAW_Cases!$B:$B,Overview!$A16,RAW_Cases!CO:CO)</f>
        <v>148291</v>
      </c>
      <c r="CO16" s="25">
        <f>SUMIF(RAW_Cases!$B:$B,Overview!$A16,RAW_Cases!CP:CP)</f>
        <v>150648</v>
      </c>
      <c r="CP16" s="25">
        <f>SUMIF(RAW_Cases!$B:$B,Overview!$A16,RAW_Cases!CQ:CQ)</f>
        <v>153129</v>
      </c>
      <c r="CQ16" s="25">
        <f>SUMIF(RAW_Cases!$B:$B,Overview!$A16,RAW_Cases!CR:CR)</f>
        <v>154999</v>
      </c>
      <c r="CR16" s="25">
        <f>SUMIF(RAW_Cases!$B:$B,Overview!$A16,RAW_Cases!CS:CS)</f>
        <v>156513</v>
      </c>
      <c r="CS16" s="25">
        <f>SUMIF(RAW_Cases!$B:$B,Overview!$A16,RAW_Cases!CT:CT)</f>
        <v>157770</v>
      </c>
      <c r="CT16" s="25">
        <f>SUMIF(RAW_Cases!$B:$B,Overview!$A16,RAW_Cases!CU:CU)</f>
        <v>158758</v>
      </c>
      <c r="CU16" s="25">
        <f>SUMIF(RAW_Cases!$B:$B,Overview!$A16,RAW_Cases!CV:CV)</f>
        <v>159912</v>
      </c>
      <c r="CV16" s="25">
        <f>SUMIF(RAW_Cases!$B:$B,Overview!$A16,RAW_Cases!CW:CW)</f>
        <v>161539</v>
      </c>
      <c r="CW16" s="25">
        <f>SUMIF(RAW_Cases!$B:$B,Overview!$A16,RAW_Cases!CX:CX)</f>
        <v>163009</v>
      </c>
      <c r="CX16" s="25">
        <f>SUMIF(RAW_Cases!$B:$B,Overview!$A16,RAW_Cases!CY:CY)</f>
        <v>164077</v>
      </c>
      <c r="CY16" s="25">
        <f>SUMIF(RAW_Cases!$B:$B,Overview!$A16,RAW_Cases!CZ:CZ)</f>
        <v>164967</v>
      </c>
      <c r="CZ16" s="25">
        <f>SUMIF(RAW_Cases!$B:$B,Overview!$A16,RAW_Cases!DA:DA)</f>
        <v>165664</v>
      </c>
      <c r="DA16" s="25">
        <f>SUMIF(RAW_Cases!$B:$B,Overview!$A16,RAW_Cases!DB:DB)</f>
        <v>0</v>
      </c>
      <c r="DB16" s="25">
        <f>SUMIF(RAW_Cases!$B:$B,Overview!$A16,RAW_Cases!DC:DC)</f>
        <v>0</v>
      </c>
      <c r="DC16" s="25">
        <f>SUMIF(RAW_Cases!$B:$B,Overview!$A16,RAW_Cases!DD:DD)</f>
        <v>0</v>
      </c>
      <c r="DD16" s="25">
        <f>SUMIF(RAW_Cases!$B:$B,Overview!$A16,RAW_Cases!DE:DE)</f>
        <v>0</v>
      </c>
      <c r="DE16" s="25">
        <f>SUMIF(RAW_Cases!$B:$B,Overview!$A16,RAW_Cases!DF:DF)</f>
        <v>0</v>
      </c>
      <c r="DF16" s="25">
        <f>SUMIF(RAW_Cases!$B:$B,Overview!$A16,RAW_Cases!DG:DG)</f>
        <v>0</v>
      </c>
      <c r="DG16" s="25">
        <f>SUMIF(RAW_Cases!$B:$B,Overview!$A16,RAW_Cases!DH:DH)</f>
        <v>0</v>
      </c>
      <c r="DH16" s="25">
        <f>SUMIF(RAW_Cases!$B:$B,Overview!$A16,RAW_Cases!DI:DI)</f>
        <v>0</v>
      </c>
      <c r="DI16" s="25">
        <f>SUMIF(RAW_Cases!$B:$B,Overview!$A16,RAW_Cases!DJ:DJ)</f>
        <v>0</v>
      </c>
      <c r="DJ16" s="25">
        <f>SUMIF(RAW_Cases!$B:$B,Overview!$A16,RAW_Cases!DK:DK)</f>
        <v>0</v>
      </c>
      <c r="DK16" s="25">
        <f>SUMIF(RAW_Cases!$B:$B,Overview!$A16,RAW_Cases!DL:DL)</f>
        <v>0</v>
      </c>
      <c r="DL16" s="25">
        <f>SUMIF(RAW_Cases!$B:$B,Overview!$A16,RAW_Cases!DM:DM)</f>
        <v>0</v>
      </c>
      <c r="DM16" s="25">
        <f>SUMIF(RAW_Cases!$B:$B,Overview!$A16,RAW_Cases!DN:DN)</f>
        <v>0</v>
      </c>
      <c r="DN16" s="25">
        <f>SUMIF(RAW_Cases!$B:$B,Overview!$A16,RAW_Cases!DO:DO)</f>
        <v>0</v>
      </c>
      <c r="DO16" s="25">
        <f>SUMIF(RAW_Cases!$B:$B,Overview!$A16,RAW_Cases!DP:DP)</f>
        <v>0</v>
      </c>
      <c r="DP16" s="25">
        <f>SUMIF(RAW_Cases!$B:$B,Overview!$A16,RAW_Cases!DQ:DQ)</f>
        <v>0</v>
      </c>
      <c r="DQ16" s="25">
        <f>SUMIF(RAW_Cases!$B:$B,Overview!$A16,RAW_Cases!DR:DR)</f>
        <v>0</v>
      </c>
      <c r="DR16" s="25">
        <f>SUMIF(RAW_Cases!$B:$B,Overview!$A16,RAW_Cases!DS:DS)</f>
        <v>0</v>
      </c>
      <c r="DS16" s="25">
        <f>SUMIF(RAW_Cases!$B:$B,Overview!$A16,RAW_Cases!DT:DT)</f>
        <v>0</v>
      </c>
      <c r="DT16" s="25">
        <f>SUMIF(RAW_Cases!$B:$B,Overview!$A16,RAW_Cases!DU:DU)</f>
        <v>0</v>
      </c>
      <c r="DU16" s="25">
        <f>SUMIF(RAW_Cases!$B:$B,Overview!$A16,RAW_Cases!DV:DV)</f>
        <v>0</v>
      </c>
      <c r="DV16" s="25">
        <f>SUMIF(RAW_Cases!$B:$B,Overview!$A16,RAW_Cases!DW:DW)</f>
        <v>0</v>
      </c>
      <c r="DW16" s="25">
        <f>SUMIF(RAW_Cases!$B:$B,Overview!$A16,RAW_Cases!DX:DX)</f>
        <v>0</v>
      </c>
      <c r="DX16" s="25">
        <f>SUMIF(RAW_Cases!$B:$B,Overview!$A16,RAW_Cases!DY:DY)</f>
        <v>0</v>
      </c>
      <c r="DY16" s="25">
        <f>SUMIF(RAW_Cases!$B:$B,Overview!$A16,RAW_Cases!DZ:DZ)</f>
        <v>0</v>
      </c>
      <c r="DZ16" s="25">
        <f>SUMIF(RAW_Cases!$B:$B,Overview!$A16,RAW_Cases!EA:EA)</f>
        <v>0</v>
      </c>
      <c r="EA16" s="25">
        <f>SUMIF(RAW_Cases!$B:$B,Overview!$A16,RAW_Cases!EB:EB)</f>
        <v>0</v>
      </c>
    </row>
    <row r="17" spans="1:131" s="10" customFormat="1" ht="13.15" x14ac:dyDescent="0.4">
      <c r="A17" s="24" t="s">
        <v>101</v>
      </c>
      <c r="B17" s="25">
        <f>SUMIF(RAW_Cases!$B:$B,Overview!$A17,RAW_Cases!C:C)</f>
        <v>1</v>
      </c>
      <c r="C17" s="25">
        <f>SUMIF(RAW_Cases!$B:$B,Overview!$A17,RAW_Cases!D:D)</f>
        <v>1</v>
      </c>
      <c r="D17" s="25">
        <f>SUMIF(RAW_Cases!$B:$B,Overview!$A17,RAW_Cases!E:E)</f>
        <v>2</v>
      </c>
      <c r="E17" s="25">
        <f>SUMIF(RAW_Cases!$B:$B,Overview!$A17,RAW_Cases!F:F)</f>
        <v>2</v>
      </c>
      <c r="F17" s="25">
        <f>SUMIF(RAW_Cases!$B:$B,Overview!$A17,RAW_Cases!G:G)</f>
        <v>5</v>
      </c>
      <c r="G17" s="25">
        <f>SUMIF(RAW_Cases!$B:$B,Overview!$A17,RAW_Cases!H:H)</f>
        <v>5</v>
      </c>
      <c r="H17" s="25">
        <f>SUMIF(RAW_Cases!$B:$B,Overview!$A17,RAW_Cases!I:I)</f>
        <v>5</v>
      </c>
      <c r="I17" s="25">
        <f>SUMIF(RAW_Cases!$B:$B,Overview!$A17,RAW_Cases!J:J)</f>
        <v>5</v>
      </c>
      <c r="J17" s="25">
        <f>SUMIF(RAW_Cases!$B:$B,Overview!$A17,RAW_Cases!K:K)</f>
        <v>5</v>
      </c>
      <c r="K17" s="25">
        <f>SUMIF(RAW_Cases!$B:$B,Overview!$A17,RAW_Cases!L:L)</f>
        <v>7</v>
      </c>
      <c r="L17" s="25">
        <f>SUMIF(RAW_Cases!$B:$B,Overview!$A17,RAW_Cases!M:M)</f>
        <v>8</v>
      </c>
      <c r="M17" s="25">
        <f>SUMIF(RAW_Cases!$B:$B,Overview!$A17,RAW_Cases!N:N)</f>
        <v>8</v>
      </c>
      <c r="N17" s="25">
        <f>SUMIF(RAW_Cases!$B:$B,Overview!$A17,RAW_Cases!O:O)</f>
        <v>11</v>
      </c>
      <c r="O17" s="25">
        <f>SUMIF(RAW_Cases!$B:$B,Overview!$A17,RAW_Cases!P:P)</f>
        <v>11</v>
      </c>
      <c r="P17" s="25">
        <f>SUMIF(RAW_Cases!$B:$B,Overview!$A17,RAW_Cases!Q:Q)</f>
        <v>11</v>
      </c>
      <c r="Q17" s="25">
        <f>SUMIF(RAW_Cases!$B:$B,Overview!$A17,RAW_Cases!R:R)</f>
        <v>11</v>
      </c>
      <c r="R17" s="25">
        <f>SUMIF(RAW_Cases!$B:$B,Overview!$A17,RAW_Cases!S:S)</f>
        <v>11</v>
      </c>
      <c r="S17" s="25">
        <f>SUMIF(RAW_Cases!$B:$B,Overview!$A17,RAW_Cases!T:T)</f>
        <v>11</v>
      </c>
      <c r="T17" s="25">
        <f>SUMIF(RAW_Cases!$B:$B,Overview!$A17,RAW_Cases!U:U)</f>
        <v>11</v>
      </c>
      <c r="U17" s="25">
        <f>SUMIF(RAW_Cases!$B:$B,Overview!$A17,RAW_Cases!V:V)</f>
        <v>11</v>
      </c>
      <c r="V17" s="25">
        <f>SUMIF(RAW_Cases!$B:$B,Overview!$A17,RAW_Cases!W:W)</f>
        <v>12</v>
      </c>
      <c r="W17" s="25">
        <f>SUMIF(RAW_Cases!$B:$B,Overview!$A17,RAW_Cases!X:X)</f>
        <v>12</v>
      </c>
      <c r="X17" s="25">
        <f>SUMIF(RAW_Cases!$B:$B,Overview!$A17,RAW_Cases!Y:Y)</f>
        <v>13</v>
      </c>
      <c r="Y17" s="25">
        <f>SUMIF(RAW_Cases!$B:$B,Overview!$A17,RAW_Cases!Z:Z)</f>
        <v>13</v>
      </c>
      <c r="Z17" s="25">
        <f>SUMIF(RAW_Cases!$B:$B,Overview!$A17,RAW_Cases!AA:AA)</f>
        <v>13</v>
      </c>
      <c r="AA17" s="25">
        <f>SUMIF(RAW_Cases!$B:$B,Overview!$A17,RAW_Cases!AB:AB)</f>
        <v>13</v>
      </c>
      <c r="AB17" s="25">
        <f>SUMIF(RAW_Cases!$B:$B,Overview!$A17,RAW_Cases!AC:AC)</f>
        <v>13</v>
      </c>
      <c r="AC17" s="25">
        <f>SUMIF(RAW_Cases!$B:$B,Overview!$A17,RAW_Cases!AD:AD)</f>
        <v>13</v>
      </c>
      <c r="AD17" s="25">
        <f>SUMIF(RAW_Cases!$B:$B,Overview!$A17,RAW_Cases!AE:AE)</f>
        <v>13</v>
      </c>
      <c r="AE17" s="25">
        <f>SUMIF(RAW_Cases!$B:$B,Overview!$A17,RAW_Cases!AF:AF)</f>
        <v>13</v>
      </c>
      <c r="AF17" s="25">
        <f>SUMIF(RAW_Cases!$B:$B,Overview!$A17,RAW_Cases!AG:AG)</f>
        <v>15</v>
      </c>
      <c r="AG17" s="25">
        <f>SUMIF(RAW_Cases!$B:$B,Overview!$A17,RAW_Cases!AH:AH)</f>
        <v>15</v>
      </c>
      <c r="AH17" s="25">
        <f>SUMIF(RAW_Cases!$B:$B,Overview!$A17,RAW_Cases!AI:AI)</f>
        <v>15</v>
      </c>
      <c r="AI17" s="25">
        <f>SUMIF(RAW_Cases!$B:$B,Overview!$A17,RAW_Cases!AJ:AJ)</f>
        <v>51</v>
      </c>
      <c r="AJ17" s="25">
        <f>SUMIF(RAW_Cases!$B:$B,Overview!$A17,RAW_Cases!AK:AK)</f>
        <v>51</v>
      </c>
      <c r="AK17" s="25">
        <f>SUMIF(RAW_Cases!$B:$B,Overview!$A17,RAW_Cases!AL:AL)</f>
        <v>57</v>
      </c>
      <c r="AL17" s="25">
        <f>SUMIF(RAW_Cases!$B:$B,Overview!$A17,RAW_Cases!AM:AM)</f>
        <v>58</v>
      </c>
      <c r="AM17" s="25">
        <f>SUMIF(RAW_Cases!$B:$B,Overview!$A17,RAW_Cases!AN:AN)</f>
        <v>60</v>
      </c>
      <c r="AN17" s="25">
        <f>SUMIF(RAW_Cases!$B:$B,Overview!$A17,RAW_Cases!AO:AO)</f>
        <v>68</v>
      </c>
      <c r="AO17" s="25">
        <f>SUMIF(RAW_Cases!$B:$B,Overview!$A17,RAW_Cases!AP:AP)</f>
        <v>74</v>
      </c>
      <c r="AP17" s="25">
        <f>SUMIF(RAW_Cases!$B:$B,Overview!$A17,RAW_Cases!AQ:AQ)</f>
        <v>98</v>
      </c>
      <c r="AQ17" s="25">
        <f>SUMIF(RAW_Cases!$B:$B,Overview!$A17,RAW_Cases!AR:AR)</f>
        <v>118</v>
      </c>
      <c r="AR17" s="25">
        <f>SUMIF(RAW_Cases!$B:$B,Overview!$A17,RAW_Cases!AS:AS)</f>
        <v>149</v>
      </c>
      <c r="AS17" s="25">
        <f>SUMIF(RAW_Cases!$B:$B,Overview!$A17,RAW_Cases!AT:AT)</f>
        <v>217</v>
      </c>
      <c r="AT17" s="25">
        <f>SUMIF(RAW_Cases!$B:$B,Overview!$A17,RAW_Cases!AU:AU)</f>
        <v>262</v>
      </c>
      <c r="AU17" s="25">
        <f>SUMIF(RAW_Cases!$B:$B,Overview!$A17,RAW_Cases!AV:AV)</f>
        <v>402</v>
      </c>
      <c r="AV17" s="25">
        <f>SUMIF(RAW_Cases!$B:$B,Overview!$A17,RAW_Cases!AW:AW)</f>
        <v>518</v>
      </c>
      <c r="AW17" s="25">
        <f>SUMIF(RAW_Cases!$B:$B,Overview!$A17,RAW_Cases!AX:AX)</f>
        <v>583</v>
      </c>
      <c r="AX17" s="25">
        <f>SUMIF(RAW_Cases!$B:$B,Overview!$A17,RAW_Cases!AY:AY)</f>
        <v>959</v>
      </c>
      <c r="AY17" s="25">
        <f>SUMIF(RAW_Cases!$B:$B,Overview!$A17,RAW_Cases!AZ:AZ)</f>
        <v>1281</v>
      </c>
      <c r="AZ17" s="25">
        <f>SUMIF(RAW_Cases!$B:$B,Overview!$A17,RAW_Cases!BA:BA)</f>
        <v>1663</v>
      </c>
      <c r="BA17" s="25">
        <f>SUMIF(RAW_Cases!$B:$B,Overview!$A17,RAW_Cases!BB:BB)</f>
        <v>2179</v>
      </c>
      <c r="BB17" s="25">
        <f>SUMIF(RAW_Cases!$B:$B,Overview!$A17,RAW_Cases!BC:BC)</f>
        <v>2727</v>
      </c>
      <c r="BC17" s="25">
        <f>SUMIF(RAW_Cases!$B:$B,Overview!$A17,RAW_Cases!BD:BD)</f>
        <v>3499</v>
      </c>
      <c r="BD17" s="25">
        <f>SUMIF(RAW_Cases!$B:$B,Overview!$A17,RAW_Cases!BE:BE)</f>
        <v>4632</v>
      </c>
      <c r="BE17" s="25">
        <f>SUMIF(RAW_Cases!$B:$B,Overview!$A17,RAW_Cases!BF:BF)</f>
        <v>6421</v>
      </c>
      <c r="BF17" s="25">
        <f>SUMIF(RAW_Cases!$B:$B,Overview!$A17,RAW_Cases!BG:BG)</f>
        <v>7783</v>
      </c>
      <c r="BG17" s="25">
        <f>SUMIF(RAW_Cases!$B:$B,Overview!$A17,RAW_Cases!BH:BH)</f>
        <v>13747</v>
      </c>
      <c r="BH17" s="25">
        <f>SUMIF(RAW_Cases!$B:$B,Overview!$A17,RAW_Cases!BI:BI)</f>
        <v>19273</v>
      </c>
      <c r="BI17" s="25">
        <f>SUMIF(RAW_Cases!$B:$B,Overview!$A17,RAW_Cases!BJ:BJ)</f>
        <v>25600</v>
      </c>
      <c r="BJ17" s="25">
        <f>SUMIF(RAW_Cases!$B:$B,Overview!$A17,RAW_Cases!BK:BK)</f>
        <v>33276</v>
      </c>
      <c r="BK17" s="25">
        <f>SUMIF(RAW_Cases!$B:$B,Overview!$A17,RAW_Cases!BL:BL)</f>
        <v>43843</v>
      </c>
      <c r="BL17" s="25">
        <f>SUMIF(RAW_Cases!$B:$B,Overview!$A17,RAW_Cases!BM:BM)</f>
        <v>53736</v>
      </c>
      <c r="BM17" s="25">
        <f>SUMIF(RAW_Cases!$B:$B,Overview!$A17,RAW_Cases!BN:BN)</f>
        <v>65778</v>
      </c>
      <c r="BN17" s="25">
        <f>SUMIF(RAW_Cases!$B:$B,Overview!$A17,RAW_Cases!BO:BO)</f>
        <v>83836</v>
      </c>
      <c r="BO17" s="25">
        <f>SUMIF(RAW_Cases!$B:$B,Overview!$A17,RAW_Cases!BP:BP)</f>
        <v>101657</v>
      </c>
      <c r="BP17" s="25">
        <f>SUMIF(RAW_Cases!$B:$B,Overview!$A17,RAW_Cases!BQ:BQ)</f>
        <v>121465</v>
      </c>
      <c r="BQ17" s="25">
        <f>SUMIF(RAW_Cases!$B:$B,Overview!$A17,RAW_Cases!BR:BR)</f>
        <v>140909</v>
      </c>
      <c r="BR17" s="25">
        <f>SUMIF(RAW_Cases!$B:$B,Overview!$A17,RAW_Cases!BS:BS)</f>
        <v>161831</v>
      </c>
      <c r="BS17" s="25">
        <f>SUMIF(RAW_Cases!$B:$B,Overview!$A17,RAW_Cases!BT:BT)</f>
        <v>188172</v>
      </c>
      <c r="BT17" s="25">
        <f>SUMIF(RAW_Cases!$B:$B,Overview!$A17,RAW_Cases!BU:BU)</f>
        <v>213242</v>
      </c>
      <c r="BU17" s="25">
        <f>SUMIF(RAW_Cases!$B:$B,Overview!$A17,RAW_Cases!BV:BV)</f>
        <v>243622</v>
      </c>
      <c r="BV17" s="25">
        <f>SUMIF(RAW_Cases!$B:$B,Overview!$A17,RAW_Cases!BW:BW)</f>
        <v>275367</v>
      </c>
      <c r="BW17" s="25">
        <f>SUMIF(RAW_Cases!$B:$B,Overview!$A17,RAW_Cases!BX:BX)</f>
        <v>308650</v>
      </c>
      <c r="BX17" s="25">
        <f>SUMIF(RAW_Cases!$B:$B,Overview!$A17,RAW_Cases!BY:BY)</f>
        <v>336802</v>
      </c>
      <c r="BY17" s="25">
        <f>SUMIF(RAW_Cases!$B:$B,Overview!$A17,RAW_Cases!BZ:BZ)</f>
        <v>366317</v>
      </c>
      <c r="BZ17" s="25">
        <f>SUMIF(RAW_Cases!$B:$B,Overview!$A17,RAW_Cases!CA:CA)</f>
        <v>397121</v>
      </c>
      <c r="CA17" s="25">
        <f>SUMIF(RAW_Cases!$B:$B,Overview!$A17,RAW_Cases!CB:CB)</f>
        <v>428654</v>
      </c>
      <c r="CB17" s="25">
        <f>SUMIF(RAW_Cases!$B:$B,Overview!$A17,RAW_Cases!CC:CC)</f>
        <v>462780</v>
      </c>
      <c r="CC17" s="25">
        <f>SUMIF(RAW_Cases!$B:$B,Overview!$A17,RAW_Cases!CD:CD)</f>
        <v>496535</v>
      </c>
      <c r="CD17" s="25">
        <f>SUMIF(RAW_Cases!$B:$B,Overview!$A17,RAW_Cases!CE:CE)</f>
        <v>526396</v>
      </c>
      <c r="CE17" s="25">
        <f>SUMIF(RAW_Cases!$B:$B,Overview!$A17,RAW_Cases!CF:CF)</f>
        <v>555313</v>
      </c>
      <c r="CF17" s="25">
        <f>SUMIF(RAW_Cases!$B:$B,Overview!$A17,RAW_Cases!CG:CG)</f>
        <v>580619</v>
      </c>
      <c r="CG17" s="25">
        <f>SUMIF(RAW_Cases!$B:$B,Overview!$A17,RAW_Cases!CH:CH)</f>
        <v>607670</v>
      </c>
      <c r="CH17" s="25">
        <f>SUMIF(RAW_Cases!$B:$B,Overview!$A17,RAW_Cases!CI:CI)</f>
        <v>636350</v>
      </c>
      <c r="CI17" s="25">
        <f>SUMIF(RAW_Cases!$B:$B,Overview!$A17,RAW_Cases!CJ:CJ)</f>
        <v>667592</v>
      </c>
      <c r="CJ17" s="25">
        <f>SUMIF(RAW_Cases!$B:$B,Overview!$A17,RAW_Cases!CK:CK)</f>
        <v>699706</v>
      </c>
      <c r="CK17" s="25">
        <f>SUMIF(RAW_Cases!$B:$B,Overview!$A17,RAW_Cases!CL:CL)</f>
        <v>732197</v>
      </c>
      <c r="CL17" s="25">
        <f>SUMIF(RAW_Cases!$B:$B,Overview!$A17,RAW_Cases!CM:CM)</f>
        <v>758809</v>
      </c>
      <c r="CM17" s="25">
        <f>SUMIF(RAW_Cases!$B:$B,Overview!$A17,RAW_Cases!CN:CN)</f>
        <v>784326</v>
      </c>
      <c r="CN17" s="25">
        <f>SUMIF(RAW_Cases!$B:$B,Overview!$A17,RAW_Cases!CO:CO)</f>
        <v>811865</v>
      </c>
      <c r="CO17" s="25">
        <f>SUMIF(RAW_Cases!$B:$B,Overview!$A17,RAW_Cases!CP:CP)</f>
        <v>840351</v>
      </c>
      <c r="CP17" s="25">
        <f>SUMIF(RAW_Cases!$B:$B,Overview!$A17,RAW_Cases!CQ:CQ)</f>
        <v>869170</v>
      </c>
      <c r="CQ17" s="25">
        <f>SUMIF(RAW_Cases!$B:$B,Overview!$A17,RAW_Cases!CR:CR)</f>
        <v>905358</v>
      </c>
      <c r="CR17" s="25">
        <f>SUMIF(RAW_Cases!$B:$B,Overview!$A17,RAW_Cases!CS:CS)</f>
        <v>938154</v>
      </c>
      <c r="CS17" s="25">
        <f>SUMIF(RAW_Cases!$B:$B,Overview!$A17,RAW_Cases!CT:CT)</f>
        <v>965785</v>
      </c>
      <c r="CT17" s="25">
        <f>SUMIF(RAW_Cases!$B:$B,Overview!$A17,RAW_Cases!CU:CU)</f>
        <v>988197</v>
      </c>
      <c r="CU17" s="25">
        <f>SUMIF(RAW_Cases!$B:$B,Overview!$A17,RAW_Cases!CV:CV)</f>
        <v>1012582</v>
      </c>
      <c r="CV17" s="25">
        <f>SUMIF(RAW_Cases!$B:$B,Overview!$A17,RAW_Cases!CW:CW)</f>
        <v>1039909</v>
      </c>
      <c r="CW17" s="25">
        <f>SUMIF(RAW_Cases!$B:$B,Overview!$A17,RAW_Cases!CX:CX)</f>
        <v>1069424</v>
      </c>
      <c r="CX17" s="25">
        <f>SUMIF(RAW_Cases!$B:$B,Overview!$A17,RAW_Cases!CY:CY)</f>
        <v>1103461</v>
      </c>
      <c r="CY17" s="25">
        <f>SUMIF(RAW_Cases!$B:$B,Overview!$A17,RAW_Cases!CZ:CZ)</f>
        <v>1132539</v>
      </c>
      <c r="CZ17" s="25">
        <f>SUMIF(RAW_Cases!$B:$B,Overview!$A17,RAW_Cases!DA:DA)</f>
        <v>1158040</v>
      </c>
      <c r="DA17" s="25">
        <f>SUMIF(RAW_Cases!$B:$B,Overview!$A17,RAW_Cases!DB:DB)</f>
        <v>0</v>
      </c>
      <c r="DB17" s="25">
        <f>SUMIF(RAW_Cases!$B:$B,Overview!$A17,RAW_Cases!DC:DC)</f>
        <v>0</v>
      </c>
      <c r="DC17" s="25">
        <f>SUMIF(RAW_Cases!$B:$B,Overview!$A17,RAW_Cases!DD:DD)</f>
        <v>0</v>
      </c>
      <c r="DD17" s="25">
        <f>SUMIF(RAW_Cases!$B:$B,Overview!$A17,RAW_Cases!DE:DE)</f>
        <v>0</v>
      </c>
      <c r="DE17" s="25">
        <f>SUMIF(RAW_Cases!$B:$B,Overview!$A17,RAW_Cases!DF:DF)</f>
        <v>0</v>
      </c>
      <c r="DF17" s="25">
        <f>SUMIF(RAW_Cases!$B:$B,Overview!$A17,RAW_Cases!DG:DG)</f>
        <v>0</v>
      </c>
      <c r="DG17" s="25">
        <f>SUMIF(RAW_Cases!$B:$B,Overview!$A17,RAW_Cases!DH:DH)</f>
        <v>0</v>
      </c>
      <c r="DH17" s="25">
        <f>SUMIF(RAW_Cases!$B:$B,Overview!$A17,RAW_Cases!DI:DI)</f>
        <v>0</v>
      </c>
      <c r="DI17" s="25">
        <f>SUMIF(RAW_Cases!$B:$B,Overview!$A17,RAW_Cases!DJ:DJ)</f>
        <v>0</v>
      </c>
      <c r="DJ17" s="25">
        <f>SUMIF(RAW_Cases!$B:$B,Overview!$A17,RAW_Cases!DK:DK)</f>
        <v>0</v>
      </c>
      <c r="DK17" s="25">
        <f>SUMIF(RAW_Cases!$B:$B,Overview!$A17,RAW_Cases!DL:DL)</f>
        <v>0</v>
      </c>
      <c r="DL17" s="25">
        <f>SUMIF(RAW_Cases!$B:$B,Overview!$A17,RAW_Cases!DM:DM)</f>
        <v>0</v>
      </c>
      <c r="DM17" s="25">
        <f>SUMIF(RAW_Cases!$B:$B,Overview!$A17,RAW_Cases!DN:DN)</f>
        <v>0</v>
      </c>
      <c r="DN17" s="25">
        <f>SUMIF(RAW_Cases!$B:$B,Overview!$A17,RAW_Cases!DO:DO)</f>
        <v>0</v>
      </c>
      <c r="DO17" s="25">
        <f>SUMIF(RAW_Cases!$B:$B,Overview!$A17,RAW_Cases!DP:DP)</f>
        <v>0</v>
      </c>
      <c r="DP17" s="25">
        <f>SUMIF(RAW_Cases!$B:$B,Overview!$A17,RAW_Cases!DQ:DQ)</f>
        <v>0</v>
      </c>
      <c r="DQ17" s="25">
        <f>SUMIF(RAW_Cases!$B:$B,Overview!$A17,RAW_Cases!DR:DR)</f>
        <v>0</v>
      </c>
      <c r="DR17" s="25">
        <f>SUMIF(RAW_Cases!$B:$B,Overview!$A17,RAW_Cases!DS:DS)</f>
        <v>0</v>
      </c>
      <c r="DS17" s="25">
        <f>SUMIF(RAW_Cases!$B:$B,Overview!$A17,RAW_Cases!DT:DT)</f>
        <v>0</v>
      </c>
      <c r="DT17" s="25">
        <f>SUMIF(RAW_Cases!$B:$B,Overview!$A17,RAW_Cases!DU:DU)</f>
        <v>0</v>
      </c>
      <c r="DU17" s="25">
        <f>SUMIF(RAW_Cases!$B:$B,Overview!$A17,RAW_Cases!DV:DV)</f>
        <v>0</v>
      </c>
      <c r="DV17" s="25">
        <f>SUMIF(RAW_Cases!$B:$B,Overview!$A17,RAW_Cases!DW:DW)</f>
        <v>0</v>
      </c>
      <c r="DW17" s="25">
        <f>SUMIF(RAW_Cases!$B:$B,Overview!$A17,RAW_Cases!DX:DX)</f>
        <v>0</v>
      </c>
      <c r="DX17" s="25">
        <f>SUMIF(RAW_Cases!$B:$B,Overview!$A17,RAW_Cases!DY:DY)</f>
        <v>0</v>
      </c>
      <c r="DY17" s="25">
        <f>SUMIF(RAW_Cases!$B:$B,Overview!$A17,RAW_Cases!DZ:DZ)</f>
        <v>0</v>
      </c>
      <c r="DZ17" s="25">
        <f>SUMIF(RAW_Cases!$B:$B,Overview!$A17,RAW_Cases!EA:EA)</f>
        <v>0</v>
      </c>
      <c r="EA17" s="25">
        <f>SUMIF(RAW_Cases!$B:$B,Overview!$A17,RAW_Cases!EB:EB)</f>
        <v>0</v>
      </c>
    </row>
    <row r="18" spans="1:131" s="10" customFormat="1" ht="13.15" x14ac:dyDescent="0.4">
      <c r="A18" s="24" t="s">
        <v>20</v>
      </c>
      <c r="B18" s="25">
        <f>SUMIF(RAW_Cases!$B:$B,Overview!$A18,RAW_Cases!C:C)</f>
        <v>0</v>
      </c>
      <c r="C18" s="25">
        <f>SUMIF(RAW_Cases!$B:$B,Overview!$A18,RAW_Cases!D:D)</f>
        <v>0</v>
      </c>
      <c r="D18" s="25">
        <f>SUMIF(RAW_Cases!$B:$B,Overview!$A18,RAW_Cases!E:E)</f>
        <v>0</v>
      </c>
      <c r="E18" s="25">
        <f>SUMIF(RAW_Cases!$B:$B,Overview!$A18,RAW_Cases!F:F)</f>
        <v>0</v>
      </c>
      <c r="F18" s="25">
        <f>SUMIF(RAW_Cases!$B:$B,Overview!$A18,RAW_Cases!G:G)</f>
        <v>0</v>
      </c>
      <c r="G18" s="25">
        <f>SUMIF(RAW_Cases!$B:$B,Overview!$A18,RAW_Cases!H:H)</f>
        <v>0</v>
      </c>
      <c r="H18" s="25">
        <f>SUMIF(RAW_Cases!$B:$B,Overview!$A18,RAW_Cases!I:I)</f>
        <v>0</v>
      </c>
      <c r="I18" s="25">
        <f>SUMIF(RAW_Cases!$B:$B,Overview!$A18,RAW_Cases!J:J)</f>
        <v>0</v>
      </c>
      <c r="J18" s="25">
        <f>SUMIF(RAW_Cases!$B:$B,Overview!$A18,RAW_Cases!K:K)</f>
        <v>0</v>
      </c>
      <c r="K18" s="25">
        <f>SUMIF(RAW_Cases!$B:$B,Overview!$A18,RAW_Cases!L:L)</f>
        <v>2</v>
      </c>
      <c r="L18" s="25">
        <f>SUMIF(RAW_Cases!$B:$B,Overview!$A18,RAW_Cases!M:M)</f>
        <v>2</v>
      </c>
      <c r="M18" s="25">
        <f>SUMIF(RAW_Cases!$B:$B,Overview!$A18,RAW_Cases!N:N)</f>
        <v>2</v>
      </c>
      <c r="N18" s="25">
        <f>SUMIF(RAW_Cases!$B:$B,Overview!$A18,RAW_Cases!O:O)</f>
        <v>2</v>
      </c>
      <c r="O18" s="25">
        <f>SUMIF(RAW_Cases!$B:$B,Overview!$A18,RAW_Cases!P:P)</f>
        <v>2</v>
      </c>
      <c r="P18" s="25">
        <f>SUMIF(RAW_Cases!$B:$B,Overview!$A18,RAW_Cases!Q:Q)</f>
        <v>2</v>
      </c>
      <c r="Q18" s="25">
        <f>SUMIF(RAW_Cases!$B:$B,Overview!$A18,RAW_Cases!R:R)</f>
        <v>2</v>
      </c>
      <c r="R18" s="25">
        <f>SUMIF(RAW_Cases!$B:$B,Overview!$A18,RAW_Cases!S:S)</f>
        <v>3</v>
      </c>
      <c r="S18" s="25">
        <f>SUMIF(RAW_Cases!$B:$B,Overview!$A18,RAW_Cases!T:T)</f>
        <v>3</v>
      </c>
      <c r="T18" s="25">
        <f>SUMIF(RAW_Cases!$B:$B,Overview!$A18,RAW_Cases!U:U)</f>
        <v>3</v>
      </c>
      <c r="U18" s="25">
        <f>SUMIF(RAW_Cases!$B:$B,Overview!$A18,RAW_Cases!V:V)</f>
        <v>3</v>
      </c>
      <c r="V18" s="25">
        <f>SUMIF(RAW_Cases!$B:$B,Overview!$A18,RAW_Cases!W:W)</f>
        <v>3</v>
      </c>
      <c r="W18" s="25">
        <f>SUMIF(RAW_Cases!$B:$B,Overview!$A18,RAW_Cases!X:X)</f>
        <v>3</v>
      </c>
      <c r="X18" s="25">
        <f>SUMIF(RAW_Cases!$B:$B,Overview!$A18,RAW_Cases!Y:Y)</f>
        <v>3</v>
      </c>
      <c r="Y18" s="25">
        <f>SUMIF(RAW_Cases!$B:$B,Overview!$A18,RAW_Cases!Z:Z)</f>
        <v>3</v>
      </c>
      <c r="Z18" s="25">
        <f>SUMIF(RAW_Cases!$B:$B,Overview!$A18,RAW_Cases!AA:AA)</f>
        <v>3</v>
      </c>
      <c r="AA18" s="25">
        <f>SUMIF(RAW_Cases!$B:$B,Overview!$A18,RAW_Cases!AB:AB)</f>
        <v>3</v>
      </c>
      <c r="AB18" s="25">
        <f>SUMIF(RAW_Cases!$B:$B,Overview!$A18,RAW_Cases!AC:AC)</f>
        <v>3</v>
      </c>
      <c r="AC18" s="25">
        <f>SUMIF(RAW_Cases!$B:$B,Overview!$A18,RAW_Cases!AD:AD)</f>
        <v>3</v>
      </c>
      <c r="AD18" s="25">
        <f>SUMIF(RAW_Cases!$B:$B,Overview!$A18,RAW_Cases!AE:AE)</f>
        <v>3</v>
      </c>
      <c r="AE18" s="25">
        <f>SUMIF(RAW_Cases!$B:$B,Overview!$A18,RAW_Cases!AF:AF)</f>
        <v>3</v>
      </c>
      <c r="AF18" s="25">
        <f>SUMIF(RAW_Cases!$B:$B,Overview!$A18,RAW_Cases!AG:AG)</f>
        <v>20</v>
      </c>
      <c r="AG18" s="25">
        <f>SUMIF(RAW_Cases!$B:$B,Overview!$A18,RAW_Cases!AH:AH)</f>
        <v>62</v>
      </c>
      <c r="AH18" s="25">
        <f>SUMIF(RAW_Cases!$B:$B,Overview!$A18,RAW_Cases!AI:AI)</f>
        <v>155</v>
      </c>
      <c r="AI18" s="25">
        <f>SUMIF(RAW_Cases!$B:$B,Overview!$A18,RAW_Cases!AJ:AJ)</f>
        <v>229</v>
      </c>
      <c r="AJ18" s="25">
        <f>SUMIF(RAW_Cases!$B:$B,Overview!$A18,RAW_Cases!AK:AK)</f>
        <v>322</v>
      </c>
      <c r="AK18" s="25">
        <f>SUMIF(RAW_Cases!$B:$B,Overview!$A18,RAW_Cases!AL:AL)</f>
        <v>453</v>
      </c>
      <c r="AL18" s="25">
        <f>SUMIF(RAW_Cases!$B:$B,Overview!$A18,RAW_Cases!AM:AM)</f>
        <v>655</v>
      </c>
      <c r="AM18" s="25">
        <f>SUMIF(RAW_Cases!$B:$B,Overview!$A18,RAW_Cases!AN:AN)</f>
        <v>888</v>
      </c>
      <c r="AN18" s="25">
        <f>SUMIF(RAW_Cases!$B:$B,Overview!$A18,RAW_Cases!AO:AO)</f>
        <v>1128</v>
      </c>
      <c r="AO18" s="25">
        <f>SUMIF(RAW_Cases!$B:$B,Overview!$A18,RAW_Cases!AP:AP)</f>
        <v>1694</v>
      </c>
      <c r="AP18" s="25">
        <f>SUMIF(RAW_Cases!$B:$B,Overview!$A18,RAW_Cases!AQ:AQ)</f>
        <v>2036</v>
      </c>
      <c r="AQ18" s="25">
        <f>SUMIF(RAW_Cases!$B:$B,Overview!$A18,RAW_Cases!AR:AR)</f>
        <v>2502</v>
      </c>
      <c r="AR18" s="25">
        <f>SUMIF(RAW_Cases!$B:$B,Overview!$A18,RAW_Cases!AS:AS)</f>
        <v>3089</v>
      </c>
      <c r="AS18" s="25">
        <f>SUMIF(RAW_Cases!$B:$B,Overview!$A18,RAW_Cases!AT:AT)</f>
        <v>3858</v>
      </c>
      <c r="AT18" s="25">
        <f>SUMIF(RAW_Cases!$B:$B,Overview!$A18,RAW_Cases!AU:AU)</f>
        <v>4636</v>
      </c>
      <c r="AU18" s="25">
        <f>SUMIF(RAW_Cases!$B:$B,Overview!$A18,RAW_Cases!AV:AV)</f>
        <v>5883</v>
      </c>
      <c r="AV18" s="25">
        <f>SUMIF(RAW_Cases!$B:$B,Overview!$A18,RAW_Cases!AW:AW)</f>
        <v>7375</v>
      </c>
      <c r="AW18" s="25">
        <f>SUMIF(RAW_Cases!$B:$B,Overview!$A18,RAW_Cases!AX:AX)</f>
        <v>9172</v>
      </c>
      <c r="AX18" s="25">
        <f>SUMIF(RAW_Cases!$B:$B,Overview!$A18,RAW_Cases!AY:AY)</f>
        <v>10149</v>
      </c>
      <c r="AY18" s="25">
        <f>SUMIF(RAW_Cases!$B:$B,Overview!$A18,RAW_Cases!AZ:AZ)</f>
        <v>12462</v>
      </c>
      <c r="AZ18" s="25">
        <f>SUMIF(RAW_Cases!$B:$B,Overview!$A18,RAW_Cases!BA:BA)</f>
        <v>12462</v>
      </c>
      <c r="BA18" s="25">
        <f>SUMIF(RAW_Cases!$B:$B,Overview!$A18,RAW_Cases!BB:BB)</f>
        <v>17660</v>
      </c>
      <c r="BB18" s="25">
        <f>SUMIF(RAW_Cases!$B:$B,Overview!$A18,RAW_Cases!BC:BC)</f>
        <v>21157</v>
      </c>
      <c r="BC18" s="25">
        <f>SUMIF(RAW_Cases!$B:$B,Overview!$A18,RAW_Cases!BD:BD)</f>
        <v>24747</v>
      </c>
      <c r="BD18" s="25">
        <f>SUMIF(RAW_Cases!$B:$B,Overview!$A18,RAW_Cases!BE:BE)</f>
        <v>27980</v>
      </c>
      <c r="BE18" s="25">
        <f>SUMIF(RAW_Cases!$B:$B,Overview!$A18,RAW_Cases!BF:BF)</f>
        <v>31506</v>
      </c>
      <c r="BF18" s="25">
        <f>SUMIF(RAW_Cases!$B:$B,Overview!$A18,RAW_Cases!BG:BG)</f>
        <v>35713</v>
      </c>
      <c r="BG18" s="25">
        <f>SUMIF(RAW_Cases!$B:$B,Overview!$A18,RAW_Cases!BH:BH)</f>
        <v>41035</v>
      </c>
      <c r="BH18" s="25">
        <f>SUMIF(RAW_Cases!$B:$B,Overview!$A18,RAW_Cases!BI:BI)</f>
        <v>47021</v>
      </c>
      <c r="BI18" s="25">
        <f>SUMIF(RAW_Cases!$B:$B,Overview!$A18,RAW_Cases!BJ:BJ)</f>
        <v>53578</v>
      </c>
      <c r="BJ18" s="25">
        <f>SUMIF(RAW_Cases!$B:$B,Overview!$A18,RAW_Cases!BK:BK)</f>
        <v>59138</v>
      </c>
      <c r="BK18" s="25">
        <f>SUMIF(RAW_Cases!$B:$B,Overview!$A18,RAW_Cases!BL:BL)</f>
        <v>63927</v>
      </c>
      <c r="BL18" s="25">
        <f>SUMIF(RAW_Cases!$B:$B,Overview!$A18,RAW_Cases!BM:BM)</f>
        <v>69176</v>
      </c>
      <c r="BM18" s="25">
        <f>SUMIF(RAW_Cases!$B:$B,Overview!$A18,RAW_Cases!BN:BN)</f>
        <v>74386</v>
      </c>
      <c r="BN18" s="25">
        <f>SUMIF(RAW_Cases!$B:$B,Overview!$A18,RAW_Cases!BO:BO)</f>
        <v>80589</v>
      </c>
      <c r="BO18" s="25">
        <f>SUMIF(RAW_Cases!$B:$B,Overview!$A18,RAW_Cases!BP:BP)</f>
        <v>86498</v>
      </c>
      <c r="BP18" s="25">
        <f>SUMIF(RAW_Cases!$B:$B,Overview!$A18,RAW_Cases!BQ:BQ)</f>
        <v>92472</v>
      </c>
      <c r="BQ18" s="25">
        <f>SUMIF(RAW_Cases!$B:$B,Overview!$A18,RAW_Cases!BR:BR)</f>
        <v>97689</v>
      </c>
      <c r="BR18" s="25">
        <f>SUMIF(RAW_Cases!$B:$B,Overview!$A18,RAW_Cases!BS:BS)</f>
        <v>101739</v>
      </c>
      <c r="BS18" s="25">
        <f>SUMIF(RAW_Cases!$B:$B,Overview!$A18,RAW_Cases!BT:BT)</f>
        <v>105792</v>
      </c>
      <c r="BT18" s="25">
        <f>SUMIF(RAW_Cases!$B:$B,Overview!$A18,RAW_Cases!BU:BU)</f>
        <v>110574</v>
      </c>
      <c r="BU18" s="25">
        <f>SUMIF(RAW_Cases!$B:$B,Overview!$A18,RAW_Cases!BV:BV)</f>
        <v>115242</v>
      </c>
      <c r="BV18" s="25">
        <f>SUMIF(RAW_Cases!$B:$B,Overview!$A18,RAW_Cases!BW:BW)</f>
        <v>119827</v>
      </c>
      <c r="BW18" s="25">
        <f>SUMIF(RAW_Cases!$B:$B,Overview!$A18,RAW_Cases!BX:BX)</f>
        <v>124632</v>
      </c>
      <c r="BX18" s="25">
        <f>SUMIF(RAW_Cases!$B:$B,Overview!$A18,RAW_Cases!BY:BY)</f>
        <v>128948</v>
      </c>
      <c r="BY18" s="25">
        <f>SUMIF(RAW_Cases!$B:$B,Overview!$A18,RAW_Cases!BZ:BZ)</f>
        <v>132547</v>
      </c>
      <c r="BZ18" s="25">
        <f>SUMIF(RAW_Cases!$B:$B,Overview!$A18,RAW_Cases!CA:CA)</f>
        <v>135586</v>
      </c>
      <c r="CA18" s="25">
        <f>SUMIF(RAW_Cases!$B:$B,Overview!$A18,RAW_Cases!CB:CB)</f>
        <v>139422</v>
      </c>
      <c r="CB18" s="25">
        <f>SUMIF(RAW_Cases!$B:$B,Overview!$A18,RAW_Cases!CC:CC)</f>
        <v>143626</v>
      </c>
      <c r="CC18" s="25">
        <f>SUMIF(RAW_Cases!$B:$B,Overview!$A18,RAW_Cases!CD:CD)</f>
        <v>147577</v>
      </c>
      <c r="CD18" s="25">
        <f>SUMIF(RAW_Cases!$B:$B,Overview!$A18,RAW_Cases!CE:CE)</f>
        <v>152271</v>
      </c>
      <c r="CE18" s="25">
        <f>SUMIF(RAW_Cases!$B:$B,Overview!$A18,RAW_Cases!CF:CF)</f>
        <v>156363</v>
      </c>
      <c r="CF18" s="25">
        <f>SUMIF(RAW_Cases!$B:$B,Overview!$A18,RAW_Cases!CG:CG)</f>
        <v>159516</v>
      </c>
      <c r="CG18" s="25">
        <f>SUMIF(RAW_Cases!$B:$B,Overview!$A18,RAW_Cases!CH:CH)</f>
        <v>162488</v>
      </c>
      <c r="CH18" s="25">
        <f>SUMIF(RAW_Cases!$B:$B,Overview!$A18,RAW_Cases!CI:CI)</f>
        <v>165155</v>
      </c>
      <c r="CI18" s="25">
        <f>SUMIF(RAW_Cases!$B:$B,Overview!$A18,RAW_Cases!CJ:CJ)</f>
        <v>168941</v>
      </c>
      <c r="CJ18" s="25">
        <f>SUMIF(RAW_Cases!$B:$B,Overview!$A18,RAW_Cases!CK:CK)</f>
        <v>172434</v>
      </c>
      <c r="CK18" s="25">
        <f>SUMIF(RAW_Cases!$B:$B,Overview!$A18,RAW_Cases!CL:CL)</f>
        <v>175925</v>
      </c>
      <c r="CL18" s="25">
        <f>SUMIF(RAW_Cases!$B:$B,Overview!$A18,RAW_Cases!CM:CM)</f>
        <v>178972</v>
      </c>
      <c r="CM18" s="25">
        <f>SUMIF(RAW_Cases!$B:$B,Overview!$A18,RAW_Cases!CN:CN)</f>
        <v>181228</v>
      </c>
      <c r="CN18" s="25">
        <f>SUMIF(RAW_Cases!$B:$B,Overview!$A18,RAW_Cases!CO:CO)</f>
        <v>183957</v>
      </c>
      <c r="CO18" s="25">
        <f>SUMIF(RAW_Cases!$B:$B,Overview!$A18,RAW_Cases!CP:CP)</f>
        <v>187327</v>
      </c>
      <c r="CP18" s="25">
        <f>SUMIF(RAW_Cases!$B:$B,Overview!$A18,RAW_Cases!CQ:CQ)</f>
        <v>189973</v>
      </c>
      <c r="CQ18" s="25">
        <f>SUMIF(RAW_Cases!$B:$B,Overview!$A18,RAW_Cases!CR:CR)</f>
        <v>192994</v>
      </c>
      <c r="CR18" s="25">
        <f>SUMIF(RAW_Cases!$B:$B,Overview!$A18,RAW_Cases!CS:CS)</f>
        <v>195351</v>
      </c>
      <c r="CS18" s="25">
        <f>SUMIF(RAW_Cases!$B:$B,Overview!$A18,RAW_Cases!CT:CT)</f>
        <v>197675</v>
      </c>
      <c r="CT18" s="25">
        <f>SUMIF(RAW_Cases!$B:$B,Overview!$A18,RAW_Cases!CU:CU)</f>
        <v>199414</v>
      </c>
      <c r="CU18" s="25">
        <f>SUMIF(RAW_Cases!$B:$B,Overview!$A18,RAW_Cases!CV:CV)</f>
        <v>201505</v>
      </c>
      <c r="CV18" s="25">
        <f>SUMIF(RAW_Cases!$B:$B,Overview!$A18,RAW_Cases!CW:CW)</f>
        <v>203591</v>
      </c>
      <c r="CW18" s="25">
        <f>SUMIF(RAW_Cases!$B:$B,Overview!$A18,RAW_Cases!CX:CX)</f>
        <v>205463</v>
      </c>
      <c r="CX18" s="25">
        <f>SUMIF(RAW_Cases!$B:$B,Overview!$A18,RAW_Cases!CY:CY)</f>
        <v>207428</v>
      </c>
      <c r="CY18" s="25">
        <f>SUMIF(RAW_Cases!$B:$B,Overview!$A18,RAW_Cases!CZ:CZ)</f>
        <v>209328</v>
      </c>
      <c r="CZ18" s="25">
        <f>SUMIF(RAW_Cases!$B:$B,Overview!$A18,RAW_Cases!DA:DA)</f>
        <v>210717</v>
      </c>
      <c r="DA18" s="25">
        <f>SUMIF(RAW_Cases!$B:$B,Overview!$A18,RAW_Cases!DB:DB)</f>
        <v>0</v>
      </c>
      <c r="DB18" s="25">
        <f>SUMIF(RAW_Cases!$B:$B,Overview!$A18,RAW_Cases!DC:DC)</f>
        <v>0</v>
      </c>
      <c r="DC18" s="25">
        <f>SUMIF(RAW_Cases!$B:$B,Overview!$A18,RAW_Cases!DD:DD)</f>
        <v>0</v>
      </c>
      <c r="DD18" s="25">
        <f>SUMIF(RAW_Cases!$B:$B,Overview!$A18,RAW_Cases!DE:DE)</f>
        <v>0</v>
      </c>
      <c r="DE18" s="25">
        <f>SUMIF(RAW_Cases!$B:$B,Overview!$A18,RAW_Cases!DF:DF)</f>
        <v>0</v>
      </c>
      <c r="DF18" s="25">
        <f>SUMIF(RAW_Cases!$B:$B,Overview!$A18,RAW_Cases!DG:DG)</f>
        <v>0</v>
      </c>
      <c r="DG18" s="25">
        <f>SUMIF(RAW_Cases!$B:$B,Overview!$A18,RAW_Cases!DH:DH)</f>
        <v>0</v>
      </c>
      <c r="DH18" s="25">
        <f>SUMIF(RAW_Cases!$B:$B,Overview!$A18,RAW_Cases!DI:DI)</f>
        <v>0</v>
      </c>
      <c r="DI18" s="25">
        <f>SUMIF(RAW_Cases!$B:$B,Overview!$A18,RAW_Cases!DJ:DJ)</f>
        <v>0</v>
      </c>
      <c r="DJ18" s="25">
        <f>SUMIF(RAW_Cases!$B:$B,Overview!$A18,RAW_Cases!DK:DK)</f>
        <v>0</v>
      </c>
      <c r="DK18" s="25">
        <f>SUMIF(RAW_Cases!$B:$B,Overview!$A18,RAW_Cases!DL:DL)</f>
        <v>0</v>
      </c>
      <c r="DL18" s="25">
        <f>SUMIF(RAW_Cases!$B:$B,Overview!$A18,RAW_Cases!DM:DM)</f>
        <v>0</v>
      </c>
      <c r="DM18" s="25">
        <f>SUMIF(RAW_Cases!$B:$B,Overview!$A18,RAW_Cases!DN:DN)</f>
        <v>0</v>
      </c>
      <c r="DN18" s="25">
        <f>SUMIF(RAW_Cases!$B:$B,Overview!$A18,RAW_Cases!DO:DO)</f>
        <v>0</v>
      </c>
      <c r="DO18" s="25">
        <f>SUMIF(RAW_Cases!$B:$B,Overview!$A18,RAW_Cases!DP:DP)</f>
        <v>0</v>
      </c>
      <c r="DP18" s="25">
        <f>SUMIF(RAW_Cases!$B:$B,Overview!$A18,RAW_Cases!DQ:DQ)</f>
        <v>0</v>
      </c>
      <c r="DQ18" s="25">
        <f>SUMIF(RAW_Cases!$B:$B,Overview!$A18,RAW_Cases!DR:DR)</f>
        <v>0</v>
      </c>
      <c r="DR18" s="25">
        <f>SUMIF(RAW_Cases!$B:$B,Overview!$A18,RAW_Cases!DS:DS)</f>
        <v>0</v>
      </c>
      <c r="DS18" s="25">
        <f>SUMIF(RAW_Cases!$B:$B,Overview!$A18,RAW_Cases!DT:DT)</f>
        <v>0</v>
      </c>
      <c r="DT18" s="25">
        <f>SUMIF(RAW_Cases!$B:$B,Overview!$A18,RAW_Cases!DU:DU)</f>
        <v>0</v>
      </c>
      <c r="DU18" s="25">
        <f>SUMIF(RAW_Cases!$B:$B,Overview!$A18,RAW_Cases!DV:DV)</f>
        <v>0</v>
      </c>
      <c r="DV18" s="25">
        <f>SUMIF(RAW_Cases!$B:$B,Overview!$A18,RAW_Cases!DW:DW)</f>
        <v>0</v>
      </c>
      <c r="DW18" s="25">
        <f>SUMIF(RAW_Cases!$B:$B,Overview!$A18,RAW_Cases!DX:DX)</f>
        <v>0</v>
      </c>
      <c r="DX18" s="25">
        <f>SUMIF(RAW_Cases!$B:$B,Overview!$A18,RAW_Cases!DY:DY)</f>
        <v>0</v>
      </c>
      <c r="DY18" s="25">
        <f>SUMIF(RAW_Cases!$B:$B,Overview!$A18,RAW_Cases!DZ:DZ)</f>
        <v>0</v>
      </c>
      <c r="DZ18" s="25">
        <f>SUMIF(RAW_Cases!$B:$B,Overview!$A18,RAW_Cases!EA:EA)</f>
        <v>0</v>
      </c>
      <c r="EA18" s="25">
        <f>SUMIF(RAW_Cases!$B:$B,Overview!$A18,RAW_Cases!EB:EB)</f>
        <v>0</v>
      </c>
    </row>
    <row r="19" spans="1:131" s="10" customFormat="1" ht="13.15" x14ac:dyDescent="0.4">
      <c r="A19" s="24" t="s">
        <v>112</v>
      </c>
      <c r="B19" s="25">
        <f>SUMIF(RAW_Cases!$B:$B,Overview!$A19,RAW_Cases!C:C)</f>
        <v>0</v>
      </c>
      <c r="C19" s="25">
        <f>SUMIF(RAW_Cases!$B:$B,Overview!$A19,RAW_Cases!D:D)</f>
        <v>0</v>
      </c>
      <c r="D19" s="25">
        <f>SUMIF(RAW_Cases!$B:$B,Overview!$A19,RAW_Cases!E:E)</f>
        <v>2</v>
      </c>
      <c r="E19" s="25">
        <f>SUMIF(RAW_Cases!$B:$B,Overview!$A19,RAW_Cases!F:F)</f>
        <v>3</v>
      </c>
      <c r="F19" s="25">
        <f>SUMIF(RAW_Cases!$B:$B,Overview!$A19,RAW_Cases!G:G)</f>
        <v>3</v>
      </c>
      <c r="G19" s="25">
        <f>SUMIF(RAW_Cases!$B:$B,Overview!$A19,RAW_Cases!H:H)</f>
        <v>3</v>
      </c>
      <c r="H19" s="25">
        <f>SUMIF(RAW_Cases!$B:$B,Overview!$A19,RAW_Cases!I:I)</f>
        <v>4</v>
      </c>
      <c r="I19" s="25">
        <f>SUMIF(RAW_Cases!$B:$B,Overview!$A19,RAW_Cases!J:J)</f>
        <v>5</v>
      </c>
      <c r="J19" s="25">
        <f>SUMIF(RAW_Cases!$B:$B,Overview!$A19,RAW_Cases!K:K)</f>
        <v>5</v>
      </c>
      <c r="K19" s="25">
        <f>SUMIF(RAW_Cases!$B:$B,Overview!$A19,RAW_Cases!L:L)</f>
        <v>5</v>
      </c>
      <c r="L19" s="25">
        <f>SUMIF(RAW_Cases!$B:$B,Overview!$A19,RAW_Cases!M:M)</f>
        <v>6</v>
      </c>
      <c r="M19" s="25">
        <f>SUMIF(RAW_Cases!$B:$B,Overview!$A19,RAW_Cases!N:N)</f>
        <v>6</v>
      </c>
      <c r="N19" s="25">
        <f>SUMIF(RAW_Cases!$B:$B,Overview!$A19,RAW_Cases!O:O)</f>
        <v>6</v>
      </c>
      <c r="O19" s="25">
        <f>SUMIF(RAW_Cases!$B:$B,Overview!$A19,RAW_Cases!P:P)</f>
        <v>6</v>
      </c>
      <c r="P19" s="25">
        <f>SUMIF(RAW_Cases!$B:$B,Overview!$A19,RAW_Cases!Q:Q)</f>
        <v>6</v>
      </c>
      <c r="Q19" s="25">
        <f>SUMIF(RAW_Cases!$B:$B,Overview!$A19,RAW_Cases!R:R)</f>
        <v>6</v>
      </c>
      <c r="R19" s="25">
        <f>SUMIF(RAW_Cases!$B:$B,Overview!$A19,RAW_Cases!S:S)</f>
        <v>6</v>
      </c>
      <c r="S19" s="25">
        <f>SUMIF(RAW_Cases!$B:$B,Overview!$A19,RAW_Cases!T:T)</f>
        <v>11</v>
      </c>
      <c r="T19" s="25">
        <f>SUMIF(RAW_Cases!$B:$B,Overview!$A19,RAW_Cases!U:U)</f>
        <v>11</v>
      </c>
      <c r="U19" s="25">
        <f>SUMIF(RAW_Cases!$B:$B,Overview!$A19,RAW_Cases!V:V)</f>
        <v>11</v>
      </c>
      <c r="V19" s="25">
        <f>SUMIF(RAW_Cases!$B:$B,Overview!$A19,RAW_Cases!W:W)</f>
        <v>11</v>
      </c>
      <c r="W19" s="25">
        <f>SUMIF(RAW_Cases!$B:$B,Overview!$A19,RAW_Cases!X:X)</f>
        <v>11</v>
      </c>
      <c r="X19" s="25">
        <f>SUMIF(RAW_Cases!$B:$B,Overview!$A19,RAW_Cases!Y:Y)</f>
        <v>11</v>
      </c>
      <c r="Y19" s="25">
        <f>SUMIF(RAW_Cases!$B:$B,Overview!$A19,RAW_Cases!Z:Z)</f>
        <v>11</v>
      </c>
      <c r="Z19" s="25">
        <f>SUMIF(RAW_Cases!$B:$B,Overview!$A19,RAW_Cases!AA:AA)</f>
        <v>12</v>
      </c>
      <c r="AA19" s="25">
        <f>SUMIF(RAW_Cases!$B:$B,Overview!$A19,RAW_Cases!AB:AB)</f>
        <v>12</v>
      </c>
      <c r="AB19" s="25">
        <f>SUMIF(RAW_Cases!$B:$B,Overview!$A19,RAW_Cases!AC:AC)</f>
        <v>12</v>
      </c>
      <c r="AC19" s="25">
        <f>SUMIF(RAW_Cases!$B:$B,Overview!$A19,RAW_Cases!AD:AD)</f>
        <v>12</v>
      </c>
      <c r="AD19" s="25">
        <f>SUMIF(RAW_Cases!$B:$B,Overview!$A19,RAW_Cases!AE:AE)</f>
        <v>12</v>
      </c>
      <c r="AE19" s="25">
        <f>SUMIF(RAW_Cases!$B:$B,Overview!$A19,RAW_Cases!AF:AF)</f>
        <v>12</v>
      </c>
      <c r="AF19" s="25">
        <f>SUMIF(RAW_Cases!$B:$B,Overview!$A19,RAW_Cases!AG:AG)</f>
        <v>12</v>
      </c>
      <c r="AG19" s="25">
        <f>SUMIF(RAW_Cases!$B:$B,Overview!$A19,RAW_Cases!AH:AH)</f>
        <v>12</v>
      </c>
      <c r="AH19" s="25">
        <f>SUMIF(RAW_Cases!$B:$B,Overview!$A19,RAW_Cases!AI:AI)</f>
        <v>12</v>
      </c>
      <c r="AI19" s="25">
        <f>SUMIF(RAW_Cases!$B:$B,Overview!$A19,RAW_Cases!AJ:AJ)</f>
        <v>12</v>
      </c>
      <c r="AJ19" s="25">
        <f>SUMIF(RAW_Cases!$B:$B,Overview!$A19,RAW_Cases!AK:AK)</f>
        <v>14</v>
      </c>
      <c r="AK19" s="25">
        <f>SUMIF(RAW_Cases!$B:$B,Overview!$A19,RAW_Cases!AL:AL)</f>
        <v>18</v>
      </c>
      <c r="AL19" s="25">
        <f>SUMIF(RAW_Cases!$B:$B,Overview!$A19,RAW_Cases!AM:AM)</f>
        <v>38</v>
      </c>
      <c r="AM19" s="25">
        <f>SUMIF(RAW_Cases!$B:$B,Overview!$A19,RAW_Cases!AN:AN)</f>
        <v>57</v>
      </c>
      <c r="AN19" s="25">
        <f>SUMIF(RAW_Cases!$B:$B,Overview!$A19,RAW_Cases!AO:AO)</f>
        <v>100</v>
      </c>
      <c r="AO19" s="25">
        <f>SUMIF(RAW_Cases!$B:$B,Overview!$A19,RAW_Cases!AP:AP)</f>
        <v>130</v>
      </c>
      <c r="AP19" s="25">
        <f>SUMIF(RAW_Cases!$B:$B,Overview!$A19,RAW_Cases!AQ:AQ)</f>
        <v>191</v>
      </c>
      <c r="AQ19" s="25">
        <f>SUMIF(RAW_Cases!$B:$B,Overview!$A19,RAW_Cases!AR:AR)</f>
        <v>204</v>
      </c>
      <c r="AR19" s="25">
        <f>SUMIF(RAW_Cases!$B:$B,Overview!$A19,RAW_Cases!AS:AS)</f>
        <v>288</v>
      </c>
      <c r="AS19" s="25">
        <f>SUMIF(RAW_Cases!$B:$B,Overview!$A19,RAW_Cases!AT:AT)</f>
        <v>380</v>
      </c>
      <c r="AT19" s="25">
        <f>SUMIF(RAW_Cases!$B:$B,Overview!$A19,RAW_Cases!AU:AU)</f>
        <v>656</v>
      </c>
      <c r="AU19" s="25">
        <f>SUMIF(RAW_Cases!$B:$B,Overview!$A19,RAW_Cases!AV:AV)</f>
        <v>959</v>
      </c>
      <c r="AV19" s="25">
        <f>SUMIF(RAW_Cases!$B:$B,Overview!$A19,RAW_Cases!AW:AW)</f>
        <v>1136</v>
      </c>
      <c r="AW19" s="25">
        <f>SUMIF(RAW_Cases!$B:$B,Overview!$A19,RAW_Cases!AX:AX)</f>
        <v>1219</v>
      </c>
      <c r="AX19" s="25">
        <f>SUMIF(RAW_Cases!$B:$B,Overview!$A19,RAW_Cases!AY:AY)</f>
        <v>1794</v>
      </c>
      <c r="AY19" s="25">
        <f>SUMIF(RAW_Cases!$B:$B,Overview!$A19,RAW_Cases!AZ:AZ)</f>
        <v>2293</v>
      </c>
      <c r="AZ19" s="25">
        <f>SUMIF(RAW_Cases!$B:$B,Overview!$A19,RAW_Cases!BA:BA)</f>
        <v>2293</v>
      </c>
      <c r="BA19" s="25">
        <f>SUMIF(RAW_Cases!$B:$B,Overview!$A19,RAW_Cases!BB:BB)</f>
        <v>3681</v>
      </c>
      <c r="BB19" s="25">
        <f>SUMIF(RAW_Cases!$B:$B,Overview!$A19,RAW_Cases!BC:BC)</f>
        <v>4496</v>
      </c>
      <c r="BC19" s="25">
        <f>SUMIF(RAW_Cases!$B:$B,Overview!$A19,RAW_Cases!BD:BD)</f>
        <v>4532</v>
      </c>
      <c r="BD19" s="25">
        <f>SUMIF(RAW_Cases!$B:$B,Overview!$A19,RAW_Cases!BE:BE)</f>
        <v>6683</v>
      </c>
      <c r="BE19" s="25">
        <f>SUMIF(RAW_Cases!$B:$B,Overview!$A19,RAW_Cases!BF:BF)</f>
        <v>7715</v>
      </c>
      <c r="BF19" s="25">
        <f>SUMIF(RAW_Cases!$B:$B,Overview!$A19,RAW_Cases!BG:BG)</f>
        <v>9124</v>
      </c>
      <c r="BG19" s="25">
        <f>SUMIF(RAW_Cases!$B:$B,Overview!$A19,RAW_Cases!BH:BH)</f>
        <v>10970</v>
      </c>
      <c r="BH19" s="25">
        <f>SUMIF(RAW_Cases!$B:$B,Overview!$A19,RAW_Cases!BI:BI)</f>
        <v>12758</v>
      </c>
      <c r="BI19" s="25">
        <f>SUMIF(RAW_Cases!$B:$B,Overview!$A19,RAW_Cases!BJ:BJ)</f>
        <v>14463</v>
      </c>
      <c r="BJ19" s="25">
        <f>SUMIF(RAW_Cases!$B:$B,Overview!$A19,RAW_Cases!BK:BK)</f>
        <v>16243</v>
      </c>
      <c r="BK19" s="25">
        <f>SUMIF(RAW_Cases!$B:$B,Overview!$A19,RAW_Cases!BL:BL)</f>
        <v>20123</v>
      </c>
      <c r="BL19" s="25">
        <f>SUMIF(RAW_Cases!$B:$B,Overview!$A19,RAW_Cases!BM:BM)</f>
        <v>22622</v>
      </c>
      <c r="BM19" s="25">
        <f>SUMIF(RAW_Cases!$B:$B,Overview!$A19,RAW_Cases!BN:BN)</f>
        <v>25600</v>
      </c>
      <c r="BN19" s="25">
        <f>SUMIF(RAW_Cases!$B:$B,Overview!$A19,RAW_Cases!BO:BO)</f>
        <v>29551</v>
      </c>
      <c r="BO19" s="25">
        <f>SUMIF(RAW_Cases!$B:$B,Overview!$A19,RAW_Cases!BP:BP)</f>
        <v>33402</v>
      </c>
      <c r="BP19" s="25">
        <f>SUMIF(RAW_Cases!$B:$B,Overview!$A19,RAW_Cases!BQ:BQ)</f>
        <v>38105</v>
      </c>
      <c r="BQ19" s="25">
        <f>SUMIF(RAW_Cases!$B:$B,Overview!$A19,RAW_Cases!BR:BR)</f>
        <v>40708</v>
      </c>
      <c r="BR19" s="25">
        <f>SUMIF(RAW_Cases!$B:$B,Overview!$A19,RAW_Cases!BS:BS)</f>
        <v>45170</v>
      </c>
      <c r="BS19" s="25">
        <f>SUMIF(RAW_Cases!$B:$B,Overview!$A19,RAW_Cases!BT:BT)</f>
        <v>52827</v>
      </c>
      <c r="BT19" s="25">
        <f>SUMIF(RAW_Cases!$B:$B,Overview!$A19,RAW_Cases!BU:BU)</f>
        <v>57749</v>
      </c>
      <c r="BU19" s="25">
        <f>SUMIF(RAW_Cases!$B:$B,Overview!$A19,RAW_Cases!BV:BV)</f>
        <v>59929</v>
      </c>
      <c r="BV19" s="25">
        <f>SUMIF(RAW_Cases!$B:$B,Overview!$A19,RAW_Cases!BW:BW)</f>
        <v>65202</v>
      </c>
      <c r="BW19" s="25">
        <f>SUMIF(RAW_Cases!$B:$B,Overview!$A19,RAW_Cases!BX:BX)</f>
        <v>69500</v>
      </c>
      <c r="BX19" s="25">
        <f>SUMIF(RAW_Cases!$B:$B,Overview!$A19,RAW_Cases!BY:BY)</f>
        <v>71412</v>
      </c>
      <c r="BY19" s="25">
        <f>SUMIF(RAW_Cases!$B:$B,Overview!$A19,RAW_Cases!BZ:BZ)</f>
        <v>75343</v>
      </c>
      <c r="BZ19" s="25">
        <f>SUMIF(RAW_Cases!$B:$B,Overview!$A19,RAW_Cases!CA:CA)</f>
        <v>79163</v>
      </c>
      <c r="CA19" s="25">
        <f>SUMIF(RAW_Cases!$B:$B,Overview!$A19,RAW_Cases!CB:CB)</f>
        <v>83057</v>
      </c>
      <c r="CB19" s="25">
        <f>SUMIF(RAW_Cases!$B:$B,Overview!$A19,RAW_Cases!CC:CC)</f>
        <v>87366</v>
      </c>
      <c r="CC19" s="25">
        <f>SUMIF(RAW_Cases!$B:$B,Overview!$A19,RAW_Cases!CD:CD)</f>
        <v>91738</v>
      </c>
      <c r="CD19" s="25">
        <f>SUMIF(RAW_Cases!$B:$B,Overview!$A19,RAW_Cases!CE:CE)</f>
        <v>94863</v>
      </c>
      <c r="CE19" s="25">
        <f>SUMIF(RAW_Cases!$B:$B,Overview!$A19,RAW_Cases!CF:CF)</f>
        <v>121712</v>
      </c>
      <c r="CF19" s="25">
        <f>SUMIF(RAW_Cases!$B:$B,Overview!$A19,RAW_Cases!CG:CG)</f>
        <v>125394</v>
      </c>
      <c r="CG19" s="25">
        <f>SUMIF(RAW_Cases!$B:$B,Overview!$A19,RAW_Cases!CH:CH)</f>
        <v>130365</v>
      </c>
      <c r="CH19" s="25">
        <f>SUMIF(RAW_Cases!$B:$B,Overview!$A19,RAW_Cases!CI:CI)</f>
        <v>133585</v>
      </c>
      <c r="CI19" s="25">
        <f>SUMIF(RAW_Cases!$B:$B,Overview!$A19,RAW_Cases!CJ:CJ)</f>
        <v>146075</v>
      </c>
      <c r="CJ19" s="25">
        <f>SUMIF(RAW_Cases!$B:$B,Overview!$A19,RAW_Cases!CK:CK)</f>
        <v>148084</v>
      </c>
      <c r="CK19" s="25">
        <f>SUMIF(RAW_Cases!$B:$B,Overview!$A19,RAW_Cases!CL:CL)</f>
        <v>148086</v>
      </c>
      <c r="CL19" s="25">
        <f>SUMIF(RAW_Cases!$B:$B,Overview!$A19,RAW_Cases!CM:CM)</f>
        <v>153011</v>
      </c>
      <c r="CM19" s="25">
        <f>SUMIF(RAW_Cases!$B:$B,Overview!$A19,RAW_Cases!CN:CN)</f>
        <v>155393</v>
      </c>
      <c r="CN19" s="25">
        <f>SUMIF(RAW_Cases!$B:$B,Overview!$A19,RAW_Cases!CO:CO)</f>
        <v>158168</v>
      </c>
      <c r="CO19" s="25">
        <f>SUMIF(RAW_Cases!$B:$B,Overview!$A19,RAW_Cases!CP:CP)</f>
        <v>155980</v>
      </c>
      <c r="CP19" s="25">
        <f>SUMIF(RAW_Cases!$B:$B,Overview!$A19,RAW_Cases!CQ:CQ)</f>
        <v>158303</v>
      </c>
      <c r="CQ19" s="25">
        <f>SUMIF(RAW_Cases!$B:$B,Overview!$A19,RAW_Cases!CR:CR)</f>
        <v>159952</v>
      </c>
      <c r="CR19" s="25">
        <f>SUMIF(RAW_Cases!$B:$B,Overview!$A19,RAW_Cases!CS:CS)</f>
        <v>161644</v>
      </c>
      <c r="CS19" s="25">
        <f>SUMIF(RAW_Cases!$B:$B,Overview!$A19,RAW_Cases!CT:CT)</f>
        <v>162220</v>
      </c>
      <c r="CT19" s="25">
        <f>SUMIF(RAW_Cases!$B:$B,Overview!$A19,RAW_Cases!CU:CU)</f>
        <v>165963</v>
      </c>
      <c r="CU19" s="25">
        <f>SUMIF(RAW_Cases!$B:$B,Overview!$A19,RAW_Cases!CV:CV)</f>
        <v>169053</v>
      </c>
      <c r="CV19" s="25">
        <f>SUMIF(RAW_Cases!$B:$B,Overview!$A19,RAW_Cases!CW:CW)</f>
        <v>166543</v>
      </c>
      <c r="CW19" s="25">
        <f>SUMIF(RAW_Cases!$B:$B,Overview!$A19,RAW_Cases!CX:CX)</f>
        <v>167299</v>
      </c>
      <c r="CX19" s="25">
        <f>SUMIF(RAW_Cases!$B:$B,Overview!$A19,RAW_Cases!CY:CY)</f>
        <v>167305</v>
      </c>
      <c r="CY19" s="25">
        <f>SUMIF(RAW_Cases!$B:$B,Overview!$A19,RAW_Cases!CZ:CZ)</f>
        <v>168518</v>
      </c>
      <c r="CZ19" s="25">
        <f>SUMIF(RAW_Cases!$B:$B,Overview!$A19,RAW_Cases!DA:DA)</f>
        <v>168925</v>
      </c>
      <c r="DA19" s="25">
        <f>SUMIF(RAW_Cases!$B:$B,Overview!$A19,RAW_Cases!DB:DB)</f>
        <v>0</v>
      </c>
      <c r="DB19" s="25">
        <f>SUMIF(RAW_Cases!$B:$B,Overview!$A19,RAW_Cases!DC:DC)</f>
        <v>0</v>
      </c>
      <c r="DC19" s="25">
        <f>SUMIF(RAW_Cases!$B:$B,Overview!$A19,RAW_Cases!DD:DD)</f>
        <v>0</v>
      </c>
      <c r="DD19" s="25">
        <f>SUMIF(RAW_Cases!$B:$B,Overview!$A19,RAW_Cases!DE:DE)</f>
        <v>0</v>
      </c>
      <c r="DE19" s="25">
        <f>SUMIF(RAW_Cases!$B:$B,Overview!$A19,RAW_Cases!DF:DF)</f>
        <v>0</v>
      </c>
      <c r="DF19" s="25">
        <f>SUMIF(RAW_Cases!$B:$B,Overview!$A19,RAW_Cases!DG:DG)</f>
        <v>0</v>
      </c>
      <c r="DG19" s="25">
        <f>SUMIF(RAW_Cases!$B:$B,Overview!$A19,RAW_Cases!DH:DH)</f>
        <v>0</v>
      </c>
      <c r="DH19" s="25">
        <f>SUMIF(RAW_Cases!$B:$B,Overview!$A19,RAW_Cases!DI:DI)</f>
        <v>0</v>
      </c>
      <c r="DI19" s="25">
        <f>SUMIF(RAW_Cases!$B:$B,Overview!$A19,RAW_Cases!DJ:DJ)</f>
        <v>0</v>
      </c>
      <c r="DJ19" s="25">
        <f>SUMIF(RAW_Cases!$B:$B,Overview!$A19,RAW_Cases!DK:DK)</f>
        <v>0</v>
      </c>
      <c r="DK19" s="25">
        <f>SUMIF(RAW_Cases!$B:$B,Overview!$A19,RAW_Cases!DL:DL)</f>
        <v>0</v>
      </c>
      <c r="DL19" s="25">
        <f>SUMIF(RAW_Cases!$B:$B,Overview!$A19,RAW_Cases!DM:DM)</f>
        <v>0</v>
      </c>
      <c r="DM19" s="25">
        <f>SUMIF(RAW_Cases!$B:$B,Overview!$A19,RAW_Cases!DN:DN)</f>
        <v>0</v>
      </c>
      <c r="DN19" s="25">
        <f>SUMIF(RAW_Cases!$B:$B,Overview!$A19,RAW_Cases!DO:DO)</f>
        <v>0</v>
      </c>
      <c r="DO19" s="25">
        <f>SUMIF(RAW_Cases!$B:$B,Overview!$A19,RAW_Cases!DP:DP)</f>
        <v>0</v>
      </c>
      <c r="DP19" s="25">
        <f>SUMIF(RAW_Cases!$B:$B,Overview!$A19,RAW_Cases!DQ:DQ)</f>
        <v>0</v>
      </c>
      <c r="DQ19" s="25">
        <f>SUMIF(RAW_Cases!$B:$B,Overview!$A19,RAW_Cases!DR:DR)</f>
        <v>0</v>
      </c>
      <c r="DR19" s="25">
        <f>SUMIF(RAW_Cases!$B:$B,Overview!$A19,RAW_Cases!DS:DS)</f>
        <v>0</v>
      </c>
      <c r="DS19" s="25">
        <f>SUMIF(RAW_Cases!$B:$B,Overview!$A19,RAW_Cases!DT:DT)</f>
        <v>0</v>
      </c>
      <c r="DT19" s="25">
        <f>SUMIF(RAW_Cases!$B:$B,Overview!$A19,RAW_Cases!DU:DU)</f>
        <v>0</v>
      </c>
      <c r="DU19" s="25">
        <f>SUMIF(RAW_Cases!$B:$B,Overview!$A19,RAW_Cases!DV:DV)</f>
        <v>0</v>
      </c>
      <c r="DV19" s="25">
        <f>SUMIF(RAW_Cases!$B:$B,Overview!$A19,RAW_Cases!DW:DW)</f>
        <v>0</v>
      </c>
      <c r="DW19" s="25">
        <f>SUMIF(RAW_Cases!$B:$B,Overview!$A19,RAW_Cases!DX:DX)</f>
        <v>0</v>
      </c>
      <c r="DX19" s="25">
        <f>SUMIF(RAW_Cases!$B:$B,Overview!$A19,RAW_Cases!DY:DY)</f>
        <v>0</v>
      </c>
      <c r="DY19" s="25">
        <f>SUMIF(RAW_Cases!$B:$B,Overview!$A19,RAW_Cases!DZ:DZ)</f>
        <v>0</v>
      </c>
      <c r="DZ19" s="25">
        <f>SUMIF(RAW_Cases!$B:$B,Overview!$A19,RAW_Cases!EA:EA)</f>
        <v>0</v>
      </c>
      <c r="EA19" s="25">
        <f>SUMIF(RAW_Cases!$B:$B,Overview!$A19,RAW_Cases!EB:EB)</f>
        <v>0</v>
      </c>
    </row>
    <row r="20" spans="1:131" s="10" customFormat="1" ht="13.15" x14ac:dyDescent="0.4">
      <c r="A20" s="24" t="s">
        <v>111</v>
      </c>
      <c r="B20" s="25">
        <f>SUMIF(RAW_Cases!$B:$B,Overview!$A20,RAW_Cases!C:C)</f>
        <v>1</v>
      </c>
      <c r="C20" s="25">
        <f>SUMIF(RAW_Cases!$B:$B,Overview!$A20,RAW_Cases!D:D)</f>
        <v>1</v>
      </c>
      <c r="D20" s="25">
        <f>SUMIF(RAW_Cases!$B:$B,Overview!$A20,RAW_Cases!E:E)</f>
        <v>2</v>
      </c>
      <c r="E20" s="25">
        <f>SUMIF(RAW_Cases!$B:$B,Overview!$A20,RAW_Cases!F:F)</f>
        <v>2</v>
      </c>
      <c r="F20" s="25">
        <f>SUMIF(RAW_Cases!$B:$B,Overview!$A20,RAW_Cases!G:G)</f>
        <v>3</v>
      </c>
      <c r="G20" s="25">
        <f>SUMIF(RAW_Cases!$B:$B,Overview!$A20,RAW_Cases!H:H)</f>
        <v>4</v>
      </c>
      <c r="H20" s="25">
        <f>SUMIF(RAW_Cases!$B:$B,Overview!$A20,RAW_Cases!I:I)</f>
        <v>4</v>
      </c>
      <c r="I20" s="25">
        <f>SUMIF(RAW_Cases!$B:$B,Overview!$A20,RAW_Cases!J:J)</f>
        <v>4</v>
      </c>
      <c r="J20" s="25">
        <f>SUMIF(RAW_Cases!$B:$B,Overview!$A20,RAW_Cases!K:K)</f>
        <v>4</v>
      </c>
      <c r="K20" s="25">
        <f>SUMIF(RAW_Cases!$B:$B,Overview!$A20,RAW_Cases!L:L)</f>
        <v>11</v>
      </c>
      <c r="L20" s="25">
        <f>SUMIF(RAW_Cases!$B:$B,Overview!$A20,RAW_Cases!M:M)</f>
        <v>12</v>
      </c>
      <c r="M20" s="25">
        <f>SUMIF(RAW_Cases!$B:$B,Overview!$A20,RAW_Cases!N:N)</f>
        <v>15</v>
      </c>
      <c r="N20" s="25">
        <f>SUMIF(RAW_Cases!$B:$B,Overview!$A20,RAW_Cases!O:O)</f>
        <v>15</v>
      </c>
      <c r="O20" s="25">
        <f>SUMIF(RAW_Cases!$B:$B,Overview!$A20,RAW_Cases!P:P)</f>
        <v>16</v>
      </c>
      <c r="P20" s="25">
        <f>SUMIF(RAW_Cases!$B:$B,Overview!$A20,RAW_Cases!Q:Q)</f>
        <v>19</v>
      </c>
      <c r="Q20" s="25">
        <f>SUMIF(RAW_Cases!$B:$B,Overview!$A20,RAW_Cases!R:R)</f>
        <v>23</v>
      </c>
      <c r="R20" s="25">
        <f>SUMIF(RAW_Cases!$B:$B,Overview!$A20,RAW_Cases!S:S)</f>
        <v>24</v>
      </c>
      <c r="S20" s="25">
        <f>SUMIF(RAW_Cases!$B:$B,Overview!$A20,RAW_Cases!T:T)</f>
        <v>24</v>
      </c>
      <c r="T20" s="25">
        <f>SUMIF(RAW_Cases!$B:$B,Overview!$A20,RAW_Cases!U:U)</f>
        <v>25</v>
      </c>
      <c r="U20" s="25">
        <f>SUMIF(RAW_Cases!$B:$B,Overview!$A20,RAW_Cases!V:V)</f>
        <v>27</v>
      </c>
      <c r="V20" s="25">
        <f>SUMIF(RAW_Cases!$B:$B,Overview!$A20,RAW_Cases!W:W)</f>
        <v>28</v>
      </c>
      <c r="W20" s="25">
        <f>SUMIF(RAW_Cases!$B:$B,Overview!$A20,RAW_Cases!X:X)</f>
        <v>28</v>
      </c>
      <c r="X20" s="25">
        <f>SUMIF(RAW_Cases!$B:$B,Overview!$A20,RAW_Cases!Y:Y)</f>
        <v>28</v>
      </c>
      <c r="Y20" s="25">
        <f>SUMIF(RAW_Cases!$B:$B,Overview!$A20,RAW_Cases!Z:Z)</f>
        <v>28</v>
      </c>
      <c r="Z20" s="25">
        <f>SUMIF(RAW_Cases!$B:$B,Overview!$A20,RAW_Cases!AA:AA)</f>
        <v>28</v>
      </c>
      <c r="AA20" s="25">
        <f>SUMIF(RAW_Cases!$B:$B,Overview!$A20,RAW_Cases!AB:AB)</f>
        <v>29</v>
      </c>
      <c r="AB20" s="25">
        <f>SUMIF(RAW_Cases!$B:$B,Overview!$A20,RAW_Cases!AC:AC)</f>
        <v>30</v>
      </c>
      <c r="AC20" s="25">
        <f>SUMIF(RAW_Cases!$B:$B,Overview!$A20,RAW_Cases!AD:AD)</f>
        <v>31</v>
      </c>
      <c r="AD20" s="25">
        <f>SUMIF(RAW_Cases!$B:$B,Overview!$A20,RAW_Cases!AE:AE)</f>
        <v>31</v>
      </c>
      <c r="AE20" s="25">
        <f>SUMIF(RAW_Cases!$B:$B,Overview!$A20,RAW_Cases!AF:AF)</f>
        <v>104</v>
      </c>
      <c r="AF20" s="25">
        <f>SUMIF(RAW_Cases!$B:$B,Overview!$A20,RAW_Cases!AG:AG)</f>
        <v>204</v>
      </c>
      <c r="AG20" s="25">
        <f>SUMIF(RAW_Cases!$B:$B,Overview!$A20,RAW_Cases!AH:AH)</f>
        <v>433</v>
      </c>
      <c r="AH20" s="25">
        <f>SUMIF(RAW_Cases!$B:$B,Overview!$A20,RAW_Cases!AI:AI)</f>
        <v>602</v>
      </c>
      <c r="AI20" s="25">
        <f>SUMIF(RAW_Cases!$B:$B,Overview!$A20,RAW_Cases!AJ:AJ)</f>
        <v>833</v>
      </c>
      <c r="AJ20" s="25">
        <f>SUMIF(RAW_Cases!$B:$B,Overview!$A20,RAW_Cases!AK:AK)</f>
        <v>977</v>
      </c>
      <c r="AK20" s="25">
        <f>SUMIF(RAW_Cases!$B:$B,Overview!$A20,RAW_Cases!AL:AL)</f>
        <v>1261</v>
      </c>
      <c r="AL20" s="25">
        <f>SUMIF(RAW_Cases!$B:$B,Overview!$A20,RAW_Cases!AM:AM)</f>
        <v>1766</v>
      </c>
      <c r="AM20" s="25">
        <f>SUMIF(RAW_Cases!$B:$B,Overview!$A20,RAW_Cases!AN:AN)</f>
        <v>2337</v>
      </c>
      <c r="AN20" s="25">
        <f>SUMIF(RAW_Cases!$B:$B,Overview!$A20,RAW_Cases!AO:AO)</f>
        <v>3150</v>
      </c>
      <c r="AO20" s="25">
        <f>SUMIF(RAW_Cases!$B:$B,Overview!$A20,RAW_Cases!AP:AP)</f>
        <v>3736</v>
      </c>
      <c r="AP20" s="25">
        <f>SUMIF(RAW_Cases!$B:$B,Overview!$A20,RAW_Cases!AQ:AQ)</f>
        <v>4335</v>
      </c>
      <c r="AQ20" s="25">
        <f>SUMIF(RAW_Cases!$B:$B,Overview!$A20,RAW_Cases!AR:AR)</f>
        <v>5186</v>
      </c>
      <c r="AR20" s="25">
        <f>SUMIF(RAW_Cases!$B:$B,Overview!$A20,RAW_Cases!AS:AS)</f>
        <v>5621</v>
      </c>
      <c r="AS20" s="25">
        <f>SUMIF(RAW_Cases!$B:$B,Overview!$A20,RAW_Cases!AT:AT)</f>
        <v>6088</v>
      </c>
      <c r="AT20" s="25">
        <f>SUMIF(RAW_Cases!$B:$B,Overview!$A20,RAW_Cases!AU:AU)</f>
        <v>6593</v>
      </c>
      <c r="AU20" s="25">
        <f>SUMIF(RAW_Cases!$B:$B,Overview!$A20,RAW_Cases!AV:AV)</f>
        <v>7041</v>
      </c>
      <c r="AV20" s="25">
        <f>SUMIF(RAW_Cases!$B:$B,Overview!$A20,RAW_Cases!AW:AW)</f>
        <v>7314</v>
      </c>
      <c r="AW20" s="25">
        <f>SUMIF(RAW_Cases!$B:$B,Overview!$A20,RAW_Cases!AX:AX)</f>
        <v>7478</v>
      </c>
      <c r="AX20" s="25">
        <f>SUMIF(RAW_Cases!$B:$B,Overview!$A20,RAW_Cases!AY:AY)</f>
        <v>7513</v>
      </c>
      <c r="AY20" s="25">
        <f>SUMIF(RAW_Cases!$B:$B,Overview!$A20,RAW_Cases!AZ:AZ)</f>
        <v>7755</v>
      </c>
      <c r="AZ20" s="25">
        <f>SUMIF(RAW_Cases!$B:$B,Overview!$A20,RAW_Cases!BA:BA)</f>
        <v>7869</v>
      </c>
      <c r="BA20" s="25">
        <f>SUMIF(RAW_Cases!$B:$B,Overview!$A20,RAW_Cases!BB:BB)</f>
        <v>7979</v>
      </c>
      <c r="BB20" s="25">
        <f>SUMIF(RAW_Cases!$B:$B,Overview!$A20,RAW_Cases!BC:BC)</f>
        <v>8086</v>
      </c>
      <c r="BC20" s="25">
        <f>SUMIF(RAW_Cases!$B:$B,Overview!$A20,RAW_Cases!BD:BD)</f>
        <v>8162</v>
      </c>
      <c r="BD20" s="25">
        <f>SUMIF(RAW_Cases!$B:$B,Overview!$A20,RAW_Cases!BE:BE)</f>
        <v>8236</v>
      </c>
      <c r="BE20" s="25">
        <f>SUMIF(RAW_Cases!$B:$B,Overview!$A20,RAW_Cases!BF:BF)</f>
        <v>8320</v>
      </c>
      <c r="BF20" s="25">
        <f>SUMIF(RAW_Cases!$B:$B,Overview!$A20,RAW_Cases!BG:BG)</f>
        <v>8413</v>
      </c>
      <c r="BG20" s="25">
        <f>SUMIF(RAW_Cases!$B:$B,Overview!$A20,RAW_Cases!BH:BH)</f>
        <v>8565</v>
      </c>
      <c r="BH20" s="25">
        <f>SUMIF(RAW_Cases!$B:$B,Overview!$A20,RAW_Cases!BI:BI)</f>
        <v>8652</v>
      </c>
      <c r="BI20" s="25">
        <f>SUMIF(RAW_Cases!$B:$B,Overview!$A20,RAW_Cases!BJ:BJ)</f>
        <v>8799</v>
      </c>
      <c r="BJ20" s="25">
        <f>SUMIF(RAW_Cases!$B:$B,Overview!$A20,RAW_Cases!BK:BK)</f>
        <v>8961</v>
      </c>
      <c r="BK20" s="25">
        <f>SUMIF(RAW_Cases!$B:$B,Overview!$A20,RAW_Cases!BL:BL)</f>
        <v>8961</v>
      </c>
      <c r="BL20" s="25">
        <f>SUMIF(RAW_Cases!$B:$B,Overview!$A20,RAW_Cases!BM:BM)</f>
        <v>9037</v>
      </c>
      <c r="BM20" s="25">
        <f>SUMIF(RAW_Cases!$B:$B,Overview!$A20,RAW_Cases!BN:BN)</f>
        <v>9137</v>
      </c>
      <c r="BN20" s="25">
        <f>SUMIF(RAW_Cases!$B:$B,Overview!$A20,RAW_Cases!BO:BO)</f>
        <v>9241</v>
      </c>
      <c r="BO20" s="25">
        <f>SUMIF(RAW_Cases!$B:$B,Overview!$A20,RAW_Cases!BP:BP)</f>
        <v>9332</v>
      </c>
      <c r="BP20" s="25">
        <f>SUMIF(RAW_Cases!$B:$B,Overview!$A20,RAW_Cases!BQ:BQ)</f>
        <v>9478</v>
      </c>
      <c r="BQ20" s="25">
        <f>SUMIF(RAW_Cases!$B:$B,Overview!$A20,RAW_Cases!BR:BR)</f>
        <v>9583</v>
      </c>
      <c r="BR20" s="25">
        <f>SUMIF(RAW_Cases!$B:$B,Overview!$A20,RAW_Cases!BS:BS)</f>
        <v>9661</v>
      </c>
      <c r="BS20" s="25">
        <f>SUMIF(RAW_Cases!$B:$B,Overview!$A20,RAW_Cases!BT:BT)</f>
        <v>9786</v>
      </c>
      <c r="BT20" s="25">
        <f>SUMIF(RAW_Cases!$B:$B,Overview!$A20,RAW_Cases!BU:BU)</f>
        <v>9887</v>
      </c>
      <c r="BU20" s="25">
        <f>SUMIF(RAW_Cases!$B:$B,Overview!$A20,RAW_Cases!BV:BV)</f>
        <v>9976</v>
      </c>
      <c r="BV20" s="25">
        <f>SUMIF(RAW_Cases!$B:$B,Overview!$A20,RAW_Cases!BW:BW)</f>
        <v>10062</v>
      </c>
      <c r="BW20" s="25">
        <f>SUMIF(RAW_Cases!$B:$B,Overview!$A20,RAW_Cases!BX:BX)</f>
        <v>10156</v>
      </c>
      <c r="BX20" s="25">
        <f>SUMIF(RAW_Cases!$B:$B,Overview!$A20,RAW_Cases!BY:BY)</f>
        <v>10237</v>
      </c>
      <c r="BY20" s="25">
        <f>SUMIF(RAW_Cases!$B:$B,Overview!$A20,RAW_Cases!BZ:BZ)</f>
        <v>10284</v>
      </c>
      <c r="BZ20" s="25">
        <f>SUMIF(RAW_Cases!$B:$B,Overview!$A20,RAW_Cases!CA:CA)</f>
        <v>10331</v>
      </c>
      <c r="CA20" s="25">
        <f>SUMIF(RAW_Cases!$B:$B,Overview!$A20,RAW_Cases!CB:CB)</f>
        <v>10384</v>
      </c>
      <c r="CB20" s="25">
        <f>SUMIF(RAW_Cases!$B:$B,Overview!$A20,RAW_Cases!CC:CC)</f>
        <v>10423</v>
      </c>
      <c r="CC20" s="25">
        <f>SUMIF(RAW_Cases!$B:$B,Overview!$A20,RAW_Cases!CD:CD)</f>
        <v>10450</v>
      </c>
      <c r="CD20" s="25">
        <f>SUMIF(RAW_Cases!$B:$B,Overview!$A20,RAW_Cases!CE:CE)</f>
        <v>10480</v>
      </c>
      <c r="CE20" s="25">
        <f>SUMIF(RAW_Cases!$B:$B,Overview!$A20,RAW_Cases!CF:CF)</f>
        <v>10512</v>
      </c>
      <c r="CF20" s="25">
        <f>SUMIF(RAW_Cases!$B:$B,Overview!$A20,RAW_Cases!CG:CG)</f>
        <v>10537</v>
      </c>
      <c r="CG20" s="25">
        <f>SUMIF(RAW_Cases!$B:$B,Overview!$A20,RAW_Cases!CH:CH)</f>
        <v>10564</v>
      </c>
      <c r="CH20" s="25">
        <f>SUMIF(RAW_Cases!$B:$B,Overview!$A20,RAW_Cases!CI:CI)</f>
        <v>10591</v>
      </c>
      <c r="CI20" s="25">
        <f>SUMIF(RAW_Cases!$B:$B,Overview!$A20,RAW_Cases!CJ:CJ)</f>
        <v>10613</v>
      </c>
      <c r="CJ20" s="25">
        <f>SUMIF(RAW_Cases!$B:$B,Overview!$A20,RAW_Cases!CK:CK)</f>
        <v>10635</v>
      </c>
      <c r="CK20" s="25">
        <f>SUMIF(RAW_Cases!$B:$B,Overview!$A20,RAW_Cases!CL:CL)</f>
        <v>10653</v>
      </c>
      <c r="CL20" s="25">
        <f>SUMIF(RAW_Cases!$B:$B,Overview!$A20,RAW_Cases!CM:CM)</f>
        <v>10661</v>
      </c>
      <c r="CM20" s="25">
        <f>SUMIF(RAW_Cases!$B:$B,Overview!$A20,RAW_Cases!CN:CN)</f>
        <v>10674</v>
      </c>
      <c r="CN20" s="25">
        <f>SUMIF(RAW_Cases!$B:$B,Overview!$A20,RAW_Cases!CO:CO)</f>
        <v>10683</v>
      </c>
      <c r="CO20" s="25">
        <f>SUMIF(RAW_Cases!$B:$B,Overview!$A20,RAW_Cases!CP:CP)</f>
        <v>10694</v>
      </c>
      <c r="CP20" s="25">
        <f>SUMIF(RAW_Cases!$B:$B,Overview!$A20,RAW_Cases!CQ:CQ)</f>
        <v>10708</v>
      </c>
      <c r="CQ20" s="25">
        <f>SUMIF(RAW_Cases!$B:$B,Overview!$A20,RAW_Cases!CR:CR)</f>
        <v>10718</v>
      </c>
      <c r="CR20" s="25">
        <f>SUMIF(RAW_Cases!$B:$B,Overview!$A20,RAW_Cases!CS:CS)</f>
        <v>10728</v>
      </c>
      <c r="CS20" s="25">
        <f>SUMIF(RAW_Cases!$B:$B,Overview!$A20,RAW_Cases!CT:CT)</f>
        <v>10738</v>
      </c>
      <c r="CT20" s="25">
        <f>SUMIF(RAW_Cases!$B:$B,Overview!$A20,RAW_Cases!CU:CU)</f>
        <v>10752</v>
      </c>
      <c r="CU20" s="25">
        <f>SUMIF(RAW_Cases!$B:$B,Overview!$A20,RAW_Cases!CV:CV)</f>
        <v>10761</v>
      </c>
      <c r="CV20" s="25">
        <f>SUMIF(RAW_Cases!$B:$B,Overview!$A20,RAW_Cases!CW:CW)</f>
        <v>10765</v>
      </c>
      <c r="CW20" s="25">
        <f>SUMIF(RAW_Cases!$B:$B,Overview!$A20,RAW_Cases!CX:CX)</f>
        <v>10774</v>
      </c>
      <c r="CX20" s="25">
        <f>SUMIF(RAW_Cases!$B:$B,Overview!$A20,RAW_Cases!CY:CY)</f>
        <v>10780</v>
      </c>
      <c r="CY20" s="25">
        <f>SUMIF(RAW_Cases!$B:$B,Overview!$A20,RAW_Cases!CZ:CZ)</f>
        <v>10793</v>
      </c>
      <c r="CZ20" s="25">
        <f>SUMIF(RAW_Cases!$B:$B,Overview!$A20,RAW_Cases!DA:DA)</f>
        <v>10801</v>
      </c>
      <c r="DA20" s="25">
        <f>SUMIF(RAW_Cases!$B:$B,Overview!$A20,RAW_Cases!DB:DB)</f>
        <v>0</v>
      </c>
      <c r="DB20" s="25">
        <f>SUMIF(RAW_Cases!$B:$B,Overview!$A20,RAW_Cases!DC:DC)</f>
        <v>0</v>
      </c>
      <c r="DC20" s="25">
        <f>SUMIF(RAW_Cases!$B:$B,Overview!$A20,RAW_Cases!DD:DD)</f>
        <v>0</v>
      </c>
      <c r="DD20" s="25">
        <f>SUMIF(RAW_Cases!$B:$B,Overview!$A20,RAW_Cases!DE:DE)</f>
        <v>0</v>
      </c>
      <c r="DE20" s="25">
        <f>SUMIF(RAW_Cases!$B:$B,Overview!$A20,RAW_Cases!DF:DF)</f>
        <v>0</v>
      </c>
      <c r="DF20" s="25">
        <f>SUMIF(RAW_Cases!$B:$B,Overview!$A20,RAW_Cases!DG:DG)</f>
        <v>0</v>
      </c>
      <c r="DG20" s="25">
        <f>SUMIF(RAW_Cases!$B:$B,Overview!$A20,RAW_Cases!DH:DH)</f>
        <v>0</v>
      </c>
      <c r="DH20" s="25">
        <f>SUMIF(RAW_Cases!$B:$B,Overview!$A20,RAW_Cases!DI:DI)</f>
        <v>0</v>
      </c>
      <c r="DI20" s="25">
        <f>SUMIF(RAW_Cases!$B:$B,Overview!$A20,RAW_Cases!DJ:DJ)</f>
        <v>0</v>
      </c>
      <c r="DJ20" s="25">
        <f>SUMIF(RAW_Cases!$B:$B,Overview!$A20,RAW_Cases!DK:DK)</f>
        <v>0</v>
      </c>
      <c r="DK20" s="25">
        <f>SUMIF(RAW_Cases!$B:$B,Overview!$A20,RAW_Cases!DL:DL)</f>
        <v>0</v>
      </c>
      <c r="DL20" s="25">
        <f>SUMIF(RAW_Cases!$B:$B,Overview!$A20,RAW_Cases!DM:DM)</f>
        <v>0</v>
      </c>
      <c r="DM20" s="25">
        <f>SUMIF(RAW_Cases!$B:$B,Overview!$A20,RAW_Cases!DN:DN)</f>
        <v>0</v>
      </c>
      <c r="DN20" s="25">
        <f>SUMIF(RAW_Cases!$B:$B,Overview!$A20,RAW_Cases!DO:DO)</f>
        <v>0</v>
      </c>
      <c r="DO20" s="25">
        <f>SUMIF(RAW_Cases!$B:$B,Overview!$A20,RAW_Cases!DP:DP)</f>
        <v>0</v>
      </c>
      <c r="DP20" s="25">
        <f>SUMIF(RAW_Cases!$B:$B,Overview!$A20,RAW_Cases!DQ:DQ)</f>
        <v>0</v>
      </c>
      <c r="DQ20" s="25">
        <f>SUMIF(RAW_Cases!$B:$B,Overview!$A20,RAW_Cases!DR:DR)</f>
        <v>0</v>
      </c>
      <c r="DR20" s="25">
        <f>SUMIF(RAW_Cases!$B:$B,Overview!$A20,RAW_Cases!DS:DS)</f>
        <v>0</v>
      </c>
      <c r="DS20" s="25">
        <f>SUMIF(RAW_Cases!$B:$B,Overview!$A20,RAW_Cases!DT:DT)</f>
        <v>0</v>
      </c>
      <c r="DT20" s="25">
        <f>SUMIF(RAW_Cases!$B:$B,Overview!$A20,RAW_Cases!DU:DU)</f>
        <v>0</v>
      </c>
      <c r="DU20" s="25">
        <f>SUMIF(RAW_Cases!$B:$B,Overview!$A20,RAW_Cases!DV:DV)</f>
        <v>0</v>
      </c>
      <c r="DV20" s="25">
        <f>SUMIF(RAW_Cases!$B:$B,Overview!$A20,RAW_Cases!DW:DW)</f>
        <v>0</v>
      </c>
      <c r="DW20" s="25">
        <f>SUMIF(RAW_Cases!$B:$B,Overview!$A20,RAW_Cases!DX:DX)</f>
        <v>0</v>
      </c>
      <c r="DX20" s="25">
        <f>SUMIF(RAW_Cases!$B:$B,Overview!$A20,RAW_Cases!DY:DY)</f>
        <v>0</v>
      </c>
      <c r="DY20" s="25">
        <f>SUMIF(RAW_Cases!$B:$B,Overview!$A20,RAW_Cases!DZ:DZ)</f>
        <v>0</v>
      </c>
      <c r="DZ20" s="25">
        <f>SUMIF(RAW_Cases!$B:$B,Overview!$A20,RAW_Cases!EA:EA)</f>
        <v>0</v>
      </c>
      <c r="EA20" s="25">
        <f>SUMIF(RAW_Cases!$B:$B,Overview!$A20,RAW_Cases!EB:EB)</f>
        <v>0</v>
      </c>
    </row>
    <row r="21" spans="1:131" s="10" customFormat="1" ht="13.15" x14ac:dyDescent="0.4">
      <c r="A21" s="24" t="s">
        <v>22</v>
      </c>
      <c r="B21" s="25">
        <f>SUMIF(RAW_Cases!$B:$B,Overview!$A21,RAW_Cases!C:C)</f>
        <v>0</v>
      </c>
      <c r="C21" s="25">
        <f>SUMIF(RAW_Cases!$B:$B,Overview!$A21,RAW_Cases!D:D)</f>
        <v>0</v>
      </c>
      <c r="D21" s="25">
        <f>SUMIF(RAW_Cases!$B:$B,Overview!$A21,RAW_Cases!E:E)</f>
        <v>0</v>
      </c>
      <c r="E21" s="25">
        <f>SUMIF(RAW_Cases!$B:$B,Overview!$A21,RAW_Cases!F:F)</f>
        <v>0</v>
      </c>
      <c r="F21" s="25">
        <f>SUMIF(RAW_Cases!$B:$B,Overview!$A21,RAW_Cases!G:G)</f>
        <v>0</v>
      </c>
      <c r="G21" s="25">
        <f>SUMIF(RAW_Cases!$B:$B,Overview!$A21,RAW_Cases!H:H)</f>
        <v>0</v>
      </c>
      <c r="H21" s="25">
        <f>SUMIF(RAW_Cases!$B:$B,Overview!$A21,RAW_Cases!I:I)</f>
        <v>0</v>
      </c>
      <c r="I21" s="25">
        <f>SUMIF(RAW_Cases!$B:$B,Overview!$A21,RAW_Cases!J:J)</f>
        <v>0</v>
      </c>
      <c r="J21" s="25">
        <f>SUMIF(RAW_Cases!$B:$B,Overview!$A21,RAW_Cases!K:K)</f>
        <v>0</v>
      </c>
      <c r="K21" s="25">
        <f>SUMIF(RAW_Cases!$B:$B,Overview!$A21,RAW_Cases!L:L)</f>
        <v>0</v>
      </c>
      <c r="L21" s="25">
        <f>SUMIF(RAW_Cases!$B:$B,Overview!$A21,RAW_Cases!M:M)</f>
        <v>1</v>
      </c>
      <c r="M21" s="25">
        <f>SUMIF(RAW_Cases!$B:$B,Overview!$A21,RAW_Cases!N:N)</f>
        <v>1</v>
      </c>
      <c r="N21" s="25">
        <f>SUMIF(RAW_Cases!$B:$B,Overview!$A21,RAW_Cases!O:O)</f>
        <v>1</v>
      </c>
      <c r="O21" s="25">
        <f>SUMIF(RAW_Cases!$B:$B,Overview!$A21,RAW_Cases!P:P)</f>
        <v>1</v>
      </c>
      <c r="P21" s="25">
        <f>SUMIF(RAW_Cases!$B:$B,Overview!$A21,RAW_Cases!Q:Q)</f>
        <v>1</v>
      </c>
      <c r="Q21" s="25">
        <f>SUMIF(RAW_Cases!$B:$B,Overview!$A21,RAW_Cases!R:R)</f>
        <v>1</v>
      </c>
      <c r="R21" s="25">
        <f>SUMIF(RAW_Cases!$B:$B,Overview!$A21,RAW_Cases!S:S)</f>
        <v>1</v>
      </c>
      <c r="S21" s="25">
        <f>SUMIF(RAW_Cases!$B:$B,Overview!$A21,RAW_Cases!T:T)</f>
        <v>1</v>
      </c>
      <c r="T21" s="25">
        <f>SUMIF(RAW_Cases!$B:$B,Overview!$A21,RAW_Cases!U:U)</f>
        <v>2</v>
      </c>
      <c r="U21" s="25">
        <f>SUMIF(RAW_Cases!$B:$B,Overview!$A21,RAW_Cases!V:V)</f>
        <v>2</v>
      </c>
      <c r="V21" s="25">
        <f>SUMIF(RAW_Cases!$B:$B,Overview!$A21,RAW_Cases!W:W)</f>
        <v>2</v>
      </c>
      <c r="W21" s="25">
        <f>SUMIF(RAW_Cases!$B:$B,Overview!$A21,RAW_Cases!X:X)</f>
        <v>2</v>
      </c>
      <c r="X21" s="25">
        <f>SUMIF(RAW_Cases!$B:$B,Overview!$A21,RAW_Cases!Y:Y)</f>
        <v>2</v>
      </c>
      <c r="Y21" s="25">
        <f>SUMIF(RAW_Cases!$B:$B,Overview!$A21,RAW_Cases!Z:Z)</f>
        <v>2</v>
      </c>
      <c r="Z21" s="25">
        <f>SUMIF(RAW_Cases!$B:$B,Overview!$A21,RAW_Cases!AA:AA)</f>
        <v>2</v>
      </c>
      <c r="AA21" s="25">
        <f>SUMIF(RAW_Cases!$B:$B,Overview!$A21,RAW_Cases!AB:AB)</f>
        <v>2</v>
      </c>
      <c r="AB21" s="25">
        <f>SUMIF(RAW_Cases!$B:$B,Overview!$A21,RAW_Cases!AC:AC)</f>
        <v>2</v>
      </c>
      <c r="AC21" s="25">
        <f>SUMIF(RAW_Cases!$B:$B,Overview!$A21,RAW_Cases!AD:AD)</f>
        <v>2</v>
      </c>
      <c r="AD21" s="25">
        <f>SUMIF(RAW_Cases!$B:$B,Overview!$A21,RAW_Cases!AE:AE)</f>
        <v>2</v>
      </c>
      <c r="AE21" s="25">
        <f>SUMIF(RAW_Cases!$B:$B,Overview!$A21,RAW_Cases!AF:AF)</f>
        <v>2</v>
      </c>
      <c r="AF21" s="25">
        <f>SUMIF(RAW_Cases!$B:$B,Overview!$A21,RAW_Cases!AG:AG)</f>
        <v>2</v>
      </c>
      <c r="AG21" s="25">
        <f>SUMIF(RAW_Cases!$B:$B,Overview!$A21,RAW_Cases!AH:AH)</f>
        <v>2</v>
      </c>
      <c r="AH21" s="25">
        <f>SUMIF(RAW_Cases!$B:$B,Overview!$A21,RAW_Cases!AI:AI)</f>
        <v>2</v>
      </c>
      <c r="AI21" s="25">
        <f>SUMIF(RAW_Cases!$B:$B,Overview!$A21,RAW_Cases!AJ:AJ)</f>
        <v>2</v>
      </c>
      <c r="AJ21" s="25">
        <f>SUMIF(RAW_Cases!$B:$B,Overview!$A21,RAW_Cases!AK:AK)</f>
        <v>6</v>
      </c>
      <c r="AK21" s="25">
        <f>SUMIF(RAW_Cases!$B:$B,Overview!$A21,RAW_Cases!AL:AL)</f>
        <v>13</v>
      </c>
      <c r="AL21" s="25">
        <f>SUMIF(RAW_Cases!$B:$B,Overview!$A21,RAW_Cases!AM:AM)</f>
        <v>15</v>
      </c>
      <c r="AM21" s="25">
        <f>SUMIF(RAW_Cases!$B:$B,Overview!$A21,RAW_Cases!AN:AN)</f>
        <v>32</v>
      </c>
      <c r="AN21" s="25">
        <f>SUMIF(RAW_Cases!$B:$B,Overview!$A21,RAW_Cases!AO:AO)</f>
        <v>45</v>
      </c>
      <c r="AO21" s="25">
        <f>SUMIF(RAW_Cases!$B:$B,Overview!$A21,RAW_Cases!AP:AP)</f>
        <v>84</v>
      </c>
      <c r="AP21" s="25">
        <f>SUMIF(RAW_Cases!$B:$B,Overview!$A21,RAW_Cases!AQ:AQ)</f>
        <v>120</v>
      </c>
      <c r="AQ21" s="25">
        <f>SUMIF(RAW_Cases!$B:$B,Overview!$A21,RAW_Cases!AR:AR)</f>
        <v>165</v>
      </c>
      <c r="AR21" s="25">
        <f>SUMIF(RAW_Cases!$B:$B,Overview!$A21,RAW_Cases!AS:AS)</f>
        <v>222</v>
      </c>
      <c r="AS21" s="25">
        <f>SUMIF(RAW_Cases!$B:$B,Overview!$A21,RAW_Cases!AT:AT)</f>
        <v>259</v>
      </c>
      <c r="AT21" s="25">
        <f>SUMIF(RAW_Cases!$B:$B,Overview!$A21,RAW_Cases!AU:AU)</f>
        <v>400</v>
      </c>
      <c r="AU21" s="25">
        <f>SUMIF(RAW_Cases!$B:$B,Overview!$A21,RAW_Cases!AV:AV)</f>
        <v>500</v>
      </c>
      <c r="AV21" s="25">
        <f>SUMIF(RAW_Cases!$B:$B,Overview!$A21,RAW_Cases!AW:AW)</f>
        <v>673</v>
      </c>
      <c r="AW21" s="25">
        <f>SUMIF(RAW_Cases!$B:$B,Overview!$A21,RAW_Cases!AX:AX)</f>
        <v>1073</v>
      </c>
      <c r="AX21" s="25">
        <f>SUMIF(RAW_Cases!$B:$B,Overview!$A21,RAW_Cases!AY:AY)</f>
        <v>1695</v>
      </c>
      <c r="AY21" s="25">
        <f>SUMIF(RAW_Cases!$B:$B,Overview!$A21,RAW_Cases!AZ:AZ)</f>
        <v>2277</v>
      </c>
      <c r="AZ21" s="25">
        <f>SUMIF(RAW_Cases!$B:$B,Overview!$A21,RAW_Cases!BA:BA)</f>
        <v>2277</v>
      </c>
      <c r="BA21" s="25">
        <f>SUMIF(RAW_Cases!$B:$B,Overview!$A21,RAW_Cases!BB:BB)</f>
        <v>5232</v>
      </c>
      <c r="BB21" s="25">
        <f>SUMIF(RAW_Cases!$B:$B,Overview!$A21,RAW_Cases!BC:BC)</f>
        <v>6391</v>
      </c>
      <c r="BC21" s="25">
        <f>SUMIF(RAW_Cases!$B:$B,Overview!$A21,RAW_Cases!BD:BD)</f>
        <v>7798</v>
      </c>
      <c r="BD21" s="25">
        <f>SUMIF(RAW_Cases!$B:$B,Overview!$A21,RAW_Cases!BE:BE)</f>
        <v>9942</v>
      </c>
      <c r="BE21" s="25">
        <f>SUMIF(RAW_Cases!$B:$B,Overview!$A21,RAW_Cases!BF:BF)</f>
        <v>11748</v>
      </c>
      <c r="BF21" s="25">
        <f>SUMIF(RAW_Cases!$B:$B,Overview!$A21,RAW_Cases!BG:BG)</f>
        <v>13910</v>
      </c>
      <c r="BG21" s="25">
        <f>SUMIF(RAW_Cases!$B:$B,Overview!$A21,RAW_Cases!BH:BH)</f>
        <v>17963</v>
      </c>
      <c r="BH21" s="25">
        <f>SUMIF(RAW_Cases!$B:$B,Overview!$A21,RAW_Cases!BI:BI)</f>
        <v>20410</v>
      </c>
      <c r="BI21" s="25">
        <f>SUMIF(RAW_Cases!$B:$B,Overview!$A21,RAW_Cases!BJ:BJ)</f>
        <v>25374</v>
      </c>
      <c r="BJ21" s="25">
        <f>SUMIF(RAW_Cases!$B:$B,Overview!$A21,RAW_Cases!BK:BK)</f>
        <v>28768</v>
      </c>
      <c r="BK21" s="25">
        <f>SUMIF(RAW_Cases!$B:$B,Overview!$A21,RAW_Cases!BL:BL)</f>
        <v>35136</v>
      </c>
      <c r="BL21" s="25">
        <f>SUMIF(RAW_Cases!$B:$B,Overview!$A21,RAW_Cases!BM:BM)</f>
        <v>39885</v>
      </c>
      <c r="BM21" s="25">
        <f>SUMIF(RAW_Cases!$B:$B,Overview!$A21,RAW_Cases!BN:BN)</f>
        <v>49515</v>
      </c>
      <c r="BN21" s="25">
        <f>SUMIF(RAW_Cases!$B:$B,Overview!$A21,RAW_Cases!BO:BO)</f>
        <v>57786</v>
      </c>
      <c r="BO21" s="25">
        <f>SUMIF(RAW_Cases!$B:$B,Overview!$A21,RAW_Cases!BP:BP)</f>
        <v>65719</v>
      </c>
      <c r="BP21" s="25">
        <f>SUMIF(RAW_Cases!$B:$B,Overview!$A21,RAW_Cases!BQ:BQ)</f>
        <v>73235</v>
      </c>
      <c r="BQ21" s="25">
        <f>SUMIF(RAW_Cases!$B:$B,Overview!$A21,RAW_Cases!BR:BR)</f>
        <v>80110</v>
      </c>
      <c r="BR21" s="25">
        <f>SUMIF(RAW_Cases!$B:$B,Overview!$A21,RAW_Cases!BS:BS)</f>
        <v>87956</v>
      </c>
      <c r="BS21" s="25">
        <f>SUMIF(RAW_Cases!$B:$B,Overview!$A21,RAW_Cases!BT:BT)</f>
        <v>95923</v>
      </c>
      <c r="BT21" s="25">
        <f>SUMIF(RAW_Cases!$B:$B,Overview!$A21,RAW_Cases!BU:BU)</f>
        <v>104118</v>
      </c>
      <c r="BU21" s="25">
        <f>SUMIF(RAW_Cases!$B:$B,Overview!$A21,RAW_Cases!BV:BV)</f>
        <v>112065</v>
      </c>
      <c r="BV21" s="25">
        <f>SUMIF(RAW_Cases!$B:$B,Overview!$A21,RAW_Cases!BW:BW)</f>
        <v>119199</v>
      </c>
      <c r="BW21" s="25">
        <f>SUMIF(RAW_Cases!$B:$B,Overview!$A21,RAW_Cases!BX:BX)</f>
        <v>126168</v>
      </c>
      <c r="BX21" s="25">
        <f>SUMIF(RAW_Cases!$B:$B,Overview!$A21,RAW_Cases!BY:BY)</f>
        <v>131646</v>
      </c>
      <c r="BY21" s="25">
        <f>SUMIF(RAW_Cases!$B:$B,Overview!$A21,RAW_Cases!BZ:BZ)</f>
        <v>136675</v>
      </c>
      <c r="BZ21" s="25">
        <f>SUMIF(RAW_Cases!$B:$B,Overview!$A21,RAW_Cases!CA:CA)</f>
        <v>141942</v>
      </c>
      <c r="CA21" s="25">
        <f>SUMIF(RAW_Cases!$B:$B,Overview!$A21,RAW_Cases!CB:CB)</f>
        <v>148220</v>
      </c>
      <c r="CB21" s="25">
        <f>SUMIF(RAW_Cases!$B:$B,Overview!$A21,RAW_Cases!CC:CC)</f>
        <v>153222</v>
      </c>
      <c r="CC21" s="25">
        <f>SUMIF(RAW_Cases!$B:$B,Overview!$A21,RAW_Cases!CD:CD)</f>
        <v>158273</v>
      </c>
      <c r="CD21" s="25">
        <f>SUMIF(RAW_Cases!$B:$B,Overview!$A21,RAW_Cases!CE:CE)</f>
        <v>163027</v>
      </c>
      <c r="CE21" s="25">
        <f>SUMIF(RAW_Cases!$B:$B,Overview!$A21,RAW_Cases!CF:CF)</f>
        <v>166831</v>
      </c>
      <c r="CF21" s="25">
        <f>SUMIF(RAW_Cases!$B:$B,Overview!$A21,RAW_Cases!CG:CG)</f>
        <v>170099</v>
      </c>
      <c r="CG21" s="25">
        <f>SUMIF(RAW_Cases!$B:$B,Overview!$A21,RAW_Cases!CH:CH)</f>
        <v>172541</v>
      </c>
      <c r="CH21" s="25">
        <f>SUMIF(RAW_Cases!$B:$B,Overview!$A21,RAW_Cases!CI:CI)</f>
        <v>177644</v>
      </c>
      <c r="CI21" s="25">
        <f>SUMIF(RAW_Cases!$B:$B,Overview!$A21,RAW_Cases!CJ:CJ)</f>
        <v>184948</v>
      </c>
      <c r="CJ21" s="25">
        <f>SUMIF(RAW_Cases!$B:$B,Overview!$A21,RAW_Cases!CK:CK)</f>
        <v>190839</v>
      </c>
      <c r="CK21" s="25">
        <f>SUMIF(RAW_Cases!$B:$B,Overview!$A21,RAW_Cases!CL:CL)</f>
        <v>191726</v>
      </c>
      <c r="CL21" s="25">
        <f>SUMIF(RAW_Cases!$B:$B,Overview!$A21,RAW_Cases!CM:CM)</f>
        <v>198674</v>
      </c>
      <c r="CM21" s="25">
        <f>SUMIF(RAW_Cases!$B:$B,Overview!$A21,RAW_Cases!CN:CN)</f>
        <v>200210</v>
      </c>
      <c r="CN21" s="25">
        <f>SUMIF(RAW_Cases!$B:$B,Overview!$A21,RAW_Cases!CO:CO)</f>
        <v>204178</v>
      </c>
      <c r="CO21" s="25">
        <f>SUMIF(RAW_Cases!$B:$B,Overview!$A21,RAW_Cases!CP:CP)</f>
        <v>208389</v>
      </c>
      <c r="CP21" s="25">
        <f>SUMIF(RAW_Cases!$B:$B,Overview!$A21,RAW_Cases!CQ:CQ)</f>
        <v>213024</v>
      </c>
      <c r="CQ21" s="25">
        <f>SUMIF(RAW_Cases!$B:$B,Overview!$A21,RAW_Cases!CR:CR)</f>
        <v>202990</v>
      </c>
      <c r="CR21" s="25">
        <f>SUMIF(RAW_Cases!$B:$B,Overview!$A21,RAW_Cases!CS:CS)</f>
        <v>205905</v>
      </c>
      <c r="CS21" s="25">
        <f>SUMIF(RAW_Cases!$B:$B,Overview!$A21,RAW_Cases!CT:CT)</f>
        <v>207634</v>
      </c>
      <c r="CT21" s="25">
        <f>SUMIF(RAW_Cases!$B:$B,Overview!$A21,RAW_Cases!CU:CU)</f>
        <v>209465</v>
      </c>
      <c r="CU21" s="25">
        <f>SUMIF(RAW_Cases!$B:$B,Overview!$A21,RAW_Cases!CV:CV)</f>
        <v>210773</v>
      </c>
      <c r="CV21" s="25">
        <f>SUMIF(RAW_Cases!$B:$B,Overview!$A21,RAW_Cases!CW:CW)</f>
        <v>212917</v>
      </c>
      <c r="CW21" s="25">
        <f>SUMIF(RAW_Cases!$B:$B,Overview!$A21,RAW_Cases!CX:CX)</f>
        <v>213435</v>
      </c>
      <c r="CX21" s="25">
        <f>SUMIF(RAW_Cases!$B:$B,Overview!$A21,RAW_Cases!CY:CY)</f>
        <v>213435</v>
      </c>
      <c r="CY21" s="25">
        <f>SUMIF(RAW_Cases!$B:$B,Overview!$A21,RAW_Cases!CZ:CZ)</f>
        <v>216582</v>
      </c>
      <c r="CZ21" s="25">
        <f>SUMIF(RAW_Cases!$B:$B,Overview!$A21,RAW_Cases!DA:DA)</f>
        <v>217466</v>
      </c>
      <c r="DA21" s="25">
        <f>SUMIF(RAW_Cases!$B:$B,Overview!$A21,RAW_Cases!DB:DB)</f>
        <v>0</v>
      </c>
      <c r="DB21" s="25">
        <f>SUMIF(RAW_Cases!$B:$B,Overview!$A21,RAW_Cases!DC:DC)</f>
        <v>0</v>
      </c>
      <c r="DC21" s="25">
        <f>SUMIF(RAW_Cases!$B:$B,Overview!$A21,RAW_Cases!DD:DD)</f>
        <v>0</v>
      </c>
      <c r="DD21" s="25">
        <f>SUMIF(RAW_Cases!$B:$B,Overview!$A21,RAW_Cases!DE:DE)</f>
        <v>0</v>
      </c>
      <c r="DE21" s="25">
        <f>SUMIF(RAW_Cases!$B:$B,Overview!$A21,RAW_Cases!DF:DF)</f>
        <v>0</v>
      </c>
      <c r="DF21" s="25">
        <f>SUMIF(RAW_Cases!$B:$B,Overview!$A21,RAW_Cases!DG:DG)</f>
        <v>0</v>
      </c>
      <c r="DG21" s="25">
        <f>SUMIF(RAW_Cases!$B:$B,Overview!$A21,RAW_Cases!DH:DH)</f>
        <v>0</v>
      </c>
      <c r="DH21" s="25">
        <f>SUMIF(RAW_Cases!$B:$B,Overview!$A21,RAW_Cases!DI:DI)</f>
        <v>0</v>
      </c>
      <c r="DI21" s="25">
        <f>SUMIF(RAW_Cases!$B:$B,Overview!$A21,RAW_Cases!DJ:DJ)</f>
        <v>0</v>
      </c>
      <c r="DJ21" s="25">
        <f>SUMIF(RAW_Cases!$B:$B,Overview!$A21,RAW_Cases!DK:DK)</f>
        <v>0</v>
      </c>
      <c r="DK21" s="25">
        <f>SUMIF(RAW_Cases!$B:$B,Overview!$A21,RAW_Cases!DL:DL)</f>
        <v>0</v>
      </c>
      <c r="DL21" s="25">
        <f>SUMIF(RAW_Cases!$B:$B,Overview!$A21,RAW_Cases!DM:DM)</f>
        <v>0</v>
      </c>
      <c r="DM21" s="25">
        <f>SUMIF(RAW_Cases!$B:$B,Overview!$A21,RAW_Cases!DN:DN)</f>
        <v>0</v>
      </c>
      <c r="DN21" s="25">
        <f>SUMIF(RAW_Cases!$B:$B,Overview!$A21,RAW_Cases!DO:DO)</f>
        <v>0</v>
      </c>
      <c r="DO21" s="25">
        <f>SUMIF(RAW_Cases!$B:$B,Overview!$A21,RAW_Cases!DP:DP)</f>
        <v>0</v>
      </c>
      <c r="DP21" s="25">
        <f>SUMIF(RAW_Cases!$B:$B,Overview!$A21,RAW_Cases!DQ:DQ)</f>
        <v>0</v>
      </c>
      <c r="DQ21" s="25">
        <f>SUMIF(RAW_Cases!$B:$B,Overview!$A21,RAW_Cases!DR:DR)</f>
        <v>0</v>
      </c>
      <c r="DR21" s="25">
        <f>SUMIF(RAW_Cases!$B:$B,Overview!$A21,RAW_Cases!DS:DS)</f>
        <v>0</v>
      </c>
      <c r="DS21" s="25">
        <f>SUMIF(RAW_Cases!$B:$B,Overview!$A21,RAW_Cases!DT:DT)</f>
        <v>0</v>
      </c>
      <c r="DT21" s="25">
        <f>SUMIF(RAW_Cases!$B:$B,Overview!$A21,RAW_Cases!DU:DU)</f>
        <v>0</v>
      </c>
      <c r="DU21" s="25">
        <f>SUMIF(RAW_Cases!$B:$B,Overview!$A21,RAW_Cases!DV:DV)</f>
        <v>0</v>
      </c>
      <c r="DV21" s="25">
        <f>SUMIF(RAW_Cases!$B:$B,Overview!$A21,RAW_Cases!DW:DW)</f>
        <v>0</v>
      </c>
      <c r="DW21" s="25">
        <f>SUMIF(RAW_Cases!$B:$B,Overview!$A21,RAW_Cases!DX:DX)</f>
        <v>0</v>
      </c>
      <c r="DX21" s="25">
        <f>SUMIF(RAW_Cases!$B:$B,Overview!$A21,RAW_Cases!DY:DY)</f>
        <v>0</v>
      </c>
      <c r="DY21" s="25">
        <f>SUMIF(RAW_Cases!$B:$B,Overview!$A21,RAW_Cases!DZ:DZ)</f>
        <v>0</v>
      </c>
      <c r="DZ21" s="25">
        <f>SUMIF(RAW_Cases!$B:$B,Overview!$A21,RAW_Cases!EA:EA)</f>
        <v>0</v>
      </c>
      <c r="EA21" s="25">
        <f>SUMIF(RAW_Cases!$B:$B,Overview!$A21,RAW_Cases!EB:EB)</f>
        <v>0</v>
      </c>
    </row>
    <row r="22" spans="1:131" s="10" customFormat="1" ht="13.15" x14ac:dyDescent="0.4">
      <c r="A22" s="26" t="s">
        <v>155</v>
      </c>
      <c r="B22" s="27">
        <f>SUMIF(RAW_Cases!$B:$B,Overview!$A22,RAW_Cases!C:C)</f>
        <v>0</v>
      </c>
      <c r="C22" s="27">
        <f>SUMIF(RAW_Cases!$B:$B,Overview!$A22,RAW_Cases!D:D)</f>
        <v>0</v>
      </c>
      <c r="D22" s="27">
        <f>SUMIF(RAW_Cases!$B:$B,Overview!$A22,RAW_Cases!E:E)</f>
        <v>0</v>
      </c>
      <c r="E22" s="27">
        <f>SUMIF(RAW_Cases!$B:$B,Overview!$A22,RAW_Cases!F:F)</f>
        <v>0</v>
      </c>
      <c r="F22" s="27">
        <f>SUMIF(RAW_Cases!$B:$B,Overview!$A22,RAW_Cases!G:G)</f>
        <v>0</v>
      </c>
      <c r="G22" s="27">
        <f>SUMIF(RAW_Cases!$B:$B,Overview!$A22,RAW_Cases!H:H)</f>
        <v>0</v>
      </c>
      <c r="H22" s="27">
        <f>SUMIF(RAW_Cases!$B:$B,Overview!$A22,RAW_Cases!I:I)</f>
        <v>0</v>
      </c>
      <c r="I22" s="27">
        <f>SUMIF(RAW_Cases!$B:$B,Overview!$A22,RAW_Cases!J:J)</f>
        <v>0</v>
      </c>
      <c r="J22" s="27">
        <f>SUMIF(RAW_Cases!$B:$B,Overview!$A22,RAW_Cases!K:K)</f>
        <v>0</v>
      </c>
      <c r="K22" s="27">
        <f>SUMIF(RAW_Cases!$B:$B,Overview!$A22,RAW_Cases!L:L)</f>
        <v>2</v>
      </c>
      <c r="L22" s="27">
        <f>SUMIF(RAW_Cases!$B:$B,Overview!$A22,RAW_Cases!M:M)</f>
        <v>2</v>
      </c>
      <c r="M22" s="27">
        <f>SUMIF(RAW_Cases!$B:$B,Overview!$A22,RAW_Cases!N:N)</f>
        <v>2</v>
      </c>
      <c r="N22" s="27">
        <f>SUMIF(RAW_Cases!$B:$B,Overview!$A22,RAW_Cases!O:O)</f>
        <v>2</v>
      </c>
      <c r="O22" s="27">
        <f>SUMIF(RAW_Cases!$B:$B,Overview!$A22,RAW_Cases!P:P)</f>
        <v>2</v>
      </c>
      <c r="P22" s="27">
        <f>SUMIF(RAW_Cases!$B:$B,Overview!$A22,RAW_Cases!Q:Q)</f>
        <v>2</v>
      </c>
      <c r="Q22" s="27">
        <f>SUMIF(RAW_Cases!$B:$B,Overview!$A22,RAW_Cases!R:R)</f>
        <v>2</v>
      </c>
      <c r="R22" s="27">
        <f>SUMIF(RAW_Cases!$B:$B,Overview!$A22,RAW_Cases!S:S)</f>
        <v>3</v>
      </c>
      <c r="S22" s="27">
        <f>SUMIF(RAW_Cases!$B:$B,Overview!$A22,RAW_Cases!T:T)</f>
        <v>3</v>
      </c>
      <c r="T22" s="27">
        <f>SUMIF(RAW_Cases!$B:$B,Overview!$A22,RAW_Cases!U:U)</f>
        <v>3</v>
      </c>
      <c r="U22" s="27">
        <f>SUMIF(RAW_Cases!$B:$B,Overview!$A22,RAW_Cases!V:V)</f>
        <v>8</v>
      </c>
      <c r="V22" s="27">
        <f>SUMIF(RAW_Cases!$B:$B,Overview!$A22,RAW_Cases!W:W)</f>
        <v>8</v>
      </c>
      <c r="W22" s="27">
        <f>SUMIF(RAW_Cases!$B:$B,Overview!$A22,RAW_Cases!X:X)</f>
        <v>9</v>
      </c>
      <c r="X22" s="27">
        <f>SUMIF(RAW_Cases!$B:$B,Overview!$A22,RAW_Cases!Y:Y)</f>
        <v>9</v>
      </c>
      <c r="Y22" s="27">
        <f>SUMIF(RAW_Cases!$B:$B,Overview!$A22,RAW_Cases!Z:Z)</f>
        <v>9</v>
      </c>
      <c r="Z22" s="27">
        <f>SUMIF(RAW_Cases!$B:$B,Overview!$A22,RAW_Cases!AA:AA)</f>
        <v>9</v>
      </c>
      <c r="AA22" s="27">
        <f>SUMIF(RAW_Cases!$B:$B,Overview!$A22,RAW_Cases!AB:AB)</f>
        <v>9</v>
      </c>
      <c r="AB22" s="27">
        <f>SUMIF(RAW_Cases!$B:$B,Overview!$A22,RAW_Cases!AC:AC)</f>
        <v>9</v>
      </c>
      <c r="AC22" s="27">
        <f>SUMIF(RAW_Cases!$B:$B,Overview!$A22,RAW_Cases!AD:AD)</f>
        <v>9</v>
      </c>
      <c r="AD22" s="27">
        <f>SUMIF(RAW_Cases!$B:$B,Overview!$A22,RAW_Cases!AE:AE)</f>
        <v>9</v>
      </c>
      <c r="AE22" s="27">
        <f>SUMIF(RAW_Cases!$B:$B,Overview!$A22,RAW_Cases!AF:AF)</f>
        <v>9</v>
      </c>
      <c r="AF22" s="27">
        <f>SUMIF(RAW_Cases!$B:$B,Overview!$A22,RAW_Cases!AG:AG)</f>
        <v>9</v>
      </c>
      <c r="AG22" s="27">
        <f>SUMIF(RAW_Cases!$B:$B,Overview!$A22,RAW_Cases!AH:AH)</f>
        <v>9</v>
      </c>
      <c r="AH22" s="27">
        <f>SUMIF(RAW_Cases!$B:$B,Overview!$A22,RAW_Cases!AI:AI)</f>
        <v>9</v>
      </c>
      <c r="AI22" s="27">
        <f>SUMIF(RAW_Cases!$B:$B,Overview!$A22,RAW_Cases!AJ:AJ)</f>
        <v>13</v>
      </c>
      <c r="AJ22" s="27">
        <f>SUMIF(RAW_Cases!$B:$B,Overview!$A22,RAW_Cases!AK:AK)</f>
        <v>13</v>
      </c>
      <c r="AK22" s="27">
        <f>SUMIF(RAW_Cases!$B:$B,Overview!$A22,RAW_Cases!AL:AL)</f>
        <v>13</v>
      </c>
      <c r="AL22" s="27">
        <f>SUMIF(RAW_Cases!$B:$B,Overview!$A22,RAW_Cases!AM:AM)</f>
        <v>15</v>
      </c>
      <c r="AM22" s="27">
        <f>SUMIF(RAW_Cases!$B:$B,Overview!$A22,RAW_Cases!AN:AN)</f>
        <v>20</v>
      </c>
      <c r="AN22" s="27">
        <f>SUMIF(RAW_Cases!$B:$B,Overview!$A22,RAW_Cases!AO:AO)</f>
        <v>23</v>
      </c>
      <c r="AO22" s="27">
        <f>SUMIF(RAW_Cases!$B:$B,Overview!$A22,RAW_Cases!AP:AP)</f>
        <v>36</v>
      </c>
      <c r="AP22" s="27">
        <f>SUMIF(RAW_Cases!$B:$B,Overview!$A22,RAW_Cases!AQ:AQ)</f>
        <v>40</v>
      </c>
      <c r="AQ22" s="27">
        <f>SUMIF(RAW_Cases!$B:$B,Overview!$A22,RAW_Cases!AR:AR)</f>
        <v>51</v>
      </c>
      <c r="AR22" s="27">
        <f>SUMIF(RAW_Cases!$B:$B,Overview!$A22,RAW_Cases!AS:AS)</f>
        <v>86</v>
      </c>
      <c r="AS22" s="27">
        <f>SUMIF(RAW_Cases!$B:$B,Overview!$A22,RAW_Cases!AT:AT)</f>
        <v>116</v>
      </c>
      <c r="AT22" s="27">
        <f>SUMIF(RAW_Cases!$B:$B,Overview!$A22,RAW_Cases!AU:AU)</f>
        <v>164</v>
      </c>
      <c r="AU22" s="27">
        <f>SUMIF(RAW_Cases!$B:$B,Overview!$A22,RAW_Cases!AV:AV)</f>
        <v>207</v>
      </c>
      <c r="AV22" s="27">
        <f>SUMIF(RAW_Cases!$B:$B,Overview!$A22,RAW_Cases!AW:AW)</f>
        <v>274</v>
      </c>
      <c r="AW22" s="27">
        <f>SUMIF(RAW_Cases!$B:$B,Overview!$A22,RAW_Cases!AX:AX)</f>
        <v>322</v>
      </c>
      <c r="AX22" s="27">
        <f>SUMIF(RAW_Cases!$B:$B,Overview!$A22,RAW_Cases!AY:AY)</f>
        <v>384</v>
      </c>
      <c r="AY22" s="27">
        <f>SUMIF(RAW_Cases!$B:$B,Overview!$A22,RAW_Cases!AZ:AZ)</f>
        <v>459</v>
      </c>
      <c r="AZ22" s="27">
        <f>SUMIF(RAW_Cases!$B:$B,Overview!$A22,RAW_Cases!BA:BA)</f>
        <v>459</v>
      </c>
      <c r="BA22" s="27">
        <f>SUMIF(RAW_Cases!$B:$B,Overview!$A22,RAW_Cases!BB:BB)</f>
        <v>802</v>
      </c>
      <c r="BB22" s="27">
        <f>SUMIF(RAW_Cases!$B:$B,Overview!$A22,RAW_Cases!BC:BC)</f>
        <v>1144</v>
      </c>
      <c r="BC22" s="27">
        <f>SUMIF(RAW_Cases!$B:$B,Overview!$A22,RAW_Cases!BD:BD)</f>
        <v>1145</v>
      </c>
      <c r="BD22" s="27">
        <f>SUMIF(RAW_Cases!$B:$B,Overview!$A22,RAW_Cases!BE:BE)</f>
        <v>1551</v>
      </c>
      <c r="BE22" s="27">
        <f>SUMIF(RAW_Cases!$B:$B,Overview!$A22,RAW_Cases!BF:BF)</f>
        <v>1960</v>
      </c>
      <c r="BF22" s="27">
        <f>SUMIF(RAW_Cases!$B:$B,Overview!$A22,RAW_Cases!BG:BG)</f>
        <v>2642</v>
      </c>
      <c r="BG22" s="27">
        <f>SUMIF(RAW_Cases!$B:$B,Overview!$A22,RAW_Cases!BH:BH)</f>
        <v>2716</v>
      </c>
      <c r="BH22" s="27">
        <f>SUMIF(RAW_Cases!$B:$B,Overview!$A22,RAW_Cases!BI:BI)</f>
        <v>4014</v>
      </c>
      <c r="BI22" s="27">
        <f>SUMIF(RAW_Cases!$B:$B,Overview!$A22,RAW_Cases!BJ:BJ)</f>
        <v>5067</v>
      </c>
      <c r="BJ22" s="27">
        <f>SUMIF(RAW_Cases!$B:$B,Overview!$A22,RAW_Cases!BK:BK)</f>
        <v>5745</v>
      </c>
      <c r="BK22" s="27">
        <f>SUMIF(RAW_Cases!$B:$B,Overview!$A22,RAW_Cases!BL:BL)</f>
        <v>6726</v>
      </c>
      <c r="BL22" s="27">
        <f>SUMIF(RAW_Cases!$B:$B,Overview!$A22,RAW_Cases!BM:BM)</f>
        <v>8164</v>
      </c>
      <c r="BM22" s="27">
        <f>SUMIF(RAW_Cases!$B:$B,Overview!$A22,RAW_Cases!BN:BN)</f>
        <v>9640</v>
      </c>
      <c r="BN22" s="27">
        <f>SUMIF(RAW_Cases!$B:$B,Overview!$A22,RAW_Cases!BO:BO)</f>
        <v>11812</v>
      </c>
      <c r="BO22" s="27">
        <f>SUMIF(RAW_Cases!$B:$B,Overview!$A22,RAW_Cases!BP:BP)</f>
        <v>14745</v>
      </c>
      <c r="BP22" s="27">
        <f>SUMIF(RAW_Cases!$B:$B,Overview!$A22,RAW_Cases!BQ:BQ)</f>
        <v>17312</v>
      </c>
      <c r="BQ22" s="27">
        <f>SUMIF(RAW_Cases!$B:$B,Overview!$A22,RAW_Cases!BR:BR)</f>
        <v>19780</v>
      </c>
      <c r="BR22" s="27">
        <f>SUMIF(RAW_Cases!$B:$B,Overview!$A22,RAW_Cases!BS:BS)</f>
        <v>22453</v>
      </c>
      <c r="BS22" s="27">
        <f>SUMIF(RAW_Cases!$B:$B,Overview!$A22,RAW_Cases!BT:BT)</f>
        <v>25481</v>
      </c>
      <c r="BT22" s="27">
        <f>SUMIF(RAW_Cases!$B:$B,Overview!$A22,RAW_Cases!BU:BU)</f>
        <v>29865</v>
      </c>
      <c r="BU22" s="27">
        <f>SUMIF(RAW_Cases!$B:$B,Overview!$A22,RAW_Cases!BV:BV)</f>
        <v>34173</v>
      </c>
      <c r="BV22" s="27">
        <f>SUMIF(RAW_Cases!$B:$B,Overview!$A22,RAW_Cases!BW:BW)</f>
        <v>38689</v>
      </c>
      <c r="BW22" s="27">
        <f>SUMIF(RAW_Cases!$B:$B,Overview!$A22,RAW_Cases!BX:BX)</f>
        <v>42477</v>
      </c>
      <c r="BX22" s="27">
        <f>SUMIF(RAW_Cases!$B:$B,Overview!$A22,RAW_Cases!BY:BY)</f>
        <v>48436</v>
      </c>
      <c r="BY22" s="27">
        <f>SUMIF(RAW_Cases!$B:$B,Overview!$A22,RAW_Cases!BZ:BZ)</f>
        <v>52279</v>
      </c>
      <c r="BZ22" s="27">
        <f>SUMIF(RAW_Cases!$B:$B,Overview!$A22,RAW_Cases!CA:CA)</f>
        <v>55949</v>
      </c>
      <c r="CA22" s="27">
        <f>SUMIF(RAW_Cases!$B:$B,Overview!$A22,RAW_Cases!CB:CB)</f>
        <v>61474</v>
      </c>
      <c r="CB22" s="27">
        <f>SUMIF(RAW_Cases!$B:$B,Overview!$A22,RAW_Cases!CC:CC)</f>
        <v>65872</v>
      </c>
      <c r="CC22" s="27">
        <f>SUMIF(RAW_Cases!$B:$B,Overview!$A22,RAW_Cases!CD:CD)</f>
        <v>74605</v>
      </c>
      <c r="CD22" s="27">
        <f>SUMIF(RAW_Cases!$B:$B,Overview!$A22,RAW_Cases!CE:CE)</f>
        <v>79874</v>
      </c>
      <c r="CE22" s="27">
        <f>SUMIF(RAW_Cases!$B:$B,Overview!$A22,RAW_Cases!CF:CF)</f>
        <v>85206</v>
      </c>
      <c r="CF22" s="27">
        <f>SUMIF(RAW_Cases!$B:$B,Overview!$A22,RAW_Cases!CG:CG)</f>
        <v>89570</v>
      </c>
      <c r="CG22" s="27">
        <f>SUMIF(RAW_Cases!$B:$B,Overview!$A22,RAW_Cases!CH:CH)</f>
        <v>94845</v>
      </c>
      <c r="CH22" s="27">
        <f>SUMIF(RAW_Cases!$B:$B,Overview!$A22,RAW_Cases!CI:CI)</f>
        <v>99483</v>
      </c>
      <c r="CI22" s="27">
        <f>SUMIF(RAW_Cases!$B:$B,Overview!$A22,RAW_Cases!CJ:CJ)</f>
        <v>104145</v>
      </c>
      <c r="CJ22" s="27">
        <f>SUMIF(RAW_Cases!$B:$B,Overview!$A22,RAW_Cases!CK:CK)</f>
        <v>109769</v>
      </c>
      <c r="CK22" s="27">
        <f>SUMIF(RAW_Cases!$B:$B,Overview!$A22,RAW_Cases!CL:CL)</f>
        <v>115314</v>
      </c>
      <c r="CL22" s="27">
        <f>SUMIF(RAW_Cases!$B:$B,Overview!$A22,RAW_Cases!CM:CM)</f>
        <v>121172</v>
      </c>
      <c r="CM22" s="27">
        <f>SUMIF(RAW_Cases!$B:$B,Overview!$A22,RAW_Cases!CN:CN)</f>
        <v>125856</v>
      </c>
      <c r="CN22" s="27">
        <f>SUMIF(RAW_Cases!$B:$B,Overview!$A22,RAW_Cases!CO:CO)</f>
        <v>130172</v>
      </c>
      <c r="CO22" s="27">
        <f>SUMIF(RAW_Cases!$B:$B,Overview!$A22,RAW_Cases!CP:CP)</f>
        <v>134638</v>
      </c>
      <c r="CP22" s="27">
        <f>SUMIF(RAW_Cases!$B:$B,Overview!$A22,RAW_Cases!CQ:CQ)</f>
        <v>139246</v>
      </c>
      <c r="CQ22" s="27">
        <f>SUMIF(RAW_Cases!$B:$B,Overview!$A22,RAW_Cases!CR:CR)</f>
        <v>144640</v>
      </c>
      <c r="CR22" s="27">
        <f>SUMIF(RAW_Cases!$B:$B,Overview!$A22,RAW_Cases!CS:CS)</f>
        <v>149569</v>
      </c>
      <c r="CS22" s="27">
        <f>SUMIF(RAW_Cases!$B:$B,Overview!$A22,RAW_Cases!CT:CT)</f>
        <v>154037</v>
      </c>
      <c r="CT22" s="27">
        <f>SUMIF(RAW_Cases!$B:$B,Overview!$A22,RAW_Cases!CU:CU)</f>
        <v>158348</v>
      </c>
      <c r="CU22" s="27">
        <f>SUMIF(RAW_Cases!$B:$B,Overview!$A22,RAW_Cases!CV:CV)</f>
        <v>162350</v>
      </c>
      <c r="CV22" s="27">
        <f>SUMIF(RAW_Cases!$B:$B,Overview!$A22,RAW_Cases!CW:CW)</f>
        <v>166441</v>
      </c>
      <c r="CW22" s="27">
        <f>SUMIF(RAW_Cases!$B:$B,Overview!$A22,RAW_Cases!CX:CX)</f>
        <v>172481</v>
      </c>
      <c r="CX22" s="27">
        <f>SUMIF(RAW_Cases!$B:$B,Overview!$A22,RAW_Cases!CY:CY)</f>
        <v>178685</v>
      </c>
      <c r="CY22" s="27">
        <f>SUMIF(RAW_Cases!$B:$B,Overview!$A22,RAW_Cases!CZ:CZ)</f>
        <v>183500</v>
      </c>
      <c r="CZ22" s="27">
        <f>SUMIF(RAW_Cases!$B:$B,Overview!$A22,RAW_Cases!DA:DA)</f>
        <v>187842</v>
      </c>
      <c r="DA22" s="27">
        <f>SUMIF(RAW_Cases!$B:$B,Overview!$A22,RAW_Cases!DB:DB)</f>
        <v>0</v>
      </c>
      <c r="DB22" s="27">
        <f>SUMIF(RAW_Cases!$B:$B,Overview!$A22,RAW_Cases!DC:DC)</f>
        <v>0</v>
      </c>
      <c r="DC22" s="27">
        <f>SUMIF(RAW_Cases!$B:$B,Overview!$A22,RAW_Cases!DD:DD)</f>
        <v>0</v>
      </c>
      <c r="DD22" s="27">
        <f>SUMIF(RAW_Cases!$B:$B,Overview!$A22,RAW_Cases!DE:DE)</f>
        <v>0</v>
      </c>
      <c r="DE22" s="27">
        <f>SUMIF(RAW_Cases!$B:$B,Overview!$A22,RAW_Cases!DF:DF)</f>
        <v>0</v>
      </c>
      <c r="DF22" s="27">
        <f>SUMIF(RAW_Cases!$B:$B,Overview!$A22,RAW_Cases!DG:DG)</f>
        <v>0</v>
      </c>
      <c r="DG22" s="27">
        <f>SUMIF(RAW_Cases!$B:$B,Overview!$A22,RAW_Cases!DH:DH)</f>
        <v>0</v>
      </c>
      <c r="DH22" s="27">
        <f>SUMIF(RAW_Cases!$B:$B,Overview!$A22,RAW_Cases!DI:DI)</f>
        <v>0</v>
      </c>
      <c r="DI22" s="27">
        <f>SUMIF(RAW_Cases!$B:$B,Overview!$A22,RAW_Cases!DJ:DJ)</f>
        <v>0</v>
      </c>
      <c r="DJ22" s="27">
        <f>SUMIF(RAW_Cases!$B:$B,Overview!$A22,RAW_Cases!DK:DK)</f>
        <v>0</v>
      </c>
      <c r="DK22" s="27">
        <f>SUMIF(RAW_Cases!$B:$B,Overview!$A22,RAW_Cases!DL:DL)</f>
        <v>0</v>
      </c>
      <c r="DL22" s="27">
        <f>SUMIF(RAW_Cases!$B:$B,Overview!$A22,RAW_Cases!DM:DM)</f>
        <v>0</v>
      </c>
      <c r="DM22" s="27">
        <f>SUMIF(RAW_Cases!$B:$B,Overview!$A22,RAW_Cases!DN:DN)</f>
        <v>0</v>
      </c>
      <c r="DN22" s="27">
        <f>SUMIF(RAW_Cases!$B:$B,Overview!$A22,RAW_Cases!DO:DO)</f>
        <v>0</v>
      </c>
      <c r="DO22" s="27">
        <f>SUMIF(RAW_Cases!$B:$B,Overview!$A22,RAW_Cases!DP:DP)</f>
        <v>0</v>
      </c>
      <c r="DP22" s="27">
        <f>SUMIF(RAW_Cases!$B:$B,Overview!$A22,RAW_Cases!DQ:DQ)</f>
        <v>0</v>
      </c>
      <c r="DQ22" s="27">
        <f>SUMIF(RAW_Cases!$B:$B,Overview!$A22,RAW_Cases!DR:DR)</f>
        <v>0</v>
      </c>
      <c r="DR22" s="27">
        <f>SUMIF(RAW_Cases!$B:$B,Overview!$A22,RAW_Cases!DS:DS)</f>
        <v>0</v>
      </c>
      <c r="DS22" s="27">
        <f>SUMIF(RAW_Cases!$B:$B,Overview!$A22,RAW_Cases!DT:DT)</f>
        <v>0</v>
      </c>
      <c r="DT22" s="27">
        <f>SUMIF(RAW_Cases!$B:$B,Overview!$A22,RAW_Cases!DU:DU)</f>
        <v>0</v>
      </c>
      <c r="DU22" s="27">
        <f>SUMIF(RAW_Cases!$B:$B,Overview!$A22,RAW_Cases!DV:DV)</f>
        <v>0</v>
      </c>
      <c r="DV22" s="27">
        <f>SUMIF(RAW_Cases!$B:$B,Overview!$A22,RAW_Cases!DW:DW)</f>
        <v>0</v>
      </c>
      <c r="DW22" s="27">
        <f>SUMIF(RAW_Cases!$B:$B,Overview!$A22,RAW_Cases!DX:DX)</f>
        <v>0</v>
      </c>
      <c r="DX22" s="27">
        <f>SUMIF(RAW_Cases!$B:$B,Overview!$A22,RAW_Cases!DY:DY)</f>
        <v>0</v>
      </c>
      <c r="DY22" s="27">
        <f>SUMIF(RAW_Cases!$B:$B,Overview!$A22,RAW_Cases!DZ:DZ)</f>
        <v>0</v>
      </c>
      <c r="DZ22" s="27">
        <f>SUMIF(RAW_Cases!$B:$B,Overview!$A22,RAW_Cases!EA:EA)</f>
        <v>0</v>
      </c>
      <c r="EA22" s="27">
        <f>SUMIF(RAW_Cases!$B:$B,Overview!$A22,RAW_Cases!EB:EB)</f>
        <v>0</v>
      </c>
    </row>
    <row r="23" spans="1:131" s="16" customFormat="1" ht="11.65" x14ac:dyDescent="0.35">
      <c r="A23" s="16" t="s">
        <v>240</v>
      </c>
      <c r="B23" s="8">
        <f>SUM(RAW_Cases!C:C)</f>
        <v>555</v>
      </c>
      <c r="C23" s="8">
        <f>SUM(RAW_Cases!D:D)</f>
        <v>654</v>
      </c>
      <c r="D23" s="8">
        <f>SUM(RAW_Cases!E:E)</f>
        <v>941</v>
      </c>
      <c r="E23" s="8">
        <f>SUM(RAW_Cases!F:F)</f>
        <v>1434</v>
      </c>
      <c r="F23" s="8">
        <f>SUM(RAW_Cases!G:G)</f>
        <v>2118</v>
      </c>
      <c r="G23" s="8">
        <f>SUM(RAW_Cases!H:H)</f>
        <v>2927</v>
      </c>
      <c r="H23" s="8">
        <f>SUM(RAW_Cases!I:I)</f>
        <v>5578</v>
      </c>
      <c r="I23" s="8">
        <f>SUM(RAW_Cases!J:J)</f>
        <v>6166</v>
      </c>
      <c r="J23" s="8">
        <f>SUM(RAW_Cases!K:K)</f>
        <v>8234</v>
      </c>
      <c r="K23" s="8">
        <f>SUM(RAW_Cases!L:L)</f>
        <v>9927</v>
      </c>
      <c r="L23" s="8">
        <f>SUM(RAW_Cases!M:M)</f>
        <v>12038</v>
      </c>
      <c r="M23" s="8">
        <f>SUM(RAW_Cases!N:N)</f>
        <v>16787</v>
      </c>
      <c r="N23" s="8">
        <f>SUM(RAW_Cases!O:O)</f>
        <v>19881</v>
      </c>
      <c r="O23" s="8">
        <f>SUM(RAW_Cases!P:P)</f>
        <v>23892</v>
      </c>
      <c r="P23" s="8">
        <f>SUM(RAW_Cases!Q:Q)</f>
        <v>27635</v>
      </c>
      <c r="Q23" s="8">
        <f>SUM(RAW_Cases!R:R)</f>
        <v>30794</v>
      </c>
      <c r="R23" s="8">
        <f>SUM(RAW_Cases!S:S)</f>
        <v>34391</v>
      </c>
      <c r="S23" s="8">
        <f>SUM(RAW_Cases!T:T)</f>
        <v>37120</v>
      </c>
      <c r="T23" s="8">
        <f>SUM(RAW_Cases!U:U)</f>
        <v>40150</v>
      </c>
      <c r="U23" s="8">
        <f>SUM(RAW_Cases!V:V)</f>
        <v>42762</v>
      </c>
      <c r="V23" s="8">
        <f>SUM(RAW_Cases!W:W)</f>
        <v>44802</v>
      </c>
      <c r="W23" s="8">
        <f>SUM(RAW_Cases!X:X)</f>
        <v>45221</v>
      </c>
      <c r="X23" s="8">
        <f>SUM(RAW_Cases!Y:Y)</f>
        <v>60368</v>
      </c>
      <c r="Y23" s="8">
        <f>SUM(RAW_Cases!Z:Z)</f>
        <v>66885</v>
      </c>
      <c r="Z23" s="8">
        <f>SUM(RAW_Cases!AA:AA)</f>
        <v>69030</v>
      </c>
      <c r="AA23" s="8">
        <f>SUM(RAW_Cases!AB:AB)</f>
        <v>71224</v>
      </c>
      <c r="AB23" s="8">
        <f>SUM(RAW_Cases!AC:AC)</f>
        <v>73258</v>
      </c>
      <c r="AC23" s="8">
        <f>SUM(RAW_Cases!AD:AD)</f>
        <v>75136</v>
      </c>
      <c r="AD23" s="8">
        <f>SUM(RAW_Cases!AE:AE)</f>
        <v>75639</v>
      </c>
      <c r="AE23" s="8">
        <f>SUM(RAW_Cases!AF:AF)</f>
        <v>76197</v>
      </c>
      <c r="AF23" s="8">
        <f>SUM(RAW_Cases!AG:AG)</f>
        <v>76819</v>
      </c>
      <c r="AG23" s="8">
        <f>SUM(RAW_Cases!AH:AH)</f>
        <v>78572</v>
      </c>
      <c r="AH23" s="8">
        <f>SUM(RAW_Cases!AI:AI)</f>
        <v>78958</v>
      </c>
      <c r="AI23" s="8">
        <f>SUM(RAW_Cases!AJ:AJ)</f>
        <v>79561</v>
      </c>
      <c r="AJ23" s="8">
        <f>SUM(RAW_Cases!AK:AK)</f>
        <v>80406</v>
      </c>
      <c r="AK23" s="8">
        <f>SUM(RAW_Cases!AL:AL)</f>
        <v>81388</v>
      </c>
      <c r="AL23" s="8">
        <f>SUM(RAW_Cases!AM:AM)</f>
        <v>82746</v>
      </c>
      <c r="AM23" s="8">
        <f>SUM(RAW_Cases!AN:AN)</f>
        <v>84112</v>
      </c>
      <c r="AN23" s="8">
        <f>SUM(RAW_Cases!AO:AO)</f>
        <v>86011</v>
      </c>
      <c r="AO23" s="8">
        <f>SUM(RAW_Cases!AP:AP)</f>
        <v>88369</v>
      </c>
      <c r="AP23" s="8">
        <f>SUM(RAW_Cases!AQ:AQ)</f>
        <v>90306</v>
      </c>
      <c r="AQ23" s="8">
        <f>SUM(RAW_Cases!AR:AR)</f>
        <v>92840</v>
      </c>
      <c r="AR23" s="8">
        <f>SUM(RAW_Cases!AS:AS)</f>
        <v>95120</v>
      </c>
      <c r="AS23" s="8">
        <f>SUM(RAW_Cases!AT:AT)</f>
        <v>97886</v>
      </c>
      <c r="AT23" s="8">
        <f>SUM(RAW_Cases!AU:AU)</f>
        <v>101801</v>
      </c>
      <c r="AU23" s="8">
        <f>SUM(RAW_Cases!AV:AV)</f>
        <v>105847</v>
      </c>
      <c r="AV23" s="8">
        <f>SUM(RAW_Cases!AW:AW)</f>
        <v>109821</v>
      </c>
      <c r="AW23" s="8">
        <f>SUM(RAW_Cases!AX:AX)</f>
        <v>113590</v>
      </c>
      <c r="AX23" s="8">
        <f>SUM(RAW_Cases!AY:AY)</f>
        <v>118620</v>
      </c>
      <c r="AY23" s="8">
        <f>SUM(RAW_Cases!AZ:AZ)</f>
        <v>125875</v>
      </c>
      <c r="AZ23" s="8">
        <f>SUM(RAW_Cases!BA:BA)</f>
        <v>128352</v>
      </c>
      <c r="BA23" s="8">
        <f>SUM(RAW_Cases!BB:BB)</f>
        <v>145219</v>
      </c>
      <c r="BB23" s="8">
        <f>SUM(RAW_Cases!BC:BC)</f>
        <v>156116</v>
      </c>
      <c r="BC23" s="8">
        <f>SUM(RAW_Cases!BD:BD)</f>
        <v>167466</v>
      </c>
      <c r="BD23" s="8">
        <f>SUM(RAW_Cases!BE:BE)</f>
        <v>181603</v>
      </c>
      <c r="BE23" s="8">
        <f>SUM(RAW_Cases!BF:BF)</f>
        <v>197113</v>
      </c>
      <c r="BF23" s="8">
        <f>SUM(RAW_Cases!BG:BG)</f>
        <v>214846</v>
      </c>
      <c r="BG23" s="8">
        <f>SUM(RAW_Cases!BH:BH)</f>
        <v>242616</v>
      </c>
      <c r="BH23" s="8">
        <f>SUM(RAW_Cases!BI:BI)</f>
        <v>272247</v>
      </c>
      <c r="BI23" s="8">
        <f>SUM(RAW_Cases!BJ:BJ)</f>
        <v>304555</v>
      </c>
      <c r="BJ23" s="8">
        <f>SUM(RAW_Cases!BK:BK)</f>
        <v>337018</v>
      </c>
      <c r="BK23" s="8">
        <f>SUM(RAW_Cases!BL:BL)</f>
        <v>378282</v>
      </c>
      <c r="BL23" s="8">
        <f>SUM(RAW_Cases!BM:BM)</f>
        <v>418079</v>
      </c>
      <c r="BM23" s="8">
        <f>SUM(RAW_Cases!BN:BN)</f>
        <v>467723</v>
      </c>
      <c r="BN23" s="8">
        <f>SUM(RAW_Cases!BO:BO)</f>
        <v>529701</v>
      </c>
      <c r="BO23" s="8">
        <f>SUM(RAW_Cases!BP:BP)</f>
        <v>593423</v>
      </c>
      <c r="BP23" s="8">
        <f>SUM(RAW_Cases!BQ:BQ)</f>
        <v>660824</v>
      </c>
      <c r="BQ23" s="8">
        <f>SUM(RAW_Cases!BR:BR)</f>
        <v>720285</v>
      </c>
      <c r="BR23" s="8">
        <f>SUM(RAW_Cases!BS:BS)</f>
        <v>782490</v>
      </c>
      <c r="BS23" s="8">
        <f>SUM(RAW_Cases!BT:BT)</f>
        <v>857608</v>
      </c>
      <c r="BT23" s="8">
        <f>SUM(RAW_Cases!BU:BU)</f>
        <v>932638</v>
      </c>
      <c r="BU23" s="8">
        <f>SUM(RAW_Cases!BV:BV)</f>
        <v>1013458</v>
      </c>
      <c r="BV23" s="8">
        <f>SUM(RAW_Cases!BW:BW)</f>
        <v>1095876</v>
      </c>
      <c r="BW23" s="8">
        <f>SUM(RAW_Cases!BX:BX)</f>
        <v>1176059</v>
      </c>
      <c r="BX23" s="8">
        <f>SUM(RAW_Cases!BY:BY)</f>
        <v>1249737</v>
      </c>
      <c r="BY23" s="8">
        <f>SUM(RAW_Cases!BZ:BZ)</f>
        <v>1321427</v>
      </c>
      <c r="BZ23" s="8">
        <f>SUM(RAW_Cases!CA:CA)</f>
        <v>1396438</v>
      </c>
      <c r="CA23" s="8">
        <f>SUM(RAW_Cases!CB:CB)</f>
        <v>1480200</v>
      </c>
      <c r="CB23" s="8">
        <f>SUM(RAW_Cases!CC:CC)</f>
        <v>1565538</v>
      </c>
      <c r="CC23" s="8">
        <f>SUM(RAW_Cases!CD:CD)</f>
        <v>1657929</v>
      </c>
      <c r="CD23" s="8">
        <f>SUM(RAW_Cases!CE:CE)</f>
        <v>1736025</v>
      </c>
      <c r="CE23" s="8">
        <f>SUM(RAW_Cases!CF:CF)</f>
        <v>1835164</v>
      </c>
      <c r="CF23" s="8">
        <f>SUM(RAW_Cases!CG:CG)</f>
        <v>1905192</v>
      </c>
      <c r="CG23" s="8">
        <f>SUM(RAW_Cases!CH:CH)</f>
        <v>1975581</v>
      </c>
      <c r="CH23" s="8">
        <f>SUM(RAW_Cases!CI:CI)</f>
        <v>2055506</v>
      </c>
      <c r="CI23" s="8">
        <f>SUM(RAW_Cases!CJ:CJ)</f>
        <v>2151872</v>
      </c>
      <c r="CJ23" s="8">
        <f>SUM(RAW_Cases!CK:CK)</f>
        <v>2239723</v>
      </c>
      <c r="CK23" s="8">
        <f>SUM(RAW_Cases!CL:CL)</f>
        <v>2317339</v>
      </c>
      <c r="CL23" s="8">
        <f>SUM(RAW_Cases!CM:CM)</f>
        <v>2400894</v>
      </c>
      <c r="CM23" s="8">
        <f>SUM(RAW_Cases!CN:CN)</f>
        <v>2471847</v>
      </c>
      <c r="CN23" s="8">
        <f>SUM(RAW_Cases!CO:CO)</f>
        <v>2549175</v>
      </c>
      <c r="CO23" s="8">
        <f>SUM(RAW_Cases!CP:CP)</f>
        <v>2624741</v>
      </c>
      <c r="CP23" s="8">
        <f>SUM(RAW_Cases!CQ:CQ)</f>
        <v>2708547</v>
      </c>
      <c r="CQ23" s="8">
        <f>SUM(RAW_Cases!CR:CR)</f>
        <v>2795875</v>
      </c>
      <c r="CR23" s="8">
        <f>SUM(RAW_Cases!CS:CS)</f>
        <v>2881140</v>
      </c>
      <c r="CS23" s="8">
        <f>SUM(RAW_Cases!CT:CT)</f>
        <v>2955033</v>
      </c>
      <c r="CT23" s="8">
        <f>SUM(RAW_Cases!CU:CU)</f>
        <v>3023722</v>
      </c>
      <c r="CU23" s="8">
        <f>SUM(RAW_Cases!CV:CV)</f>
        <v>3097190</v>
      </c>
      <c r="CV23" s="8">
        <f>SUM(RAW_Cases!CW:CW)</f>
        <v>3172287</v>
      </c>
      <c r="CW23" s="8">
        <f>SUM(RAW_Cases!CX:CX)</f>
        <v>3256853</v>
      </c>
      <c r="CX23" s="8">
        <f>SUM(RAW_Cases!CY:CY)</f>
        <v>3343777</v>
      </c>
      <c r="CY23" s="8">
        <f>SUM(RAW_Cases!CZ:CZ)</f>
        <v>3427343</v>
      </c>
      <c r="CZ23" s="8">
        <f>SUM(RAW_Cases!DA:DA)</f>
        <v>3506729</v>
      </c>
      <c r="DA23" s="8">
        <f>SUM(RAW_Cases!DB:DB)</f>
        <v>0</v>
      </c>
      <c r="DB23" s="8">
        <f>SUM(RAW_Cases!DC:DC)</f>
        <v>0</v>
      </c>
      <c r="DC23" s="8">
        <f>SUM(RAW_Cases!DD:DD)</f>
        <v>0</v>
      </c>
      <c r="DD23" s="8">
        <f>SUM(RAW_Cases!DE:DE)</f>
        <v>0</v>
      </c>
      <c r="DE23" s="8">
        <f>SUM(RAW_Cases!DF:DF)</f>
        <v>0</v>
      </c>
      <c r="DF23" s="8">
        <f>SUM(RAW_Cases!DG:DG)</f>
        <v>0</v>
      </c>
      <c r="DG23" s="8">
        <f>SUM(RAW_Cases!DH:DH)</f>
        <v>0</v>
      </c>
      <c r="DH23" s="8">
        <f>SUM(RAW_Cases!DI:DI)</f>
        <v>0</v>
      </c>
      <c r="DI23" s="8">
        <f>SUM(RAW_Cases!DJ:DJ)</f>
        <v>0</v>
      </c>
      <c r="DJ23" s="8">
        <f>SUM(RAW_Cases!DK:DK)</f>
        <v>0</v>
      </c>
      <c r="DK23" s="8">
        <f>SUM(RAW_Cases!DL:DL)</f>
        <v>0</v>
      </c>
      <c r="DL23" s="8">
        <f>SUM(RAW_Cases!DM:DM)</f>
        <v>0</v>
      </c>
      <c r="DM23" s="8">
        <f>SUM(RAW_Cases!DN:DN)</f>
        <v>0</v>
      </c>
      <c r="DN23" s="8">
        <f>SUM(RAW_Cases!DO:DO)</f>
        <v>0</v>
      </c>
      <c r="DO23" s="8">
        <f>SUM(RAW_Cases!DP:DP)</f>
        <v>0</v>
      </c>
      <c r="DP23" s="8">
        <f>SUM(RAW_Cases!DQ:DQ)</f>
        <v>0</v>
      </c>
      <c r="DQ23" s="8">
        <f>SUM(RAW_Cases!DR:DR)</f>
        <v>0</v>
      </c>
      <c r="DR23" s="8">
        <f>SUM(RAW_Cases!DS:DS)</f>
        <v>0</v>
      </c>
      <c r="DS23" s="8">
        <f>SUM(RAW_Cases!DT:DT)</f>
        <v>0</v>
      </c>
      <c r="DT23" s="8">
        <f>SUM(RAW_Cases!DU:DU)</f>
        <v>0</v>
      </c>
      <c r="DU23" s="8">
        <f>SUM(RAW_Cases!DV:DV)</f>
        <v>0</v>
      </c>
      <c r="DV23" s="8">
        <f>SUM(RAW_Cases!DW:DW)</f>
        <v>0</v>
      </c>
      <c r="DW23" s="8">
        <f>SUM(RAW_Cases!DX:DX)</f>
        <v>0</v>
      </c>
      <c r="DX23" s="8">
        <f>SUM(RAW_Cases!DY:DY)</f>
        <v>0</v>
      </c>
      <c r="DY23" s="8">
        <f>SUM(RAW_Cases!DZ:DZ)</f>
        <v>0</v>
      </c>
      <c r="DZ23" s="8">
        <f>SUM(RAW_Cases!EA:EA)</f>
        <v>0</v>
      </c>
      <c r="EA23" s="8">
        <f>SUM(RAW_Cases!EB:EB)</f>
        <v>0</v>
      </c>
    </row>
    <row r="24" spans="1:131" s="17" customFormat="1" x14ac:dyDescent="0.4">
      <c r="B24" s="18"/>
    </row>
    <row r="25" spans="1:131" s="15" customFormat="1" ht="29.25" customHeight="1" x14ac:dyDescent="0.4">
      <c r="A25" s="13" t="s">
        <v>242</v>
      </c>
      <c r="B25" s="14"/>
    </row>
    <row r="26" spans="1:131" s="31" customFormat="1" ht="25.5" customHeight="1" x14ac:dyDescent="0.45">
      <c r="A26" s="31" t="s">
        <v>0</v>
      </c>
      <c r="B26" s="33" t="s">
        <v>378</v>
      </c>
      <c r="C26" s="34">
        <v>43853</v>
      </c>
      <c r="D26" s="34">
        <v>43854</v>
      </c>
      <c r="E26" s="34">
        <v>43855</v>
      </c>
      <c r="F26" s="34">
        <v>43856</v>
      </c>
      <c r="G26" s="34">
        <v>43857</v>
      </c>
      <c r="H26" s="34">
        <v>43858</v>
      </c>
      <c r="I26" s="34">
        <v>43859</v>
      </c>
      <c r="J26" s="34">
        <v>43860</v>
      </c>
      <c r="K26" s="34">
        <v>43861</v>
      </c>
      <c r="L26" s="34">
        <v>43862</v>
      </c>
      <c r="M26" s="34">
        <v>43863</v>
      </c>
      <c r="N26" s="34">
        <v>43864</v>
      </c>
      <c r="O26" s="34">
        <v>43865</v>
      </c>
      <c r="P26" s="34">
        <v>43866</v>
      </c>
      <c r="Q26" s="34">
        <v>43867</v>
      </c>
      <c r="R26" s="34">
        <v>43868</v>
      </c>
      <c r="S26" s="34">
        <v>43869</v>
      </c>
      <c r="T26" s="34">
        <v>43870</v>
      </c>
      <c r="U26" s="34">
        <v>43871</v>
      </c>
      <c r="V26" s="34">
        <v>43872</v>
      </c>
      <c r="W26" s="34">
        <v>43873</v>
      </c>
      <c r="X26" s="34">
        <v>43874</v>
      </c>
      <c r="Y26" s="34">
        <v>43875</v>
      </c>
      <c r="Z26" s="34">
        <v>43876</v>
      </c>
      <c r="AA26" s="34">
        <v>43877</v>
      </c>
      <c r="AB26" s="34">
        <v>43878</v>
      </c>
      <c r="AC26" s="34">
        <v>43879</v>
      </c>
      <c r="AD26" s="34">
        <v>43880</v>
      </c>
      <c r="AE26" s="34">
        <v>43881</v>
      </c>
      <c r="AF26" s="34">
        <v>43882</v>
      </c>
      <c r="AG26" s="34">
        <v>43883</v>
      </c>
      <c r="AH26" s="34">
        <v>43884</v>
      </c>
      <c r="AI26" s="34">
        <v>43885</v>
      </c>
      <c r="AJ26" s="34">
        <v>43886</v>
      </c>
      <c r="AK26" s="34">
        <v>43887</v>
      </c>
      <c r="AL26" s="34">
        <v>43888</v>
      </c>
      <c r="AM26" s="34">
        <v>43889</v>
      </c>
      <c r="AN26" s="34">
        <v>43890</v>
      </c>
      <c r="AO26" s="34">
        <v>43891</v>
      </c>
      <c r="AP26" s="34">
        <v>43892</v>
      </c>
      <c r="AQ26" s="34">
        <v>43893</v>
      </c>
      <c r="AR26" s="34">
        <v>43894</v>
      </c>
      <c r="AS26" s="34">
        <v>43895</v>
      </c>
      <c r="AT26" s="34">
        <v>43896</v>
      </c>
      <c r="AU26" s="34">
        <v>43897</v>
      </c>
      <c r="AV26" s="34">
        <v>43898</v>
      </c>
      <c r="AW26" s="34">
        <v>43899</v>
      </c>
      <c r="AX26" s="34">
        <v>43900</v>
      </c>
      <c r="AY26" s="34">
        <v>43901</v>
      </c>
      <c r="AZ26" s="34">
        <v>43902</v>
      </c>
      <c r="BA26" s="34">
        <v>43903</v>
      </c>
      <c r="BB26" s="34">
        <v>43904</v>
      </c>
      <c r="BC26" s="34">
        <v>43905</v>
      </c>
      <c r="BD26" s="34">
        <v>43906</v>
      </c>
      <c r="BE26" s="34">
        <v>43907</v>
      </c>
      <c r="BF26" s="34">
        <v>43908</v>
      </c>
      <c r="BG26" s="34">
        <v>43909</v>
      </c>
      <c r="BH26" s="34">
        <v>43910</v>
      </c>
      <c r="BI26" s="34">
        <v>43911</v>
      </c>
      <c r="BJ26" s="34">
        <v>43912</v>
      </c>
      <c r="BK26" s="34">
        <v>43913</v>
      </c>
      <c r="BL26" s="34">
        <v>43914</v>
      </c>
      <c r="BM26" s="34">
        <v>43915</v>
      </c>
      <c r="BN26" s="34">
        <v>43916</v>
      </c>
      <c r="BO26" s="34">
        <v>43917</v>
      </c>
      <c r="BP26" s="34">
        <v>43918</v>
      </c>
      <c r="BQ26" s="34">
        <v>43919</v>
      </c>
      <c r="BR26" s="34">
        <v>43920</v>
      </c>
      <c r="BS26" s="34">
        <v>43921</v>
      </c>
      <c r="BT26" s="34">
        <v>43922</v>
      </c>
      <c r="BU26" s="34">
        <v>43923</v>
      </c>
      <c r="BV26" s="34">
        <v>43924</v>
      </c>
      <c r="BW26" s="34">
        <v>43925</v>
      </c>
      <c r="BX26" s="34">
        <v>43926</v>
      </c>
      <c r="BY26" s="34">
        <v>43927</v>
      </c>
      <c r="BZ26" s="34">
        <v>43928</v>
      </c>
      <c r="CA26" s="34">
        <v>43929</v>
      </c>
      <c r="CB26" s="34">
        <v>43930</v>
      </c>
      <c r="CC26" s="34">
        <v>43931</v>
      </c>
      <c r="CD26" s="34">
        <v>43932</v>
      </c>
      <c r="CE26" s="34">
        <v>43933</v>
      </c>
      <c r="CF26" s="34">
        <v>43934</v>
      </c>
      <c r="CG26" s="34">
        <v>43935</v>
      </c>
      <c r="CH26" s="34">
        <v>43936</v>
      </c>
      <c r="CI26" s="34">
        <v>43937</v>
      </c>
      <c r="CJ26" s="34">
        <v>43938</v>
      </c>
      <c r="CK26" s="34">
        <v>43939</v>
      </c>
      <c r="CL26" s="34">
        <v>43940</v>
      </c>
      <c r="CM26" s="34">
        <v>43941</v>
      </c>
      <c r="CN26" s="34">
        <v>43942</v>
      </c>
      <c r="CO26" s="34">
        <v>43943</v>
      </c>
      <c r="CP26" s="34">
        <v>43944</v>
      </c>
      <c r="CQ26" s="34">
        <v>43945</v>
      </c>
      <c r="CR26" s="34">
        <v>43946</v>
      </c>
      <c r="CS26" s="34">
        <v>43947</v>
      </c>
      <c r="CT26" s="34">
        <v>43948</v>
      </c>
      <c r="CU26" s="34">
        <v>43949</v>
      </c>
      <c r="CV26" s="34">
        <v>43950</v>
      </c>
      <c r="CW26" s="34">
        <v>43951</v>
      </c>
      <c r="CX26" s="34">
        <v>43952</v>
      </c>
      <c r="CY26" s="34">
        <v>43953</v>
      </c>
      <c r="CZ26" s="34">
        <v>43954</v>
      </c>
      <c r="DA26" s="34">
        <v>43955</v>
      </c>
      <c r="DB26" s="34">
        <v>43956</v>
      </c>
      <c r="DC26" s="34">
        <v>43957</v>
      </c>
    </row>
    <row r="27" spans="1:131" s="10" customFormat="1" ht="13.15" x14ac:dyDescent="0.4">
      <c r="A27" s="24" t="str">
        <f t="shared" ref="A27:A31" si="155">IF(ISBLANK(A16),"",A16)</f>
        <v>Germany</v>
      </c>
      <c r="B27" s="28">
        <f>SUMIF(RAW_DEATHS!$B:$B,Overview!$A27,RAW_DEATHS!C:C)</f>
        <v>0</v>
      </c>
      <c r="C27" s="28">
        <f>SUMIF(RAW_DEATHS!$B:$B,Overview!$A27,RAW_DEATHS!D:D)</f>
        <v>0</v>
      </c>
      <c r="D27" s="28">
        <f>SUMIF(RAW_DEATHS!$B:$B,Overview!$A27,RAW_DEATHS!E:E)</f>
        <v>0</v>
      </c>
      <c r="E27" s="28">
        <f>SUMIF(RAW_DEATHS!$B:$B,Overview!$A27,RAW_DEATHS!F:F)</f>
        <v>0</v>
      </c>
      <c r="F27" s="28">
        <f>SUMIF(RAW_DEATHS!$B:$B,Overview!$A27,RAW_DEATHS!G:G)</f>
        <v>0</v>
      </c>
      <c r="G27" s="28">
        <f>SUMIF(RAW_DEATHS!$B:$B,Overview!$A27,RAW_DEATHS!H:H)</f>
        <v>0</v>
      </c>
      <c r="H27" s="28">
        <f>SUMIF(RAW_DEATHS!$B:$B,Overview!$A27,RAW_DEATHS!I:I)</f>
        <v>0</v>
      </c>
      <c r="I27" s="28">
        <f>SUMIF(RAW_DEATHS!$B:$B,Overview!$A27,RAW_DEATHS!J:J)</f>
        <v>0</v>
      </c>
      <c r="J27" s="28">
        <f>SUMIF(RAW_DEATHS!$B:$B,Overview!$A27,RAW_DEATHS!K:K)</f>
        <v>0</v>
      </c>
      <c r="K27" s="28">
        <f>SUMIF(RAW_DEATHS!$B:$B,Overview!$A27,RAW_DEATHS!L:L)</f>
        <v>0</v>
      </c>
      <c r="L27" s="28">
        <f>SUMIF(RAW_DEATHS!$B:$B,Overview!$A27,RAW_DEATHS!M:M)</f>
        <v>0</v>
      </c>
      <c r="M27" s="28">
        <f>SUMIF(RAW_DEATHS!$B:$B,Overview!$A27,RAW_DEATHS!N:N)</f>
        <v>0</v>
      </c>
      <c r="N27" s="28">
        <f>SUMIF(RAW_DEATHS!$B:$B,Overview!$A27,RAW_DEATHS!O:O)</f>
        <v>0</v>
      </c>
      <c r="O27" s="28">
        <f>SUMIF(RAW_DEATHS!$B:$B,Overview!$A27,RAW_DEATHS!P:P)</f>
        <v>0</v>
      </c>
      <c r="P27" s="28">
        <f>SUMIF(RAW_DEATHS!$B:$B,Overview!$A27,RAW_DEATHS!Q:Q)</f>
        <v>0</v>
      </c>
      <c r="Q27" s="28">
        <f>SUMIF(RAW_DEATHS!$B:$B,Overview!$A27,RAW_DEATHS!R:R)</f>
        <v>0</v>
      </c>
      <c r="R27" s="28">
        <f>SUMIF(RAW_DEATHS!$B:$B,Overview!$A27,RAW_DEATHS!S:S)</f>
        <v>0</v>
      </c>
      <c r="S27" s="28">
        <f>SUMIF(RAW_DEATHS!$B:$B,Overview!$A27,RAW_DEATHS!T:T)</f>
        <v>0</v>
      </c>
      <c r="T27" s="28">
        <f>SUMIF(RAW_DEATHS!$B:$B,Overview!$A27,RAW_DEATHS!U:U)</f>
        <v>0</v>
      </c>
      <c r="U27" s="28">
        <f>SUMIF(RAW_DEATHS!$B:$B,Overview!$A27,RAW_DEATHS!V:V)</f>
        <v>0</v>
      </c>
      <c r="V27" s="28">
        <f>SUMIF(RAW_DEATHS!$B:$B,Overview!$A27,RAW_DEATHS!W:W)</f>
        <v>0</v>
      </c>
      <c r="W27" s="28">
        <f>SUMIF(RAW_DEATHS!$B:$B,Overview!$A27,RAW_DEATHS!X:X)</f>
        <v>0</v>
      </c>
      <c r="X27" s="28">
        <f>SUMIF(RAW_DEATHS!$B:$B,Overview!$A27,RAW_DEATHS!Y:Y)</f>
        <v>0</v>
      </c>
      <c r="Y27" s="28">
        <f>SUMIF(RAW_DEATHS!$B:$B,Overview!$A27,RAW_DEATHS!Z:Z)</f>
        <v>0</v>
      </c>
      <c r="Z27" s="28">
        <f>SUMIF(RAW_DEATHS!$B:$B,Overview!$A27,RAW_DEATHS!AA:AA)</f>
        <v>0</v>
      </c>
      <c r="AA27" s="28">
        <f>SUMIF(RAW_DEATHS!$B:$B,Overview!$A27,RAW_DEATHS!AB:AB)</f>
        <v>0</v>
      </c>
      <c r="AB27" s="28">
        <f>SUMIF(RAW_DEATHS!$B:$B,Overview!$A27,RAW_DEATHS!AC:AC)</f>
        <v>0</v>
      </c>
      <c r="AC27" s="28">
        <f>SUMIF(RAW_DEATHS!$B:$B,Overview!$A27,RAW_DEATHS!AD:AD)</f>
        <v>0</v>
      </c>
      <c r="AD27" s="28">
        <f>SUMIF(RAW_DEATHS!$B:$B,Overview!$A27,RAW_DEATHS!AE:AE)</f>
        <v>0</v>
      </c>
      <c r="AE27" s="28">
        <f>SUMIF(RAW_DEATHS!$B:$B,Overview!$A27,RAW_DEATHS!AF:AF)</f>
        <v>0</v>
      </c>
      <c r="AF27" s="28">
        <f>SUMIF(RAW_DEATHS!$B:$B,Overview!$A27,RAW_DEATHS!AG:AG)</f>
        <v>0</v>
      </c>
      <c r="AG27" s="28">
        <f>SUMIF(RAW_DEATHS!$B:$B,Overview!$A27,RAW_DEATHS!AH:AH)</f>
        <v>0</v>
      </c>
      <c r="AH27" s="28">
        <f>SUMIF(RAW_DEATHS!$B:$B,Overview!$A27,RAW_DEATHS!AI:AI)</f>
        <v>0</v>
      </c>
      <c r="AI27" s="28">
        <f>SUMIF(RAW_DEATHS!$B:$B,Overview!$A27,RAW_DEATHS!AJ:AJ)</f>
        <v>0</v>
      </c>
      <c r="AJ27" s="28">
        <f>SUMIF(RAW_DEATHS!$B:$B,Overview!$A27,RAW_DEATHS!AK:AK)</f>
        <v>0</v>
      </c>
      <c r="AK27" s="28">
        <f>SUMIF(RAW_DEATHS!$B:$B,Overview!$A27,RAW_DEATHS!AL:AL)</f>
        <v>0</v>
      </c>
      <c r="AL27" s="28">
        <f>SUMIF(RAW_DEATHS!$B:$B,Overview!$A27,RAW_DEATHS!AM:AM)</f>
        <v>0</v>
      </c>
      <c r="AM27" s="28">
        <f>SUMIF(RAW_DEATHS!$B:$B,Overview!$A27,RAW_DEATHS!AN:AN)</f>
        <v>0</v>
      </c>
      <c r="AN27" s="28">
        <f>SUMIF(RAW_DEATHS!$B:$B,Overview!$A27,RAW_DEATHS!AO:AO)</f>
        <v>0</v>
      </c>
      <c r="AO27" s="28">
        <f>SUMIF(RAW_DEATHS!$B:$B,Overview!$A27,RAW_DEATHS!AP:AP)</f>
        <v>0</v>
      </c>
      <c r="AP27" s="28">
        <f>SUMIF(RAW_DEATHS!$B:$B,Overview!$A27,RAW_DEATHS!AQ:AQ)</f>
        <v>0</v>
      </c>
      <c r="AQ27" s="28">
        <f>SUMIF(RAW_DEATHS!$B:$B,Overview!$A27,RAW_DEATHS!AR:AR)</f>
        <v>0</v>
      </c>
      <c r="AR27" s="28">
        <f>SUMIF(RAW_DEATHS!$B:$B,Overview!$A27,RAW_DEATHS!AS:AS)</f>
        <v>0</v>
      </c>
      <c r="AS27" s="28">
        <f>SUMIF(RAW_DEATHS!$B:$B,Overview!$A27,RAW_DEATHS!AT:AT)</f>
        <v>0</v>
      </c>
      <c r="AT27" s="28">
        <f>SUMIF(RAW_DEATHS!$B:$B,Overview!$A27,RAW_DEATHS!AU:AU)</f>
        <v>0</v>
      </c>
      <c r="AU27" s="28">
        <f>SUMIF(RAW_DEATHS!$B:$B,Overview!$A27,RAW_DEATHS!AV:AV)</f>
        <v>0</v>
      </c>
      <c r="AV27" s="28">
        <f>SUMIF(RAW_DEATHS!$B:$B,Overview!$A27,RAW_DEATHS!AW:AW)</f>
        <v>0</v>
      </c>
      <c r="AW27" s="28">
        <f>SUMIF(RAW_DEATHS!$B:$B,Overview!$A27,RAW_DEATHS!AX:AX)</f>
        <v>2</v>
      </c>
      <c r="AX27" s="28">
        <f>SUMIF(RAW_DEATHS!$B:$B,Overview!$A27,RAW_DEATHS!AY:AY)</f>
        <v>2</v>
      </c>
      <c r="AY27" s="28">
        <f>SUMIF(RAW_DEATHS!$B:$B,Overview!$A27,RAW_DEATHS!AZ:AZ)</f>
        <v>3</v>
      </c>
      <c r="AZ27" s="28">
        <f>SUMIF(RAW_DEATHS!$B:$B,Overview!$A27,RAW_DEATHS!BA:BA)</f>
        <v>3</v>
      </c>
      <c r="BA27" s="28">
        <f>SUMIF(RAW_DEATHS!$B:$B,Overview!$A27,RAW_DEATHS!BB:BB)</f>
        <v>7</v>
      </c>
      <c r="BB27" s="28">
        <f>SUMIF(RAW_DEATHS!$B:$B,Overview!$A27,RAW_DEATHS!BC:BC)</f>
        <v>9</v>
      </c>
      <c r="BC27" s="28">
        <f>SUMIF(RAW_DEATHS!$B:$B,Overview!$A27,RAW_DEATHS!BD:BD)</f>
        <v>11</v>
      </c>
      <c r="BD27" s="28">
        <f>SUMIF(RAW_DEATHS!$B:$B,Overview!$A27,RAW_DEATHS!BE:BE)</f>
        <v>17</v>
      </c>
      <c r="BE27" s="28">
        <f>SUMIF(RAW_DEATHS!$B:$B,Overview!$A27,RAW_DEATHS!BF:BF)</f>
        <v>24</v>
      </c>
      <c r="BF27" s="28">
        <f>SUMIF(RAW_DEATHS!$B:$B,Overview!$A27,RAW_DEATHS!BG:BG)</f>
        <v>28</v>
      </c>
      <c r="BG27" s="28">
        <f>SUMIF(RAW_DEATHS!$B:$B,Overview!$A27,RAW_DEATHS!BH:BH)</f>
        <v>44</v>
      </c>
      <c r="BH27" s="28">
        <f>SUMIF(RAW_DEATHS!$B:$B,Overview!$A27,RAW_DEATHS!BI:BI)</f>
        <v>67</v>
      </c>
      <c r="BI27" s="28">
        <f>SUMIF(RAW_DEATHS!$B:$B,Overview!$A27,RAW_DEATHS!BJ:BJ)</f>
        <v>84</v>
      </c>
      <c r="BJ27" s="28">
        <f>SUMIF(RAW_DEATHS!$B:$B,Overview!$A27,RAW_DEATHS!BK:BK)</f>
        <v>94</v>
      </c>
      <c r="BK27" s="28">
        <f>SUMIF(RAW_DEATHS!$B:$B,Overview!$A27,RAW_DEATHS!BL:BL)</f>
        <v>123</v>
      </c>
      <c r="BL27" s="28">
        <f>SUMIF(RAW_DEATHS!$B:$B,Overview!$A27,RAW_DEATHS!BM:BM)</f>
        <v>157</v>
      </c>
      <c r="BM27" s="28">
        <f>SUMIF(RAW_DEATHS!$B:$B,Overview!$A27,RAW_DEATHS!BN:BN)</f>
        <v>206</v>
      </c>
      <c r="BN27" s="28">
        <f>SUMIF(RAW_DEATHS!$B:$B,Overview!$A27,RAW_DEATHS!BO:BO)</f>
        <v>267</v>
      </c>
      <c r="BO27" s="28">
        <f>SUMIF(RAW_DEATHS!$B:$B,Overview!$A27,RAW_DEATHS!BP:BP)</f>
        <v>342</v>
      </c>
      <c r="BP27" s="28">
        <f>SUMIF(RAW_DEATHS!$B:$B,Overview!$A27,RAW_DEATHS!BQ:BQ)</f>
        <v>433</v>
      </c>
      <c r="BQ27" s="28">
        <f>SUMIF(RAW_DEATHS!$B:$B,Overview!$A27,RAW_DEATHS!BR:BR)</f>
        <v>533</v>
      </c>
      <c r="BR27" s="28">
        <f>SUMIF(RAW_DEATHS!$B:$B,Overview!$A27,RAW_DEATHS!BS:BS)</f>
        <v>645</v>
      </c>
      <c r="BS27" s="28">
        <f>SUMIF(RAW_DEATHS!$B:$B,Overview!$A27,RAW_DEATHS!BT:BT)</f>
        <v>775</v>
      </c>
      <c r="BT27" s="28">
        <f>SUMIF(RAW_DEATHS!$B:$B,Overview!$A27,RAW_DEATHS!BU:BU)</f>
        <v>920</v>
      </c>
      <c r="BU27" s="28">
        <f>SUMIF(RAW_DEATHS!$B:$B,Overview!$A27,RAW_DEATHS!BV:BV)</f>
        <v>1107</v>
      </c>
      <c r="BV27" s="28">
        <f>SUMIF(RAW_DEATHS!$B:$B,Overview!$A27,RAW_DEATHS!BW:BW)</f>
        <v>1275</v>
      </c>
      <c r="BW27" s="28">
        <f>SUMIF(RAW_DEATHS!$B:$B,Overview!$A27,RAW_DEATHS!BX:BX)</f>
        <v>1444</v>
      </c>
      <c r="BX27" s="28">
        <f>SUMIF(RAW_DEATHS!$B:$B,Overview!$A27,RAW_DEATHS!BY:BY)</f>
        <v>1584</v>
      </c>
      <c r="BY27" s="28">
        <f>SUMIF(RAW_DEATHS!$B:$B,Overview!$A27,RAW_DEATHS!BZ:BZ)</f>
        <v>1810</v>
      </c>
      <c r="BZ27" s="28">
        <f>SUMIF(RAW_DEATHS!$B:$B,Overview!$A27,RAW_DEATHS!CA:CA)</f>
        <v>2016</v>
      </c>
      <c r="CA27" s="28">
        <f>SUMIF(RAW_DEATHS!$B:$B,Overview!$A27,RAW_DEATHS!CB:CB)</f>
        <v>2349</v>
      </c>
      <c r="CB27" s="28">
        <f>SUMIF(RAW_DEATHS!$B:$B,Overview!$A27,RAW_DEATHS!CC:CC)</f>
        <v>2607</v>
      </c>
      <c r="CC27" s="28">
        <f>SUMIF(RAW_DEATHS!$B:$B,Overview!$A27,RAW_DEATHS!CD:CD)</f>
        <v>2767</v>
      </c>
      <c r="CD27" s="28">
        <f>SUMIF(RAW_DEATHS!$B:$B,Overview!$A27,RAW_DEATHS!CE:CE)</f>
        <v>2736</v>
      </c>
      <c r="CE27" s="28">
        <f>SUMIF(RAW_DEATHS!$B:$B,Overview!$A27,RAW_DEATHS!CF:CF)</f>
        <v>3022</v>
      </c>
      <c r="CF27" s="25">
        <f>SUMIF(RAW_DEATHS!$B:$B,Overview!$A27,RAW_DEATHS!CG:CG)</f>
        <v>3194</v>
      </c>
      <c r="CG27" s="25">
        <f>SUMIF(RAW_DEATHS!$B:$B,Overview!$A27,RAW_DEATHS!CH:CH)</f>
        <v>3294</v>
      </c>
      <c r="CH27" s="25">
        <f>SUMIF(RAW_DEATHS!$B:$B,Overview!$A27,RAW_DEATHS!CI:CI)</f>
        <v>3804</v>
      </c>
      <c r="CI27" s="25">
        <f>SUMIF(RAW_DEATHS!$B:$B,Overview!$A27,RAW_DEATHS!CJ:CJ)</f>
        <v>4052</v>
      </c>
      <c r="CJ27" s="25">
        <f>SUMIF(RAW_DEATHS!$B:$B,Overview!$A27,RAW_DEATHS!CK:CK)</f>
        <v>4352</v>
      </c>
      <c r="CK27" s="25">
        <f>SUMIF(RAW_DEATHS!$B:$B,Overview!$A27,RAW_DEATHS!CL:CL)</f>
        <v>4459</v>
      </c>
      <c r="CL27" s="25">
        <f>SUMIF(RAW_DEATHS!$B:$B,Overview!$A27,RAW_DEATHS!CM:CM)</f>
        <v>4586</v>
      </c>
      <c r="CM27" s="25">
        <f>SUMIF(RAW_DEATHS!$B:$B,Overview!$A27,RAW_DEATHS!CN:CN)</f>
        <v>4862</v>
      </c>
      <c r="CN27" s="25">
        <f>SUMIF(RAW_DEATHS!$B:$B,Overview!$A27,RAW_DEATHS!CO:CO)</f>
        <v>5033</v>
      </c>
      <c r="CO27" s="25">
        <f>SUMIF(RAW_DEATHS!$B:$B,Overview!$A27,RAW_DEATHS!CP:CP)</f>
        <v>5279</v>
      </c>
      <c r="CP27" s="25">
        <f>SUMIF(RAW_DEATHS!$B:$B,Overview!$A27,RAW_DEATHS!CQ:CQ)</f>
        <v>5575</v>
      </c>
      <c r="CQ27" s="25">
        <f>SUMIF(RAW_DEATHS!$B:$B,Overview!$A27,RAW_DEATHS!CR:CR)</f>
        <v>5760</v>
      </c>
      <c r="CR27" s="25">
        <f>SUMIF(RAW_DEATHS!$B:$B,Overview!$A27,RAW_DEATHS!CS:CS)</f>
        <v>5877</v>
      </c>
      <c r="CS27" s="25">
        <f>SUMIF(RAW_DEATHS!$B:$B,Overview!$A27,RAW_DEATHS!CT:CT)</f>
        <v>5976</v>
      </c>
      <c r="CT27" s="25">
        <f>SUMIF(RAW_DEATHS!$B:$B,Overview!$A27,RAW_DEATHS!CU:CU)</f>
        <v>6126</v>
      </c>
      <c r="CU27" s="25">
        <f>SUMIF(RAW_DEATHS!$B:$B,Overview!$A27,RAW_DEATHS!CV:CV)</f>
        <v>6314</v>
      </c>
      <c r="CV27" s="25">
        <f>SUMIF(RAW_DEATHS!$B:$B,Overview!$A27,RAW_DEATHS!CW:CW)</f>
        <v>6467</v>
      </c>
      <c r="CW27" s="25">
        <f>SUMIF(RAW_DEATHS!$B:$B,Overview!$A27,RAW_DEATHS!CX:CX)</f>
        <v>6623</v>
      </c>
      <c r="CX27" s="25">
        <f>SUMIF(RAW_DEATHS!$B:$B,Overview!$A27,RAW_DEATHS!CY:CY)</f>
        <v>6736</v>
      </c>
      <c r="CY27" s="25">
        <f>SUMIF(RAW_DEATHS!$B:$B,Overview!$A27,RAW_DEATHS!CZ:CZ)</f>
        <v>6812</v>
      </c>
      <c r="CZ27" s="25">
        <f>SUMIF(RAW_DEATHS!$B:$B,Overview!$A27,RAW_DEATHS!DA:DA)</f>
        <v>6866</v>
      </c>
      <c r="DA27" s="25">
        <f>SUMIF(RAW_DEATHS!$B:$B,Overview!$A27,RAW_DEATHS!DB:DB)</f>
        <v>0</v>
      </c>
      <c r="DB27" s="25">
        <f>SUMIF(RAW_DEATHS!$B:$B,Overview!$A27,RAW_DEATHS!DC:DC)</f>
        <v>0</v>
      </c>
      <c r="DC27" s="25">
        <f>SUMIF(RAW_DEATHS!$B:$B,Overview!$A27,RAW_DEATHS!DD:DD)</f>
        <v>0</v>
      </c>
      <c r="DD27" s="25">
        <f>SUMIF(RAW_DEATHS!$B:$B,Overview!$A27,RAW_DEATHS!DE:DE)</f>
        <v>0</v>
      </c>
      <c r="DE27" s="25">
        <f>SUMIF(RAW_DEATHS!$B:$B,Overview!$A27,RAW_DEATHS!DF:DF)</f>
        <v>0</v>
      </c>
      <c r="DF27" s="25">
        <f>SUMIF(RAW_DEATHS!$B:$B,Overview!$A27,RAW_DEATHS!DG:DG)</f>
        <v>0</v>
      </c>
      <c r="DG27" s="25">
        <f>SUMIF(RAW_DEATHS!$B:$B,Overview!$A27,RAW_DEATHS!DH:DH)</f>
        <v>0</v>
      </c>
      <c r="DH27" s="25">
        <f>SUMIF(RAW_DEATHS!$B:$B,Overview!$A27,RAW_DEATHS!DI:DI)</f>
        <v>0</v>
      </c>
      <c r="DI27" s="25">
        <f>SUMIF(RAW_DEATHS!$B:$B,Overview!$A27,RAW_DEATHS!DJ:DJ)</f>
        <v>0</v>
      </c>
      <c r="DJ27" s="25">
        <f>SUMIF(RAW_DEATHS!$B:$B,Overview!$A27,RAW_DEATHS!DK:DK)</f>
        <v>0</v>
      </c>
      <c r="DK27" s="25">
        <f>SUMIF(RAW_DEATHS!$B:$B,Overview!$A27,RAW_DEATHS!DL:DL)</f>
        <v>0</v>
      </c>
      <c r="DL27" s="25">
        <f>SUMIF(RAW_DEATHS!$B:$B,Overview!$A27,RAW_DEATHS!DM:DM)</f>
        <v>0</v>
      </c>
      <c r="DM27" s="25">
        <f>SUMIF(RAW_DEATHS!$B:$B,Overview!$A27,RAW_DEATHS!DN:DN)</f>
        <v>0</v>
      </c>
      <c r="DN27" s="25">
        <f>SUMIF(RAW_DEATHS!$B:$B,Overview!$A27,RAW_DEATHS!DO:DO)</f>
        <v>0</v>
      </c>
      <c r="DO27" s="25">
        <f>SUMIF(RAW_DEATHS!$B:$B,Overview!$A27,RAW_DEATHS!DP:DP)</f>
        <v>0</v>
      </c>
      <c r="DP27" s="25">
        <f>SUMIF(RAW_DEATHS!$B:$B,Overview!$A27,RAW_DEATHS!DQ:DQ)</f>
        <v>0</v>
      </c>
      <c r="DQ27" s="25">
        <f>SUMIF(RAW_DEATHS!$B:$B,Overview!$A27,RAW_DEATHS!DR:DR)</f>
        <v>0</v>
      </c>
      <c r="DR27" s="25">
        <f>SUMIF(RAW_DEATHS!$B:$B,Overview!$A27,RAW_DEATHS!DS:DS)</f>
        <v>0</v>
      </c>
      <c r="DS27" s="25">
        <f>SUMIF(RAW_DEATHS!$B:$B,Overview!$A27,RAW_DEATHS!DT:DT)</f>
        <v>0</v>
      </c>
      <c r="DT27" s="25">
        <f>SUMIF(RAW_DEATHS!$B:$B,Overview!$A27,RAW_DEATHS!DU:DU)</f>
        <v>0</v>
      </c>
      <c r="DU27" s="25">
        <f>SUMIF(RAW_DEATHS!$B:$B,Overview!$A27,RAW_DEATHS!DV:DV)</f>
        <v>0</v>
      </c>
      <c r="DV27" s="25">
        <f>SUMIF(RAW_DEATHS!$B:$B,Overview!$A27,RAW_DEATHS!DW:DW)</f>
        <v>0</v>
      </c>
      <c r="DW27" s="25">
        <f>SUMIF(RAW_DEATHS!$B:$B,Overview!$A27,RAW_DEATHS!DX:DX)</f>
        <v>0</v>
      </c>
      <c r="DX27" s="25">
        <f>SUMIF(RAW_DEATHS!$B:$B,Overview!$A27,RAW_DEATHS!DY:DY)</f>
        <v>0</v>
      </c>
      <c r="DY27" s="25">
        <f>SUMIF(RAW_DEATHS!$B:$B,Overview!$A27,RAW_DEATHS!DZ:DZ)</f>
        <v>0</v>
      </c>
      <c r="DZ27" s="25">
        <f>SUMIF(RAW_DEATHS!$B:$B,Overview!$A27,RAW_DEATHS!EA:EA)</f>
        <v>0</v>
      </c>
      <c r="EA27" s="25">
        <f>SUMIF(RAW_DEATHS!$B:$B,Overview!$A27,RAW_DEATHS!EB:EB)</f>
        <v>0</v>
      </c>
    </row>
    <row r="28" spans="1:131" s="10" customFormat="1" ht="13.15" x14ac:dyDescent="0.4">
      <c r="A28" s="24" t="str">
        <f t="shared" si="155"/>
        <v>US</v>
      </c>
      <c r="B28" s="28">
        <f>SUMIF(RAW_DEATHS!$B:$B,Overview!$A28,RAW_DEATHS!C:C)</f>
        <v>0</v>
      </c>
      <c r="C28" s="28">
        <f>SUMIF(RAW_DEATHS!$B:$B,Overview!$A28,RAW_DEATHS!D:D)</f>
        <v>0</v>
      </c>
      <c r="D28" s="28">
        <f>SUMIF(RAW_DEATHS!$B:$B,Overview!$A28,RAW_DEATHS!E:E)</f>
        <v>0</v>
      </c>
      <c r="E28" s="28">
        <f>SUMIF(RAW_DEATHS!$B:$B,Overview!$A28,RAW_DEATHS!F:F)</f>
        <v>0</v>
      </c>
      <c r="F28" s="28">
        <f>SUMIF(RAW_DEATHS!$B:$B,Overview!$A28,RAW_DEATHS!G:G)</f>
        <v>0</v>
      </c>
      <c r="G28" s="28">
        <f>SUMIF(RAW_DEATHS!$B:$B,Overview!$A28,RAW_DEATHS!H:H)</f>
        <v>0</v>
      </c>
      <c r="H28" s="28">
        <f>SUMIF(RAW_DEATHS!$B:$B,Overview!$A28,RAW_DEATHS!I:I)</f>
        <v>0</v>
      </c>
      <c r="I28" s="28">
        <f>SUMIF(RAW_DEATHS!$B:$B,Overview!$A28,RAW_DEATHS!J:J)</f>
        <v>0</v>
      </c>
      <c r="J28" s="28">
        <f>SUMIF(RAW_DEATHS!$B:$B,Overview!$A28,RAW_DEATHS!K:K)</f>
        <v>0</v>
      </c>
      <c r="K28" s="28">
        <f>SUMIF(RAW_DEATHS!$B:$B,Overview!$A28,RAW_DEATHS!L:L)</f>
        <v>0</v>
      </c>
      <c r="L28" s="28">
        <f>SUMIF(RAW_DEATHS!$B:$B,Overview!$A28,RAW_DEATHS!M:M)</f>
        <v>0</v>
      </c>
      <c r="M28" s="28">
        <f>SUMIF(RAW_DEATHS!$B:$B,Overview!$A28,RAW_DEATHS!N:N)</f>
        <v>0</v>
      </c>
      <c r="N28" s="28">
        <f>SUMIF(RAW_DEATHS!$B:$B,Overview!$A28,RAW_DEATHS!O:O)</f>
        <v>0</v>
      </c>
      <c r="O28" s="28">
        <f>SUMIF(RAW_DEATHS!$B:$B,Overview!$A28,RAW_DEATHS!P:P)</f>
        <v>0</v>
      </c>
      <c r="P28" s="28">
        <f>SUMIF(RAW_DEATHS!$B:$B,Overview!$A28,RAW_DEATHS!Q:Q)</f>
        <v>0</v>
      </c>
      <c r="Q28" s="28">
        <f>SUMIF(RAW_DEATHS!$B:$B,Overview!$A28,RAW_DEATHS!R:R)</f>
        <v>0</v>
      </c>
      <c r="R28" s="28">
        <f>SUMIF(RAW_DEATHS!$B:$B,Overview!$A28,RAW_DEATHS!S:S)</f>
        <v>0</v>
      </c>
      <c r="S28" s="28">
        <f>SUMIF(RAW_DEATHS!$B:$B,Overview!$A28,RAW_DEATHS!T:T)</f>
        <v>0</v>
      </c>
      <c r="T28" s="28">
        <f>SUMIF(RAW_DEATHS!$B:$B,Overview!$A28,RAW_DEATHS!U:U)</f>
        <v>0</v>
      </c>
      <c r="U28" s="28">
        <f>SUMIF(RAW_DEATHS!$B:$B,Overview!$A28,RAW_DEATHS!V:V)</f>
        <v>0</v>
      </c>
      <c r="V28" s="28">
        <f>SUMIF(RAW_DEATHS!$B:$B,Overview!$A28,RAW_DEATHS!W:W)</f>
        <v>0</v>
      </c>
      <c r="W28" s="28">
        <f>SUMIF(RAW_DEATHS!$B:$B,Overview!$A28,RAW_DEATHS!X:X)</f>
        <v>0</v>
      </c>
      <c r="X28" s="28">
        <f>SUMIF(RAW_DEATHS!$B:$B,Overview!$A28,RAW_DEATHS!Y:Y)</f>
        <v>0</v>
      </c>
      <c r="Y28" s="28">
        <f>SUMIF(RAW_DEATHS!$B:$B,Overview!$A28,RAW_DEATHS!Z:Z)</f>
        <v>0</v>
      </c>
      <c r="Z28" s="28">
        <f>SUMIF(RAW_DEATHS!$B:$B,Overview!$A28,RAW_DEATHS!AA:AA)</f>
        <v>0</v>
      </c>
      <c r="AA28" s="28">
        <f>SUMIF(RAW_DEATHS!$B:$B,Overview!$A28,RAW_DEATHS!AB:AB)</f>
        <v>0</v>
      </c>
      <c r="AB28" s="28">
        <f>SUMIF(RAW_DEATHS!$B:$B,Overview!$A28,RAW_DEATHS!AC:AC)</f>
        <v>0</v>
      </c>
      <c r="AC28" s="28">
        <f>SUMIF(RAW_DEATHS!$B:$B,Overview!$A28,RAW_DEATHS!AD:AD)</f>
        <v>0</v>
      </c>
      <c r="AD28" s="28">
        <f>SUMIF(RAW_DEATHS!$B:$B,Overview!$A28,RAW_DEATHS!AE:AE)</f>
        <v>0</v>
      </c>
      <c r="AE28" s="28">
        <f>SUMIF(RAW_DEATHS!$B:$B,Overview!$A28,RAW_DEATHS!AF:AF)</f>
        <v>0</v>
      </c>
      <c r="AF28" s="28">
        <f>SUMIF(RAW_DEATHS!$B:$B,Overview!$A28,RAW_DEATHS!AG:AG)</f>
        <v>0</v>
      </c>
      <c r="AG28" s="28">
        <f>SUMIF(RAW_DEATHS!$B:$B,Overview!$A28,RAW_DEATHS!AH:AH)</f>
        <v>0</v>
      </c>
      <c r="AH28" s="28">
        <f>SUMIF(RAW_DEATHS!$B:$B,Overview!$A28,RAW_DEATHS!AI:AI)</f>
        <v>0</v>
      </c>
      <c r="AI28" s="28">
        <f>SUMIF(RAW_DEATHS!$B:$B,Overview!$A28,RAW_DEATHS!AJ:AJ)</f>
        <v>0</v>
      </c>
      <c r="AJ28" s="28">
        <f>SUMIF(RAW_DEATHS!$B:$B,Overview!$A28,RAW_DEATHS!AK:AK)</f>
        <v>0</v>
      </c>
      <c r="AK28" s="28">
        <f>SUMIF(RAW_DEATHS!$B:$B,Overview!$A28,RAW_DEATHS!AL:AL)</f>
        <v>0</v>
      </c>
      <c r="AL28" s="28">
        <f>SUMIF(RAW_DEATHS!$B:$B,Overview!$A28,RAW_DEATHS!AM:AM)</f>
        <v>0</v>
      </c>
      <c r="AM28" s="28">
        <f>SUMIF(RAW_DEATHS!$B:$B,Overview!$A28,RAW_DEATHS!AN:AN)</f>
        <v>0</v>
      </c>
      <c r="AN28" s="28">
        <f>SUMIF(RAW_DEATHS!$B:$B,Overview!$A28,RAW_DEATHS!AO:AO)</f>
        <v>1</v>
      </c>
      <c r="AO28" s="28">
        <f>SUMIF(RAW_DEATHS!$B:$B,Overview!$A28,RAW_DEATHS!AP:AP)</f>
        <v>1</v>
      </c>
      <c r="AP28" s="28">
        <f>SUMIF(RAW_DEATHS!$B:$B,Overview!$A28,RAW_DEATHS!AQ:AQ)</f>
        <v>6</v>
      </c>
      <c r="AQ28" s="28">
        <f>SUMIF(RAW_DEATHS!$B:$B,Overview!$A28,RAW_DEATHS!AR:AR)</f>
        <v>7</v>
      </c>
      <c r="AR28" s="28">
        <f>SUMIF(RAW_DEATHS!$B:$B,Overview!$A28,RAW_DEATHS!AS:AS)</f>
        <v>11</v>
      </c>
      <c r="AS28" s="28">
        <f>SUMIF(RAW_DEATHS!$B:$B,Overview!$A28,RAW_DEATHS!AT:AT)</f>
        <v>12</v>
      </c>
      <c r="AT28" s="28">
        <f>SUMIF(RAW_DEATHS!$B:$B,Overview!$A28,RAW_DEATHS!AU:AU)</f>
        <v>14</v>
      </c>
      <c r="AU28" s="28">
        <f>SUMIF(RAW_DEATHS!$B:$B,Overview!$A28,RAW_DEATHS!AV:AV)</f>
        <v>17</v>
      </c>
      <c r="AV28" s="28">
        <f>SUMIF(RAW_DEATHS!$B:$B,Overview!$A28,RAW_DEATHS!AW:AW)</f>
        <v>21</v>
      </c>
      <c r="AW28" s="28">
        <f>SUMIF(RAW_DEATHS!$B:$B,Overview!$A28,RAW_DEATHS!AX:AX)</f>
        <v>22</v>
      </c>
      <c r="AX28" s="28">
        <f>SUMIF(RAW_DEATHS!$B:$B,Overview!$A28,RAW_DEATHS!AY:AY)</f>
        <v>28</v>
      </c>
      <c r="AY28" s="28">
        <f>SUMIF(RAW_DEATHS!$B:$B,Overview!$A28,RAW_DEATHS!AZ:AZ)</f>
        <v>36</v>
      </c>
      <c r="AZ28" s="28">
        <f>SUMIF(RAW_DEATHS!$B:$B,Overview!$A28,RAW_DEATHS!BA:BA)</f>
        <v>41</v>
      </c>
      <c r="BA28" s="28">
        <f>SUMIF(RAW_DEATHS!$B:$B,Overview!$A28,RAW_DEATHS!BB:BB)</f>
        <v>49</v>
      </c>
      <c r="BB28" s="28">
        <f>SUMIF(RAW_DEATHS!$B:$B,Overview!$A28,RAW_DEATHS!BC:BC)</f>
        <v>58</v>
      </c>
      <c r="BC28" s="28">
        <f>SUMIF(RAW_DEATHS!$B:$B,Overview!$A28,RAW_DEATHS!BD:BD)</f>
        <v>73</v>
      </c>
      <c r="BD28" s="28">
        <f>SUMIF(RAW_DEATHS!$B:$B,Overview!$A28,RAW_DEATHS!BE:BE)</f>
        <v>99</v>
      </c>
      <c r="BE28" s="28">
        <f>SUMIF(RAW_DEATHS!$B:$B,Overview!$A28,RAW_DEATHS!BF:BF)</f>
        <v>133</v>
      </c>
      <c r="BF28" s="28">
        <f>SUMIF(RAW_DEATHS!$B:$B,Overview!$A28,RAW_DEATHS!BG:BG)</f>
        <v>164</v>
      </c>
      <c r="BG28" s="28">
        <f>SUMIF(RAW_DEATHS!$B:$B,Overview!$A28,RAW_DEATHS!BH:BH)</f>
        <v>258</v>
      </c>
      <c r="BH28" s="28">
        <f>SUMIF(RAW_DEATHS!$B:$B,Overview!$A28,RAW_DEATHS!BI:BI)</f>
        <v>349</v>
      </c>
      <c r="BI28" s="28">
        <f>SUMIF(RAW_DEATHS!$B:$B,Overview!$A28,RAW_DEATHS!BJ:BJ)</f>
        <v>442</v>
      </c>
      <c r="BJ28" s="28">
        <f>SUMIF(RAW_DEATHS!$B:$B,Overview!$A28,RAW_DEATHS!BK:BK)</f>
        <v>586</v>
      </c>
      <c r="BK28" s="28">
        <f>SUMIF(RAW_DEATHS!$B:$B,Overview!$A28,RAW_DEATHS!BL:BL)</f>
        <v>786</v>
      </c>
      <c r="BL28" s="28">
        <f>SUMIF(RAW_DEATHS!$B:$B,Overview!$A28,RAW_DEATHS!BM:BM)</f>
        <v>1008</v>
      </c>
      <c r="BM28" s="28">
        <f>SUMIF(RAW_DEATHS!$B:$B,Overview!$A28,RAW_DEATHS!BN:BN)</f>
        <v>1316</v>
      </c>
      <c r="BN28" s="28">
        <f>SUMIF(RAW_DEATHS!$B:$B,Overview!$A28,RAW_DEATHS!BO:BO)</f>
        <v>1726</v>
      </c>
      <c r="BO28" s="28">
        <f>SUMIF(RAW_DEATHS!$B:$B,Overview!$A28,RAW_DEATHS!BP:BP)</f>
        <v>2265</v>
      </c>
      <c r="BP28" s="28">
        <f>SUMIF(RAW_DEATHS!$B:$B,Overview!$A28,RAW_DEATHS!BQ:BQ)</f>
        <v>2731</v>
      </c>
      <c r="BQ28" s="28">
        <f>SUMIF(RAW_DEATHS!$B:$B,Overview!$A28,RAW_DEATHS!BR:BR)</f>
        <v>3420</v>
      </c>
      <c r="BR28" s="28">
        <f>SUMIF(RAW_DEATHS!$B:$B,Overview!$A28,RAW_DEATHS!BS:BS)</f>
        <v>4192</v>
      </c>
      <c r="BS28" s="28">
        <f>SUMIF(RAW_DEATHS!$B:$B,Overview!$A28,RAW_DEATHS!BT:BT)</f>
        <v>5367</v>
      </c>
      <c r="BT28" s="28">
        <f>SUMIF(RAW_DEATHS!$B:$B,Overview!$A28,RAW_DEATHS!BU:BU)</f>
        <v>6501</v>
      </c>
      <c r="BU28" s="28">
        <f>SUMIF(RAW_DEATHS!$B:$B,Overview!$A28,RAW_DEATHS!BV:BV)</f>
        <v>7921</v>
      </c>
      <c r="BV28" s="28">
        <f>SUMIF(RAW_DEATHS!$B:$B,Overview!$A28,RAW_DEATHS!BW:BW)</f>
        <v>9246</v>
      </c>
      <c r="BW28" s="28">
        <f>SUMIF(RAW_DEATHS!$B:$B,Overview!$A28,RAW_DEATHS!BX:BX)</f>
        <v>10855</v>
      </c>
      <c r="BX28" s="28">
        <f>SUMIF(RAW_DEATHS!$B:$B,Overview!$A28,RAW_DEATHS!BY:BY)</f>
        <v>12375</v>
      </c>
      <c r="BY28" s="28">
        <f>SUMIF(RAW_DEATHS!$B:$B,Overview!$A28,RAW_DEATHS!BZ:BZ)</f>
        <v>13894</v>
      </c>
      <c r="BZ28" s="28">
        <f>SUMIF(RAW_DEATHS!$B:$B,Overview!$A28,RAW_DEATHS!CA:CA)</f>
        <v>16191</v>
      </c>
      <c r="CA28" s="28">
        <f>SUMIF(RAW_DEATHS!$B:$B,Overview!$A28,RAW_DEATHS!CB:CB)</f>
        <v>18270</v>
      </c>
      <c r="CB28" s="28">
        <f>SUMIF(RAW_DEATHS!$B:$B,Overview!$A28,RAW_DEATHS!CC:CC)</f>
        <v>20255</v>
      </c>
      <c r="CC28" s="28">
        <f>SUMIF(RAW_DEATHS!$B:$B,Overview!$A28,RAW_DEATHS!CD:CD)</f>
        <v>22333</v>
      </c>
      <c r="CD28" s="28">
        <f>SUMIF(RAW_DEATHS!$B:$B,Overview!$A28,RAW_DEATHS!CE:CE)</f>
        <v>24342</v>
      </c>
      <c r="CE28" s="28">
        <f>SUMIF(RAW_DEATHS!$B:$B,Overview!$A28,RAW_DEATHS!CF:CF)</f>
        <v>26086</v>
      </c>
      <c r="CF28" s="25">
        <f>SUMIF(RAW_DEATHS!$B:$B,Overview!$A28,RAW_DEATHS!CG:CG)</f>
        <v>27870</v>
      </c>
      <c r="CG28" s="25">
        <f>SUMIF(RAW_DEATHS!$B:$B,Overview!$A28,RAW_DEATHS!CH:CH)</f>
        <v>30262</v>
      </c>
      <c r="CH28" s="25">
        <f>SUMIF(RAW_DEATHS!$B:$B,Overview!$A28,RAW_DEATHS!CI:CI)</f>
        <v>32734</v>
      </c>
      <c r="CI28" s="25">
        <f>SUMIF(RAW_DEATHS!$B:$B,Overview!$A28,RAW_DEATHS!CJ:CJ)</f>
        <v>34827</v>
      </c>
      <c r="CJ28" s="25">
        <f>SUMIF(RAW_DEATHS!$B:$B,Overview!$A28,RAW_DEATHS!CK:CK)</f>
        <v>37411</v>
      </c>
      <c r="CK28" s="25">
        <f>SUMIF(RAW_DEATHS!$B:$B,Overview!$A28,RAW_DEATHS!CL:CL)</f>
        <v>39753</v>
      </c>
      <c r="CL28" s="25">
        <f>SUMIF(RAW_DEATHS!$B:$B,Overview!$A28,RAW_DEATHS!CM:CM)</f>
        <v>40945</v>
      </c>
      <c r="CM28" s="25">
        <f>SUMIF(RAW_DEATHS!$B:$B,Overview!$A28,RAW_DEATHS!CN:CN)</f>
        <v>42659</v>
      </c>
      <c r="CN28" s="25">
        <f>SUMIF(RAW_DEATHS!$B:$B,Overview!$A28,RAW_DEATHS!CO:CO)</f>
        <v>45086</v>
      </c>
      <c r="CO28" s="25">
        <f>SUMIF(RAW_DEATHS!$B:$B,Overview!$A28,RAW_DEATHS!CP:CP)</f>
        <v>47412</v>
      </c>
      <c r="CP28" s="25">
        <f>SUMIF(RAW_DEATHS!$B:$B,Overview!$A28,RAW_DEATHS!CQ:CQ)</f>
        <v>49724</v>
      </c>
      <c r="CQ28" s="25">
        <f>SUMIF(RAW_DEATHS!$B:$B,Overview!$A28,RAW_DEATHS!CR:CR)</f>
        <v>51493</v>
      </c>
      <c r="CR28" s="25">
        <f>SUMIF(RAW_DEATHS!$B:$B,Overview!$A28,RAW_DEATHS!CS:CS)</f>
        <v>53755</v>
      </c>
      <c r="CS28" s="25">
        <f>SUMIF(RAW_DEATHS!$B:$B,Overview!$A28,RAW_DEATHS!CT:CT)</f>
        <v>54881</v>
      </c>
      <c r="CT28" s="25">
        <f>SUMIF(RAW_DEATHS!$B:$B,Overview!$A28,RAW_DEATHS!CU:CU)</f>
        <v>56259</v>
      </c>
      <c r="CU28" s="25">
        <f>SUMIF(RAW_DEATHS!$B:$B,Overview!$A28,RAW_DEATHS!CV:CV)</f>
        <v>58355</v>
      </c>
      <c r="CV28" s="25">
        <f>SUMIF(RAW_DEATHS!$B:$B,Overview!$A28,RAW_DEATHS!CW:CW)</f>
        <v>60967</v>
      </c>
      <c r="CW28" s="25">
        <f>SUMIF(RAW_DEATHS!$B:$B,Overview!$A28,RAW_DEATHS!CX:CX)</f>
        <v>62996</v>
      </c>
      <c r="CX28" s="25">
        <f>SUMIF(RAW_DEATHS!$B:$B,Overview!$A28,RAW_DEATHS!CY:CY)</f>
        <v>64943</v>
      </c>
      <c r="CY28" s="25">
        <f>SUMIF(RAW_DEATHS!$B:$B,Overview!$A28,RAW_DEATHS!CZ:CZ)</f>
        <v>66369</v>
      </c>
      <c r="CZ28" s="25">
        <f>SUMIF(RAW_DEATHS!$B:$B,Overview!$A28,RAW_DEATHS!DA:DA)</f>
        <v>67682</v>
      </c>
      <c r="DA28" s="25">
        <f>SUMIF(RAW_DEATHS!$B:$B,Overview!$A28,RAW_DEATHS!DB:DB)</f>
        <v>0</v>
      </c>
      <c r="DB28" s="25">
        <f>SUMIF(RAW_DEATHS!$B:$B,Overview!$A28,RAW_DEATHS!DC:DC)</f>
        <v>0</v>
      </c>
      <c r="DC28" s="25">
        <f>SUMIF(RAW_DEATHS!$B:$B,Overview!$A28,RAW_DEATHS!DD:DD)</f>
        <v>0</v>
      </c>
      <c r="DD28" s="25">
        <f>SUMIF(RAW_DEATHS!$B:$B,Overview!$A28,RAW_DEATHS!DE:DE)</f>
        <v>0</v>
      </c>
      <c r="DE28" s="25">
        <f>SUMIF(RAW_DEATHS!$B:$B,Overview!$A28,RAW_DEATHS!DF:DF)</f>
        <v>0</v>
      </c>
      <c r="DF28" s="25">
        <f>SUMIF(RAW_DEATHS!$B:$B,Overview!$A28,RAW_DEATHS!DG:DG)</f>
        <v>0</v>
      </c>
      <c r="DG28" s="25">
        <f>SUMIF(RAW_DEATHS!$B:$B,Overview!$A28,RAW_DEATHS!DH:DH)</f>
        <v>0</v>
      </c>
      <c r="DH28" s="25">
        <f>SUMIF(RAW_DEATHS!$B:$B,Overview!$A28,RAW_DEATHS!DI:DI)</f>
        <v>0</v>
      </c>
      <c r="DI28" s="25">
        <f>SUMIF(RAW_DEATHS!$B:$B,Overview!$A28,RAW_DEATHS!DJ:DJ)</f>
        <v>0</v>
      </c>
      <c r="DJ28" s="25">
        <f>SUMIF(RAW_DEATHS!$B:$B,Overview!$A28,RAW_DEATHS!DK:DK)</f>
        <v>0</v>
      </c>
      <c r="DK28" s="25">
        <f>SUMIF(RAW_DEATHS!$B:$B,Overview!$A28,RAW_DEATHS!DL:DL)</f>
        <v>0</v>
      </c>
      <c r="DL28" s="25">
        <f>SUMIF(RAW_DEATHS!$B:$B,Overview!$A28,RAW_DEATHS!DM:DM)</f>
        <v>0</v>
      </c>
      <c r="DM28" s="25">
        <f>SUMIF(RAW_DEATHS!$B:$B,Overview!$A28,RAW_DEATHS!DN:DN)</f>
        <v>0</v>
      </c>
      <c r="DN28" s="25">
        <f>SUMIF(RAW_DEATHS!$B:$B,Overview!$A28,RAW_DEATHS!DO:DO)</f>
        <v>0</v>
      </c>
      <c r="DO28" s="25">
        <f>SUMIF(RAW_DEATHS!$B:$B,Overview!$A28,RAW_DEATHS!DP:DP)</f>
        <v>0</v>
      </c>
      <c r="DP28" s="25">
        <f>SUMIF(RAW_DEATHS!$B:$B,Overview!$A28,RAW_DEATHS!DQ:DQ)</f>
        <v>0</v>
      </c>
      <c r="DQ28" s="25">
        <f>SUMIF(RAW_DEATHS!$B:$B,Overview!$A28,RAW_DEATHS!DR:DR)</f>
        <v>0</v>
      </c>
      <c r="DR28" s="25">
        <f>SUMIF(RAW_DEATHS!$B:$B,Overview!$A28,RAW_DEATHS!DS:DS)</f>
        <v>0</v>
      </c>
      <c r="DS28" s="25">
        <f>SUMIF(RAW_DEATHS!$B:$B,Overview!$A28,RAW_DEATHS!DT:DT)</f>
        <v>0</v>
      </c>
      <c r="DT28" s="25">
        <f>SUMIF(RAW_DEATHS!$B:$B,Overview!$A28,RAW_DEATHS!DU:DU)</f>
        <v>0</v>
      </c>
      <c r="DU28" s="25">
        <f>SUMIF(RAW_DEATHS!$B:$B,Overview!$A28,RAW_DEATHS!DV:DV)</f>
        <v>0</v>
      </c>
      <c r="DV28" s="25">
        <f>SUMIF(RAW_DEATHS!$B:$B,Overview!$A28,RAW_DEATHS!DW:DW)</f>
        <v>0</v>
      </c>
      <c r="DW28" s="25">
        <f>SUMIF(RAW_DEATHS!$B:$B,Overview!$A28,RAW_DEATHS!DX:DX)</f>
        <v>0</v>
      </c>
      <c r="DX28" s="25">
        <f>SUMIF(RAW_DEATHS!$B:$B,Overview!$A28,RAW_DEATHS!DY:DY)</f>
        <v>0</v>
      </c>
      <c r="DY28" s="25">
        <f>SUMIF(RAW_DEATHS!$B:$B,Overview!$A28,RAW_DEATHS!DZ:DZ)</f>
        <v>0</v>
      </c>
      <c r="DZ28" s="25">
        <f>SUMIF(RAW_DEATHS!$B:$B,Overview!$A28,RAW_DEATHS!EA:EA)</f>
        <v>0</v>
      </c>
      <c r="EA28" s="25">
        <f>SUMIF(RAW_DEATHS!$B:$B,Overview!$A28,RAW_DEATHS!EB:EB)</f>
        <v>0</v>
      </c>
    </row>
    <row r="29" spans="1:131" s="10" customFormat="1" ht="13.15" x14ac:dyDescent="0.4">
      <c r="A29" s="24" t="str">
        <f t="shared" si="155"/>
        <v>Italy</v>
      </c>
      <c r="B29" s="28">
        <f>SUMIF(RAW_DEATHS!$B:$B,Overview!$A29,RAW_DEATHS!C:C)</f>
        <v>0</v>
      </c>
      <c r="C29" s="28">
        <f>SUMIF(RAW_DEATHS!$B:$B,Overview!$A29,RAW_DEATHS!D:D)</f>
        <v>0</v>
      </c>
      <c r="D29" s="28">
        <f>SUMIF(RAW_DEATHS!$B:$B,Overview!$A29,RAW_DEATHS!E:E)</f>
        <v>0</v>
      </c>
      <c r="E29" s="28">
        <f>SUMIF(RAW_DEATHS!$B:$B,Overview!$A29,RAW_DEATHS!F:F)</f>
        <v>0</v>
      </c>
      <c r="F29" s="28">
        <f>SUMIF(RAW_DEATHS!$B:$B,Overview!$A29,RAW_DEATHS!G:G)</f>
        <v>0</v>
      </c>
      <c r="G29" s="28">
        <f>SUMIF(RAW_DEATHS!$B:$B,Overview!$A29,RAW_DEATHS!H:H)</f>
        <v>0</v>
      </c>
      <c r="H29" s="28">
        <f>SUMIF(RAW_DEATHS!$B:$B,Overview!$A29,RAW_DEATHS!I:I)</f>
        <v>0</v>
      </c>
      <c r="I29" s="28">
        <f>SUMIF(RAW_DEATHS!$B:$B,Overview!$A29,RAW_DEATHS!J:J)</f>
        <v>0</v>
      </c>
      <c r="J29" s="28">
        <f>SUMIF(RAW_DEATHS!$B:$B,Overview!$A29,RAW_DEATHS!K:K)</f>
        <v>0</v>
      </c>
      <c r="K29" s="28">
        <f>SUMIF(RAW_DEATHS!$B:$B,Overview!$A29,RAW_DEATHS!L:L)</f>
        <v>0</v>
      </c>
      <c r="L29" s="28">
        <f>SUMIF(RAW_DEATHS!$B:$B,Overview!$A29,RAW_DEATHS!M:M)</f>
        <v>0</v>
      </c>
      <c r="M29" s="28">
        <f>SUMIF(RAW_DEATHS!$B:$B,Overview!$A29,RAW_DEATHS!N:N)</f>
        <v>0</v>
      </c>
      <c r="N29" s="28">
        <f>SUMIF(RAW_DEATHS!$B:$B,Overview!$A29,RAW_DEATHS!O:O)</f>
        <v>0</v>
      </c>
      <c r="O29" s="28">
        <f>SUMIF(RAW_DEATHS!$B:$B,Overview!$A29,RAW_DEATHS!P:P)</f>
        <v>0</v>
      </c>
      <c r="P29" s="28">
        <f>SUMIF(RAW_DEATHS!$B:$B,Overview!$A29,RAW_DEATHS!Q:Q)</f>
        <v>0</v>
      </c>
      <c r="Q29" s="28">
        <f>SUMIF(RAW_DEATHS!$B:$B,Overview!$A29,RAW_DEATHS!R:R)</f>
        <v>0</v>
      </c>
      <c r="R29" s="28">
        <f>SUMIF(RAW_DEATHS!$B:$B,Overview!$A29,RAW_DEATHS!S:S)</f>
        <v>0</v>
      </c>
      <c r="S29" s="28">
        <f>SUMIF(RAW_DEATHS!$B:$B,Overview!$A29,RAW_DEATHS!T:T)</f>
        <v>0</v>
      </c>
      <c r="T29" s="28">
        <f>SUMIF(RAW_DEATHS!$B:$B,Overview!$A29,RAW_DEATHS!U:U)</f>
        <v>0</v>
      </c>
      <c r="U29" s="28">
        <f>SUMIF(RAW_DEATHS!$B:$B,Overview!$A29,RAW_DEATHS!V:V)</f>
        <v>0</v>
      </c>
      <c r="V29" s="28">
        <f>SUMIF(RAW_DEATHS!$B:$B,Overview!$A29,RAW_DEATHS!W:W)</f>
        <v>0</v>
      </c>
      <c r="W29" s="28">
        <f>SUMIF(RAW_DEATHS!$B:$B,Overview!$A29,RAW_DEATHS!X:X)</f>
        <v>0</v>
      </c>
      <c r="X29" s="28">
        <f>SUMIF(RAW_DEATHS!$B:$B,Overview!$A29,RAW_DEATHS!Y:Y)</f>
        <v>0</v>
      </c>
      <c r="Y29" s="28">
        <f>SUMIF(RAW_DEATHS!$B:$B,Overview!$A29,RAW_DEATHS!Z:Z)</f>
        <v>0</v>
      </c>
      <c r="Z29" s="28">
        <f>SUMIF(RAW_DEATHS!$B:$B,Overview!$A29,RAW_DEATHS!AA:AA)</f>
        <v>0</v>
      </c>
      <c r="AA29" s="28">
        <f>SUMIF(RAW_DEATHS!$B:$B,Overview!$A29,RAW_DEATHS!AB:AB)</f>
        <v>0</v>
      </c>
      <c r="AB29" s="28">
        <f>SUMIF(RAW_DEATHS!$B:$B,Overview!$A29,RAW_DEATHS!AC:AC)</f>
        <v>0</v>
      </c>
      <c r="AC29" s="28">
        <f>SUMIF(RAW_DEATHS!$B:$B,Overview!$A29,RAW_DEATHS!AD:AD)</f>
        <v>0</v>
      </c>
      <c r="AD29" s="28">
        <f>SUMIF(RAW_DEATHS!$B:$B,Overview!$A29,RAW_DEATHS!AE:AE)</f>
        <v>0</v>
      </c>
      <c r="AE29" s="28">
        <f>SUMIF(RAW_DEATHS!$B:$B,Overview!$A29,RAW_DEATHS!AF:AF)</f>
        <v>0</v>
      </c>
      <c r="AF29" s="28">
        <f>SUMIF(RAW_DEATHS!$B:$B,Overview!$A29,RAW_DEATHS!AG:AG)</f>
        <v>1</v>
      </c>
      <c r="AG29" s="28">
        <f>SUMIF(RAW_DEATHS!$B:$B,Overview!$A29,RAW_DEATHS!AH:AH)</f>
        <v>2</v>
      </c>
      <c r="AH29" s="28">
        <f>SUMIF(RAW_DEATHS!$B:$B,Overview!$A29,RAW_DEATHS!AI:AI)</f>
        <v>3</v>
      </c>
      <c r="AI29" s="28">
        <f>SUMIF(RAW_DEATHS!$B:$B,Overview!$A29,RAW_DEATHS!AJ:AJ)</f>
        <v>7</v>
      </c>
      <c r="AJ29" s="28">
        <f>SUMIF(RAW_DEATHS!$B:$B,Overview!$A29,RAW_DEATHS!AK:AK)</f>
        <v>10</v>
      </c>
      <c r="AK29" s="28">
        <f>SUMIF(RAW_DEATHS!$B:$B,Overview!$A29,RAW_DEATHS!AL:AL)</f>
        <v>12</v>
      </c>
      <c r="AL29" s="28">
        <f>SUMIF(RAW_DEATHS!$B:$B,Overview!$A29,RAW_DEATHS!AM:AM)</f>
        <v>17</v>
      </c>
      <c r="AM29" s="28">
        <f>SUMIF(RAW_DEATHS!$B:$B,Overview!$A29,RAW_DEATHS!AN:AN)</f>
        <v>21</v>
      </c>
      <c r="AN29" s="28">
        <f>SUMIF(RAW_DEATHS!$B:$B,Overview!$A29,RAW_DEATHS!AO:AO)</f>
        <v>29</v>
      </c>
      <c r="AO29" s="28">
        <f>SUMIF(RAW_DEATHS!$B:$B,Overview!$A29,RAW_DEATHS!AP:AP)</f>
        <v>34</v>
      </c>
      <c r="AP29" s="28">
        <f>SUMIF(RAW_DEATHS!$B:$B,Overview!$A29,RAW_DEATHS!AQ:AQ)</f>
        <v>52</v>
      </c>
      <c r="AQ29" s="28">
        <f>SUMIF(RAW_DEATHS!$B:$B,Overview!$A29,RAW_DEATHS!AR:AR)</f>
        <v>79</v>
      </c>
      <c r="AR29" s="28">
        <f>SUMIF(RAW_DEATHS!$B:$B,Overview!$A29,RAW_DEATHS!AS:AS)</f>
        <v>107</v>
      </c>
      <c r="AS29" s="28">
        <f>SUMIF(RAW_DEATHS!$B:$B,Overview!$A29,RAW_DEATHS!AT:AT)</f>
        <v>148</v>
      </c>
      <c r="AT29" s="28">
        <f>SUMIF(RAW_DEATHS!$B:$B,Overview!$A29,RAW_DEATHS!AU:AU)</f>
        <v>197</v>
      </c>
      <c r="AU29" s="28">
        <f>SUMIF(RAW_DEATHS!$B:$B,Overview!$A29,RAW_DEATHS!AV:AV)</f>
        <v>233</v>
      </c>
      <c r="AV29" s="28">
        <f>SUMIF(RAW_DEATHS!$B:$B,Overview!$A29,RAW_DEATHS!AW:AW)</f>
        <v>366</v>
      </c>
      <c r="AW29" s="28">
        <f>SUMIF(RAW_DEATHS!$B:$B,Overview!$A29,RAW_DEATHS!AX:AX)</f>
        <v>463</v>
      </c>
      <c r="AX29" s="28">
        <f>SUMIF(RAW_DEATHS!$B:$B,Overview!$A29,RAW_DEATHS!AY:AY)</f>
        <v>631</v>
      </c>
      <c r="AY29" s="28">
        <f>SUMIF(RAW_DEATHS!$B:$B,Overview!$A29,RAW_DEATHS!AZ:AZ)</f>
        <v>827</v>
      </c>
      <c r="AZ29" s="28">
        <f>SUMIF(RAW_DEATHS!$B:$B,Overview!$A29,RAW_DEATHS!BA:BA)</f>
        <v>827</v>
      </c>
      <c r="BA29" s="28">
        <f>SUMIF(RAW_DEATHS!$B:$B,Overview!$A29,RAW_DEATHS!BB:BB)</f>
        <v>1266</v>
      </c>
      <c r="BB29" s="28">
        <f>SUMIF(RAW_DEATHS!$B:$B,Overview!$A29,RAW_DEATHS!BC:BC)</f>
        <v>1441</v>
      </c>
      <c r="BC29" s="28">
        <f>SUMIF(RAW_DEATHS!$B:$B,Overview!$A29,RAW_DEATHS!BD:BD)</f>
        <v>1809</v>
      </c>
      <c r="BD29" s="28">
        <f>SUMIF(RAW_DEATHS!$B:$B,Overview!$A29,RAW_DEATHS!BE:BE)</f>
        <v>2158</v>
      </c>
      <c r="BE29" s="28">
        <f>SUMIF(RAW_DEATHS!$B:$B,Overview!$A29,RAW_DEATHS!BF:BF)</f>
        <v>2503</v>
      </c>
      <c r="BF29" s="28">
        <f>SUMIF(RAW_DEATHS!$B:$B,Overview!$A29,RAW_DEATHS!BG:BG)</f>
        <v>2978</v>
      </c>
      <c r="BG29" s="28">
        <f>SUMIF(RAW_DEATHS!$B:$B,Overview!$A29,RAW_DEATHS!BH:BH)</f>
        <v>3405</v>
      </c>
      <c r="BH29" s="28">
        <f>SUMIF(RAW_DEATHS!$B:$B,Overview!$A29,RAW_DEATHS!BI:BI)</f>
        <v>4032</v>
      </c>
      <c r="BI29" s="28">
        <f>SUMIF(RAW_DEATHS!$B:$B,Overview!$A29,RAW_DEATHS!BJ:BJ)</f>
        <v>4825</v>
      </c>
      <c r="BJ29" s="28">
        <f>SUMIF(RAW_DEATHS!$B:$B,Overview!$A29,RAW_DEATHS!BK:BK)</f>
        <v>5476</v>
      </c>
      <c r="BK29" s="28">
        <f>SUMIF(RAW_DEATHS!$B:$B,Overview!$A29,RAW_DEATHS!BL:BL)</f>
        <v>6077</v>
      </c>
      <c r="BL29" s="28">
        <f>SUMIF(RAW_DEATHS!$B:$B,Overview!$A29,RAW_DEATHS!BM:BM)</f>
        <v>6820</v>
      </c>
      <c r="BM29" s="28">
        <f>SUMIF(RAW_DEATHS!$B:$B,Overview!$A29,RAW_DEATHS!BN:BN)</f>
        <v>7503</v>
      </c>
      <c r="BN29" s="28">
        <f>SUMIF(RAW_DEATHS!$B:$B,Overview!$A29,RAW_DEATHS!BO:BO)</f>
        <v>8215</v>
      </c>
      <c r="BO29" s="28">
        <f>SUMIF(RAW_DEATHS!$B:$B,Overview!$A29,RAW_DEATHS!BP:BP)</f>
        <v>9134</v>
      </c>
      <c r="BP29" s="28">
        <f>SUMIF(RAW_DEATHS!$B:$B,Overview!$A29,RAW_DEATHS!BQ:BQ)</f>
        <v>10023</v>
      </c>
      <c r="BQ29" s="28">
        <f>SUMIF(RAW_DEATHS!$B:$B,Overview!$A29,RAW_DEATHS!BR:BR)</f>
        <v>10779</v>
      </c>
      <c r="BR29" s="28">
        <f>SUMIF(RAW_DEATHS!$B:$B,Overview!$A29,RAW_DEATHS!BS:BS)</f>
        <v>11591</v>
      </c>
      <c r="BS29" s="28">
        <f>SUMIF(RAW_DEATHS!$B:$B,Overview!$A29,RAW_DEATHS!BT:BT)</f>
        <v>12428</v>
      </c>
      <c r="BT29" s="28">
        <f>SUMIF(RAW_DEATHS!$B:$B,Overview!$A29,RAW_DEATHS!BU:BU)</f>
        <v>13155</v>
      </c>
      <c r="BU29" s="28">
        <f>SUMIF(RAW_DEATHS!$B:$B,Overview!$A29,RAW_DEATHS!BV:BV)</f>
        <v>13915</v>
      </c>
      <c r="BV29" s="28">
        <f>SUMIF(RAW_DEATHS!$B:$B,Overview!$A29,RAW_DEATHS!BW:BW)</f>
        <v>14681</v>
      </c>
      <c r="BW29" s="28">
        <f>SUMIF(RAW_DEATHS!$B:$B,Overview!$A29,RAW_DEATHS!BX:BX)</f>
        <v>15362</v>
      </c>
      <c r="BX29" s="28">
        <f>SUMIF(RAW_DEATHS!$B:$B,Overview!$A29,RAW_DEATHS!BY:BY)</f>
        <v>15887</v>
      </c>
      <c r="BY29" s="28">
        <f>SUMIF(RAW_DEATHS!$B:$B,Overview!$A29,RAW_DEATHS!BZ:BZ)</f>
        <v>16523</v>
      </c>
      <c r="BZ29" s="28">
        <f>SUMIF(RAW_DEATHS!$B:$B,Overview!$A29,RAW_DEATHS!CA:CA)</f>
        <v>17127</v>
      </c>
      <c r="CA29" s="28">
        <f>SUMIF(RAW_DEATHS!$B:$B,Overview!$A29,RAW_DEATHS!CB:CB)</f>
        <v>17669</v>
      </c>
      <c r="CB29" s="28">
        <f>SUMIF(RAW_DEATHS!$B:$B,Overview!$A29,RAW_DEATHS!CC:CC)</f>
        <v>18279</v>
      </c>
      <c r="CC29" s="28">
        <f>SUMIF(RAW_DEATHS!$B:$B,Overview!$A29,RAW_DEATHS!CD:CD)</f>
        <v>18849</v>
      </c>
      <c r="CD29" s="28">
        <f>SUMIF(RAW_DEATHS!$B:$B,Overview!$A29,RAW_DEATHS!CE:CE)</f>
        <v>19468</v>
      </c>
      <c r="CE29" s="28">
        <f>SUMIF(RAW_DEATHS!$B:$B,Overview!$A29,RAW_DEATHS!CF:CF)</f>
        <v>19899</v>
      </c>
      <c r="CF29" s="25">
        <f>SUMIF(RAW_DEATHS!$B:$B,Overview!$A29,RAW_DEATHS!CG:CG)</f>
        <v>20465</v>
      </c>
      <c r="CG29" s="25">
        <f>SUMIF(RAW_DEATHS!$B:$B,Overview!$A29,RAW_DEATHS!CH:CH)</f>
        <v>21067</v>
      </c>
      <c r="CH29" s="25">
        <f>SUMIF(RAW_DEATHS!$B:$B,Overview!$A29,RAW_DEATHS!CI:CI)</f>
        <v>21645</v>
      </c>
      <c r="CI29" s="25">
        <f>SUMIF(RAW_DEATHS!$B:$B,Overview!$A29,RAW_DEATHS!CJ:CJ)</f>
        <v>22170</v>
      </c>
      <c r="CJ29" s="25">
        <f>SUMIF(RAW_DEATHS!$B:$B,Overview!$A29,RAW_DEATHS!CK:CK)</f>
        <v>22745</v>
      </c>
      <c r="CK29" s="25">
        <f>SUMIF(RAW_DEATHS!$B:$B,Overview!$A29,RAW_DEATHS!CL:CL)</f>
        <v>23227</v>
      </c>
      <c r="CL29" s="25">
        <f>SUMIF(RAW_DEATHS!$B:$B,Overview!$A29,RAW_DEATHS!CM:CM)</f>
        <v>23660</v>
      </c>
      <c r="CM29" s="25">
        <f>SUMIF(RAW_DEATHS!$B:$B,Overview!$A29,RAW_DEATHS!CN:CN)</f>
        <v>24114</v>
      </c>
      <c r="CN29" s="25">
        <f>SUMIF(RAW_DEATHS!$B:$B,Overview!$A29,RAW_DEATHS!CO:CO)</f>
        <v>24648</v>
      </c>
      <c r="CO29" s="25">
        <f>SUMIF(RAW_DEATHS!$B:$B,Overview!$A29,RAW_DEATHS!CP:CP)</f>
        <v>25085</v>
      </c>
      <c r="CP29" s="25">
        <f>SUMIF(RAW_DEATHS!$B:$B,Overview!$A29,RAW_DEATHS!CQ:CQ)</f>
        <v>25549</v>
      </c>
      <c r="CQ29" s="25">
        <f>SUMIF(RAW_DEATHS!$B:$B,Overview!$A29,RAW_DEATHS!CR:CR)</f>
        <v>25969</v>
      </c>
      <c r="CR29" s="25">
        <f>SUMIF(RAW_DEATHS!$B:$B,Overview!$A29,RAW_DEATHS!CS:CS)</f>
        <v>26384</v>
      </c>
      <c r="CS29" s="25">
        <f>SUMIF(RAW_DEATHS!$B:$B,Overview!$A29,RAW_DEATHS!CT:CT)</f>
        <v>26644</v>
      </c>
      <c r="CT29" s="25">
        <f>SUMIF(RAW_DEATHS!$B:$B,Overview!$A29,RAW_DEATHS!CU:CU)</f>
        <v>26977</v>
      </c>
      <c r="CU29" s="25">
        <f>SUMIF(RAW_DEATHS!$B:$B,Overview!$A29,RAW_DEATHS!CV:CV)</f>
        <v>27359</v>
      </c>
      <c r="CV29" s="25">
        <f>SUMIF(RAW_DEATHS!$B:$B,Overview!$A29,RAW_DEATHS!CW:CW)</f>
        <v>27682</v>
      </c>
      <c r="CW29" s="25">
        <f>SUMIF(RAW_DEATHS!$B:$B,Overview!$A29,RAW_DEATHS!CX:CX)</f>
        <v>27967</v>
      </c>
      <c r="CX29" s="25">
        <f>SUMIF(RAW_DEATHS!$B:$B,Overview!$A29,RAW_DEATHS!CY:CY)</f>
        <v>28236</v>
      </c>
      <c r="CY29" s="25">
        <f>SUMIF(RAW_DEATHS!$B:$B,Overview!$A29,RAW_DEATHS!CZ:CZ)</f>
        <v>28710</v>
      </c>
      <c r="CZ29" s="25">
        <f>SUMIF(RAW_DEATHS!$B:$B,Overview!$A29,RAW_DEATHS!DA:DA)</f>
        <v>28884</v>
      </c>
      <c r="DA29" s="25">
        <f>SUMIF(RAW_DEATHS!$B:$B,Overview!$A29,RAW_DEATHS!DB:DB)</f>
        <v>0</v>
      </c>
      <c r="DB29" s="25">
        <f>SUMIF(RAW_DEATHS!$B:$B,Overview!$A29,RAW_DEATHS!DC:DC)</f>
        <v>0</v>
      </c>
      <c r="DC29" s="25">
        <f>SUMIF(RAW_DEATHS!$B:$B,Overview!$A29,RAW_DEATHS!DD:DD)</f>
        <v>0</v>
      </c>
      <c r="DD29" s="25">
        <f>SUMIF(RAW_DEATHS!$B:$B,Overview!$A29,RAW_DEATHS!DE:DE)</f>
        <v>0</v>
      </c>
      <c r="DE29" s="25">
        <f>SUMIF(RAW_DEATHS!$B:$B,Overview!$A29,RAW_DEATHS!DF:DF)</f>
        <v>0</v>
      </c>
      <c r="DF29" s="25">
        <f>SUMIF(RAW_DEATHS!$B:$B,Overview!$A29,RAW_DEATHS!DG:DG)</f>
        <v>0</v>
      </c>
      <c r="DG29" s="25">
        <f>SUMIF(RAW_DEATHS!$B:$B,Overview!$A29,RAW_DEATHS!DH:DH)</f>
        <v>0</v>
      </c>
      <c r="DH29" s="25">
        <f>SUMIF(RAW_DEATHS!$B:$B,Overview!$A29,RAW_DEATHS!DI:DI)</f>
        <v>0</v>
      </c>
      <c r="DI29" s="25">
        <f>SUMIF(RAW_DEATHS!$B:$B,Overview!$A29,RAW_DEATHS!DJ:DJ)</f>
        <v>0</v>
      </c>
      <c r="DJ29" s="25">
        <f>SUMIF(RAW_DEATHS!$B:$B,Overview!$A29,RAW_DEATHS!DK:DK)</f>
        <v>0</v>
      </c>
      <c r="DK29" s="25">
        <f>SUMIF(RAW_DEATHS!$B:$B,Overview!$A29,RAW_DEATHS!DL:DL)</f>
        <v>0</v>
      </c>
      <c r="DL29" s="25">
        <f>SUMIF(RAW_DEATHS!$B:$B,Overview!$A29,RAW_DEATHS!DM:DM)</f>
        <v>0</v>
      </c>
      <c r="DM29" s="25">
        <f>SUMIF(RAW_DEATHS!$B:$B,Overview!$A29,RAW_DEATHS!DN:DN)</f>
        <v>0</v>
      </c>
      <c r="DN29" s="25">
        <f>SUMIF(RAW_DEATHS!$B:$B,Overview!$A29,RAW_DEATHS!DO:DO)</f>
        <v>0</v>
      </c>
      <c r="DO29" s="25">
        <f>SUMIF(RAW_DEATHS!$B:$B,Overview!$A29,RAW_DEATHS!DP:DP)</f>
        <v>0</v>
      </c>
      <c r="DP29" s="25">
        <f>SUMIF(RAW_DEATHS!$B:$B,Overview!$A29,RAW_DEATHS!DQ:DQ)</f>
        <v>0</v>
      </c>
      <c r="DQ29" s="25">
        <f>SUMIF(RAW_DEATHS!$B:$B,Overview!$A29,RAW_DEATHS!DR:DR)</f>
        <v>0</v>
      </c>
      <c r="DR29" s="25">
        <f>SUMIF(RAW_DEATHS!$B:$B,Overview!$A29,RAW_DEATHS!DS:DS)</f>
        <v>0</v>
      </c>
      <c r="DS29" s="25">
        <f>SUMIF(RAW_DEATHS!$B:$B,Overview!$A29,RAW_DEATHS!DT:DT)</f>
        <v>0</v>
      </c>
      <c r="DT29" s="25">
        <f>SUMIF(RAW_DEATHS!$B:$B,Overview!$A29,RAW_DEATHS!DU:DU)</f>
        <v>0</v>
      </c>
      <c r="DU29" s="25">
        <f>SUMIF(RAW_DEATHS!$B:$B,Overview!$A29,RAW_DEATHS!DV:DV)</f>
        <v>0</v>
      </c>
      <c r="DV29" s="25">
        <f>SUMIF(RAW_DEATHS!$B:$B,Overview!$A29,RAW_DEATHS!DW:DW)</f>
        <v>0</v>
      </c>
      <c r="DW29" s="25">
        <f>SUMIF(RAW_DEATHS!$B:$B,Overview!$A29,RAW_DEATHS!DX:DX)</f>
        <v>0</v>
      </c>
      <c r="DX29" s="25">
        <f>SUMIF(RAW_DEATHS!$B:$B,Overview!$A29,RAW_DEATHS!DY:DY)</f>
        <v>0</v>
      </c>
      <c r="DY29" s="25">
        <f>SUMIF(RAW_DEATHS!$B:$B,Overview!$A29,RAW_DEATHS!DZ:DZ)</f>
        <v>0</v>
      </c>
      <c r="DZ29" s="25">
        <f>SUMIF(RAW_DEATHS!$B:$B,Overview!$A29,RAW_DEATHS!EA:EA)</f>
        <v>0</v>
      </c>
      <c r="EA29" s="25">
        <f>SUMIF(RAW_DEATHS!$B:$B,Overview!$A29,RAW_DEATHS!EB:EB)</f>
        <v>0</v>
      </c>
    </row>
    <row r="30" spans="1:131" s="10" customFormat="1" ht="13.15" x14ac:dyDescent="0.4">
      <c r="A30" s="24" t="str">
        <f t="shared" si="155"/>
        <v>France</v>
      </c>
      <c r="B30" s="28">
        <f>SUMIF(RAW_DEATHS!$B:$B,Overview!$A30,RAW_DEATHS!C:C)</f>
        <v>0</v>
      </c>
      <c r="C30" s="28">
        <f>SUMIF(RAW_DEATHS!$B:$B,Overview!$A30,RAW_DEATHS!D:D)</f>
        <v>0</v>
      </c>
      <c r="D30" s="28">
        <f>SUMIF(RAW_DEATHS!$B:$B,Overview!$A30,RAW_DEATHS!E:E)</f>
        <v>0</v>
      </c>
      <c r="E30" s="28">
        <f>SUMIF(RAW_DEATHS!$B:$B,Overview!$A30,RAW_DEATHS!F:F)</f>
        <v>0</v>
      </c>
      <c r="F30" s="28">
        <f>SUMIF(RAW_DEATHS!$B:$B,Overview!$A30,RAW_DEATHS!G:G)</f>
        <v>0</v>
      </c>
      <c r="G30" s="28">
        <f>SUMIF(RAW_DEATHS!$B:$B,Overview!$A30,RAW_DEATHS!H:H)</f>
        <v>0</v>
      </c>
      <c r="H30" s="28">
        <f>SUMIF(RAW_DEATHS!$B:$B,Overview!$A30,RAW_DEATHS!I:I)</f>
        <v>0</v>
      </c>
      <c r="I30" s="28">
        <f>SUMIF(RAW_DEATHS!$B:$B,Overview!$A30,RAW_DEATHS!J:J)</f>
        <v>0</v>
      </c>
      <c r="J30" s="28">
        <f>SUMIF(RAW_DEATHS!$B:$B,Overview!$A30,RAW_DEATHS!K:K)</f>
        <v>0</v>
      </c>
      <c r="K30" s="28">
        <f>SUMIF(RAW_DEATHS!$B:$B,Overview!$A30,RAW_DEATHS!L:L)</f>
        <v>0</v>
      </c>
      <c r="L30" s="28">
        <f>SUMIF(RAW_DEATHS!$B:$B,Overview!$A30,RAW_DEATHS!M:M)</f>
        <v>0</v>
      </c>
      <c r="M30" s="28">
        <f>SUMIF(RAW_DEATHS!$B:$B,Overview!$A30,RAW_DEATHS!N:N)</f>
        <v>0</v>
      </c>
      <c r="N30" s="28">
        <f>SUMIF(RAW_DEATHS!$B:$B,Overview!$A30,RAW_DEATHS!O:O)</f>
        <v>0</v>
      </c>
      <c r="O30" s="28">
        <f>SUMIF(RAW_DEATHS!$B:$B,Overview!$A30,RAW_DEATHS!P:P)</f>
        <v>0</v>
      </c>
      <c r="P30" s="28">
        <f>SUMIF(RAW_DEATHS!$B:$B,Overview!$A30,RAW_DEATHS!Q:Q)</f>
        <v>0</v>
      </c>
      <c r="Q30" s="28">
        <f>SUMIF(RAW_DEATHS!$B:$B,Overview!$A30,RAW_DEATHS!R:R)</f>
        <v>0</v>
      </c>
      <c r="R30" s="28">
        <f>SUMIF(RAW_DEATHS!$B:$B,Overview!$A30,RAW_DEATHS!S:S)</f>
        <v>0</v>
      </c>
      <c r="S30" s="28">
        <f>SUMIF(RAW_DEATHS!$B:$B,Overview!$A30,RAW_DEATHS!T:T)</f>
        <v>0</v>
      </c>
      <c r="T30" s="28">
        <f>SUMIF(RAW_DEATHS!$B:$B,Overview!$A30,RAW_DEATHS!U:U)</f>
        <v>0</v>
      </c>
      <c r="U30" s="28">
        <f>SUMIF(RAW_DEATHS!$B:$B,Overview!$A30,RAW_DEATHS!V:V)</f>
        <v>0</v>
      </c>
      <c r="V30" s="28">
        <f>SUMIF(RAW_DEATHS!$B:$B,Overview!$A30,RAW_DEATHS!W:W)</f>
        <v>0</v>
      </c>
      <c r="W30" s="28">
        <f>SUMIF(RAW_DEATHS!$B:$B,Overview!$A30,RAW_DEATHS!X:X)</f>
        <v>0</v>
      </c>
      <c r="X30" s="28">
        <f>SUMIF(RAW_DEATHS!$B:$B,Overview!$A30,RAW_DEATHS!Y:Y)</f>
        <v>0</v>
      </c>
      <c r="Y30" s="28">
        <f>SUMIF(RAW_DEATHS!$B:$B,Overview!$A30,RAW_DEATHS!Z:Z)</f>
        <v>0</v>
      </c>
      <c r="Z30" s="28">
        <f>SUMIF(RAW_DEATHS!$B:$B,Overview!$A30,RAW_DEATHS!AA:AA)</f>
        <v>1</v>
      </c>
      <c r="AA30" s="28">
        <f>SUMIF(RAW_DEATHS!$B:$B,Overview!$A30,RAW_DEATHS!AB:AB)</f>
        <v>1</v>
      </c>
      <c r="AB30" s="28">
        <f>SUMIF(RAW_DEATHS!$B:$B,Overview!$A30,RAW_DEATHS!AC:AC)</f>
        <v>1</v>
      </c>
      <c r="AC30" s="28">
        <f>SUMIF(RAW_DEATHS!$B:$B,Overview!$A30,RAW_DEATHS!AD:AD)</f>
        <v>1</v>
      </c>
      <c r="AD30" s="28">
        <f>SUMIF(RAW_DEATHS!$B:$B,Overview!$A30,RAW_DEATHS!AE:AE)</f>
        <v>1</v>
      </c>
      <c r="AE30" s="28">
        <f>SUMIF(RAW_DEATHS!$B:$B,Overview!$A30,RAW_DEATHS!AF:AF)</f>
        <v>1</v>
      </c>
      <c r="AF30" s="28">
        <f>SUMIF(RAW_DEATHS!$B:$B,Overview!$A30,RAW_DEATHS!AG:AG)</f>
        <v>1</v>
      </c>
      <c r="AG30" s="28">
        <f>SUMIF(RAW_DEATHS!$B:$B,Overview!$A30,RAW_DEATHS!AH:AH)</f>
        <v>1</v>
      </c>
      <c r="AH30" s="28">
        <f>SUMIF(RAW_DEATHS!$B:$B,Overview!$A30,RAW_DEATHS!AI:AI)</f>
        <v>1</v>
      </c>
      <c r="AI30" s="28">
        <f>SUMIF(RAW_DEATHS!$B:$B,Overview!$A30,RAW_DEATHS!AJ:AJ)</f>
        <v>1</v>
      </c>
      <c r="AJ30" s="28">
        <f>SUMIF(RAW_DEATHS!$B:$B,Overview!$A30,RAW_DEATHS!AK:AK)</f>
        <v>1</v>
      </c>
      <c r="AK30" s="28">
        <f>SUMIF(RAW_DEATHS!$B:$B,Overview!$A30,RAW_DEATHS!AL:AL)</f>
        <v>2</v>
      </c>
      <c r="AL30" s="28">
        <f>SUMIF(RAW_DEATHS!$B:$B,Overview!$A30,RAW_DEATHS!AM:AM)</f>
        <v>2</v>
      </c>
      <c r="AM30" s="28">
        <f>SUMIF(RAW_DEATHS!$B:$B,Overview!$A30,RAW_DEATHS!AN:AN)</f>
        <v>2</v>
      </c>
      <c r="AN30" s="28">
        <f>SUMIF(RAW_DEATHS!$B:$B,Overview!$A30,RAW_DEATHS!AO:AO)</f>
        <v>2</v>
      </c>
      <c r="AO30" s="28">
        <f>SUMIF(RAW_DEATHS!$B:$B,Overview!$A30,RAW_DEATHS!AP:AP)</f>
        <v>2</v>
      </c>
      <c r="AP30" s="28">
        <f>SUMIF(RAW_DEATHS!$B:$B,Overview!$A30,RAW_DEATHS!AQ:AQ)</f>
        <v>3</v>
      </c>
      <c r="AQ30" s="28">
        <f>SUMIF(RAW_DEATHS!$B:$B,Overview!$A30,RAW_DEATHS!AR:AR)</f>
        <v>4</v>
      </c>
      <c r="AR30" s="28">
        <f>SUMIF(RAW_DEATHS!$B:$B,Overview!$A30,RAW_DEATHS!AS:AS)</f>
        <v>4</v>
      </c>
      <c r="AS30" s="28">
        <f>SUMIF(RAW_DEATHS!$B:$B,Overview!$A30,RAW_DEATHS!AT:AT)</f>
        <v>6</v>
      </c>
      <c r="AT30" s="28">
        <f>SUMIF(RAW_DEATHS!$B:$B,Overview!$A30,RAW_DEATHS!AU:AU)</f>
        <v>9</v>
      </c>
      <c r="AU30" s="28">
        <f>SUMIF(RAW_DEATHS!$B:$B,Overview!$A30,RAW_DEATHS!AV:AV)</f>
        <v>11</v>
      </c>
      <c r="AV30" s="28">
        <f>SUMIF(RAW_DEATHS!$B:$B,Overview!$A30,RAW_DEATHS!AW:AW)</f>
        <v>19</v>
      </c>
      <c r="AW30" s="28">
        <f>SUMIF(RAW_DEATHS!$B:$B,Overview!$A30,RAW_DEATHS!AX:AX)</f>
        <v>19</v>
      </c>
      <c r="AX30" s="28">
        <f>SUMIF(RAW_DEATHS!$B:$B,Overview!$A30,RAW_DEATHS!AY:AY)</f>
        <v>33</v>
      </c>
      <c r="AY30" s="28">
        <f>SUMIF(RAW_DEATHS!$B:$B,Overview!$A30,RAW_DEATHS!AZ:AZ)</f>
        <v>48</v>
      </c>
      <c r="AZ30" s="28">
        <f>SUMIF(RAW_DEATHS!$B:$B,Overview!$A30,RAW_DEATHS!BA:BA)</f>
        <v>48</v>
      </c>
      <c r="BA30" s="28">
        <f>SUMIF(RAW_DEATHS!$B:$B,Overview!$A30,RAW_DEATHS!BB:BB)</f>
        <v>79</v>
      </c>
      <c r="BB30" s="28">
        <f>SUMIF(RAW_DEATHS!$B:$B,Overview!$A30,RAW_DEATHS!BC:BC)</f>
        <v>91</v>
      </c>
      <c r="BC30" s="28">
        <f>SUMIF(RAW_DEATHS!$B:$B,Overview!$A30,RAW_DEATHS!BD:BD)</f>
        <v>91</v>
      </c>
      <c r="BD30" s="28">
        <f>SUMIF(RAW_DEATHS!$B:$B,Overview!$A30,RAW_DEATHS!BE:BE)</f>
        <v>149</v>
      </c>
      <c r="BE30" s="28">
        <f>SUMIF(RAW_DEATHS!$B:$B,Overview!$A30,RAW_DEATHS!BF:BF)</f>
        <v>149</v>
      </c>
      <c r="BF30" s="28">
        <f>SUMIF(RAW_DEATHS!$B:$B,Overview!$A30,RAW_DEATHS!BG:BG)</f>
        <v>149</v>
      </c>
      <c r="BG30" s="28">
        <f>SUMIF(RAW_DEATHS!$B:$B,Overview!$A30,RAW_DEATHS!BH:BH)</f>
        <v>244</v>
      </c>
      <c r="BH30" s="28">
        <f>SUMIF(RAW_DEATHS!$B:$B,Overview!$A30,RAW_DEATHS!BI:BI)</f>
        <v>451</v>
      </c>
      <c r="BI30" s="28">
        <f>SUMIF(RAW_DEATHS!$B:$B,Overview!$A30,RAW_DEATHS!BJ:BJ)</f>
        <v>563</v>
      </c>
      <c r="BJ30" s="28">
        <f>SUMIF(RAW_DEATHS!$B:$B,Overview!$A30,RAW_DEATHS!BK:BK)</f>
        <v>676</v>
      </c>
      <c r="BK30" s="28">
        <f>SUMIF(RAW_DEATHS!$B:$B,Overview!$A30,RAW_DEATHS!BL:BL)</f>
        <v>862</v>
      </c>
      <c r="BL30" s="28">
        <f>SUMIF(RAW_DEATHS!$B:$B,Overview!$A30,RAW_DEATHS!BM:BM)</f>
        <v>1102</v>
      </c>
      <c r="BM30" s="28">
        <f>SUMIF(RAW_DEATHS!$B:$B,Overview!$A30,RAW_DEATHS!BN:BN)</f>
        <v>1333</v>
      </c>
      <c r="BN30" s="28">
        <f>SUMIF(RAW_DEATHS!$B:$B,Overview!$A30,RAW_DEATHS!BO:BO)</f>
        <v>1698</v>
      </c>
      <c r="BO30" s="28">
        <f>SUMIF(RAW_DEATHS!$B:$B,Overview!$A30,RAW_DEATHS!BP:BP)</f>
        <v>1997</v>
      </c>
      <c r="BP30" s="28">
        <f>SUMIF(RAW_DEATHS!$B:$B,Overview!$A30,RAW_DEATHS!BQ:BQ)</f>
        <v>2317</v>
      </c>
      <c r="BQ30" s="28">
        <f>SUMIF(RAW_DEATHS!$B:$B,Overview!$A30,RAW_DEATHS!BR:BR)</f>
        <v>2611</v>
      </c>
      <c r="BR30" s="28">
        <f>SUMIF(RAW_DEATHS!$B:$B,Overview!$A30,RAW_DEATHS!BS:BS)</f>
        <v>3030</v>
      </c>
      <c r="BS30" s="28">
        <f>SUMIF(RAW_DEATHS!$B:$B,Overview!$A30,RAW_DEATHS!BT:BT)</f>
        <v>3532</v>
      </c>
      <c r="BT30" s="28">
        <f>SUMIF(RAW_DEATHS!$B:$B,Overview!$A30,RAW_DEATHS!BU:BU)</f>
        <v>4414</v>
      </c>
      <c r="BU30" s="28">
        <f>SUMIF(RAW_DEATHS!$B:$B,Overview!$A30,RAW_DEATHS!BV:BV)</f>
        <v>5398</v>
      </c>
      <c r="BV30" s="28">
        <f>SUMIF(RAW_DEATHS!$B:$B,Overview!$A30,RAW_DEATHS!BW:BW)</f>
        <v>6520</v>
      </c>
      <c r="BW30" s="28">
        <f>SUMIF(RAW_DEATHS!$B:$B,Overview!$A30,RAW_DEATHS!BX:BX)</f>
        <v>7574</v>
      </c>
      <c r="BX30" s="28">
        <f>SUMIF(RAW_DEATHS!$B:$B,Overview!$A30,RAW_DEATHS!BY:BY)</f>
        <v>8093</v>
      </c>
      <c r="BY30" s="28">
        <f>SUMIF(RAW_DEATHS!$B:$B,Overview!$A30,RAW_DEATHS!BZ:BZ)</f>
        <v>8926</v>
      </c>
      <c r="BZ30" s="28">
        <f>SUMIF(RAW_DEATHS!$B:$B,Overview!$A30,RAW_DEATHS!CA:CA)</f>
        <v>10343</v>
      </c>
      <c r="CA30" s="28">
        <f>SUMIF(RAW_DEATHS!$B:$B,Overview!$A30,RAW_DEATHS!CB:CB)</f>
        <v>10887</v>
      </c>
      <c r="CB30" s="28">
        <f>SUMIF(RAW_DEATHS!$B:$B,Overview!$A30,RAW_DEATHS!CC:CC)</f>
        <v>12228</v>
      </c>
      <c r="CC30" s="28">
        <f>SUMIF(RAW_DEATHS!$B:$B,Overview!$A30,RAW_DEATHS!CD:CD)</f>
        <v>13215</v>
      </c>
      <c r="CD30" s="28">
        <f>SUMIF(RAW_DEATHS!$B:$B,Overview!$A30,RAW_DEATHS!CE:CE)</f>
        <v>13851</v>
      </c>
      <c r="CE30" s="28">
        <f>SUMIF(RAW_DEATHS!$B:$B,Overview!$A30,RAW_DEATHS!CF:CF)</f>
        <v>14412</v>
      </c>
      <c r="CF30" s="25">
        <f>SUMIF(RAW_DEATHS!$B:$B,Overview!$A30,RAW_DEATHS!CG:CG)</f>
        <v>14986</v>
      </c>
      <c r="CG30" s="25">
        <f>SUMIF(RAW_DEATHS!$B:$B,Overview!$A30,RAW_DEATHS!CH:CH)</f>
        <v>15731</v>
      </c>
      <c r="CH30" s="25">
        <f>SUMIF(RAW_DEATHS!$B:$B,Overview!$A30,RAW_DEATHS!CI:CI)</f>
        <v>17169</v>
      </c>
      <c r="CI30" s="25">
        <f>SUMIF(RAW_DEATHS!$B:$B,Overview!$A30,RAW_DEATHS!CJ:CJ)</f>
        <v>17922</v>
      </c>
      <c r="CJ30" s="25">
        <f>SUMIF(RAW_DEATHS!$B:$B,Overview!$A30,RAW_DEATHS!CK:CK)</f>
        <v>18683</v>
      </c>
      <c r="CK30" s="25">
        <f>SUMIF(RAW_DEATHS!$B:$B,Overview!$A30,RAW_DEATHS!CL:CL)</f>
        <v>19325</v>
      </c>
      <c r="CL30" s="25">
        <f>SUMIF(RAW_DEATHS!$B:$B,Overview!$A30,RAW_DEATHS!CM:CM)</f>
        <v>19720</v>
      </c>
      <c r="CM30" s="25">
        <f>SUMIF(RAW_DEATHS!$B:$B,Overview!$A30,RAW_DEATHS!CN:CN)</f>
        <v>20267</v>
      </c>
      <c r="CN30" s="25">
        <f>SUMIF(RAW_DEATHS!$B:$B,Overview!$A30,RAW_DEATHS!CO:CO)</f>
        <v>20798</v>
      </c>
      <c r="CO30" s="25">
        <f>SUMIF(RAW_DEATHS!$B:$B,Overview!$A30,RAW_DEATHS!CP:CP)</f>
        <v>21342</v>
      </c>
      <c r="CP30" s="25">
        <f>SUMIF(RAW_DEATHS!$B:$B,Overview!$A30,RAW_DEATHS!CQ:CQ)</f>
        <v>21858</v>
      </c>
      <c r="CQ30" s="25">
        <f>SUMIF(RAW_DEATHS!$B:$B,Overview!$A30,RAW_DEATHS!CR:CR)</f>
        <v>22248</v>
      </c>
      <c r="CR30" s="25">
        <f>SUMIF(RAW_DEATHS!$B:$B,Overview!$A30,RAW_DEATHS!CS:CS)</f>
        <v>22617</v>
      </c>
      <c r="CS30" s="25">
        <f>SUMIF(RAW_DEATHS!$B:$B,Overview!$A30,RAW_DEATHS!CT:CT)</f>
        <v>22859</v>
      </c>
      <c r="CT30" s="25">
        <f>SUMIF(RAW_DEATHS!$B:$B,Overview!$A30,RAW_DEATHS!CU:CU)</f>
        <v>23296</v>
      </c>
      <c r="CU30" s="25">
        <f>SUMIF(RAW_DEATHS!$B:$B,Overview!$A30,RAW_DEATHS!CV:CV)</f>
        <v>23663</v>
      </c>
      <c r="CV30" s="25">
        <f>SUMIF(RAW_DEATHS!$B:$B,Overview!$A30,RAW_DEATHS!CW:CW)</f>
        <v>24090</v>
      </c>
      <c r="CW30" s="25">
        <f>SUMIF(RAW_DEATHS!$B:$B,Overview!$A30,RAW_DEATHS!CX:CX)</f>
        <v>24379</v>
      </c>
      <c r="CX30" s="25">
        <f>SUMIF(RAW_DEATHS!$B:$B,Overview!$A30,RAW_DEATHS!CY:CY)</f>
        <v>24597</v>
      </c>
      <c r="CY30" s="25">
        <f>SUMIF(RAW_DEATHS!$B:$B,Overview!$A30,RAW_DEATHS!CZ:CZ)</f>
        <v>24763</v>
      </c>
      <c r="CZ30" s="25">
        <f>SUMIF(RAW_DEATHS!$B:$B,Overview!$A30,RAW_DEATHS!DA:DA)</f>
        <v>24900</v>
      </c>
      <c r="DA30" s="25">
        <f>SUMIF(RAW_DEATHS!$B:$B,Overview!$A30,RAW_DEATHS!DB:DB)</f>
        <v>0</v>
      </c>
      <c r="DB30" s="25">
        <f>SUMIF(RAW_DEATHS!$B:$B,Overview!$A30,RAW_DEATHS!DC:DC)</f>
        <v>0</v>
      </c>
      <c r="DC30" s="25">
        <f>SUMIF(RAW_DEATHS!$B:$B,Overview!$A30,RAW_DEATHS!DD:DD)</f>
        <v>0</v>
      </c>
      <c r="DD30" s="25">
        <f>SUMIF(RAW_DEATHS!$B:$B,Overview!$A30,RAW_DEATHS!DE:DE)</f>
        <v>0</v>
      </c>
      <c r="DE30" s="25">
        <f>SUMIF(RAW_DEATHS!$B:$B,Overview!$A30,RAW_DEATHS!DF:DF)</f>
        <v>0</v>
      </c>
      <c r="DF30" s="25">
        <f>SUMIF(RAW_DEATHS!$B:$B,Overview!$A30,RAW_DEATHS!DG:DG)</f>
        <v>0</v>
      </c>
      <c r="DG30" s="25">
        <f>SUMIF(RAW_DEATHS!$B:$B,Overview!$A30,RAW_DEATHS!DH:DH)</f>
        <v>0</v>
      </c>
      <c r="DH30" s="25">
        <f>SUMIF(RAW_DEATHS!$B:$B,Overview!$A30,RAW_DEATHS!DI:DI)</f>
        <v>0</v>
      </c>
      <c r="DI30" s="25">
        <f>SUMIF(RAW_DEATHS!$B:$B,Overview!$A30,RAW_DEATHS!DJ:DJ)</f>
        <v>0</v>
      </c>
      <c r="DJ30" s="25">
        <f>SUMIF(RAW_DEATHS!$B:$B,Overview!$A30,RAW_DEATHS!DK:DK)</f>
        <v>0</v>
      </c>
      <c r="DK30" s="25">
        <f>SUMIF(RAW_DEATHS!$B:$B,Overview!$A30,RAW_DEATHS!DL:DL)</f>
        <v>0</v>
      </c>
      <c r="DL30" s="25">
        <f>SUMIF(RAW_DEATHS!$B:$B,Overview!$A30,RAW_DEATHS!DM:DM)</f>
        <v>0</v>
      </c>
      <c r="DM30" s="25">
        <f>SUMIF(RAW_DEATHS!$B:$B,Overview!$A30,RAW_DEATHS!DN:DN)</f>
        <v>0</v>
      </c>
      <c r="DN30" s="25">
        <f>SUMIF(RAW_DEATHS!$B:$B,Overview!$A30,RAW_DEATHS!DO:DO)</f>
        <v>0</v>
      </c>
      <c r="DO30" s="25">
        <f>SUMIF(RAW_DEATHS!$B:$B,Overview!$A30,RAW_DEATHS!DP:DP)</f>
        <v>0</v>
      </c>
      <c r="DP30" s="25">
        <f>SUMIF(RAW_DEATHS!$B:$B,Overview!$A30,RAW_DEATHS!DQ:DQ)</f>
        <v>0</v>
      </c>
      <c r="DQ30" s="25">
        <f>SUMIF(RAW_DEATHS!$B:$B,Overview!$A30,RAW_DEATHS!DR:DR)</f>
        <v>0</v>
      </c>
      <c r="DR30" s="25">
        <f>SUMIF(RAW_DEATHS!$B:$B,Overview!$A30,RAW_DEATHS!DS:DS)</f>
        <v>0</v>
      </c>
      <c r="DS30" s="25">
        <f>SUMIF(RAW_DEATHS!$B:$B,Overview!$A30,RAW_DEATHS!DT:DT)</f>
        <v>0</v>
      </c>
      <c r="DT30" s="25">
        <f>SUMIF(RAW_DEATHS!$B:$B,Overview!$A30,RAW_DEATHS!DU:DU)</f>
        <v>0</v>
      </c>
      <c r="DU30" s="25">
        <f>SUMIF(RAW_DEATHS!$B:$B,Overview!$A30,RAW_DEATHS!DV:DV)</f>
        <v>0</v>
      </c>
      <c r="DV30" s="25">
        <f>SUMIF(RAW_DEATHS!$B:$B,Overview!$A30,RAW_DEATHS!DW:DW)</f>
        <v>0</v>
      </c>
      <c r="DW30" s="25">
        <f>SUMIF(RAW_DEATHS!$B:$B,Overview!$A30,RAW_DEATHS!DX:DX)</f>
        <v>0</v>
      </c>
      <c r="DX30" s="25">
        <f>SUMIF(RAW_DEATHS!$B:$B,Overview!$A30,RAW_DEATHS!DY:DY)</f>
        <v>0</v>
      </c>
      <c r="DY30" s="25">
        <f>SUMIF(RAW_DEATHS!$B:$B,Overview!$A30,RAW_DEATHS!DZ:DZ)</f>
        <v>0</v>
      </c>
      <c r="DZ30" s="25">
        <f>SUMIF(RAW_DEATHS!$B:$B,Overview!$A30,RAW_DEATHS!EA:EA)</f>
        <v>0</v>
      </c>
      <c r="EA30" s="25">
        <f>SUMIF(RAW_DEATHS!$B:$B,Overview!$A30,RAW_DEATHS!EB:EB)</f>
        <v>0</v>
      </c>
    </row>
    <row r="31" spans="1:131" s="10" customFormat="1" ht="13.15" x14ac:dyDescent="0.4">
      <c r="A31" s="24" t="str">
        <f t="shared" si="155"/>
        <v>Korea, South</v>
      </c>
      <c r="B31" s="28">
        <f>SUMIF(RAW_DEATHS!$B:$B,Overview!$A31,RAW_DEATHS!C:C)</f>
        <v>0</v>
      </c>
      <c r="C31" s="28">
        <f>SUMIF(RAW_DEATHS!$B:$B,Overview!$A31,RAW_DEATHS!D:D)</f>
        <v>0</v>
      </c>
      <c r="D31" s="28">
        <f>SUMIF(RAW_DEATHS!$B:$B,Overview!$A31,RAW_DEATHS!E:E)</f>
        <v>0</v>
      </c>
      <c r="E31" s="28">
        <f>SUMIF(RAW_DEATHS!$B:$B,Overview!$A31,RAW_DEATHS!F:F)</f>
        <v>0</v>
      </c>
      <c r="F31" s="28">
        <f>SUMIF(RAW_DEATHS!$B:$B,Overview!$A31,RAW_DEATHS!G:G)</f>
        <v>0</v>
      </c>
      <c r="G31" s="28">
        <f>SUMIF(RAW_DEATHS!$B:$B,Overview!$A31,RAW_DEATHS!H:H)</f>
        <v>0</v>
      </c>
      <c r="H31" s="28">
        <f>SUMIF(RAW_DEATHS!$B:$B,Overview!$A31,RAW_DEATHS!I:I)</f>
        <v>0</v>
      </c>
      <c r="I31" s="28">
        <f>SUMIF(RAW_DEATHS!$B:$B,Overview!$A31,RAW_DEATHS!J:J)</f>
        <v>0</v>
      </c>
      <c r="J31" s="28">
        <f>SUMIF(RAW_DEATHS!$B:$B,Overview!$A31,RAW_DEATHS!K:K)</f>
        <v>0</v>
      </c>
      <c r="K31" s="28">
        <f>SUMIF(RAW_DEATHS!$B:$B,Overview!$A31,RAW_DEATHS!L:L)</f>
        <v>0</v>
      </c>
      <c r="L31" s="28">
        <f>SUMIF(RAW_DEATHS!$B:$B,Overview!$A31,RAW_DEATHS!M:M)</f>
        <v>0</v>
      </c>
      <c r="M31" s="28">
        <f>SUMIF(RAW_DEATHS!$B:$B,Overview!$A31,RAW_DEATHS!N:N)</f>
        <v>0</v>
      </c>
      <c r="N31" s="28">
        <f>SUMIF(RAW_DEATHS!$B:$B,Overview!$A31,RAW_DEATHS!O:O)</f>
        <v>0</v>
      </c>
      <c r="O31" s="28">
        <f>SUMIF(RAW_DEATHS!$B:$B,Overview!$A31,RAW_DEATHS!P:P)</f>
        <v>0</v>
      </c>
      <c r="P31" s="28">
        <f>SUMIF(RAW_DEATHS!$B:$B,Overview!$A31,RAW_DEATHS!Q:Q)</f>
        <v>0</v>
      </c>
      <c r="Q31" s="28">
        <f>SUMIF(RAW_DEATHS!$B:$B,Overview!$A31,RAW_DEATHS!R:R)</f>
        <v>0</v>
      </c>
      <c r="R31" s="28">
        <f>SUMIF(RAW_DEATHS!$B:$B,Overview!$A31,RAW_DEATHS!S:S)</f>
        <v>0</v>
      </c>
      <c r="S31" s="28">
        <f>SUMIF(RAW_DEATHS!$B:$B,Overview!$A31,RAW_DEATHS!T:T)</f>
        <v>0</v>
      </c>
      <c r="T31" s="28">
        <f>SUMIF(RAW_DEATHS!$B:$B,Overview!$A31,RAW_DEATHS!U:U)</f>
        <v>0</v>
      </c>
      <c r="U31" s="28">
        <f>SUMIF(RAW_DEATHS!$B:$B,Overview!$A31,RAW_DEATHS!V:V)</f>
        <v>0</v>
      </c>
      <c r="V31" s="28">
        <f>SUMIF(RAW_DEATHS!$B:$B,Overview!$A31,RAW_DEATHS!W:W)</f>
        <v>0</v>
      </c>
      <c r="W31" s="28">
        <f>SUMIF(RAW_DEATHS!$B:$B,Overview!$A31,RAW_DEATHS!X:X)</f>
        <v>0</v>
      </c>
      <c r="X31" s="28">
        <f>SUMIF(RAW_DEATHS!$B:$B,Overview!$A31,RAW_DEATHS!Y:Y)</f>
        <v>0</v>
      </c>
      <c r="Y31" s="28">
        <f>SUMIF(RAW_DEATHS!$B:$B,Overview!$A31,RAW_DEATHS!Z:Z)</f>
        <v>0</v>
      </c>
      <c r="Z31" s="28">
        <f>SUMIF(RAW_DEATHS!$B:$B,Overview!$A31,RAW_DEATHS!AA:AA)</f>
        <v>0</v>
      </c>
      <c r="AA31" s="28">
        <f>SUMIF(RAW_DEATHS!$B:$B,Overview!$A31,RAW_DEATHS!AB:AB)</f>
        <v>0</v>
      </c>
      <c r="AB31" s="28">
        <f>SUMIF(RAW_DEATHS!$B:$B,Overview!$A31,RAW_DEATHS!AC:AC)</f>
        <v>0</v>
      </c>
      <c r="AC31" s="28">
        <f>SUMIF(RAW_DEATHS!$B:$B,Overview!$A31,RAW_DEATHS!AD:AD)</f>
        <v>0</v>
      </c>
      <c r="AD31" s="28">
        <f>SUMIF(RAW_DEATHS!$B:$B,Overview!$A31,RAW_DEATHS!AE:AE)</f>
        <v>0</v>
      </c>
      <c r="AE31" s="28">
        <f>SUMIF(RAW_DEATHS!$B:$B,Overview!$A31,RAW_DEATHS!AF:AF)</f>
        <v>1</v>
      </c>
      <c r="AF31" s="28">
        <f>SUMIF(RAW_DEATHS!$B:$B,Overview!$A31,RAW_DEATHS!AG:AG)</f>
        <v>2</v>
      </c>
      <c r="AG31" s="28">
        <f>SUMIF(RAW_DEATHS!$B:$B,Overview!$A31,RAW_DEATHS!AH:AH)</f>
        <v>2</v>
      </c>
      <c r="AH31" s="28">
        <f>SUMIF(RAW_DEATHS!$B:$B,Overview!$A31,RAW_DEATHS!AI:AI)</f>
        <v>6</v>
      </c>
      <c r="AI31" s="28">
        <f>SUMIF(RAW_DEATHS!$B:$B,Overview!$A31,RAW_DEATHS!AJ:AJ)</f>
        <v>8</v>
      </c>
      <c r="AJ31" s="28">
        <f>SUMIF(RAW_DEATHS!$B:$B,Overview!$A31,RAW_DEATHS!AK:AK)</f>
        <v>10</v>
      </c>
      <c r="AK31" s="28">
        <f>SUMIF(RAW_DEATHS!$B:$B,Overview!$A31,RAW_DEATHS!AL:AL)</f>
        <v>12</v>
      </c>
      <c r="AL31" s="28">
        <f>SUMIF(RAW_DEATHS!$B:$B,Overview!$A31,RAW_DEATHS!AM:AM)</f>
        <v>13</v>
      </c>
      <c r="AM31" s="28">
        <f>SUMIF(RAW_DEATHS!$B:$B,Overview!$A31,RAW_DEATHS!AN:AN)</f>
        <v>13</v>
      </c>
      <c r="AN31" s="28">
        <f>SUMIF(RAW_DEATHS!$B:$B,Overview!$A31,RAW_DEATHS!AO:AO)</f>
        <v>16</v>
      </c>
      <c r="AO31" s="28">
        <f>SUMIF(RAW_DEATHS!$B:$B,Overview!$A31,RAW_DEATHS!AP:AP)</f>
        <v>17</v>
      </c>
      <c r="AP31" s="28">
        <f>SUMIF(RAW_DEATHS!$B:$B,Overview!$A31,RAW_DEATHS!AQ:AQ)</f>
        <v>28</v>
      </c>
      <c r="AQ31" s="28">
        <f>SUMIF(RAW_DEATHS!$B:$B,Overview!$A31,RAW_DEATHS!AR:AR)</f>
        <v>28</v>
      </c>
      <c r="AR31" s="28">
        <f>SUMIF(RAW_DEATHS!$B:$B,Overview!$A31,RAW_DEATHS!AS:AS)</f>
        <v>35</v>
      </c>
      <c r="AS31" s="28">
        <f>SUMIF(RAW_DEATHS!$B:$B,Overview!$A31,RAW_DEATHS!AT:AT)</f>
        <v>35</v>
      </c>
      <c r="AT31" s="28">
        <f>SUMIF(RAW_DEATHS!$B:$B,Overview!$A31,RAW_DEATHS!AU:AU)</f>
        <v>42</v>
      </c>
      <c r="AU31" s="28">
        <f>SUMIF(RAW_DEATHS!$B:$B,Overview!$A31,RAW_DEATHS!AV:AV)</f>
        <v>44</v>
      </c>
      <c r="AV31" s="28">
        <f>SUMIF(RAW_DEATHS!$B:$B,Overview!$A31,RAW_DEATHS!AW:AW)</f>
        <v>50</v>
      </c>
      <c r="AW31" s="28">
        <f>SUMIF(RAW_DEATHS!$B:$B,Overview!$A31,RAW_DEATHS!AX:AX)</f>
        <v>53</v>
      </c>
      <c r="AX31" s="28">
        <f>SUMIF(RAW_DEATHS!$B:$B,Overview!$A31,RAW_DEATHS!AY:AY)</f>
        <v>54</v>
      </c>
      <c r="AY31" s="28">
        <f>SUMIF(RAW_DEATHS!$B:$B,Overview!$A31,RAW_DEATHS!AZ:AZ)</f>
        <v>60</v>
      </c>
      <c r="AZ31" s="28">
        <f>SUMIF(RAW_DEATHS!$B:$B,Overview!$A31,RAW_DEATHS!BA:BA)</f>
        <v>66</v>
      </c>
      <c r="BA31" s="28">
        <f>SUMIF(RAW_DEATHS!$B:$B,Overview!$A31,RAW_DEATHS!BB:BB)</f>
        <v>66</v>
      </c>
      <c r="BB31" s="28">
        <f>SUMIF(RAW_DEATHS!$B:$B,Overview!$A31,RAW_DEATHS!BC:BC)</f>
        <v>72</v>
      </c>
      <c r="BC31" s="28">
        <f>SUMIF(RAW_DEATHS!$B:$B,Overview!$A31,RAW_DEATHS!BD:BD)</f>
        <v>75</v>
      </c>
      <c r="BD31" s="28">
        <f>SUMIF(RAW_DEATHS!$B:$B,Overview!$A31,RAW_DEATHS!BE:BE)</f>
        <v>75</v>
      </c>
      <c r="BE31" s="28">
        <f>SUMIF(RAW_DEATHS!$B:$B,Overview!$A31,RAW_DEATHS!BF:BF)</f>
        <v>81</v>
      </c>
      <c r="BF31" s="28">
        <f>SUMIF(RAW_DEATHS!$B:$B,Overview!$A31,RAW_DEATHS!BG:BG)</f>
        <v>84</v>
      </c>
      <c r="BG31" s="28">
        <f>SUMIF(RAW_DEATHS!$B:$B,Overview!$A31,RAW_DEATHS!BH:BH)</f>
        <v>91</v>
      </c>
      <c r="BH31" s="28">
        <f>SUMIF(RAW_DEATHS!$B:$B,Overview!$A31,RAW_DEATHS!BI:BI)</f>
        <v>94</v>
      </c>
      <c r="BI31" s="28">
        <f>SUMIF(RAW_DEATHS!$B:$B,Overview!$A31,RAW_DEATHS!BJ:BJ)</f>
        <v>102</v>
      </c>
      <c r="BJ31" s="28">
        <f>SUMIF(RAW_DEATHS!$B:$B,Overview!$A31,RAW_DEATHS!BK:BK)</f>
        <v>111</v>
      </c>
      <c r="BK31" s="28">
        <f>SUMIF(RAW_DEATHS!$B:$B,Overview!$A31,RAW_DEATHS!BL:BL)</f>
        <v>111</v>
      </c>
      <c r="BL31" s="28">
        <f>SUMIF(RAW_DEATHS!$B:$B,Overview!$A31,RAW_DEATHS!BM:BM)</f>
        <v>120</v>
      </c>
      <c r="BM31" s="28">
        <f>SUMIF(RAW_DEATHS!$B:$B,Overview!$A31,RAW_DEATHS!BN:BN)</f>
        <v>126</v>
      </c>
      <c r="BN31" s="28">
        <f>SUMIF(RAW_DEATHS!$B:$B,Overview!$A31,RAW_DEATHS!BO:BO)</f>
        <v>131</v>
      </c>
      <c r="BO31" s="28">
        <f>SUMIF(RAW_DEATHS!$B:$B,Overview!$A31,RAW_DEATHS!BP:BP)</f>
        <v>139</v>
      </c>
      <c r="BP31" s="28">
        <f>SUMIF(RAW_DEATHS!$B:$B,Overview!$A31,RAW_DEATHS!BQ:BQ)</f>
        <v>144</v>
      </c>
      <c r="BQ31" s="28">
        <f>SUMIF(RAW_DEATHS!$B:$B,Overview!$A31,RAW_DEATHS!BR:BR)</f>
        <v>152</v>
      </c>
      <c r="BR31" s="28">
        <f>SUMIF(RAW_DEATHS!$B:$B,Overview!$A31,RAW_DEATHS!BS:BS)</f>
        <v>158</v>
      </c>
      <c r="BS31" s="28">
        <f>SUMIF(RAW_DEATHS!$B:$B,Overview!$A31,RAW_DEATHS!BT:BT)</f>
        <v>162</v>
      </c>
      <c r="BT31" s="28">
        <f>SUMIF(RAW_DEATHS!$B:$B,Overview!$A31,RAW_DEATHS!BU:BU)</f>
        <v>165</v>
      </c>
      <c r="BU31" s="28">
        <f>SUMIF(RAW_DEATHS!$B:$B,Overview!$A31,RAW_DEATHS!BV:BV)</f>
        <v>169</v>
      </c>
      <c r="BV31" s="28">
        <f>SUMIF(RAW_DEATHS!$B:$B,Overview!$A31,RAW_DEATHS!BW:BW)</f>
        <v>174</v>
      </c>
      <c r="BW31" s="28">
        <f>SUMIF(RAW_DEATHS!$B:$B,Overview!$A31,RAW_DEATHS!BX:BX)</f>
        <v>177</v>
      </c>
      <c r="BX31" s="28">
        <f>SUMIF(RAW_DEATHS!$B:$B,Overview!$A31,RAW_DEATHS!BY:BY)</f>
        <v>183</v>
      </c>
      <c r="BY31" s="28">
        <f>SUMIF(RAW_DEATHS!$B:$B,Overview!$A31,RAW_DEATHS!BZ:BZ)</f>
        <v>186</v>
      </c>
      <c r="BZ31" s="28">
        <f>SUMIF(RAW_DEATHS!$B:$B,Overview!$A31,RAW_DEATHS!CA:CA)</f>
        <v>192</v>
      </c>
      <c r="CA31" s="28">
        <f>SUMIF(RAW_DEATHS!$B:$B,Overview!$A31,RAW_DEATHS!CB:CB)</f>
        <v>200</v>
      </c>
      <c r="CB31" s="28">
        <f>SUMIF(RAW_DEATHS!$B:$B,Overview!$A31,RAW_DEATHS!CC:CC)</f>
        <v>204</v>
      </c>
      <c r="CC31" s="28">
        <f>SUMIF(RAW_DEATHS!$B:$B,Overview!$A31,RAW_DEATHS!CD:CD)</f>
        <v>208</v>
      </c>
      <c r="CD31" s="28">
        <f>SUMIF(RAW_DEATHS!$B:$B,Overview!$A31,RAW_DEATHS!CE:CE)</f>
        <v>211</v>
      </c>
      <c r="CE31" s="28">
        <f>SUMIF(RAW_DEATHS!$B:$B,Overview!$A31,RAW_DEATHS!CF:CF)</f>
        <v>214</v>
      </c>
      <c r="CF31" s="25">
        <f>SUMIF(RAW_DEATHS!$B:$B,Overview!$A31,RAW_DEATHS!CG:CG)</f>
        <v>217</v>
      </c>
      <c r="CG31" s="25">
        <f>SUMIF(RAW_DEATHS!$B:$B,Overview!$A31,RAW_DEATHS!CH:CH)</f>
        <v>222</v>
      </c>
      <c r="CH31" s="25">
        <f>SUMIF(RAW_DEATHS!$B:$B,Overview!$A31,RAW_DEATHS!CI:CI)</f>
        <v>225</v>
      </c>
      <c r="CI31" s="25">
        <f>SUMIF(RAW_DEATHS!$B:$B,Overview!$A31,RAW_DEATHS!CJ:CJ)</f>
        <v>229</v>
      </c>
      <c r="CJ31" s="25">
        <f>SUMIF(RAW_DEATHS!$B:$B,Overview!$A31,RAW_DEATHS!CK:CK)</f>
        <v>230</v>
      </c>
      <c r="CK31" s="25">
        <f>SUMIF(RAW_DEATHS!$B:$B,Overview!$A31,RAW_DEATHS!CL:CL)</f>
        <v>232</v>
      </c>
      <c r="CL31" s="25">
        <f>SUMIF(RAW_DEATHS!$B:$B,Overview!$A31,RAW_DEATHS!CM:CM)</f>
        <v>234</v>
      </c>
      <c r="CM31" s="25">
        <f>SUMIF(RAW_DEATHS!$B:$B,Overview!$A31,RAW_DEATHS!CN:CN)</f>
        <v>236</v>
      </c>
      <c r="CN31" s="25">
        <f>SUMIF(RAW_DEATHS!$B:$B,Overview!$A31,RAW_DEATHS!CO:CO)</f>
        <v>237</v>
      </c>
      <c r="CO31" s="25">
        <f>SUMIF(RAW_DEATHS!$B:$B,Overview!$A31,RAW_DEATHS!CP:CP)</f>
        <v>238</v>
      </c>
      <c r="CP31" s="25">
        <f>SUMIF(RAW_DEATHS!$B:$B,Overview!$A31,RAW_DEATHS!CQ:CQ)</f>
        <v>240</v>
      </c>
      <c r="CQ31" s="25">
        <f>SUMIF(RAW_DEATHS!$B:$B,Overview!$A31,RAW_DEATHS!CR:CR)</f>
        <v>240</v>
      </c>
      <c r="CR31" s="25">
        <f>SUMIF(RAW_DEATHS!$B:$B,Overview!$A31,RAW_DEATHS!CS:CS)</f>
        <v>242</v>
      </c>
      <c r="CS31" s="25">
        <f>SUMIF(RAW_DEATHS!$B:$B,Overview!$A31,RAW_DEATHS!CT:CT)</f>
        <v>243</v>
      </c>
      <c r="CT31" s="25">
        <f>SUMIF(RAW_DEATHS!$B:$B,Overview!$A31,RAW_DEATHS!CU:CU)</f>
        <v>244</v>
      </c>
      <c r="CU31" s="25">
        <f>SUMIF(RAW_DEATHS!$B:$B,Overview!$A31,RAW_DEATHS!CV:CV)</f>
        <v>246</v>
      </c>
      <c r="CV31" s="25">
        <f>SUMIF(RAW_DEATHS!$B:$B,Overview!$A31,RAW_DEATHS!CW:CW)</f>
        <v>247</v>
      </c>
      <c r="CW31" s="25">
        <f>SUMIF(RAW_DEATHS!$B:$B,Overview!$A31,RAW_DEATHS!CX:CX)</f>
        <v>248</v>
      </c>
      <c r="CX31" s="25">
        <f>SUMIF(RAW_DEATHS!$B:$B,Overview!$A31,RAW_DEATHS!CY:CY)</f>
        <v>250</v>
      </c>
      <c r="CY31" s="25">
        <f>SUMIF(RAW_DEATHS!$B:$B,Overview!$A31,RAW_DEATHS!CZ:CZ)</f>
        <v>250</v>
      </c>
      <c r="CZ31" s="25">
        <f>SUMIF(RAW_DEATHS!$B:$B,Overview!$A31,RAW_DEATHS!DA:DA)</f>
        <v>252</v>
      </c>
      <c r="DA31" s="25">
        <f>SUMIF(RAW_DEATHS!$B:$B,Overview!$A31,RAW_DEATHS!DB:DB)</f>
        <v>0</v>
      </c>
      <c r="DB31" s="25">
        <f>SUMIF(RAW_DEATHS!$B:$B,Overview!$A31,RAW_DEATHS!DC:DC)</f>
        <v>0</v>
      </c>
      <c r="DC31" s="25">
        <f>SUMIF(RAW_DEATHS!$B:$B,Overview!$A31,RAW_DEATHS!DD:DD)</f>
        <v>0</v>
      </c>
      <c r="DD31" s="25">
        <f>SUMIF(RAW_DEATHS!$B:$B,Overview!$A31,RAW_DEATHS!DE:DE)</f>
        <v>0</v>
      </c>
      <c r="DE31" s="25">
        <f>SUMIF(RAW_DEATHS!$B:$B,Overview!$A31,RAW_DEATHS!DF:DF)</f>
        <v>0</v>
      </c>
      <c r="DF31" s="25">
        <f>SUMIF(RAW_DEATHS!$B:$B,Overview!$A31,RAW_DEATHS!DG:DG)</f>
        <v>0</v>
      </c>
      <c r="DG31" s="25">
        <f>SUMIF(RAW_DEATHS!$B:$B,Overview!$A31,RAW_DEATHS!DH:DH)</f>
        <v>0</v>
      </c>
      <c r="DH31" s="25">
        <f>SUMIF(RAW_DEATHS!$B:$B,Overview!$A31,RAW_DEATHS!DI:DI)</f>
        <v>0</v>
      </c>
      <c r="DI31" s="25">
        <f>SUMIF(RAW_DEATHS!$B:$B,Overview!$A31,RAW_DEATHS!DJ:DJ)</f>
        <v>0</v>
      </c>
      <c r="DJ31" s="25">
        <f>SUMIF(RAW_DEATHS!$B:$B,Overview!$A31,RAW_DEATHS!DK:DK)</f>
        <v>0</v>
      </c>
      <c r="DK31" s="25">
        <f>SUMIF(RAW_DEATHS!$B:$B,Overview!$A31,RAW_DEATHS!DL:DL)</f>
        <v>0</v>
      </c>
      <c r="DL31" s="25">
        <f>SUMIF(RAW_DEATHS!$B:$B,Overview!$A31,RAW_DEATHS!DM:DM)</f>
        <v>0</v>
      </c>
      <c r="DM31" s="25">
        <f>SUMIF(RAW_DEATHS!$B:$B,Overview!$A31,RAW_DEATHS!DN:DN)</f>
        <v>0</v>
      </c>
      <c r="DN31" s="25">
        <f>SUMIF(RAW_DEATHS!$B:$B,Overview!$A31,RAW_DEATHS!DO:DO)</f>
        <v>0</v>
      </c>
      <c r="DO31" s="25">
        <f>SUMIF(RAW_DEATHS!$B:$B,Overview!$A31,RAW_DEATHS!DP:DP)</f>
        <v>0</v>
      </c>
      <c r="DP31" s="25">
        <f>SUMIF(RAW_DEATHS!$B:$B,Overview!$A31,RAW_DEATHS!DQ:DQ)</f>
        <v>0</v>
      </c>
      <c r="DQ31" s="25">
        <f>SUMIF(RAW_DEATHS!$B:$B,Overview!$A31,RAW_DEATHS!DR:DR)</f>
        <v>0</v>
      </c>
      <c r="DR31" s="25">
        <f>SUMIF(RAW_DEATHS!$B:$B,Overview!$A31,RAW_DEATHS!DS:DS)</f>
        <v>0</v>
      </c>
      <c r="DS31" s="25">
        <f>SUMIF(RAW_DEATHS!$B:$B,Overview!$A31,RAW_DEATHS!DT:DT)</f>
        <v>0</v>
      </c>
      <c r="DT31" s="25">
        <f>SUMIF(RAW_DEATHS!$B:$B,Overview!$A31,RAW_DEATHS!DU:DU)</f>
        <v>0</v>
      </c>
      <c r="DU31" s="25">
        <f>SUMIF(RAW_DEATHS!$B:$B,Overview!$A31,RAW_DEATHS!DV:DV)</f>
        <v>0</v>
      </c>
      <c r="DV31" s="25">
        <f>SUMIF(RAW_DEATHS!$B:$B,Overview!$A31,RAW_DEATHS!DW:DW)</f>
        <v>0</v>
      </c>
      <c r="DW31" s="25">
        <f>SUMIF(RAW_DEATHS!$B:$B,Overview!$A31,RAW_DEATHS!DX:DX)</f>
        <v>0</v>
      </c>
      <c r="DX31" s="25">
        <f>SUMIF(RAW_DEATHS!$B:$B,Overview!$A31,RAW_DEATHS!DY:DY)</f>
        <v>0</v>
      </c>
      <c r="DY31" s="25">
        <f>SUMIF(RAW_DEATHS!$B:$B,Overview!$A31,RAW_DEATHS!DZ:DZ)</f>
        <v>0</v>
      </c>
      <c r="DZ31" s="25">
        <f>SUMIF(RAW_DEATHS!$B:$B,Overview!$A31,RAW_DEATHS!EA:EA)</f>
        <v>0</v>
      </c>
      <c r="EA31" s="25">
        <f>SUMIF(RAW_DEATHS!$B:$B,Overview!$A31,RAW_DEATHS!EB:EB)</f>
        <v>0</v>
      </c>
    </row>
    <row r="32" spans="1:131" s="10" customFormat="1" ht="13.15" x14ac:dyDescent="0.4">
      <c r="A32" s="24" t="str">
        <f>IF(ISBLANK(A21),"",A21)</f>
        <v>Spain</v>
      </c>
      <c r="B32" s="28">
        <f>SUMIF(RAW_DEATHS!$B:$B,Overview!$A32,RAW_DEATHS!C:C)</f>
        <v>0</v>
      </c>
      <c r="C32" s="28">
        <f>SUMIF(RAW_DEATHS!$B:$B,Overview!$A32,RAW_DEATHS!D:D)</f>
        <v>0</v>
      </c>
      <c r="D32" s="28">
        <f>SUMIF(RAW_DEATHS!$B:$B,Overview!$A32,RAW_DEATHS!E:E)</f>
        <v>0</v>
      </c>
      <c r="E32" s="28">
        <f>SUMIF(RAW_DEATHS!$B:$B,Overview!$A32,RAW_DEATHS!F:F)</f>
        <v>0</v>
      </c>
      <c r="F32" s="28">
        <f>SUMIF(RAW_DEATHS!$B:$B,Overview!$A32,RAW_DEATHS!G:G)</f>
        <v>0</v>
      </c>
      <c r="G32" s="28">
        <f>SUMIF(RAW_DEATHS!$B:$B,Overview!$A32,RAW_DEATHS!H:H)</f>
        <v>0</v>
      </c>
      <c r="H32" s="28">
        <f>SUMIF(RAW_DEATHS!$B:$B,Overview!$A32,RAW_DEATHS!I:I)</f>
        <v>0</v>
      </c>
      <c r="I32" s="28">
        <f>SUMIF(RAW_DEATHS!$B:$B,Overview!$A32,RAW_DEATHS!J:J)</f>
        <v>0</v>
      </c>
      <c r="J32" s="28">
        <f>SUMIF(RAW_DEATHS!$B:$B,Overview!$A32,RAW_DEATHS!K:K)</f>
        <v>0</v>
      </c>
      <c r="K32" s="28">
        <f>SUMIF(RAW_DEATHS!$B:$B,Overview!$A32,RAW_DEATHS!L:L)</f>
        <v>0</v>
      </c>
      <c r="L32" s="28">
        <f>SUMIF(RAW_DEATHS!$B:$B,Overview!$A32,RAW_DEATHS!M:M)</f>
        <v>0</v>
      </c>
      <c r="M32" s="28">
        <f>SUMIF(RAW_DEATHS!$B:$B,Overview!$A32,RAW_DEATHS!N:N)</f>
        <v>0</v>
      </c>
      <c r="N32" s="28">
        <f>SUMIF(RAW_DEATHS!$B:$B,Overview!$A32,RAW_DEATHS!O:O)</f>
        <v>0</v>
      </c>
      <c r="O32" s="28">
        <f>SUMIF(RAW_DEATHS!$B:$B,Overview!$A32,RAW_DEATHS!P:P)</f>
        <v>0</v>
      </c>
      <c r="P32" s="28">
        <f>SUMIF(RAW_DEATHS!$B:$B,Overview!$A32,RAW_DEATHS!Q:Q)</f>
        <v>0</v>
      </c>
      <c r="Q32" s="28">
        <f>SUMIF(RAW_DEATHS!$B:$B,Overview!$A32,RAW_DEATHS!R:R)</f>
        <v>0</v>
      </c>
      <c r="R32" s="28">
        <f>SUMIF(RAW_DEATHS!$B:$B,Overview!$A32,RAW_DEATHS!S:S)</f>
        <v>0</v>
      </c>
      <c r="S32" s="28">
        <f>SUMIF(RAW_DEATHS!$B:$B,Overview!$A32,RAW_DEATHS!T:T)</f>
        <v>0</v>
      </c>
      <c r="T32" s="28">
        <f>SUMIF(RAW_DEATHS!$B:$B,Overview!$A32,RAW_DEATHS!U:U)</f>
        <v>0</v>
      </c>
      <c r="U32" s="28">
        <f>SUMIF(RAW_DEATHS!$B:$B,Overview!$A32,RAW_DEATHS!V:V)</f>
        <v>0</v>
      </c>
      <c r="V32" s="28">
        <f>SUMIF(RAW_DEATHS!$B:$B,Overview!$A32,RAW_DEATHS!W:W)</f>
        <v>0</v>
      </c>
      <c r="W32" s="28">
        <f>SUMIF(RAW_DEATHS!$B:$B,Overview!$A32,RAW_DEATHS!X:X)</f>
        <v>0</v>
      </c>
      <c r="X32" s="28">
        <f>SUMIF(RAW_DEATHS!$B:$B,Overview!$A32,RAW_DEATHS!Y:Y)</f>
        <v>0</v>
      </c>
      <c r="Y32" s="28">
        <f>SUMIF(RAW_DEATHS!$B:$B,Overview!$A32,RAW_DEATHS!Z:Z)</f>
        <v>0</v>
      </c>
      <c r="Z32" s="28">
        <f>SUMIF(RAW_DEATHS!$B:$B,Overview!$A32,RAW_DEATHS!AA:AA)</f>
        <v>0</v>
      </c>
      <c r="AA32" s="28">
        <f>SUMIF(RAW_DEATHS!$B:$B,Overview!$A32,RAW_DEATHS!AB:AB)</f>
        <v>0</v>
      </c>
      <c r="AB32" s="28">
        <f>SUMIF(RAW_DEATHS!$B:$B,Overview!$A32,RAW_DEATHS!AC:AC)</f>
        <v>0</v>
      </c>
      <c r="AC32" s="28">
        <f>SUMIF(RAW_DEATHS!$B:$B,Overview!$A32,RAW_DEATHS!AD:AD)</f>
        <v>0</v>
      </c>
      <c r="AD32" s="28">
        <f>SUMIF(RAW_DEATHS!$B:$B,Overview!$A32,RAW_DEATHS!AE:AE)</f>
        <v>0</v>
      </c>
      <c r="AE32" s="28">
        <f>SUMIF(RAW_DEATHS!$B:$B,Overview!$A32,RAW_DEATHS!AF:AF)</f>
        <v>0</v>
      </c>
      <c r="AF32" s="28">
        <f>SUMIF(RAW_DEATHS!$B:$B,Overview!$A32,RAW_DEATHS!AG:AG)</f>
        <v>0</v>
      </c>
      <c r="AG32" s="28">
        <f>SUMIF(RAW_DEATHS!$B:$B,Overview!$A32,RAW_DEATHS!AH:AH)</f>
        <v>0</v>
      </c>
      <c r="AH32" s="28">
        <f>SUMIF(RAW_DEATHS!$B:$B,Overview!$A32,RAW_DEATHS!AI:AI)</f>
        <v>0</v>
      </c>
      <c r="AI32" s="28">
        <f>SUMIF(RAW_DEATHS!$B:$B,Overview!$A32,RAW_DEATHS!AJ:AJ)</f>
        <v>0</v>
      </c>
      <c r="AJ32" s="28">
        <f>SUMIF(RAW_DEATHS!$B:$B,Overview!$A32,RAW_DEATHS!AK:AK)</f>
        <v>0</v>
      </c>
      <c r="AK32" s="28">
        <f>SUMIF(RAW_DEATHS!$B:$B,Overview!$A32,RAW_DEATHS!AL:AL)</f>
        <v>0</v>
      </c>
      <c r="AL32" s="28">
        <f>SUMIF(RAW_DEATHS!$B:$B,Overview!$A32,RAW_DEATHS!AM:AM)</f>
        <v>0</v>
      </c>
      <c r="AM32" s="28">
        <f>SUMIF(RAW_DEATHS!$B:$B,Overview!$A32,RAW_DEATHS!AN:AN)</f>
        <v>0</v>
      </c>
      <c r="AN32" s="28">
        <f>SUMIF(RAW_DEATHS!$B:$B,Overview!$A32,RAW_DEATHS!AO:AO)</f>
        <v>0</v>
      </c>
      <c r="AO32" s="28">
        <f>SUMIF(RAW_DEATHS!$B:$B,Overview!$A32,RAW_DEATHS!AP:AP)</f>
        <v>0</v>
      </c>
      <c r="AP32" s="28">
        <f>SUMIF(RAW_DEATHS!$B:$B,Overview!$A32,RAW_DEATHS!AQ:AQ)</f>
        <v>0</v>
      </c>
      <c r="AQ32" s="28">
        <f>SUMIF(RAW_DEATHS!$B:$B,Overview!$A32,RAW_DEATHS!AR:AR)</f>
        <v>1</v>
      </c>
      <c r="AR32" s="28">
        <f>SUMIF(RAW_DEATHS!$B:$B,Overview!$A32,RAW_DEATHS!AS:AS)</f>
        <v>2</v>
      </c>
      <c r="AS32" s="28">
        <f>SUMIF(RAW_DEATHS!$B:$B,Overview!$A32,RAW_DEATHS!AT:AT)</f>
        <v>3</v>
      </c>
      <c r="AT32" s="28">
        <f>SUMIF(RAW_DEATHS!$B:$B,Overview!$A32,RAW_DEATHS!AU:AU)</f>
        <v>5</v>
      </c>
      <c r="AU32" s="28">
        <f>SUMIF(RAW_DEATHS!$B:$B,Overview!$A32,RAW_DEATHS!AV:AV)</f>
        <v>10</v>
      </c>
      <c r="AV32" s="28">
        <f>SUMIF(RAW_DEATHS!$B:$B,Overview!$A32,RAW_DEATHS!AW:AW)</f>
        <v>17</v>
      </c>
      <c r="AW32" s="28">
        <f>SUMIF(RAW_DEATHS!$B:$B,Overview!$A32,RAW_DEATHS!AX:AX)</f>
        <v>28</v>
      </c>
      <c r="AX32" s="28">
        <f>SUMIF(RAW_DEATHS!$B:$B,Overview!$A32,RAW_DEATHS!AY:AY)</f>
        <v>35</v>
      </c>
      <c r="AY32" s="28">
        <f>SUMIF(RAW_DEATHS!$B:$B,Overview!$A32,RAW_DEATHS!AZ:AZ)</f>
        <v>54</v>
      </c>
      <c r="AZ32" s="28">
        <f>SUMIF(RAW_DEATHS!$B:$B,Overview!$A32,RAW_DEATHS!BA:BA)</f>
        <v>55</v>
      </c>
      <c r="BA32" s="28">
        <f>SUMIF(RAW_DEATHS!$B:$B,Overview!$A32,RAW_DEATHS!BB:BB)</f>
        <v>133</v>
      </c>
      <c r="BB32" s="28">
        <f>SUMIF(RAW_DEATHS!$B:$B,Overview!$A32,RAW_DEATHS!BC:BC)</f>
        <v>195</v>
      </c>
      <c r="BC32" s="28">
        <f>SUMIF(RAW_DEATHS!$B:$B,Overview!$A32,RAW_DEATHS!BD:BD)</f>
        <v>289</v>
      </c>
      <c r="BD32" s="28">
        <f>SUMIF(RAW_DEATHS!$B:$B,Overview!$A32,RAW_DEATHS!BE:BE)</f>
        <v>342</v>
      </c>
      <c r="BE32" s="28">
        <f>SUMIF(RAW_DEATHS!$B:$B,Overview!$A32,RAW_DEATHS!BF:BF)</f>
        <v>533</v>
      </c>
      <c r="BF32" s="28">
        <f>SUMIF(RAW_DEATHS!$B:$B,Overview!$A32,RAW_DEATHS!BG:BG)</f>
        <v>623</v>
      </c>
      <c r="BG32" s="28">
        <f>SUMIF(RAW_DEATHS!$B:$B,Overview!$A32,RAW_DEATHS!BH:BH)</f>
        <v>830</v>
      </c>
      <c r="BH32" s="28">
        <f>SUMIF(RAW_DEATHS!$B:$B,Overview!$A32,RAW_DEATHS!BI:BI)</f>
        <v>1043</v>
      </c>
      <c r="BI32" s="28">
        <f>SUMIF(RAW_DEATHS!$B:$B,Overview!$A32,RAW_DEATHS!BJ:BJ)</f>
        <v>1375</v>
      </c>
      <c r="BJ32" s="28">
        <f>SUMIF(RAW_DEATHS!$B:$B,Overview!$A32,RAW_DEATHS!BK:BK)</f>
        <v>1772</v>
      </c>
      <c r="BK32" s="28">
        <f>SUMIF(RAW_DEATHS!$B:$B,Overview!$A32,RAW_DEATHS!BL:BL)</f>
        <v>2311</v>
      </c>
      <c r="BL32" s="28">
        <f>SUMIF(RAW_DEATHS!$B:$B,Overview!$A32,RAW_DEATHS!BM:BM)</f>
        <v>2808</v>
      </c>
      <c r="BM32" s="28">
        <f>SUMIF(RAW_DEATHS!$B:$B,Overview!$A32,RAW_DEATHS!BN:BN)</f>
        <v>3647</v>
      </c>
      <c r="BN32" s="28">
        <f>SUMIF(RAW_DEATHS!$B:$B,Overview!$A32,RAW_DEATHS!BO:BO)</f>
        <v>4365</v>
      </c>
      <c r="BO32" s="28">
        <f>SUMIF(RAW_DEATHS!$B:$B,Overview!$A32,RAW_DEATHS!BP:BP)</f>
        <v>5138</v>
      </c>
      <c r="BP32" s="28">
        <f>SUMIF(RAW_DEATHS!$B:$B,Overview!$A32,RAW_DEATHS!BQ:BQ)</f>
        <v>5982</v>
      </c>
      <c r="BQ32" s="28">
        <f>SUMIF(RAW_DEATHS!$B:$B,Overview!$A32,RAW_DEATHS!BR:BR)</f>
        <v>6803</v>
      </c>
      <c r="BR32" s="28">
        <f>SUMIF(RAW_DEATHS!$B:$B,Overview!$A32,RAW_DEATHS!BS:BS)</f>
        <v>7716</v>
      </c>
      <c r="BS32" s="28">
        <f>SUMIF(RAW_DEATHS!$B:$B,Overview!$A32,RAW_DEATHS!BT:BT)</f>
        <v>8464</v>
      </c>
      <c r="BT32" s="28">
        <f>SUMIF(RAW_DEATHS!$B:$B,Overview!$A32,RAW_DEATHS!BU:BU)</f>
        <v>9387</v>
      </c>
      <c r="BU32" s="28">
        <f>SUMIF(RAW_DEATHS!$B:$B,Overview!$A32,RAW_DEATHS!BV:BV)</f>
        <v>10348</v>
      </c>
      <c r="BV32" s="28">
        <f>SUMIF(RAW_DEATHS!$B:$B,Overview!$A32,RAW_DEATHS!BW:BW)</f>
        <v>11198</v>
      </c>
      <c r="BW32" s="28">
        <f>SUMIF(RAW_DEATHS!$B:$B,Overview!$A32,RAW_DEATHS!BX:BX)</f>
        <v>11947</v>
      </c>
      <c r="BX32" s="28">
        <f>SUMIF(RAW_DEATHS!$B:$B,Overview!$A32,RAW_DEATHS!BY:BY)</f>
        <v>12641</v>
      </c>
      <c r="BY32" s="28">
        <f>SUMIF(RAW_DEATHS!$B:$B,Overview!$A32,RAW_DEATHS!BZ:BZ)</f>
        <v>13341</v>
      </c>
      <c r="BZ32" s="28">
        <f>SUMIF(RAW_DEATHS!$B:$B,Overview!$A32,RAW_DEATHS!CA:CA)</f>
        <v>14045</v>
      </c>
      <c r="CA32" s="28">
        <f>SUMIF(RAW_DEATHS!$B:$B,Overview!$A32,RAW_DEATHS!CB:CB)</f>
        <v>14792</v>
      </c>
      <c r="CB32" s="28">
        <f>SUMIF(RAW_DEATHS!$B:$B,Overview!$A32,RAW_DEATHS!CC:CC)</f>
        <v>15447</v>
      </c>
      <c r="CC32" s="28">
        <f>SUMIF(RAW_DEATHS!$B:$B,Overview!$A32,RAW_DEATHS!CD:CD)</f>
        <v>16081</v>
      </c>
      <c r="CD32" s="28">
        <f>SUMIF(RAW_DEATHS!$B:$B,Overview!$A32,RAW_DEATHS!CE:CE)</f>
        <v>16606</v>
      </c>
      <c r="CE32" s="28">
        <f>SUMIF(RAW_DEATHS!$B:$B,Overview!$A32,RAW_DEATHS!CF:CF)</f>
        <v>17209</v>
      </c>
      <c r="CF32" s="25">
        <f>SUMIF(RAW_DEATHS!$B:$B,Overview!$A32,RAW_DEATHS!CG:CG)</f>
        <v>17756</v>
      </c>
      <c r="CG32" s="25">
        <f>SUMIF(RAW_DEATHS!$B:$B,Overview!$A32,RAW_DEATHS!CH:CH)</f>
        <v>18056</v>
      </c>
      <c r="CH32" s="25">
        <f>SUMIF(RAW_DEATHS!$B:$B,Overview!$A32,RAW_DEATHS!CI:CI)</f>
        <v>18708</v>
      </c>
      <c r="CI32" s="25">
        <f>SUMIF(RAW_DEATHS!$B:$B,Overview!$A32,RAW_DEATHS!CJ:CJ)</f>
        <v>19315</v>
      </c>
      <c r="CJ32" s="25">
        <f>SUMIF(RAW_DEATHS!$B:$B,Overview!$A32,RAW_DEATHS!CK:CK)</f>
        <v>20002</v>
      </c>
      <c r="CK32" s="25">
        <f>SUMIF(RAW_DEATHS!$B:$B,Overview!$A32,RAW_DEATHS!CL:CL)</f>
        <v>20043</v>
      </c>
      <c r="CL32" s="25">
        <f>SUMIF(RAW_DEATHS!$B:$B,Overview!$A32,RAW_DEATHS!CM:CM)</f>
        <v>20453</v>
      </c>
      <c r="CM32" s="25">
        <f>SUMIF(RAW_DEATHS!$B:$B,Overview!$A32,RAW_DEATHS!CN:CN)</f>
        <v>20852</v>
      </c>
      <c r="CN32" s="25">
        <f>SUMIF(RAW_DEATHS!$B:$B,Overview!$A32,RAW_DEATHS!CO:CO)</f>
        <v>21282</v>
      </c>
      <c r="CO32" s="25">
        <f>SUMIF(RAW_DEATHS!$B:$B,Overview!$A32,RAW_DEATHS!CP:CP)</f>
        <v>21717</v>
      </c>
      <c r="CP32" s="25">
        <f>SUMIF(RAW_DEATHS!$B:$B,Overview!$A32,RAW_DEATHS!CQ:CQ)</f>
        <v>22157</v>
      </c>
      <c r="CQ32" s="25">
        <f>SUMIF(RAW_DEATHS!$B:$B,Overview!$A32,RAW_DEATHS!CR:CR)</f>
        <v>22524</v>
      </c>
      <c r="CR32" s="25">
        <f>SUMIF(RAW_DEATHS!$B:$B,Overview!$A32,RAW_DEATHS!CS:CS)</f>
        <v>22902</v>
      </c>
      <c r="CS32" s="25">
        <f>SUMIF(RAW_DEATHS!$B:$B,Overview!$A32,RAW_DEATHS!CT:CT)</f>
        <v>23190</v>
      </c>
      <c r="CT32" s="25">
        <f>SUMIF(RAW_DEATHS!$B:$B,Overview!$A32,RAW_DEATHS!CU:CU)</f>
        <v>23521</v>
      </c>
      <c r="CU32" s="25">
        <f>SUMIF(RAW_DEATHS!$B:$B,Overview!$A32,RAW_DEATHS!CV:CV)</f>
        <v>23822</v>
      </c>
      <c r="CV32" s="25">
        <f>SUMIF(RAW_DEATHS!$B:$B,Overview!$A32,RAW_DEATHS!CW:CW)</f>
        <v>24275</v>
      </c>
      <c r="CW32" s="25">
        <f>SUMIF(RAW_DEATHS!$B:$B,Overview!$A32,RAW_DEATHS!CX:CX)</f>
        <v>24543</v>
      </c>
      <c r="CX32" s="25">
        <f>SUMIF(RAW_DEATHS!$B:$B,Overview!$A32,RAW_DEATHS!CY:CY)</f>
        <v>24543</v>
      </c>
      <c r="CY32" s="25">
        <f>SUMIF(RAW_DEATHS!$B:$B,Overview!$A32,RAW_DEATHS!CZ:CZ)</f>
        <v>25100</v>
      </c>
      <c r="CZ32" s="25">
        <f>SUMIF(RAW_DEATHS!$B:$B,Overview!$A32,RAW_DEATHS!DA:DA)</f>
        <v>25264</v>
      </c>
      <c r="DA32" s="25">
        <f>SUMIF(RAW_DEATHS!$B:$B,Overview!$A32,RAW_DEATHS!DB:DB)</f>
        <v>0</v>
      </c>
      <c r="DB32" s="25">
        <f>SUMIF(RAW_DEATHS!$B:$B,Overview!$A32,RAW_DEATHS!DC:DC)</f>
        <v>0</v>
      </c>
      <c r="DC32" s="25">
        <f>SUMIF(RAW_DEATHS!$B:$B,Overview!$A32,RAW_DEATHS!DD:DD)</f>
        <v>0</v>
      </c>
      <c r="DD32" s="25">
        <f>SUMIF(RAW_DEATHS!$B:$B,Overview!$A32,RAW_DEATHS!DE:DE)</f>
        <v>0</v>
      </c>
      <c r="DE32" s="25">
        <f>SUMIF(RAW_DEATHS!$B:$B,Overview!$A32,RAW_DEATHS!DF:DF)</f>
        <v>0</v>
      </c>
      <c r="DF32" s="25">
        <f>SUMIF(RAW_DEATHS!$B:$B,Overview!$A32,RAW_DEATHS!DG:DG)</f>
        <v>0</v>
      </c>
      <c r="DG32" s="25">
        <f>SUMIF(RAW_DEATHS!$B:$B,Overview!$A32,RAW_DEATHS!DH:DH)</f>
        <v>0</v>
      </c>
      <c r="DH32" s="25">
        <f>SUMIF(RAW_DEATHS!$B:$B,Overview!$A32,RAW_DEATHS!DI:DI)</f>
        <v>0</v>
      </c>
      <c r="DI32" s="25">
        <f>SUMIF(RAW_DEATHS!$B:$B,Overview!$A32,RAW_DEATHS!DJ:DJ)</f>
        <v>0</v>
      </c>
      <c r="DJ32" s="25">
        <f>SUMIF(RAW_DEATHS!$B:$B,Overview!$A32,RAW_DEATHS!DK:DK)</f>
        <v>0</v>
      </c>
      <c r="DK32" s="25">
        <f>SUMIF(RAW_DEATHS!$B:$B,Overview!$A32,RAW_DEATHS!DL:DL)</f>
        <v>0</v>
      </c>
      <c r="DL32" s="25">
        <f>SUMIF(RAW_DEATHS!$B:$B,Overview!$A32,RAW_DEATHS!DM:DM)</f>
        <v>0</v>
      </c>
      <c r="DM32" s="25">
        <f>SUMIF(RAW_DEATHS!$B:$B,Overview!$A32,RAW_DEATHS!DN:DN)</f>
        <v>0</v>
      </c>
      <c r="DN32" s="25">
        <f>SUMIF(RAW_DEATHS!$B:$B,Overview!$A32,RAW_DEATHS!DO:DO)</f>
        <v>0</v>
      </c>
      <c r="DO32" s="25">
        <f>SUMIF(RAW_DEATHS!$B:$B,Overview!$A32,RAW_DEATHS!DP:DP)</f>
        <v>0</v>
      </c>
      <c r="DP32" s="25">
        <f>SUMIF(RAW_DEATHS!$B:$B,Overview!$A32,RAW_DEATHS!DQ:DQ)</f>
        <v>0</v>
      </c>
      <c r="DQ32" s="25">
        <f>SUMIF(RAW_DEATHS!$B:$B,Overview!$A32,RAW_DEATHS!DR:DR)</f>
        <v>0</v>
      </c>
      <c r="DR32" s="25">
        <f>SUMIF(RAW_DEATHS!$B:$B,Overview!$A32,RAW_DEATHS!DS:DS)</f>
        <v>0</v>
      </c>
      <c r="DS32" s="25">
        <f>SUMIF(RAW_DEATHS!$B:$B,Overview!$A32,RAW_DEATHS!DT:DT)</f>
        <v>0</v>
      </c>
      <c r="DT32" s="25">
        <f>SUMIF(RAW_DEATHS!$B:$B,Overview!$A32,RAW_DEATHS!DU:DU)</f>
        <v>0</v>
      </c>
      <c r="DU32" s="25">
        <f>SUMIF(RAW_DEATHS!$B:$B,Overview!$A32,RAW_DEATHS!DV:DV)</f>
        <v>0</v>
      </c>
      <c r="DV32" s="25">
        <f>SUMIF(RAW_DEATHS!$B:$B,Overview!$A32,RAW_DEATHS!DW:DW)</f>
        <v>0</v>
      </c>
      <c r="DW32" s="25">
        <f>SUMIF(RAW_DEATHS!$B:$B,Overview!$A32,RAW_DEATHS!DX:DX)</f>
        <v>0</v>
      </c>
      <c r="DX32" s="25">
        <f>SUMIF(RAW_DEATHS!$B:$B,Overview!$A32,RAW_DEATHS!DY:DY)</f>
        <v>0</v>
      </c>
      <c r="DY32" s="25">
        <f>SUMIF(RAW_DEATHS!$B:$B,Overview!$A32,RAW_DEATHS!DZ:DZ)</f>
        <v>0</v>
      </c>
      <c r="DZ32" s="25">
        <f>SUMIF(RAW_DEATHS!$B:$B,Overview!$A32,RAW_DEATHS!EA:EA)</f>
        <v>0</v>
      </c>
      <c r="EA32" s="25">
        <f>SUMIF(RAW_DEATHS!$B:$B,Overview!$A32,RAW_DEATHS!EB:EB)</f>
        <v>0</v>
      </c>
    </row>
    <row r="33" spans="1:131" s="10" customFormat="1" ht="13.15" x14ac:dyDescent="0.4">
      <c r="A33" s="26" t="str">
        <f t="shared" ref="A33" si="156">IF(ISBLANK(A22),"",A22)</f>
        <v>United Kingdom</v>
      </c>
      <c r="B33" s="29">
        <f>SUMIF(RAW_DEATHS!$B:$B,Overview!$A33,RAW_DEATHS!C:C)</f>
        <v>0</v>
      </c>
      <c r="C33" s="29">
        <f>SUMIF(RAW_DEATHS!$B:$B,Overview!$A33,RAW_DEATHS!D:D)</f>
        <v>0</v>
      </c>
      <c r="D33" s="29">
        <f>SUMIF(RAW_DEATHS!$B:$B,Overview!$A33,RAW_DEATHS!E:E)</f>
        <v>0</v>
      </c>
      <c r="E33" s="29">
        <f>SUMIF(RAW_DEATHS!$B:$B,Overview!$A33,RAW_DEATHS!F:F)</f>
        <v>0</v>
      </c>
      <c r="F33" s="29">
        <f>SUMIF(RAW_DEATHS!$B:$B,Overview!$A33,RAW_DEATHS!G:G)</f>
        <v>0</v>
      </c>
      <c r="G33" s="29">
        <f>SUMIF(RAW_DEATHS!$B:$B,Overview!$A33,RAW_DEATHS!H:H)</f>
        <v>0</v>
      </c>
      <c r="H33" s="29">
        <f>SUMIF(RAW_DEATHS!$B:$B,Overview!$A33,RAW_DEATHS!I:I)</f>
        <v>0</v>
      </c>
      <c r="I33" s="29">
        <f>SUMIF(RAW_DEATHS!$B:$B,Overview!$A33,RAW_DEATHS!J:J)</f>
        <v>0</v>
      </c>
      <c r="J33" s="29">
        <f>SUMIF(RAW_DEATHS!$B:$B,Overview!$A33,RAW_DEATHS!K:K)</f>
        <v>0</v>
      </c>
      <c r="K33" s="29">
        <f>SUMIF(RAW_DEATHS!$B:$B,Overview!$A33,RAW_DEATHS!L:L)</f>
        <v>0</v>
      </c>
      <c r="L33" s="29">
        <f>SUMIF(RAW_DEATHS!$B:$B,Overview!$A33,RAW_DEATHS!M:M)</f>
        <v>0</v>
      </c>
      <c r="M33" s="29">
        <f>SUMIF(RAW_DEATHS!$B:$B,Overview!$A33,RAW_DEATHS!N:N)</f>
        <v>0</v>
      </c>
      <c r="N33" s="29">
        <f>SUMIF(RAW_DEATHS!$B:$B,Overview!$A33,RAW_DEATHS!O:O)</f>
        <v>0</v>
      </c>
      <c r="O33" s="29">
        <f>SUMIF(RAW_DEATHS!$B:$B,Overview!$A33,RAW_DEATHS!P:P)</f>
        <v>0</v>
      </c>
      <c r="P33" s="29">
        <f>SUMIF(RAW_DEATHS!$B:$B,Overview!$A33,RAW_DEATHS!Q:Q)</f>
        <v>0</v>
      </c>
      <c r="Q33" s="29">
        <f>SUMIF(RAW_DEATHS!$B:$B,Overview!$A33,RAW_DEATHS!R:R)</f>
        <v>0</v>
      </c>
      <c r="R33" s="29">
        <f>SUMIF(RAW_DEATHS!$B:$B,Overview!$A33,RAW_DEATHS!S:S)</f>
        <v>0</v>
      </c>
      <c r="S33" s="29">
        <f>SUMIF(RAW_DEATHS!$B:$B,Overview!$A33,RAW_DEATHS!T:T)</f>
        <v>0</v>
      </c>
      <c r="T33" s="29">
        <f>SUMIF(RAW_DEATHS!$B:$B,Overview!$A33,RAW_DEATHS!U:U)</f>
        <v>0</v>
      </c>
      <c r="U33" s="29">
        <f>SUMIF(RAW_DEATHS!$B:$B,Overview!$A33,RAW_DEATHS!V:V)</f>
        <v>0</v>
      </c>
      <c r="V33" s="29">
        <f>SUMIF(RAW_DEATHS!$B:$B,Overview!$A33,RAW_DEATHS!W:W)</f>
        <v>0</v>
      </c>
      <c r="W33" s="29">
        <f>SUMIF(RAW_DEATHS!$B:$B,Overview!$A33,RAW_DEATHS!X:X)</f>
        <v>0</v>
      </c>
      <c r="X33" s="29">
        <f>SUMIF(RAW_DEATHS!$B:$B,Overview!$A33,RAW_DEATHS!Y:Y)</f>
        <v>0</v>
      </c>
      <c r="Y33" s="29">
        <f>SUMIF(RAW_DEATHS!$B:$B,Overview!$A33,RAW_DEATHS!Z:Z)</f>
        <v>0</v>
      </c>
      <c r="Z33" s="29">
        <f>SUMIF(RAW_DEATHS!$B:$B,Overview!$A33,RAW_DEATHS!AA:AA)</f>
        <v>0</v>
      </c>
      <c r="AA33" s="29">
        <f>SUMIF(RAW_DEATHS!$B:$B,Overview!$A33,RAW_DEATHS!AB:AB)</f>
        <v>0</v>
      </c>
      <c r="AB33" s="29">
        <f>SUMIF(RAW_DEATHS!$B:$B,Overview!$A33,RAW_DEATHS!AC:AC)</f>
        <v>0</v>
      </c>
      <c r="AC33" s="29">
        <f>SUMIF(RAW_DEATHS!$B:$B,Overview!$A33,RAW_DEATHS!AD:AD)</f>
        <v>0</v>
      </c>
      <c r="AD33" s="29">
        <f>SUMIF(RAW_DEATHS!$B:$B,Overview!$A33,RAW_DEATHS!AE:AE)</f>
        <v>0</v>
      </c>
      <c r="AE33" s="29">
        <f>SUMIF(RAW_DEATHS!$B:$B,Overview!$A33,RAW_DEATHS!AF:AF)</f>
        <v>0</v>
      </c>
      <c r="AF33" s="29">
        <f>SUMIF(RAW_DEATHS!$B:$B,Overview!$A33,RAW_DEATHS!AG:AG)</f>
        <v>0</v>
      </c>
      <c r="AG33" s="29">
        <f>SUMIF(RAW_DEATHS!$B:$B,Overview!$A33,RAW_DEATHS!AH:AH)</f>
        <v>0</v>
      </c>
      <c r="AH33" s="29">
        <f>SUMIF(RAW_DEATHS!$B:$B,Overview!$A33,RAW_DEATHS!AI:AI)</f>
        <v>0</v>
      </c>
      <c r="AI33" s="29">
        <f>SUMIF(RAW_DEATHS!$B:$B,Overview!$A33,RAW_DEATHS!AJ:AJ)</f>
        <v>0</v>
      </c>
      <c r="AJ33" s="29">
        <f>SUMIF(RAW_DEATHS!$B:$B,Overview!$A33,RAW_DEATHS!AK:AK)</f>
        <v>0</v>
      </c>
      <c r="AK33" s="29">
        <f>SUMIF(RAW_DEATHS!$B:$B,Overview!$A33,RAW_DEATHS!AL:AL)</f>
        <v>0</v>
      </c>
      <c r="AL33" s="29">
        <f>SUMIF(RAW_DEATHS!$B:$B,Overview!$A33,RAW_DEATHS!AM:AM)</f>
        <v>0</v>
      </c>
      <c r="AM33" s="29">
        <f>SUMIF(RAW_DEATHS!$B:$B,Overview!$A33,RAW_DEATHS!AN:AN)</f>
        <v>0</v>
      </c>
      <c r="AN33" s="29">
        <f>SUMIF(RAW_DEATHS!$B:$B,Overview!$A33,RAW_DEATHS!AO:AO)</f>
        <v>0</v>
      </c>
      <c r="AO33" s="29">
        <f>SUMIF(RAW_DEATHS!$B:$B,Overview!$A33,RAW_DEATHS!AP:AP)</f>
        <v>0</v>
      </c>
      <c r="AP33" s="29">
        <f>SUMIF(RAW_DEATHS!$B:$B,Overview!$A33,RAW_DEATHS!AQ:AQ)</f>
        <v>0</v>
      </c>
      <c r="AQ33" s="29">
        <f>SUMIF(RAW_DEATHS!$B:$B,Overview!$A33,RAW_DEATHS!AR:AR)</f>
        <v>0</v>
      </c>
      <c r="AR33" s="29">
        <f>SUMIF(RAW_DEATHS!$B:$B,Overview!$A33,RAW_DEATHS!AS:AS)</f>
        <v>0</v>
      </c>
      <c r="AS33" s="29">
        <f>SUMIF(RAW_DEATHS!$B:$B,Overview!$A33,RAW_DEATHS!AT:AT)</f>
        <v>0</v>
      </c>
      <c r="AT33" s="29">
        <f>SUMIF(RAW_DEATHS!$B:$B,Overview!$A33,RAW_DEATHS!AU:AU)</f>
        <v>1</v>
      </c>
      <c r="AU33" s="29">
        <f>SUMIF(RAW_DEATHS!$B:$B,Overview!$A33,RAW_DEATHS!AV:AV)</f>
        <v>2</v>
      </c>
      <c r="AV33" s="29">
        <f>SUMIF(RAW_DEATHS!$B:$B,Overview!$A33,RAW_DEATHS!AW:AW)</f>
        <v>2</v>
      </c>
      <c r="AW33" s="29">
        <f>SUMIF(RAW_DEATHS!$B:$B,Overview!$A33,RAW_DEATHS!AX:AX)</f>
        <v>3</v>
      </c>
      <c r="AX33" s="29">
        <f>SUMIF(RAW_DEATHS!$B:$B,Overview!$A33,RAW_DEATHS!AY:AY)</f>
        <v>7</v>
      </c>
      <c r="AY33" s="29">
        <f>SUMIF(RAW_DEATHS!$B:$B,Overview!$A33,RAW_DEATHS!AZ:AZ)</f>
        <v>7</v>
      </c>
      <c r="AZ33" s="29">
        <f>SUMIF(RAW_DEATHS!$B:$B,Overview!$A33,RAW_DEATHS!BA:BA)</f>
        <v>9</v>
      </c>
      <c r="BA33" s="29">
        <f>SUMIF(RAW_DEATHS!$B:$B,Overview!$A33,RAW_DEATHS!BB:BB)</f>
        <v>10</v>
      </c>
      <c r="BB33" s="29">
        <f>SUMIF(RAW_DEATHS!$B:$B,Overview!$A33,RAW_DEATHS!BC:BC)</f>
        <v>28</v>
      </c>
      <c r="BC33" s="29">
        <f>SUMIF(RAW_DEATHS!$B:$B,Overview!$A33,RAW_DEATHS!BD:BD)</f>
        <v>43</v>
      </c>
      <c r="BD33" s="29">
        <f>SUMIF(RAW_DEATHS!$B:$B,Overview!$A33,RAW_DEATHS!BE:BE)</f>
        <v>66</v>
      </c>
      <c r="BE33" s="29">
        <f>SUMIF(RAW_DEATHS!$B:$B,Overview!$A33,RAW_DEATHS!BF:BF)</f>
        <v>82</v>
      </c>
      <c r="BF33" s="29">
        <f>SUMIF(RAW_DEATHS!$B:$B,Overview!$A33,RAW_DEATHS!BG:BG)</f>
        <v>116</v>
      </c>
      <c r="BG33" s="29">
        <f>SUMIF(RAW_DEATHS!$B:$B,Overview!$A33,RAW_DEATHS!BH:BH)</f>
        <v>159</v>
      </c>
      <c r="BH33" s="29">
        <f>SUMIF(RAW_DEATHS!$B:$B,Overview!$A33,RAW_DEATHS!BI:BI)</f>
        <v>195</v>
      </c>
      <c r="BI33" s="29">
        <f>SUMIF(RAW_DEATHS!$B:$B,Overview!$A33,RAW_DEATHS!BJ:BJ)</f>
        <v>251</v>
      </c>
      <c r="BJ33" s="29">
        <f>SUMIF(RAW_DEATHS!$B:$B,Overview!$A33,RAW_DEATHS!BK:BK)</f>
        <v>286</v>
      </c>
      <c r="BK33" s="29">
        <f>SUMIF(RAW_DEATHS!$B:$B,Overview!$A33,RAW_DEATHS!BL:BL)</f>
        <v>360</v>
      </c>
      <c r="BL33" s="29">
        <f>SUMIF(RAW_DEATHS!$B:$B,Overview!$A33,RAW_DEATHS!BM:BM)</f>
        <v>509</v>
      </c>
      <c r="BM33" s="29">
        <f>SUMIF(RAW_DEATHS!$B:$B,Overview!$A33,RAW_DEATHS!BN:BN)</f>
        <v>695</v>
      </c>
      <c r="BN33" s="29">
        <f>SUMIF(RAW_DEATHS!$B:$B,Overview!$A33,RAW_DEATHS!BO:BO)</f>
        <v>879</v>
      </c>
      <c r="BO33" s="29">
        <f>SUMIF(RAW_DEATHS!$B:$B,Overview!$A33,RAW_DEATHS!BP:BP)</f>
        <v>1163</v>
      </c>
      <c r="BP33" s="29">
        <f>SUMIF(RAW_DEATHS!$B:$B,Overview!$A33,RAW_DEATHS!BQ:BQ)</f>
        <v>1457</v>
      </c>
      <c r="BQ33" s="29">
        <f>SUMIF(RAW_DEATHS!$B:$B,Overview!$A33,RAW_DEATHS!BR:BR)</f>
        <v>1672</v>
      </c>
      <c r="BR33" s="29">
        <f>SUMIF(RAW_DEATHS!$B:$B,Overview!$A33,RAW_DEATHS!BS:BS)</f>
        <v>2046</v>
      </c>
      <c r="BS33" s="29">
        <f>SUMIF(RAW_DEATHS!$B:$B,Overview!$A33,RAW_DEATHS!BT:BT)</f>
        <v>2429</v>
      </c>
      <c r="BT33" s="29">
        <f>SUMIF(RAW_DEATHS!$B:$B,Overview!$A33,RAW_DEATHS!BU:BU)</f>
        <v>3100</v>
      </c>
      <c r="BU33" s="29">
        <f>SUMIF(RAW_DEATHS!$B:$B,Overview!$A33,RAW_DEATHS!BV:BV)</f>
        <v>3752</v>
      </c>
      <c r="BV33" s="29">
        <f>SUMIF(RAW_DEATHS!$B:$B,Overview!$A33,RAW_DEATHS!BW:BW)</f>
        <v>4467</v>
      </c>
      <c r="BW33" s="29">
        <f>SUMIF(RAW_DEATHS!$B:$B,Overview!$A33,RAW_DEATHS!BX:BX)</f>
        <v>5228</v>
      </c>
      <c r="BX33" s="29">
        <f>SUMIF(RAW_DEATHS!$B:$B,Overview!$A33,RAW_DEATHS!BY:BY)</f>
        <v>5874</v>
      </c>
      <c r="BY33" s="29">
        <f>SUMIF(RAW_DEATHS!$B:$B,Overview!$A33,RAW_DEATHS!BZ:BZ)</f>
        <v>6445</v>
      </c>
      <c r="BZ33" s="29">
        <f>SUMIF(RAW_DEATHS!$B:$B,Overview!$A33,RAW_DEATHS!CA:CA)</f>
        <v>7483</v>
      </c>
      <c r="CA33" s="29">
        <f>SUMIF(RAW_DEATHS!$B:$B,Overview!$A33,RAW_DEATHS!CB:CB)</f>
        <v>8519</v>
      </c>
      <c r="CB33" s="29">
        <f>SUMIF(RAW_DEATHS!$B:$B,Overview!$A33,RAW_DEATHS!CC:CC)</f>
        <v>9623</v>
      </c>
      <c r="CC33" s="29">
        <f>SUMIF(RAW_DEATHS!$B:$B,Overview!$A33,RAW_DEATHS!CD:CD)</f>
        <v>10776</v>
      </c>
      <c r="CD33" s="29">
        <f>SUMIF(RAW_DEATHS!$B:$B,Overview!$A33,RAW_DEATHS!CE:CE)</f>
        <v>11616</v>
      </c>
      <c r="CE33" s="29">
        <f>SUMIF(RAW_DEATHS!$B:$B,Overview!$A33,RAW_DEATHS!CF:CF)</f>
        <v>12302</v>
      </c>
      <c r="CF33" s="27">
        <f>SUMIF(RAW_DEATHS!$B:$B,Overview!$A33,RAW_DEATHS!CG:CG)</f>
        <v>13047</v>
      </c>
      <c r="CG33" s="27">
        <f>SUMIF(RAW_DEATHS!$B:$B,Overview!$A33,RAW_DEATHS!CH:CH)</f>
        <v>14095</v>
      </c>
      <c r="CH33" s="27">
        <f>SUMIF(RAW_DEATHS!$B:$B,Overview!$A33,RAW_DEATHS!CI:CI)</f>
        <v>14941</v>
      </c>
      <c r="CI33" s="27">
        <f>SUMIF(RAW_DEATHS!$B:$B,Overview!$A33,RAW_DEATHS!CJ:CJ)</f>
        <v>15974</v>
      </c>
      <c r="CJ33" s="27">
        <f>SUMIF(RAW_DEATHS!$B:$B,Overview!$A33,RAW_DEATHS!CK:CK)</f>
        <v>16910</v>
      </c>
      <c r="CK33" s="27">
        <f>SUMIF(RAW_DEATHS!$B:$B,Overview!$A33,RAW_DEATHS!CL:CL)</f>
        <v>18028</v>
      </c>
      <c r="CL33" s="27">
        <f>SUMIF(RAW_DEATHS!$B:$B,Overview!$A33,RAW_DEATHS!CM:CM)</f>
        <v>18527</v>
      </c>
      <c r="CM33" s="27">
        <f>SUMIF(RAW_DEATHS!$B:$B,Overview!$A33,RAW_DEATHS!CN:CN)</f>
        <v>19092</v>
      </c>
      <c r="CN33" s="27">
        <f>SUMIF(RAW_DEATHS!$B:$B,Overview!$A33,RAW_DEATHS!CO:CO)</f>
        <v>20264</v>
      </c>
      <c r="CO33" s="27">
        <f>SUMIF(RAW_DEATHS!$B:$B,Overview!$A33,RAW_DEATHS!CP:CP)</f>
        <v>21111</v>
      </c>
      <c r="CP33" s="27">
        <f>SUMIF(RAW_DEATHS!$B:$B,Overview!$A33,RAW_DEATHS!CQ:CQ)</f>
        <v>21840</v>
      </c>
      <c r="CQ33" s="27">
        <f>SUMIF(RAW_DEATHS!$B:$B,Overview!$A33,RAW_DEATHS!CR:CR)</f>
        <v>22853</v>
      </c>
      <c r="CR33" s="27">
        <f>SUMIF(RAW_DEATHS!$B:$B,Overview!$A33,RAW_DEATHS!CS:CS)</f>
        <v>23697</v>
      </c>
      <c r="CS33" s="25">
        <f>SUMIF(RAW_DEATHS!$B:$B,Overview!$A33,RAW_DEATHS!CT:CT)</f>
        <v>24117</v>
      </c>
      <c r="CT33" s="25">
        <f>SUMIF(RAW_DEATHS!$B:$B,Overview!$A33,RAW_DEATHS!CU:CU)</f>
        <v>24458</v>
      </c>
      <c r="CU33" s="25">
        <f>SUMIF(RAW_DEATHS!$B:$B,Overview!$A33,RAW_DEATHS!CV:CV)</f>
        <v>25369</v>
      </c>
      <c r="CV33" s="25">
        <f>SUMIF(RAW_DEATHS!$B:$B,Overview!$A33,RAW_DEATHS!CW:CW)</f>
        <v>26166</v>
      </c>
      <c r="CW33" s="25">
        <f>SUMIF(RAW_DEATHS!$B:$B,Overview!$A33,RAW_DEATHS!CX:CX)</f>
        <v>26842</v>
      </c>
      <c r="CX33" s="25">
        <f>SUMIF(RAW_DEATHS!$B:$B,Overview!$A33,RAW_DEATHS!CY:CY)</f>
        <v>27583</v>
      </c>
      <c r="CY33" s="25">
        <f>SUMIF(RAW_DEATHS!$B:$B,Overview!$A33,RAW_DEATHS!CZ:CZ)</f>
        <v>28205</v>
      </c>
      <c r="CZ33" s="25">
        <f>SUMIF(RAW_DEATHS!$B:$B,Overview!$A33,RAW_DEATHS!DA:DA)</f>
        <v>28520</v>
      </c>
      <c r="DA33" s="25">
        <f>SUMIF(RAW_DEATHS!$B:$B,Overview!$A33,RAW_DEATHS!DB:DB)</f>
        <v>0</v>
      </c>
      <c r="DB33" s="25">
        <f>SUMIF(RAW_DEATHS!$B:$B,Overview!$A33,RAW_DEATHS!DC:DC)</f>
        <v>0</v>
      </c>
      <c r="DC33" s="25">
        <f>SUMIF(RAW_DEATHS!$B:$B,Overview!$A33,RAW_DEATHS!DD:DD)</f>
        <v>0</v>
      </c>
      <c r="DD33" s="25">
        <f>SUMIF(RAW_DEATHS!$B:$B,Overview!$A33,RAW_DEATHS!DE:DE)</f>
        <v>0</v>
      </c>
      <c r="DE33" s="25">
        <f>SUMIF(RAW_DEATHS!$B:$B,Overview!$A33,RAW_DEATHS!DF:DF)</f>
        <v>0</v>
      </c>
      <c r="DF33" s="25">
        <f>SUMIF(RAW_DEATHS!$B:$B,Overview!$A33,RAW_DEATHS!DG:DG)</f>
        <v>0</v>
      </c>
      <c r="DG33" s="25">
        <f>SUMIF(RAW_DEATHS!$B:$B,Overview!$A33,RAW_DEATHS!DH:DH)</f>
        <v>0</v>
      </c>
      <c r="DH33" s="25">
        <f>SUMIF(RAW_DEATHS!$B:$B,Overview!$A33,RAW_DEATHS!DI:DI)</f>
        <v>0</v>
      </c>
      <c r="DI33" s="25">
        <f>SUMIF(RAW_DEATHS!$B:$B,Overview!$A33,RAW_DEATHS!DJ:DJ)</f>
        <v>0</v>
      </c>
      <c r="DJ33" s="25">
        <f>SUMIF(RAW_DEATHS!$B:$B,Overview!$A33,RAW_DEATHS!DK:DK)</f>
        <v>0</v>
      </c>
      <c r="DK33" s="25">
        <f>SUMIF(RAW_DEATHS!$B:$B,Overview!$A33,RAW_DEATHS!DL:DL)</f>
        <v>0</v>
      </c>
      <c r="DL33" s="25">
        <f>SUMIF(RAW_DEATHS!$B:$B,Overview!$A33,RAW_DEATHS!DM:DM)</f>
        <v>0</v>
      </c>
      <c r="DM33" s="25">
        <f>SUMIF(RAW_DEATHS!$B:$B,Overview!$A33,RAW_DEATHS!DN:DN)</f>
        <v>0</v>
      </c>
      <c r="DN33" s="25">
        <f>SUMIF(RAW_DEATHS!$B:$B,Overview!$A33,RAW_DEATHS!DO:DO)</f>
        <v>0</v>
      </c>
      <c r="DO33" s="25">
        <f>SUMIF(RAW_DEATHS!$B:$B,Overview!$A33,RAW_DEATHS!DP:DP)</f>
        <v>0</v>
      </c>
      <c r="DP33" s="25">
        <f>SUMIF(RAW_DEATHS!$B:$B,Overview!$A33,RAW_DEATHS!DQ:DQ)</f>
        <v>0</v>
      </c>
      <c r="DQ33" s="25">
        <f>SUMIF(RAW_DEATHS!$B:$B,Overview!$A33,RAW_DEATHS!DR:DR)</f>
        <v>0</v>
      </c>
      <c r="DR33" s="25">
        <f>SUMIF(RAW_DEATHS!$B:$B,Overview!$A33,RAW_DEATHS!DS:DS)</f>
        <v>0</v>
      </c>
      <c r="DS33" s="25">
        <f>SUMIF(RAW_DEATHS!$B:$B,Overview!$A33,RAW_DEATHS!DT:DT)</f>
        <v>0</v>
      </c>
      <c r="DT33" s="25">
        <f>SUMIF(RAW_DEATHS!$B:$B,Overview!$A33,RAW_DEATHS!DU:DU)</f>
        <v>0</v>
      </c>
      <c r="DU33" s="25">
        <f>SUMIF(RAW_DEATHS!$B:$B,Overview!$A33,RAW_DEATHS!DV:DV)</f>
        <v>0</v>
      </c>
      <c r="DV33" s="25">
        <f>SUMIF(RAW_DEATHS!$B:$B,Overview!$A33,RAW_DEATHS!DW:DW)</f>
        <v>0</v>
      </c>
      <c r="DW33" s="25">
        <f>SUMIF(RAW_DEATHS!$B:$B,Overview!$A33,RAW_DEATHS!DX:DX)</f>
        <v>0</v>
      </c>
      <c r="DX33" s="25">
        <f>SUMIF(RAW_DEATHS!$B:$B,Overview!$A33,RAW_DEATHS!DY:DY)</f>
        <v>0</v>
      </c>
      <c r="DY33" s="25">
        <f>SUMIF(RAW_DEATHS!$B:$B,Overview!$A33,RAW_DEATHS!DZ:DZ)</f>
        <v>0</v>
      </c>
      <c r="DZ33" s="25">
        <f>SUMIF(RAW_DEATHS!$B:$B,Overview!$A33,RAW_DEATHS!EA:EA)</f>
        <v>0</v>
      </c>
      <c r="EA33" s="25">
        <f>SUMIF(RAW_DEATHS!$B:$B,Overview!$A33,RAW_DEATHS!EB:EB)</f>
        <v>0</v>
      </c>
    </row>
    <row r="34" spans="1:131" s="16" customFormat="1" ht="11.65" x14ac:dyDescent="0.35">
      <c r="A34" s="16" t="s">
        <v>240</v>
      </c>
      <c r="B34" s="8">
        <f>SUM(RAW_DEATHS!C:C)</f>
        <v>17</v>
      </c>
      <c r="C34" s="8">
        <f>SUM(RAW_DEATHS!D:D)</f>
        <v>18</v>
      </c>
      <c r="D34" s="8">
        <f>SUM(RAW_DEATHS!E:E)</f>
        <v>26</v>
      </c>
      <c r="E34" s="8">
        <f>SUM(RAW_DEATHS!F:F)</f>
        <v>42</v>
      </c>
      <c r="F34" s="8">
        <f>SUM(RAW_DEATHS!G:G)</f>
        <v>56</v>
      </c>
      <c r="G34" s="8">
        <f>SUM(RAW_DEATHS!H:H)</f>
        <v>82</v>
      </c>
      <c r="H34" s="8">
        <f>SUM(RAW_DEATHS!I:I)</f>
        <v>131</v>
      </c>
      <c r="I34" s="8">
        <f>SUM(RAW_DEATHS!J:J)</f>
        <v>133</v>
      </c>
      <c r="J34" s="8">
        <f>SUM(RAW_DEATHS!K:K)</f>
        <v>171</v>
      </c>
      <c r="K34" s="8">
        <f>SUM(RAW_DEATHS!L:L)</f>
        <v>213</v>
      </c>
      <c r="L34" s="8">
        <f>SUM(RAW_DEATHS!M:M)</f>
        <v>259</v>
      </c>
      <c r="M34" s="8">
        <f>SUM(RAW_DEATHS!N:N)</f>
        <v>362</v>
      </c>
      <c r="N34" s="8">
        <f>SUM(RAW_DEATHS!O:O)</f>
        <v>426</v>
      </c>
      <c r="O34" s="8">
        <f>SUM(RAW_DEATHS!P:P)</f>
        <v>492</v>
      </c>
      <c r="P34" s="8">
        <f>SUM(RAW_DEATHS!Q:Q)</f>
        <v>564</v>
      </c>
      <c r="Q34" s="8">
        <f>SUM(RAW_DEATHS!R:R)</f>
        <v>634</v>
      </c>
      <c r="R34" s="8">
        <f>SUM(RAW_DEATHS!S:S)</f>
        <v>719</v>
      </c>
      <c r="S34" s="8">
        <f>SUM(RAW_DEATHS!T:T)</f>
        <v>806</v>
      </c>
      <c r="T34" s="8">
        <f>SUM(RAW_DEATHS!U:U)</f>
        <v>906</v>
      </c>
      <c r="U34" s="8">
        <f>SUM(RAW_DEATHS!V:V)</f>
        <v>1013</v>
      </c>
      <c r="V34" s="8">
        <f>SUM(RAW_DEATHS!W:W)</f>
        <v>1113</v>
      </c>
      <c r="W34" s="8">
        <f>SUM(RAW_DEATHS!X:X)</f>
        <v>1118</v>
      </c>
      <c r="X34" s="8">
        <f>SUM(RAW_DEATHS!Y:Y)</f>
        <v>1371</v>
      </c>
      <c r="Y34" s="8">
        <f>SUM(RAW_DEATHS!Z:Z)</f>
        <v>1523</v>
      </c>
      <c r="Z34" s="8">
        <f>SUM(RAW_DEATHS!AA:AA)</f>
        <v>1666</v>
      </c>
      <c r="AA34" s="8">
        <f>SUM(RAW_DEATHS!AB:AB)</f>
        <v>1770</v>
      </c>
      <c r="AB34" s="8">
        <f>SUM(RAW_DEATHS!AC:AC)</f>
        <v>1868</v>
      </c>
      <c r="AC34" s="8">
        <f>SUM(RAW_DEATHS!AD:AD)</f>
        <v>2007</v>
      </c>
      <c r="AD34" s="8">
        <f>SUM(RAW_DEATHS!AE:AE)</f>
        <v>2122</v>
      </c>
      <c r="AE34" s="8">
        <f>SUM(RAW_DEATHS!AF:AF)</f>
        <v>2247</v>
      </c>
      <c r="AF34" s="8">
        <f>SUM(RAW_DEATHS!AG:AG)</f>
        <v>2251</v>
      </c>
      <c r="AG34" s="8">
        <f>SUM(RAW_DEATHS!AH:AH)</f>
        <v>2458</v>
      </c>
      <c r="AH34" s="8">
        <f>SUM(RAW_DEATHS!AI:AI)</f>
        <v>2469</v>
      </c>
      <c r="AI34" s="8">
        <f>SUM(RAW_DEATHS!AJ:AJ)</f>
        <v>2629</v>
      </c>
      <c r="AJ34" s="8">
        <f>SUM(RAW_DEATHS!AK:AK)</f>
        <v>2708</v>
      </c>
      <c r="AK34" s="8">
        <f>SUM(RAW_DEATHS!AL:AL)</f>
        <v>2770</v>
      </c>
      <c r="AL34" s="8">
        <f>SUM(RAW_DEATHS!AM:AM)</f>
        <v>2814</v>
      </c>
      <c r="AM34" s="8">
        <f>SUM(RAW_DEATHS!AN:AN)</f>
        <v>2872</v>
      </c>
      <c r="AN34" s="8">
        <f>SUM(RAW_DEATHS!AO:AO)</f>
        <v>2941</v>
      </c>
      <c r="AO34" s="8">
        <f>SUM(RAW_DEATHS!AP:AP)</f>
        <v>2996</v>
      </c>
      <c r="AP34" s="8">
        <f>SUM(RAW_DEATHS!AQ:AQ)</f>
        <v>3085</v>
      </c>
      <c r="AQ34" s="8">
        <f>SUM(RAW_DEATHS!AR:AR)</f>
        <v>3160</v>
      </c>
      <c r="AR34" s="8">
        <f>SUM(RAW_DEATHS!AS:AS)</f>
        <v>3254</v>
      </c>
      <c r="AS34" s="8">
        <f>SUM(RAW_DEATHS!AT:AT)</f>
        <v>3347</v>
      </c>
      <c r="AT34" s="8">
        <f>SUM(RAW_DEATHS!AU:AU)</f>
        <v>3459</v>
      </c>
      <c r="AU34" s="8">
        <f>SUM(RAW_DEATHS!AV:AV)</f>
        <v>3558</v>
      </c>
      <c r="AV34" s="8">
        <f>SUM(RAW_DEATHS!AW:AW)</f>
        <v>3801</v>
      </c>
      <c r="AW34" s="8">
        <f>SUM(RAW_DEATHS!AX:AX)</f>
        <v>3987</v>
      </c>
      <c r="AX34" s="8">
        <f>SUM(RAW_DEATHS!AY:AY)</f>
        <v>4263</v>
      </c>
      <c r="AY34" s="8">
        <f>SUM(RAW_DEATHS!AZ:AZ)</f>
        <v>4614</v>
      </c>
      <c r="AZ34" s="8">
        <f>SUM(RAW_DEATHS!BA:BA)</f>
        <v>4722</v>
      </c>
      <c r="BA34" s="8">
        <f>SUM(RAW_DEATHS!BB:BB)</f>
        <v>5408</v>
      </c>
      <c r="BB34" s="8">
        <f>SUM(RAW_DEATHS!BC:BC)</f>
        <v>5830</v>
      </c>
      <c r="BC34" s="8">
        <f>SUM(RAW_DEATHS!BD:BD)</f>
        <v>6472</v>
      </c>
      <c r="BD34" s="8">
        <f>SUM(RAW_DEATHS!BE:BE)</f>
        <v>7150</v>
      </c>
      <c r="BE34" s="8">
        <f>SUM(RAW_DEATHS!BF:BF)</f>
        <v>7956</v>
      </c>
      <c r="BF34" s="8">
        <f>SUM(RAW_DEATHS!BG:BG)</f>
        <v>8823</v>
      </c>
      <c r="BG34" s="8">
        <f>SUM(RAW_DEATHS!BH:BH)</f>
        <v>9946</v>
      </c>
      <c r="BH34" s="8">
        <f>SUM(RAW_DEATHS!BI:BI)</f>
        <v>11422</v>
      </c>
      <c r="BI34" s="8">
        <f>SUM(RAW_DEATHS!BJ:BJ)</f>
        <v>13125</v>
      </c>
      <c r="BJ34" s="8">
        <f>SUM(RAW_DEATHS!BK:BK)</f>
        <v>14825</v>
      </c>
      <c r="BK34" s="8">
        <f>SUM(RAW_DEATHS!BL:BL)</f>
        <v>16759</v>
      </c>
      <c r="BL34" s="8">
        <f>SUM(RAW_DEATHS!BM:BM)</f>
        <v>19014</v>
      </c>
      <c r="BM34" s="8">
        <f>SUM(RAW_DEATHS!BN:BN)</f>
        <v>21785</v>
      </c>
      <c r="BN34" s="8">
        <f>SUM(RAW_DEATHS!BO:BO)</f>
        <v>24788</v>
      </c>
      <c r="BO34" s="8">
        <f>SUM(RAW_DEATHS!BP:BP)</f>
        <v>28288</v>
      </c>
      <c r="BP34" s="8">
        <f>SUM(RAW_DEATHS!BQ:BQ)</f>
        <v>31797</v>
      </c>
      <c r="BQ34" s="8">
        <f>SUM(RAW_DEATHS!BR:BR)</f>
        <v>35323</v>
      </c>
      <c r="BR34" s="8">
        <f>SUM(RAW_DEATHS!BS:BS)</f>
        <v>39439</v>
      </c>
      <c r="BS34" s="8">
        <f>SUM(RAW_DEATHS!BT:BT)</f>
        <v>44238</v>
      </c>
      <c r="BT34" s="8">
        <f>SUM(RAW_DEATHS!BU:BU)</f>
        <v>49675</v>
      </c>
      <c r="BU34" s="8">
        <f>SUM(RAW_DEATHS!BV:BV)</f>
        <v>55817</v>
      </c>
      <c r="BV34" s="8">
        <f>SUM(RAW_DEATHS!BW:BW)</f>
        <v>61812</v>
      </c>
      <c r="BW34" s="8">
        <f>SUM(RAW_DEATHS!BX:BX)</f>
        <v>67981</v>
      </c>
      <c r="BX34" s="8">
        <f>SUM(RAW_DEATHS!BY:BY)</f>
        <v>73076</v>
      </c>
      <c r="BY34" s="8">
        <f>SUM(RAW_DEATHS!BZ:BZ)</f>
        <v>78767</v>
      </c>
      <c r="BZ34" s="8">
        <f>SUM(RAW_DEATHS!CA:CA)</f>
        <v>86662</v>
      </c>
      <c r="CA34" s="8">
        <f>SUM(RAW_DEATHS!CB:CB)</f>
        <v>93354</v>
      </c>
      <c r="CB34" s="8">
        <f>SUM(RAW_DEATHS!CC:CC)</f>
        <v>100882</v>
      </c>
      <c r="CC34" s="8">
        <f>SUM(RAW_DEATHS!CD:CD)</f>
        <v>108113</v>
      </c>
      <c r="CD34" s="8">
        <f>SUM(RAW_DEATHS!CE:CE)</f>
        <v>114146</v>
      </c>
      <c r="CE34" s="8">
        <f>SUM(RAW_DEATHS!CF:CF)</f>
        <v>119853</v>
      </c>
      <c r="CF34" s="8">
        <f>SUM(RAW_DEATHS!CG:CG)</f>
        <v>125561</v>
      </c>
      <c r="CG34" s="8">
        <f>SUM(RAW_DEATHS!CH:CH)</f>
        <v>132439</v>
      </c>
      <c r="CH34" s="8">
        <f>SUM(RAW_DEATHS!CI:CI)</f>
        <v>140658</v>
      </c>
      <c r="CI34" s="8">
        <f>SUM(RAW_DEATHS!CJ:CJ)</f>
        <v>147946</v>
      </c>
      <c r="CJ34" s="8">
        <f>SUM(RAW_DEATHS!CK:CK)</f>
        <v>156804</v>
      </c>
      <c r="CK34" s="8">
        <f>SUM(RAW_DEATHS!CL:CL)</f>
        <v>163214</v>
      </c>
      <c r="CL34" s="8">
        <f>SUM(RAW_DEATHS!CM:CM)</f>
        <v>167773</v>
      </c>
      <c r="CM34" s="8">
        <f>SUM(RAW_DEATHS!CN:CN)</f>
        <v>173098</v>
      </c>
      <c r="CN34" s="8">
        <f>SUM(RAW_DEATHS!CO:CO)</f>
        <v>180237</v>
      </c>
      <c r="CO34" s="8">
        <f>SUM(RAW_DEATHS!CP:CP)</f>
        <v>186914</v>
      </c>
      <c r="CP34" s="8">
        <f>SUM(RAW_DEATHS!CQ:CQ)</f>
        <v>193667</v>
      </c>
      <c r="CQ34" s="8">
        <f>SUM(RAW_DEATHS!CR:CR)</f>
        <v>199999</v>
      </c>
      <c r="CR34" s="8">
        <f>SUM(RAW_DEATHS!CS:CS)</f>
        <v>206187</v>
      </c>
      <c r="CS34" s="8">
        <f>SUM(RAW_DEATHS!CT:CT)</f>
        <v>209900</v>
      </c>
      <c r="CT34" s="8">
        <f>SUM(RAW_DEATHS!CU:CU)</f>
        <v>214484</v>
      </c>
      <c r="CU34" s="8">
        <f>SUM(RAW_DEATHS!CV:CV)</f>
        <v>220799</v>
      </c>
      <c r="CV34" s="8">
        <f>SUM(RAW_DEATHS!CW:CW)</f>
        <v>227665</v>
      </c>
      <c r="CW34" s="8">
        <f>SUM(RAW_DEATHS!CX:CX)</f>
        <v>233357</v>
      </c>
      <c r="CX34" s="8">
        <f>SUM(RAW_DEATHS!CY:CY)</f>
        <v>238619</v>
      </c>
      <c r="CY34" s="8">
        <f>SUM(RAW_DEATHS!CZ:CZ)</f>
        <v>243808</v>
      </c>
      <c r="CZ34" s="8">
        <f>SUM(RAW_DEATHS!DA:DA)</f>
        <v>247470</v>
      </c>
      <c r="DA34" s="8">
        <f>SUM(RAW_DEATHS!DB:DB)</f>
        <v>0</v>
      </c>
      <c r="DB34" s="8">
        <f>SUM(RAW_DEATHS!DC:DC)</f>
        <v>0</v>
      </c>
      <c r="DC34" s="8">
        <f>SUM(RAW_DEATHS!DD:DD)</f>
        <v>0</v>
      </c>
      <c r="DD34" s="8">
        <f>SUM(RAW_DEATHS!DE:DE)</f>
        <v>0</v>
      </c>
      <c r="DE34" s="8">
        <f>SUM(RAW_DEATHS!DF:DF)</f>
        <v>0</v>
      </c>
      <c r="DF34" s="8">
        <f>SUM(RAW_DEATHS!DG:DG)</f>
        <v>0</v>
      </c>
      <c r="DG34" s="8">
        <f>SUM(RAW_DEATHS!DH:DH)</f>
        <v>0</v>
      </c>
      <c r="DH34" s="8">
        <f>SUM(RAW_DEATHS!DI:DI)</f>
        <v>0</v>
      </c>
      <c r="DI34" s="8">
        <f>SUM(RAW_DEATHS!DJ:DJ)</f>
        <v>0</v>
      </c>
      <c r="DJ34" s="8">
        <f>SUM(RAW_DEATHS!DK:DK)</f>
        <v>0</v>
      </c>
      <c r="DK34" s="8">
        <f>SUM(RAW_DEATHS!DL:DL)</f>
        <v>0</v>
      </c>
      <c r="DL34" s="8">
        <f>SUM(RAW_DEATHS!DM:DM)</f>
        <v>0</v>
      </c>
      <c r="DM34" s="8">
        <f>SUM(RAW_DEATHS!DN:DN)</f>
        <v>0</v>
      </c>
      <c r="DN34" s="8">
        <f>SUM(RAW_DEATHS!DO:DO)</f>
        <v>0</v>
      </c>
      <c r="DO34" s="8">
        <f>SUM(RAW_DEATHS!DP:DP)</f>
        <v>0</v>
      </c>
      <c r="DP34" s="8">
        <f>SUM(RAW_DEATHS!DQ:DQ)</f>
        <v>0</v>
      </c>
      <c r="DQ34" s="8">
        <f>SUM(RAW_DEATHS!DR:DR)</f>
        <v>0</v>
      </c>
      <c r="DR34" s="8">
        <f>SUM(RAW_DEATHS!DS:DS)</f>
        <v>0</v>
      </c>
      <c r="DS34" s="8">
        <f>SUM(RAW_DEATHS!DT:DT)</f>
        <v>0</v>
      </c>
      <c r="DT34" s="8">
        <f>SUM(RAW_DEATHS!DU:DU)</f>
        <v>0</v>
      </c>
      <c r="DU34" s="8">
        <f>SUM(RAW_DEATHS!DV:DV)</f>
        <v>0</v>
      </c>
      <c r="DV34" s="8">
        <f>SUM(RAW_DEATHS!DW:DW)</f>
        <v>0</v>
      </c>
      <c r="DW34" s="8">
        <f>SUM(RAW_DEATHS!DX:DX)</f>
        <v>0</v>
      </c>
      <c r="DX34" s="8">
        <f>SUM(RAW_DEATHS!DY:DY)</f>
        <v>0</v>
      </c>
      <c r="DY34" s="8">
        <f>SUM(RAW_DEATHS!DZ:DZ)</f>
        <v>0</v>
      </c>
      <c r="DZ34" s="8">
        <f>SUM(RAW_DEATHS!EA:EA)</f>
        <v>0</v>
      </c>
      <c r="EA34" s="8">
        <f>SUM(RAW_DEATHS!EB:EB)</f>
        <v>0</v>
      </c>
    </row>
    <row r="35" spans="1:131" s="17" customFormat="1" x14ac:dyDescent="0.4">
      <c r="B35" s="18"/>
    </row>
    <row r="36" spans="1:131" s="15" customFormat="1" ht="29.25" customHeight="1" x14ac:dyDescent="0.4">
      <c r="A36" s="13" t="s">
        <v>243</v>
      </c>
      <c r="B36" s="14"/>
    </row>
    <row r="37" spans="1:131" s="30" customFormat="1" ht="25.5" customHeight="1" x14ac:dyDescent="0.45">
      <c r="A37" s="30" t="s">
        <v>0</v>
      </c>
      <c r="B37" s="33" t="s">
        <v>378</v>
      </c>
      <c r="C37" s="34">
        <v>43853</v>
      </c>
      <c r="D37" s="34">
        <v>43854</v>
      </c>
      <c r="E37" s="34">
        <v>43855</v>
      </c>
      <c r="F37" s="34">
        <v>43856</v>
      </c>
      <c r="G37" s="34">
        <v>43857</v>
      </c>
      <c r="H37" s="34">
        <v>43858</v>
      </c>
      <c r="I37" s="34">
        <v>43859</v>
      </c>
      <c r="J37" s="34">
        <v>43860</v>
      </c>
      <c r="K37" s="34">
        <v>43861</v>
      </c>
      <c r="L37" s="34">
        <v>43862</v>
      </c>
      <c r="M37" s="34">
        <v>43863</v>
      </c>
      <c r="N37" s="34">
        <v>43864</v>
      </c>
      <c r="O37" s="34">
        <v>43865</v>
      </c>
      <c r="P37" s="34">
        <v>43866</v>
      </c>
      <c r="Q37" s="34">
        <v>43867</v>
      </c>
      <c r="R37" s="34">
        <v>43868</v>
      </c>
      <c r="S37" s="34">
        <v>43869</v>
      </c>
      <c r="T37" s="34">
        <v>43870</v>
      </c>
      <c r="U37" s="34">
        <v>43871</v>
      </c>
      <c r="V37" s="34">
        <v>43872</v>
      </c>
      <c r="W37" s="34">
        <v>43873</v>
      </c>
      <c r="X37" s="34">
        <v>43874</v>
      </c>
      <c r="Y37" s="34">
        <v>43875</v>
      </c>
      <c r="Z37" s="34">
        <v>43876</v>
      </c>
      <c r="AA37" s="34">
        <v>43877</v>
      </c>
      <c r="AB37" s="34">
        <v>43878</v>
      </c>
      <c r="AC37" s="34">
        <v>43879</v>
      </c>
      <c r="AD37" s="34">
        <v>43880</v>
      </c>
      <c r="AE37" s="34">
        <v>43881</v>
      </c>
      <c r="AF37" s="34">
        <v>43882</v>
      </c>
      <c r="AG37" s="34">
        <v>43883</v>
      </c>
      <c r="AH37" s="34">
        <v>43884</v>
      </c>
      <c r="AI37" s="34">
        <v>43885</v>
      </c>
      <c r="AJ37" s="34">
        <v>43886</v>
      </c>
      <c r="AK37" s="34">
        <v>43887</v>
      </c>
      <c r="AL37" s="34">
        <v>43888</v>
      </c>
      <c r="AM37" s="34">
        <v>43889</v>
      </c>
      <c r="AN37" s="34">
        <v>43890</v>
      </c>
      <c r="AO37" s="34">
        <v>43891</v>
      </c>
      <c r="AP37" s="34">
        <v>43892</v>
      </c>
      <c r="AQ37" s="34">
        <v>43893</v>
      </c>
      <c r="AR37" s="34">
        <v>43894</v>
      </c>
      <c r="AS37" s="34">
        <v>43895</v>
      </c>
      <c r="AT37" s="34">
        <v>43896</v>
      </c>
      <c r="AU37" s="34">
        <v>43897</v>
      </c>
      <c r="AV37" s="34">
        <v>43898</v>
      </c>
      <c r="AW37" s="34">
        <v>43899</v>
      </c>
      <c r="AX37" s="34">
        <v>43900</v>
      </c>
      <c r="AY37" s="34">
        <v>43901</v>
      </c>
      <c r="AZ37" s="34">
        <v>43902</v>
      </c>
      <c r="BA37" s="34">
        <v>43903</v>
      </c>
      <c r="BB37" s="34">
        <v>43904</v>
      </c>
      <c r="BC37" s="34">
        <v>43905</v>
      </c>
      <c r="BD37" s="34">
        <v>43906</v>
      </c>
      <c r="BE37" s="34">
        <v>43907</v>
      </c>
      <c r="BF37" s="34">
        <v>43908</v>
      </c>
      <c r="BG37" s="34">
        <v>43909</v>
      </c>
      <c r="BH37" s="34">
        <v>43910</v>
      </c>
      <c r="BI37" s="34">
        <v>43911</v>
      </c>
      <c r="BJ37" s="34">
        <v>43912</v>
      </c>
      <c r="BK37" s="34">
        <v>43913</v>
      </c>
      <c r="BL37" s="34">
        <v>43914</v>
      </c>
      <c r="BM37" s="34">
        <v>43915</v>
      </c>
      <c r="BN37" s="34">
        <v>43916</v>
      </c>
      <c r="BO37" s="34">
        <v>43917</v>
      </c>
      <c r="BP37" s="34">
        <v>43918</v>
      </c>
      <c r="BQ37" s="34">
        <v>43919</v>
      </c>
      <c r="BR37" s="34">
        <v>43920</v>
      </c>
      <c r="BS37" s="34">
        <v>43921</v>
      </c>
      <c r="BT37" s="34">
        <v>43922</v>
      </c>
      <c r="BU37" s="34">
        <v>43923</v>
      </c>
      <c r="BV37" s="34">
        <v>43924</v>
      </c>
      <c r="BW37" s="34">
        <v>43925</v>
      </c>
      <c r="BX37" s="34">
        <v>43926</v>
      </c>
      <c r="BY37" s="34">
        <v>43927</v>
      </c>
      <c r="BZ37" s="34">
        <v>43928</v>
      </c>
      <c r="CA37" s="34">
        <v>43929</v>
      </c>
      <c r="CB37" s="34">
        <v>43930</v>
      </c>
      <c r="CC37" s="34">
        <v>43931</v>
      </c>
      <c r="CD37" s="34">
        <v>43932</v>
      </c>
      <c r="CE37" s="34">
        <v>43933</v>
      </c>
      <c r="CF37" s="34">
        <v>43934</v>
      </c>
      <c r="CG37" s="34">
        <v>43935</v>
      </c>
      <c r="CH37" s="34">
        <v>43936</v>
      </c>
      <c r="CI37" s="34">
        <v>43937</v>
      </c>
      <c r="CJ37" s="34">
        <v>43938</v>
      </c>
      <c r="CK37" s="34">
        <v>43939</v>
      </c>
      <c r="CL37" s="34">
        <v>43940</v>
      </c>
      <c r="CM37" s="34">
        <v>43941</v>
      </c>
      <c r="CN37" s="34">
        <v>43942</v>
      </c>
      <c r="CO37" s="34">
        <v>43943</v>
      </c>
      <c r="CP37" s="34">
        <v>43944</v>
      </c>
      <c r="CQ37" s="34">
        <v>43945</v>
      </c>
      <c r="CR37" s="34">
        <v>43946</v>
      </c>
      <c r="CS37" s="34">
        <v>43947</v>
      </c>
      <c r="CT37" s="34">
        <v>43948</v>
      </c>
      <c r="CU37" s="34">
        <v>43949</v>
      </c>
      <c r="CV37" s="34">
        <v>43950</v>
      </c>
      <c r="CW37" s="34">
        <v>43951</v>
      </c>
      <c r="CX37" s="34">
        <v>43952</v>
      </c>
      <c r="CY37" s="34">
        <v>43953</v>
      </c>
      <c r="CZ37" s="34">
        <v>43954</v>
      </c>
      <c r="DA37" s="34">
        <v>43955</v>
      </c>
      <c r="DB37" s="34">
        <v>43956</v>
      </c>
      <c r="DC37" s="34">
        <v>43957</v>
      </c>
      <c r="DD37" s="34">
        <v>43958</v>
      </c>
      <c r="DE37" s="34">
        <v>43959</v>
      </c>
      <c r="DF37" s="34">
        <v>43960</v>
      </c>
      <c r="DG37" s="34">
        <v>43961</v>
      </c>
      <c r="DH37" s="34">
        <v>43962</v>
      </c>
      <c r="DI37" s="34">
        <v>43963</v>
      </c>
      <c r="DJ37" s="34">
        <v>43964</v>
      </c>
      <c r="DK37" s="34">
        <v>43965</v>
      </c>
      <c r="DL37" s="34">
        <v>43966</v>
      </c>
      <c r="DM37" s="34">
        <v>43967</v>
      </c>
      <c r="DN37" s="34">
        <v>43968</v>
      </c>
      <c r="DO37" s="34">
        <v>43969</v>
      </c>
      <c r="DP37" s="34">
        <v>43970</v>
      </c>
      <c r="DQ37" s="34">
        <v>43971</v>
      </c>
      <c r="DR37" s="34">
        <v>43972</v>
      </c>
      <c r="DS37" s="34">
        <v>43973</v>
      </c>
      <c r="DT37" s="34">
        <v>43974</v>
      </c>
      <c r="DU37" s="34">
        <v>43975</v>
      </c>
      <c r="DV37" s="34">
        <v>43976</v>
      </c>
      <c r="DW37" s="34">
        <v>43977</v>
      </c>
      <c r="DX37" s="34">
        <v>43978</v>
      </c>
      <c r="DY37" s="34">
        <v>43979</v>
      </c>
      <c r="DZ37" s="34">
        <v>43980</v>
      </c>
      <c r="EA37" s="34">
        <v>43981</v>
      </c>
    </row>
    <row r="38" spans="1:131" s="10" customFormat="1" ht="13.15" x14ac:dyDescent="0.4">
      <c r="A38" s="24" t="str">
        <f t="shared" ref="A38:A44" si="157">IF(ISBLANK(A27),"",A27)</f>
        <v>Germany</v>
      </c>
      <c r="B38" s="28">
        <f>SUMIF(RAW_RECOVERED!$B:$B,Overview!$A38,RAW_RECOVERED!C:C)</f>
        <v>0</v>
      </c>
      <c r="C38" s="28">
        <f>SUMIF(RAW_RECOVERED!$B:$B,Overview!$A38,RAW_RECOVERED!D:D)</f>
        <v>0</v>
      </c>
      <c r="D38" s="28">
        <f>SUMIF(RAW_RECOVERED!$B:$B,Overview!$A38,RAW_RECOVERED!E:E)</f>
        <v>0</v>
      </c>
      <c r="E38" s="28">
        <f>SUMIF(RAW_RECOVERED!$B:$B,Overview!$A38,RAW_RECOVERED!F:F)</f>
        <v>0</v>
      </c>
      <c r="F38" s="28">
        <f>SUMIF(RAW_RECOVERED!$B:$B,Overview!$A38,RAW_RECOVERED!G:G)</f>
        <v>0</v>
      </c>
      <c r="G38" s="28">
        <f>SUMIF(RAW_RECOVERED!$B:$B,Overview!$A38,RAW_RECOVERED!H:H)</f>
        <v>0</v>
      </c>
      <c r="H38" s="28">
        <f>SUMIF(RAW_RECOVERED!$B:$B,Overview!$A38,RAW_RECOVERED!I:I)</f>
        <v>0</v>
      </c>
      <c r="I38" s="28">
        <f>SUMIF(RAW_RECOVERED!$B:$B,Overview!$A38,RAW_RECOVERED!J:J)</f>
        <v>0</v>
      </c>
      <c r="J38" s="28">
        <f>SUMIF(RAW_RECOVERED!$B:$B,Overview!$A38,RAW_RECOVERED!K:K)</f>
        <v>0</v>
      </c>
      <c r="K38" s="28">
        <f>SUMIF(RAW_RECOVERED!$B:$B,Overview!$A38,RAW_RECOVERED!L:L)</f>
        <v>0</v>
      </c>
      <c r="L38" s="28">
        <f>SUMIF(RAW_RECOVERED!$B:$B,Overview!$A38,RAW_RECOVERED!M:M)</f>
        <v>0</v>
      </c>
      <c r="M38" s="28">
        <f>SUMIF(RAW_RECOVERED!$B:$B,Overview!$A38,RAW_RECOVERED!N:N)</f>
        <v>0</v>
      </c>
      <c r="N38" s="28">
        <f>SUMIF(RAW_RECOVERED!$B:$B,Overview!$A38,RAW_RECOVERED!O:O)</f>
        <v>0</v>
      </c>
      <c r="O38" s="28">
        <f>SUMIF(RAW_RECOVERED!$B:$B,Overview!$A38,RAW_RECOVERED!P:P)</f>
        <v>0</v>
      </c>
      <c r="P38" s="28">
        <f>SUMIF(RAW_RECOVERED!$B:$B,Overview!$A38,RAW_RECOVERED!Q:Q)</f>
        <v>0</v>
      </c>
      <c r="Q38" s="28">
        <f>SUMIF(RAW_RECOVERED!$B:$B,Overview!$A38,RAW_RECOVERED!R:R)</f>
        <v>0</v>
      </c>
      <c r="R38" s="28">
        <f>SUMIF(RAW_RECOVERED!$B:$B,Overview!$A38,RAW_RECOVERED!S:S)</f>
        <v>0</v>
      </c>
      <c r="S38" s="28">
        <f>SUMIF(RAW_RECOVERED!$B:$B,Overview!$A38,RAW_RECOVERED!T:T)</f>
        <v>0</v>
      </c>
      <c r="T38" s="28">
        <f>SUMIF(RAW_RECOVERED!$B:$B,Overview!$A38,RAW_RECOVERED!U:U)</f>
        <v>0</v>
      </c>
      <c r="U38" s="28">
        <f>SUMIF(RAW_RECOVERED!$B:$B,Overview!$A38,RAW_RECOVERED!V:V)</f>
        <v>0</v>
      </c>
      <c r="V38" s="28">
        <f>SUMIF(RAW_RECOVERED!$B:$B,Overview!$A38,RAW_RECOVERED!W:W)</f>
        <v>0</v>
      </c>
      <c r="W38" s="28">
        <f>SUMIF(RAW_RECOVERED!$B:$B,Overview!$A38,RAW_RECOVERED!X:X)</f>
        <v>0</v>
      </c>
      <c r="X38" s="28">
        <f>SUMIF(RAW_RECOVERED!$B:$B,Overview!$A38,RAW_RECOVERED!Y:Y)</f>
        <v>1</v>
      </c>
      <c r="Y38" s="28">
        <f>SUMIF(RAW_RECOVERED!$B:$B,Overview!$A38,RAW_RECOVERED!Z:Z)</f>
        <v>1</v>
      </c>
      <c r="Z38" s="28">
        <f>SUMIF(RAW_RECOVERED!$B:$B,Overview!$A38,RAW_RECOVERED!AA:AA)</f>
        <v>1</v>
      </c>
      <c r="AA38" s="28">
        <f>SUMIF(RAW_RECOVERED!$B:$B,Overview!$A38,RAW_RECOVERED!AB:AB)</f>
        <v>1</v>
      </c>
      <c r="AB38" s="28">
        <f>SUMIF(RAW_RECOVERED!$B:$B,Overview!$A38,RAW_RECOVERED!AC:AC)</f>
        <v>1</v>
      </c>
      <c r="AC38" s="28">
        <f>SUMIF(RAW_RECOVERED!$B:$B,Overview!$A38,RAW_RECOVERED!AD:AD)</f>
        <v>12</v>
      </c>
      <c r="AD38" s="28">
        <f>SUMIF(RAW_RECOVERED!$B:$B,Overview!$A38,RAW_RECOVERED!AE:AE)</f>
        <v>12</v>
      </c>
      <c r="AE38" s="28">
        <f>SUMIF(RAW_RECOVERED!$B:$B,Overview!$A38,RAW_RECOVERED!AF:AF)</f>
        <v>12</v>
      </c>
      <c r="AF38" s="28">
        <f>SUMIF(RAW_RECOVERED!$B:$B,Overview!$A38,RAW_RECOVERED!AG:AG)</f>
        <v>14</v>
      </c>
      <c r="AG38" s="28">
        <f>SUMIF(RAW_RECOVERED!$B:$B,Overview!$A38,RAW_RECOVERED!AH:AH)</f>
        <v>14</v>
      </c>
      <c r="AH38" s="28">
        <f>SUMIF(RAW_RECOVERED!$B:$B,Overview!$A38,RAW_RECOVERED!AI:AI)</f>
        <v>14</v>
      </c>
      <c r="AI38" s="28">
        <f>SUMIF(RAW_RECOVERED!$B:$B,Overview!$A38,RAW_RECOVERED!AJ:AJ)</f>
        <v>14</v>
      </c>
      <c r="AJ38" s="28">
        <f>SUMIF(RAW_RECOVERED!$B:$B,Overview!$A38,RAW_RECOVERED!AK:AK)</f>
        <v>14</v>
      </c>
      <c r="AK38" s="28">
        <f>SUMIF(RAW_RECOVERED!$B:$B,Overview!$A38,RAW_RECOVERED!AL:AL)</f>
        <v>15</v>
      </c>
      <c r="AL38" s="28">
        <f>SUMIF(RAW_RECOVERED!$B:$B,Overview!$A38,RAW_RECOVERED!AM:AM)</f>
        <v>16</v>
      </c>
      <c r="AM38" s="28">
        <f>SUMIF(RAW_RECOVERED!$B:$B,Overview!$A38,RAW_RECOVERED!AN:AN)</f>
        <v>16</v>
      </c>
      <c r="AN38" s="28">
        <f>SUMIF(RAW_RECOVERED!$B:$B,Overview!$A38,RAW_RECOVERED!AO:AO)</f>
        <v>16</v>
      </c>
      <c r="AO38" s="28">
        <f>SUMIF(RAW_RECOVERED!$B:$B,Overview!$A38,RAW_RECOVERED!AP:AP)</f>
        <v>16</v>
      </c>
      <c r="AP38" s="28">
        <f>SUMIF(RAW_RECOVERED!$B:$B,Overview!$A38,RAW_RECOVERED!AQ:AQ)</f>
        <v>16</v>
      </c>
      <c r="AQ38" s="28">
        <f>SUMIF(RAW_RECOVERED!$B:$B,Overview!$A38,RAW_RECOVERED!AR:AR)</f>
        <v>16</v>
      </c>
      <c r="AR38" s="28">
        <f>SUMIF(RAW_RECOVERED!$B:$B,Overview!$A38,RAW_RECOVERED!AS:AS)</f>
        <v>16</v>
      </c>
      <c r="AS38" s="28">
        <f>SUMIF(RAW_RECOVERED!$B:$B,Overview!$A38,RAW_RECOVERED!AT:AT)</f>
        <v>16</v>
      </c>
      <c r="AT38" s="28">
        <f>SUMIF(RAW_RECOVERED!$B:$B,Overview!$A38,RAW_RECOVERED!AU:AU)</f>
        <v>17</v>
      </c>
      <c r="AU38" s="28">
        <f>SUMIF(RAW_RECOVERED!$B:$B,Overview!$A38,RAW_RECOVERED!AV:AV)</f>
        <v>18</v>
      </c>
      <c r="AV38" s="28">
        <f>SUMIF(RAW_RECOVERED!$B:$B,Overview!$A38,RAW_RECOVERED!AW:AW)</f>
        <v>18</v>
      </c>
      <c r="AW38" s="28">
        <f>SUMIF(RAW_RECOVERED!$B:$B,Overview!$A38,RAW_RECOVERED!AX:AX)</f>
        <v>18</v>
      </c>
      <c r="AX38" s="28">
        <f>SUMIF(RAW_RECOVERED!$B:$B,Overview!$A38,RAW_RECOVERED!AY:AY)</f>
        <v>18</v>
      </c>
      <c r="AY38" s="28">
        <f>SUMIF(RAW_RECOVERED!$B:$B,Overview!$A38,RAW_RECOVERED!AZ:AZ)</f>
        <v>25</v>
      </c>
      <c r="AZ38" s="28">
        <f>SUMIF(RAW_RECOVERED!$B:$B,Overview!$A38,RAW_RECOVERED!BA:BA)</f>
        <v>25</v>
      </c>
      <c r="BA38" s="28">
        <f>SUMIF(RAW_RECOVERED!$B:$B,Overview!$A38,RAW_RECOVERED!BB:BB)</f>
        <v>46</v>
      </c>
      <c r="BB38" s="28">
        <f>SUMIF(RAW_RECOVERED!$B:$B,Overview!$A38,RAW_RECOVERED!BC:BC)</f>
        <v>46</v>
      </c>
      <c r="BC38" s="28">
        <f>SUMIF(RAW_RECOVERED!$B:$B,Overview!$A38,RAW_RECOVERED!BD:BD)</f>
        <v>46</v>
      </c>
      <c r="BD38" s="28">
        <f>SUMIF(RAW_RECOVERED!$B:$B,Overview!$A38,RAW_RECOVERED!BE:BE)</f>
        <v>67</v>
      </c>
      <c r="BE38" s="28">
        <f>SUMIF(RAW_RECOVERED!$B:$B,Overview!$A38,RAW_RECOVERED!BF:BF)</f>
        <v>67</v>
      </c>
      <c r="BF38" s="28">
        <f>SUMIF(RAW_RECOVERED!$B:$B,Overview!$A38,RAW_RECOVERED!BG:BG)</f>
        <v>105</v>
      </c>
      <c r="BG38" s="28">
        <f>SUMIF(RAW_RECOVERED!$B:$B,Overview!$A38,RAW_RECOVERED!BH:BH)</f>
        <v>113</v>
      </c>
      <c r="BH38" s="28">
        <f>SUMIF(RAW_RECOVERED!$B:$B,Overview!$A38,RAW_RECOVERED!BI:BI)</f>
        <v>180</v>
      </c>
      <c r="BI38" s="28">
        <f>SUMIF(RAW_RECOVERED!$B:$B,Overview!$A38,RAW_RECOVERED!BJ:BJ)</f>
        <v>233</v>
      </c>
      <c r="BJ38" s="28">
        <f>SUMIF(RAW_RECOVERED!$B:$B,Overview!$A38,RAW_RECOVERED!BK:BK)</f>
        <v>266</v>
      </c>
      <c r="BK38" s="28">
        <f>SUMIF(RAW_RECOVERED!$B:$B,Overview!$A38,RAW_RECOVERED!BL:BL)</f>
        <v>266</v>
      </c>
      <c r="BL38" s="28">
        <f>SUMIF(RAW_RECOVERED!$B:$B,Overview!$A38,RAW_RECOVERED!BM:BM)</f>
        <v>3243</v>
      </c>
      <c r="BM38" s="28">
        <f>SUMIF(RAW_RECOVERED!$B:$B,Overview!$A38,RAW_RECOVERED!BN:BN)</f>
        <v>3547</v>
      </c>
      <c r="BN38" s="28">
        <f>SUMIF(RAW_RECOVERED!$B:$B,Overview!$A38,RAW_RECOVERED!BO:BO)</f>
        <v>5673</v>
      </c>
      <c r="BO38" s="28">
        <f>SUMIF(RAW_RECOVERED!$B:$B,Overview!$A38,RAW_RECOVERED!BP:BP)</f>
        <v>6658</v>
      </c>
      <c r="BP38" s="28">
        <f>SUMIF(RAW_RECOVERED!$B:$B,Overview!$A38,RAW_RECOVERED!BQ:BQ)</f>
        <v>8481</v>
      </c>
      <c r="BQ38" s="28">
        <f>SUMIF(RAW_RECOVERED!$B:$B,Overview!$A38,RAW_RECOVERED!BR:BR)</f>
        <v>9211</v>
      </c>
      <c r="BR38" s="28">
        <f>SUMIF(RAW_RECOVERED!$B:$B,Overview!$A38,RAW_RECOVERED!BS:BS)</f>
        <v>13500</v>
      </c>
      <c r="BS38" s="28">
        <f>SUMIF(RAW_RECOVERED!$B:$B,Overview!$A38,RAW_RECOVERED!BT:BT)</f>
        <v>16100</v>
      </c>
      <c r="BT38" s="28">
        <f>SUMIF(RAW_RECOVERED!$B:$B,Overview!$A38,RAW_RECOVERED!BU:BU)</f>
        <v>18700</v>
      </c>
      <c r="BU38" s="28">
        <f>SUMIF(RAW_RECOVERED!$B:$B,Overview!$A38,RAW_RECOVERED!BV:BV)</f>
        <v>22440</v>
      </c>
      <c r="BV38" s="28">
        <f>SUMIF(RAW_RECOVERED!$B:$B,Overview!$A38,RAW_RECOVERED!BW:BW)</f>
        <v>24575</v>
      </c>
      <c r="BW38" s="28">
        <f>SUMIF(RAW_RECOVERED!$B:$B,Overview!$A38,RAW_RECOVERED!BX:BX)</f>
        <v>26400</v>
      </c>
      <c r="BX38" s="28">
        <f>SUMIF(RAW_RECOVERED!$B:$B,Overview!$A38,RAW_RECOVERED!BY:BY)</f>
        <v>28700</v>
      </c>
      <c r="BY38" s="28">
        <f>SUMIF(RAW_RECOVERED!$B:$B,Overview!$A38,RAW_RECOVERED!BZ:BZ)</f>
        <v>28700</v>
      </c>
      <c r="BZ38" s="28">
        <f>SUMIF(RAW_RECOVERED!$B:$B,Overview!$A38,RAW_RECOVERED!CA:CA)</f>
        <v>36081</v>
      </c>
      <c r="CA38" s="28">
        <f>SUMIF(RAW_RECOVERED!$B:$B,Overview!$A38,RAW_RECOVERED!CB:CB)</f>
        <v>46300</v>
      </c>
      <c r="CB38" s="28">
        <f>SUMIF(RAW_RECOVERED!$B:$B,Overview!$A38,RAW_RECOVERED!CC:CC)</f>
        <v>52407</v>
      </c>
      <c r="CC38" s="28">
        <f>SUMIF(RAW_RECOVERED!$B:$B,Overview!$A38,RAW_RECOVERED!CD:CD)</f>
        <v>53913</v>
      </c>
      <c r="CD38" s="28">
        <f>SUMIF(RAW_RECOVERED!$B:$B,Overview!$A38,RAW_RECOVERED!CE:CE)</f>
        <v>57400</v>
      </c>
      <c r="CE38" s="28">
        <f>SUMIF(RAW_RECOVERED!$B:$B,Overview!$A38,RAW_RECOVERED!CF:CF)</f>
        <v>60300</v>
      </c>
      <c r="CF38" s="28">
        <f>SUMIF(RAW_RECOVERED!$B:$B,Overview!$A38,RAW_RECOVERED!CG:CG)</f>
        <v>64300</v>
      </c>
      <c r="CG38" s="28">
        <f>SUMIF(RAW_RECOVERED!$B:$B,Overview!$A38,RAW_RECOVERED!CH:CH)</f>
        <v>68200</v>
      </c>
      <c r="CH38" s="28">
        <f>SUMIF(RAW_RECOVERED!$B:$B,Overview!$A38,RAW_RECOVERED!CI:CI)</f>
        <v>72600</v>
      </c>
      <c r="CI38" s="28">
        <f>SUMIF(RAW_RECOVERED!$B:$B,Overview!$A38,RAW_RECOVERED!CJ:CJ)</f>
        <v>77000</v>
      </c>
      <c r="CJ38" s="28">
        <f>SUMIF(RAW_RECOVERED!$B:$B,Overview!$A38,RAW_RECOVERED!CK:CK)</f>
        <v>83114</v>
      </c>
      <c r="CK38" s="28">
        <f>SUMIF(RAW_RECOVERED!$B:$B,Overview!$A38,RAW_RECOVERED!CL:CL)</f>
        <v>85400</v>
      </c>
      <c r="CL38" s="28">
        <f>SUMIF(RAW_RECOVERED!$B:$B,Overview!$A38,RAW_RECOVERED!CM:CM)</f>
        <v>88000</v>
      </c>
      <c r="CM38" s="28">
        <f>SUMIF(RAW_RECOVERED!$B:$B,Overview!$A38,RAW_RECOVERED!CN:CN)</f>
        <v>91500</v>
      </c>
      <c r="CN38" s="28">
        <f>SUMIF(RAW_RECOVERED!$B:$B,Overview!$A38,RAW_RECOVERED!CO:CO)</f>
        <v>95200</v>
      </c>
      <c r="CO38" s="28">
        <f>SUMIF(RAW_RECOVERED!$B:$B,Overview!$A38,RAW_RECOVERED!CP:CP)</f>
        <v>99400</v>
      </c>
      <c r="CP38" s="28">
        <f>SUMIF(RAW_RECOVERED!$B:$B,Overview!$A38,RAW_RECOVERED!CQ:CQ)</f>
        <v>103300</v>
      </c>
      <c r="CQ38" s="28">
        <f>SUMIF(RAW_RECOVERED!$B:$B,Overview!$A38,RAW_RECOVERED!CR:CR)</f>
        <v>109800</v>
      </c>
      <c r="CR38" s="28">
        <f>SUMIF(RAW_RECOVERED!$B:$B,Overview!$A38,RAW_RECOVERED!CS:CS)</f>
        <v>109800</v>
      </c>
      <c r="CS38" s="28">
        <f>SUMIF(RAW_RECOVERED!$B:$B,Overview!$A38,RAW_RECOVERED!CT:CT)</f>
        <v>112000</v>
      </c>
      <c r="CT38" s="28">
        <f>SUMIF(RAW_RECOVERED!$B:$B,Overview!$A38,RAW_RECOVERED!CU:CU)</f>
        <v>114500</v>
      </c>
      <c r="CU38" s="28">
        <f>SUMIF(RAW_RECOVERED!$B:$B,Overview!$A38,RAW_RECOVERED!CV:CV)</f>
        <v>117400</v>
      </c>
      <c r="CV38" s="28">
        <f>SUMIF(RAW_RECOVERED!$B:$B,Overview!$A38,RAW_RECOVERED!CW:CW)</f>
        <v>120400</v>
      </c>
      <c r="CW38" s="28">
        <f>SUMIF(RAW_RECOVERED!$B:$B,Overview!$A38,RAW_RECOVERED!CX:CX)</f>
        <v>123500</v>
      </c>
      <c r="CX38" s="28">
        <f>SUMIF(RAW_RECOVERED!$B:$B,Overview!$A38,RAW_RECOVERED!CY:CY)</f>
        <v>126900</v>
      </c>
      <c r="CY38" s="28">
        <f>SUMIF(RAW_RECOVERED!$B:$B,Overview!$A38,RAW_RECOVERED!CZ:CZ)</f>
        <v>129000</v>
      </c>
      <c r="CZ38" s="28">
        <f>SUMIF(RAW_RECOVERED!$B:$B,Overview!$A38,RAW_RECOVERED!DA:DA)</f>
        <v>130600</v>
      </c>
      <c r="DA38" s="28">
        <f>SUMIF(RAW_RECOVERED!$B:$B,Overview!$A38,RAW_RECOVERED!DB:DB)</f>
        <v>0</v>
      </c>
      <c r="DB38" s="28">
        <f>SUMIF(RAW_RECOVERED!$B:$B,Overview!$A38,RAW_RECOVERED!DC:DC)</f>
        <v>0</v>
      </c>
      <c r="DC38" s="28">
        <f>SUMIF(RAW_RECOVERED!$B:$B,Overview!$A38,RAW_RECOVERED!DD:DD)</f>
        <v>0</v>
      </c>
      <c r="DD38" s="28">
        <f>SUMIF(RAW_RECOVERED!$B:$B,Overview!$A38,RAW_RECOVERED!DE:DE)</f>
        <v>0</v>
      </c>
      <c r="DE38" s="28">
        <f>SUMIF(RAW_RECOVERED!$B:$B,Overview!$A38,RAW_RECOVERED!DF:DF)</f>
        <v>0</v>
      </c>
      <c r="DF38" s="28">
        <f>SUMIF(RAW_RECOVERED!$B:$B,Overview!$A38,RAW_RECOVERED!DG:DG)</f>
        <v>0</v>
      </c>
      <c r="DG38" s="28">
        <f>SUMIF(RAW_RECOVERED!$B:$B,Overview!$A38,RAW_RECOVERED!DH:DH)</f>
        <v>0</v>
      </c>
      <c r="DH38" s="28">
        <f>SUMIF(RAW_RECOVERED!$B:$B,Overview!$A38,RAW_RECOVERED!DI:DI)</f>
        <v>0</v>
      </c>
      <c r="DI38" s="28">
        <f>SUMIF(RAW_RECOVERED!$B:$B,Overview!$A38,RAW_RECOVERED!DJ:DJ)</f>
        <v>0</v>
      </c>
      <c r="DJ38" s="28">
        <f>SUMIF(RAW_RECOVERED!$B:$B,Overview!$A38,RAW_RECOVERED!DK:DK)</f>
        <v>0</v>
      </c>
      <c r="DK38" s="28">
        <f>SUMIF(RAW_RECOVERED!$B:$B,Overview!$A38,RAW_RECOVERED!DL:DL)</f>
        <v>0</v>
      </c>
      <c r="DL38" s="28">
        <f>SUMIF(RAW_RECOVERED!$B:$B,Overview!$A38,RAW_RECOVERED!DM:DM)</f>
        <v>0</v>
      </c>
      <c r="DM38" s="28">
        <f>SUMIF(RAW_RECOVERED!$B:$B,Overview!$A38,RAW_RECOVERED!DN:DN)</f>
        <v>0</v>
      </c>
      <c r="DN38" s="28">
        <f>SUMIF(RAW_RECOVERED!$B:$B,Overview!$A38,RAW_RECOVERED!DO:DO)</f>
        <v>0</v>
      </c>
      <c r="DO38" s="28">
        <f>SUMIF(RAW_RECOVERED!$B:$B,Overview!$A38,RAW_RECOVERED!DP:DP)</f>
        <v>0</v>
      </c>
      <c r="DP38" s="28">
        <f>SUMIF(RAW_RECOVERED!$B:$B,Overview!$A38,RAW_RECOVERED!DQ:DQ)</f>
        <v>0</v>
      </c>
      <c r="DQ38" s="28">
        <f>SUMIF(RAW_RECOVERED!$B:$B,Overview!$A38,RAW_RECOVERED!DR:DR)</f>
        <v>0</v>
      </c>
      <c r="DR38" s="28">
        <f>SUMIF(RAW_RECOVERED!$B:$B,Overview!$A38,RAW_RECOVERED!DS:DS)</f>
        <v>0</v>
      </c>
      <c r="DS38" s="28">
        <f>SUMIF(RAW_RECOVERED!$B:$B,Overview!$A38,RAW_RECOVERED!DT:DT)</f>
        <v>0</v>
      </c>
      <c r="DT38" s="28">
        <f>SUMIF(RAW_RECOVERED!$B:$B,Overview!$A38,RAW_RECOVERED!DU:DU)</f>
        <v>0</v>
      </c>
      <c r="DU38" s="28">
        <f>SUMIF(RAW_RECOVERED!$B:$B,Overview!$A38,RAW_RECOVERED!DV:DV)</f>
        <v>0</v>
      </c>
      <c r="DV38" s="28">
        <f>SUMIF(RAW_RECOVERED!$B:$B,Overview!$A38,RAW_RECOVERED!DW:DW)</f>
        <v>0</v>
      </c>
      <c r="DW38" s="28">
        <f>SUMIF(RAW_RECOVERED!$B:$B,Overview!$A38,RAW_RECOVERED!DX:DX)</f>
        <v>0</v>
      </c>
      <c r="DX38" s="28">
        <f>SUMIF(RAW_RECOVERED!$B:$B,Overview!$A38,RAW_RECOVERED!DY:DY)</f>
        <v>0</v>
      </c>
      <c r="DY38" s="28">
        <f>SUMIF(RAW_RECOVERED!$B:$B,Overview!$A38,RAW_RECOVERED!DZ:DZ)</f>
        <v>0</v>
      </c>
      <c r="DZ38" s="28">
        <f>SUMIF(RAW_RECOVERED!$B:$B,Overview!$A38,RAW_RECOVERED!EA:EA)</f>
        <v>0</v>
      </c>
      <c r="EA38" s="28">
        <f>SUMIF(RAW_RECOVERED!$B:$B,Overview!$A38,RAW_RECOVERED!EB:EB)</f>
        <v>0</v>
      </c>
    </row>
    <row r="39" spans="1:131" s="10" customFormat="1" ht="13.15" x14ac:dyDescent="0.4">
      <c r="A39" s="24" t="str">
        <f t="shared" si="157"/>
        <v>US</v>
      </c>
      <c r="B39" s="28">
        <f>SUMIF(RAW_RECOVERED!$B:$B,Overview!$A39,RAW_RECOVERED!C:C)</f>
        <v>0</v>
      </c>
      <c r="C39" s="28">
        <f>SUMIF(RAW_RECOVERED!$B:$B,Overview!$A39,RAW_RECOVERED!D:D)</f>
        <v>0</v>
      </c>
      <c r="D39" s="28">
        <f>SUMIF(RAW_RECOVERED!$B:$B,Overview!$A39,RAW_RECOVERED!E:E)</f>
        <v>0</v>
      </c>
      <c r="E39" s="28">
        <f>SUMIF(RAW_RECOVERED!$B:$B,Overview!$A39,RAW_RECOVERED!F:F)</f>
        <v>0</v>
      </c>
      <c r="F39" s="28">
        <f>SUMIF(RAW_RECOVERED!$B:$B,Overview!$A39,RAW_RECOVERED!G:G)</f>
        <v>0</v>
      </c>
      <c r="G39" s="28">
        <f>SUMIF(RAW_RECOVERED!$B:$B,Overview!$A39,RAW_RECOVERED!H:H)</f>
        <v>0</v>
      </c>
      <c r="H39" s="28">
        <f>SUMIF(RAW_RECOVERED!$B:$B,Overview!$A39,RAW_RECOVERED!I:I)</f>
        <v>0</v>
      </c>
      <c r="I39" s="28">
        <f>SUMIF(RAW_RECOVERED!$B:$B,Overview!$A39,RAW_RECOVERED!J:J)</f>
        <v>0</v>
      </c>
      <c r="J39" s="28">
        <f>SUMIF(RAW_RECOVERED!$B:$B,Overview!$A39,RAW_RECOVERED!K:K)</f>
        <v>0</v>
      </c>
      <c r="K39" s="28">
        <f>SUMIF(RAW_RECOVERED!$B:$B,Overview!$A39,RAW_RECOVERED!L:L)</f>
        <v>0</v>
      </c>
      <c r="L39" s="28">
        <f>SUMIF(RAW_RECOVERED!$B:$B,Overview!$A39,RAW_RECOVERED!M:M)</f>
        <v>0</v>
      </c>
      <c r="M39" s="28">
        <f>SUMIF(RAW_RECOVERED!$B:$B,Overview!$A39,RAW_RECOVERED!N:N)</f>
        <v>0</v>
      </c>
      <c r="N39" s="28">
        <f>SUMIF(RAW_RECOVERED!$B:$B,Overview!$A39,RAW_RECOVERED!O:O)</f>
        <v>0</v>
      </c>
      <c r="O39" s="28">
        <f>SUMIF(RAW_RECOVERED!$B:$B,Overview!$A39,RAW_RECOVERED!P:P)</f>
        <v>0</v>
      </c>
      <c r="P39" s="28">
        <f>SUMIF(RAW_RECOVERED!$B:$B,Overview!$A39,RAW_RECOVERED!Q:Q)</f>
        <v>0</v>
      </c>
      <c r="Q39" s="28">
        <f>SUMIF(RAW_RECOVERED!$B:$B,Overview!$A39,RAW_RECOVERED!R:R)</f>
        <v>0</v>
      </c>
      <c r="R39" s="28">
        <f>SUMIF(RAW_RECOVERED!$B:$B,Overview!$A39,RAW_RECOVERED!S:S)</f>
        <v>0</v>
      </c>
      <c r="S39" s="28">
        <f>SUMIF(RAW_RECOVERED!$B:$B,Overview!$A39,RAW_RECOVERED!T:T)</f>
        <v>0</v>
      </c>
      <c r="T39" s="28">
        <f>SUMIF(RAW_RECOVERED!$B:$B,Overview!$A39,RAW_RECOVERED!U:U)</f>
        <v>3</v>
      </c>
      <c r="U39" s="28">
        <f>SUMIF(RAW_RECOVERED!$B:$B,Overview!$A39,RAW_RECOVERED!V:V)</f>
        <v>3</v>
      </c>
      <c r="V39" s="28">
        <f>SUMIF(RAW_RECOVERED!$B:$B,Overview!$A39,RAW_RECOVERED!W:W)</f>
        <v>3</v>
      </c>
      <c r="W39" s="28">
        <f>SUMIF(RAW_RECOVERED!$B:$B,Overview!$A39,RAW_RECOVERED!X:X)</f>
        <v>3</v>
      </c>
      <c r="X39" s="28">
        <f>SUMIF(RAW_RECOVERED!$B:$B,Overview!$A39,RAW_RECOVERED!Y:Y)</f>
        <v>3</v>
      </c>
      <c r="Y39" s="28">
        <f>SUMIF(RAW_RECOVERED!$B:$B,Overview!$A39,RAW_RECOVERED!Z:Z)</f>
        <v>3</v>
      </c>
      <c r="Z39" s="28">
        <f>SUMIF(RAW_RECOVERED!$B:$B,Overview!$A39,RAW_RECOVERED!AA:AA)</f>
        <v>3</v>
      </c>
      <c r="AA39" s="28">
        <f>SUMIF(RAW_RECOVERED!$B:$B,Overview!$A39,RAW_RECOVERED!AB:AB)</f>
        <v>3</v>
      </c>
      <c r="AB39" s="28">
        <f>SUMIF(RAW_RECOVERED!$B:$B,Overview!$A39,RAW_RECOVERED!AC:AC)</f>
        <v>3</v>
      </c>
      <c r="AC39" s="28">
        <f>SUMIF(RAW_RECOVERED!$B:$B,Overview!$A39,RAW_RECOVERED!AD:AD)</f>
        <v>3</v>
      </c>
      <c r="AD39" s="28">
        <f>SUMIF(RAW_RECOVERED!$B:$B,Overview!$A39,RAW_RECOVERED!AE:AE)</f>
        <v>3</v>
      </c>
      <c r="AE39" s="28">
        <f>SUMIF(RAW_RECOVERED!$B:$B,Overview!$A39,RAW_RECOVERED!AF:AF)</f>
        <v>3</v>
      </c>
      <c r="AF39" s="28">
        <f>SUMIF(RAW_RECOVERED!$B:$B,Overview!$A39,RAW_RECOVERED!AG:AG)</f>
        <v>5</v>
      </c>
      <c r="AG39" s="28">
        <f>SUMIF(RAW_RECOVERED!$B:$B,Overview!$A39,RAW_RECOVERED!AH:AH)</f>
        <v>5</v>
      </c>
      <c r="AH39" s="28">
        <f>SUMIF(RAW_RECOVERED!$B:$B,Overview!$A39,RAW_RECOVERED!AI:AI)</f>
        <v>5</v>
      </c>
      <c r="AI39" s="28">
        <f>SUMIF(RAW_RECOVERED!$B:$B,Overview!$A39,RAW_RECOVERED!AJ:AJ)</f>
        <v>5</v>
      </c>
      <c r="AJ39" s="28">
        <f>SUMIF(RAW_RECOVERED!$B:$B,Overview!$A39,RAW_RECOVERED!AK:AK)</f>
        <v>6</v>
      </c>
      <c r="AK39" s="28">
        <f>SUMIF(RAW_RECOVERED!$B:$B,Overview!$A39,RAW_RECOVERED!AL:AL)</f>
        <v>6</v>
      </c>
      <c r="AL39" s="28">
        <f>SUMIF(RAW_RECOVERED!$B:$B,Overview!$A39,RAW_RECOVERED!AM:AM)</f>
        <v>6</v>
      </c>
      <c r="AM39" s="28">
        <f>SUMIF(RAW_RECOVERED!$B:$B,Overview!$A39,RAW_RECOVERED!AN:AN)</f>
        <v>7</v>
      </c>
      <c r="AN39" s="28">
        <f>SUMIF(RAW_RECOVERED!$B:$B,Overview!$A39,RAW_RECOVERED!AO:AO)</f>
        <v>7</v>
      </c>
      <c r="AO39" s="28">
        <f>SUMIF(RAW_RECOVERED!$B:$B,Overview!$A39,RAW_RECOVERED!AP:AP)</f>
        <v>7</v>
      </c>
      <c r="AP39" s="28">
        <f>SUMIF(RAW_RECOVERED!$B:$B,Overview!$A39,RAW_RECOVERED!AQ:AQ)</f>
        <v>7</v>
      </c>
      <c r="AQ39" s="28">
        <f>SUMIF(RAW_RECOVERED!$B:$B,Overview!$A39,RAW_RECOVERED!AR:AR)</f>
        <v>7</v>
      </c>
      <c r="AR39" s="28">
        <f>SUMIF(RAW_RECOVERED!$B:$B,Overview!$A39,RAW_RECOVERED!AS:AS)</f>
        <v>7</v>
      </c>
      <c r="AS39" s="28">
        <f>SUMIF(RAW_RECOVERED!$B:$B,Overview!$A39,RAW_RECOVERED!AT:AT)</f>
        <v>7</v>
      </c>
      <c r="AT39" s="28">
        <f>SUMIF(RAW_RECOVERED!$B:$B,Overview!$A39,RAW_RECOVERED!AU:AU)</f>
        <v>7</v>
      </c>
      <c r="AU39" s="28">
        <f>SUMIF(RAW_RECOVERED!$B:$B,Overview!$A39,RAW_RECOVERED!AV:AV)</f>
        <v>7</v>
      </c>
      <c r="AV39" s="28">
        <f>SUMIF(RAW_RECOVERED!$B:$B,Overview!$A39,RAW_RECOVERED!AW:AW)</f>
        <v>7</v>
      </c>
      <c r="AW39" s="28">
        <f>SUMIF(RAW_RECOVERED!$B:$B,Overview!$A39,RAW_RECOVERED!AX:AX)</f>
        <v>7</v>
      </c>
      <c r="AX39" s="28">
        <f>SUMIF(RAW_RECOVERED!$B:$B,Overview!$A39,RAW_RECOVERED!AY:AY)</f>
        <v>8</v>
      </c>
      <c r="AY39" s="28">
        <f>SUMIF(RAW_RECOVERED!$B:$B,Overview!$A39,RAW_RECOVERED!AZ:AZ)</f>
        <v>8</v>
      </c>
      <c r="AZ39" s="28">
        <f>SUMIF(RAW_RECOVERED!$B:$B,Overview!$A39,RAW_RECOVERED!BA:BA)</f>
        <v>12</v>
      </c>
      <c r="BA39" s="28">
        <f>SUMIF(RAW_RECOVERED!$B:$B,Overview!$A39,RAW_RECOVERED!BB:BB)</f>
        <v>12</v>
      </c>
      <c r="BB39" s="28">
        <f>SUMIF(RAW_RECOVERED!$B:$B,Overview!$A39,RAW_RECOVERED!BC:BC)</f>
        <v>12</v>
      </c>
      <c r="BC39" s="28">
        <f>SUMIF(RAW_RECOVERED!$B:$B,Overview!$A39,RAW_RECOVERED!BD:BD)</f>
        <v>12</v>
      </c>
      <c r="BD39" s="28">
        <f>SUMIF(RAW_RECOVERED!$B:$B,Overview!$A39,RAW_RECOVERED!BE:BE)</f>
        <v>17</v>
      </c>
      <c r="BE39" s="28">
        <f>SUMIF(RAW_RECOVERED!$B:$B,Overview!$A39,RAW_RECOVERED!BF:BF)</f>
        <v>17</v>
      </c>
      <c r="BF39" s="28">
        <f>SUMIF(RAW_RECOVERED!$B:$B,Overview!$A39,RAW_RECOVERED!BG:BG)</f>
        <v>105</v>
      </c>
      <c r="BG39" s="28">
        <f>SUMIF(RAW_RECOVERED!$B:$B,Overview!$A39,RAW_RECOVERED!BH:BH)</f>
        <v>121</v>
      </c>
      <c r="BH39" s="28">
        <f>SUMIF(RAW_RECOVERED!$B:$B,Overview!$A39,RAW_RECOVERED!BI:BI)</f>
        <v>147</v>
      </c>
      <c r="BI39" s="28">
        <f>SUMIF(RAW_RECOVERED!$B:$B,Overview!$A39,RAW_RECOVERED!BJ:BJ)</f>
        <v>176</v>
      </c>
      <c r="BJ39" s="28">
        <f>SUMIF(RAW_RECOVERED!$B:$B,Overview!$A39,RAW_RECOVERED!BK:BK)</f>
        <v>178</v>
      </c>
      <c r="BK39" s="28">
        <f>SUMIF(RAW_RECOVERED!$B:$B,Overview!$A39,RAW_RECOVERED!BL:BL)</f>
        <v>178</v>
      </c>
      <c r="BL39" s="28">
        <f>SUMIF(RAW_RECOVERED!$B:$B,Overview!$A39,RAW_RECOVERED!BM:BM)</f>
        <v>348</v>
      </c>
      <c r="BM39" s="28">
        <f>SUMIF(RAW_RECOVERED!$B:$B,Overview!$A39,RAW_RECOVERED!BN:BN)</f>
        <v>361</v>
      </c>
      <c r="BN39" s="28">
        <f>SUMIF(RAW_RECOVERED!$B:$B,Overview!$A39,RAW_RECOVERED!BO:BO)</f>
        <v>681</v>
      </c>
      <c r="BO39" s="28">
        <f>SUMIF(RAW_RECOVERED!$B:$B,Overview!$A39,RAW_RECOVERED!BP:BP)</f>
        <v>869</v>
      </c>
      <c r="BP39" s="28">
        <f>SUMIF(RAW_RECOVERED!$B:$B,Overview!$A39,RAW_RECOVERED!BQ:BQ)</f>
        <v>1072</v>
      </c>
      <c r="BQ39" s="28">
        <f>SUMIF(RAW_RECOVERED!$B:$B,Overview!$A39,RAW_RECOVERED!BR:BR)</f>
        <v>2665</v>
      </c>
      <c r="BR39" s="28">
        <f>SUMIF(RAW_RECOVERED!$B:$B,Overview!$A39,RAW_RECOVERED!BS:BS)</f>
        <v>5644</v>
      </c>
      <c r="BS39" s="28">
        <f>SUMIF(RAW_RECOVERED!$B:$B,Overview!$A39,RAW_RECOVERED!BT:BT)</f>
        <v>7024</v>
      </c>
      <c r="BT39" s="28">
        <f>SUMIF(RAW_RECOVERED!$B:$B,Overview!$A39,RAW_RECOVERED!BU:BU)</f>
        <v>8474</v>
      </c>
      <c r="BU39" s="28">
        <f>SUMIF(RAW_RECOVERED!$B:$B,Overview!$A39,RAW_RECOVERED!BV:BV)</f>
        <v>9001</v>
      </c>
      <c r="BV39" s="28">
        <f>SUMIF(RAW_RECOVERED!$B:$B,Overview!$A39,RAW_RECOVERED!BW:BW)</f>
        <v>9707</v>
      </c>
      <c r="BW39" s="28">
        <f>SUMIF(RAW_RECOVERED!$B:$B,Overview!$A39,RAW_RECOVERED!BX:BX)</f>
        <v>14652</v>
      </c>
      <c r="BX39" s="28">
        <f>SUMIF(RAW_RECOVERED!$B:$B,Overview!$A39,RAW_RECOVERED!BY:BY)</f>
        <v>17448</v>
      </c>
      <c r="BY39" s="28">
        <f>SUMIF(RAW_RECOVERED!$B:$B,Overview!$A39,RAW_RECOVERED!BZ:BZ)</f>
        <v>19581</v>
      </c>
      <c r="BZ39" s="28">
        <f>SUMIF(RAW_RECOVERED!$B:$B,Overview!$A39,RAW_RECOVERED!CA:CA)</f>
        <v>21763</v>
      </c>
      <c r="CA39" s="28">
        <f>SUMIF(RAW_RECOVERED!$B:$B,Overview!$A39,RAW_RECOVERED!CB:CB)</f>
        <v>23559</v>
      </c>
      <c r="CB39" s="28">
        <f>SUMIF(RAW_RECOVERED!$B:$B,Overview!$A39,RAW_RECOVERED!CC:CC)</f>
        <v>25410</v>
      </c>
      <c r="CC39" s="28">
        <f>SUMIF(RAW_RECOVERED!$B:$B,Overview!$A39,RAW_RECOVERED!CD:CD)</f>
        <v>28790</v>
      </c>
      <c r="CD39" s="28">
        <f>SUMIF(RAW_RECOVERED!$B:$B,Overview!$A39,RAW_RECOVERED!CE:CE)</f>
        <v>31270</v>
      </c>
      <c r="CE39" s="28">
        <f>SUMIF(RAW_RECOVERED!$B:$B,Overview!$A39,RAW_RECOVERED!CF:CF)</f>
        <v>32988</v>
      </c>
      <c r="CF39" s="28">
        <f>SUMIF(RAW_RECOVERED!$B:$B,Overview!$A39,RAW_RECOVERED!CG:CG)</f>
        <v>43482</v>
      </c>
      <c r="CG39" s="28">
        <f>SUMIF(RAW_RECOVERED!$B:$B,Overview!$A39,RAW_RECOVERED!CH:CH)</f>
        <v>47763</v>
      </c>
      <c r="CH39" s="28">
        <f>SUMIF(RAW_RECOVERED!$B:$B,Overview!$A39,RAW_RECOVERED!CI:CI)</f>
        <v>52096</v>
      </c>
      <c r="CI39" s="28">
        <f>SUMIF(RAW_RECOVERED!$B:$B,Overview!$A39,RAW_RECOVERED!CJ:CJ)</f>
        <v>54703</v>
      </c>
      <c r="CJ39" s="28">
        <f>SUMIF(RAW_RECOVERED!$B:$B,Overview!$A39,RAW_RECOVERED!CK:CK)</f>
        <v>58545</v>
      </c>
      <c r="CK39" s="28">
        <f>SUMIF(RAW_RECOVERED!$B:$B,Overview!$A39,RAW_RECOVERED!CL:CL)</f>
        <v>64840</v>
      </c>
      <c r="CL39" s="28">
        <f>SUMIF(RAW_RECOVERED!$B:$B,Overview!$A39,RAW_RECOVERED!CM:CM)</f>
        <v>70337</v>
      </c>
      <c r="CM39" s="28">
        <f>SUMIF(RAW_RECOVERED!$B:$B,Overview!$A39,RAW_RECOVERED!CN:CN)</f>
        <v>72329</v>
      </c>
      <c r="CN39" s="28">
        <f>SUMIF(RAW_RECOVERED!$B:$B,Overview!$A39,RAW_RECOVERED!CO:CO)</f>
        <v>75204</v>
      </c>
      <c r="CO39" s="28">
        <f>SUMIF(RAW_RECOVERED!$B:$B,Overview!$A39,RAW_RECOVERED!CP:CP)</f>
        <v>77366</v>
      </c>
      <c r="CP39" s="28">
        <f>SUMIF(RAW_RECOVERED!$B:$B,Overview!$A39,RAW_RECOVERED!CQ:CQ)</f>
        <v>80203</v>
      </c>
      <c r="CQ39" s="28">
        <f>SUMIF(RAW_RECOVERED!$B:$B,Overview!$A39,RAW_RECOVERED!CR:CR)</f>
        <v>99079</v>
      </c>
      <c r="CR39" s="28">
        <f>SUMIF(RAW_RECOVERED!$B:$B,Overview!$A39,RAW_RECOVERED!CS:CS)</f>
        <v>100372</v>
      </c>
      <c r="CS39" s="28">
        <f>SUMIF(RAW_RECOVERED!$B:$B,Overview!$A39,RAW_RECOVERED!CT:CT)</f>
        <v>106988</v>
      </c>
      <c r="CT39" s="28">
        <f>SUMIF(RAW_RECOVERED!$B:$B,Overview!$A39,RAW_RECOVERED!CU:CU)</f>
        <v>111424</v>
      </c>
      <c r="CU39" s="28">
        <f>SUMIF(RAW_RECOVERED!$B:$B,Overview!$A39,RAW_RECOVERED!CV:CV)</f>
        <v>115936</v>
      </c>
      <c r="CV39" s="28">
        <f>SUMIF(RAW_RECOVERED!$B:$B,Overview!$A39,RAW_RECOVERED!CW:CW)</f>
        <v>120720</v>
      </c>
      <c r="CW39" s="28">
        <f>SUMIF(RAW_RECOVERED!$B:$B,Overview!$A39,RAW_RECOVERED!CX:CX)</f>
        <v>153947</v>
      </c>
      <c r="CX39" s="28">
        <f>SUMIF(RAW_RECOVERED!$B:$B,Overview!$A39,RAW_RECOVERED!CY:CY)</f>
        <v>164015</v>
      </c>
      <c r="CY39" s="28">
        <f>SUMIF(RAW_RECOVERED!$B:$B,Overview!$A39,RAW_RECOVERED!CZ:CZ)</f>
        <v>175382</v>
      </c>
      <c r="CZ39" s="28">
        <f>SUMIF(RAW_RECOVERED!$B:$B,Overview!$A39,RAW_RECOVERED!DA:DA)</f>
        <v>180152</v>
      </c>
      <c r="DA39" s="28">
        <f>SUMIF(RAW_RECOVERED!$B:$B,Overview!$A39,RAW_RECOVERED!DB:DB)</f>
        <v>0</v>
      </c>
      <c r="DB39" s="28">
        <f>SUMIF(RAW_RECOVERED!$B:$B,Overview!$A39,RAW_RECOVERED!DC:DC)</f>
        <v>0</v>
      </c>
      <c r="DC39" s="28">
        <f>SUMIF(RAW_RECOVERED!$B:$B,Overview!$A39,RAW_RECOVERED!DD:DD)</f>
        <v>0</v>
      </c>
      <c r="DD39" s="28">
        <f>SUMIF(RAW_RECOVERED!$B:$B,Overview!$A39,RAW_RECOVERED!DE:DE)</f>
        <v>0</v>
      </c>
      <c r="DE39" s="28">
        <f>SUMIF(RAW_RECOVERED!$B:$B,Overview!$A39,RAW_RECOVERED!DF:DF)</f>
        <v>0</v>
      </c>
      <c r="DF39" s="28">
        <f>SUMIF(RAW_RECOVERED!$B:$B,Overview!$A39,RAW_RECOVERED!DG:DG)</f>
        <v>0</v>
      </c>
      <c r="DG39" s="28">
        <f>SUMIF(RAW_RECOVERED!$B:$B,Overview!$A39,RAW_RECOVERED!DH:DH)</f>
        <v>0</v>
      </c>
      <c r="DH39" s="28">
        <f>SUMIF(RAW_RECOVERED!$B:$B,Overview!$A39,RAW_RECOVERED!DI:DI)</f>
        <v>0</v>
      </c>
      <c r="DI39" s="28">
        <f>SUMIF(RAW_RECOVERED!$B:$B,Overview!$A39,RAW_RECOVERED!DJ:DJ)</f>
        <v>0</v>
      </c>
      <c r="DJ39" s="28">
        <f>SUMIF(RAW_RECOVERED!$B:$B,Overview!$A39,RAW_RECOVERED!DK:DK)</f>
        <v>0</v>
      </c>
      <c r="DK39" s="28">
        <f>SUMIF(RAW_RECOVERED!$B:$B,Overview!$A39,RAW_RECOVERED!DL:DL)</f>
        <v>0</v>
      </c>
      <c r="DL39" s="28">
        <f>SUMIF(RAW_RECOVERED!$B:$B,Overview!$A39,RAW_RECOVERED!DM:DM)</f>
        <v>0</v>
      </c>
      <c r="DM39" s="28">
        <f>SUMIF(RAW_RECOVERED!$B:$B,Overview!$A39,RAW_RECOVERED!DN:DN)</f>
        <v>0</v>
      </c>
      <c r="DN39" s="28">
        <f>SUMIF(RAW_RECOVERED!$B:$B,Overview!$A39,RAW_RECOVERED!DO:DO)</f>
        <v>0</v>
      </c>
      <c r="DO39" s="28">
        <f>SUMIF(RAW_RECOVERED!$B:$B,Overview!$A39,RAW_RECOVERED!DP:DP)</f>
        <v>0</v>
      </c>
      <c r="DP39" s="28">
        <f>SUMIF(RAW_RECOVERED!$B:$B,Overview!$A39,RAW_RECOVERED!DQ:DQ)</f>
        <v>0</v>
      </c>
      <c r="DQ39" s="28">
        <f>SUMIF(RAW_RECOVERED!$B:$B,Overview!$A39,RAW_RECOVERED!DR:DR)</f>
        <v>0</v>
      </c>
      <c r="DR39" s="28">
        <f>SUMIF(RAW_RECOVERED!$B:$B,Overview!$A39,RAW_RECOVERED!DS:DS)</f>
        <v>0</v>
      </c>
      <c r="DS39" s="28">
        <f>SUMIF(RAW_RECOVERED!$B:$B,Overview!$A39,RAW_RECOVERED!DT:DT)</f>
        <v>0</v>
      </c>
      <c r="DT39" s="28">
        <f>SUMIF(RAW_RECOVERED!$B:$B,Overview!$A39,RAW_RECOVERED!DU:DU)</f>
        <v>0</v>
      </c>
      <c r="DU39" s="28">
        <f>SUMIF(RAW_RECOVERED!$B:$B,Overview!$A39,RAW_RECOVERED!DV:DV)</f>
        <v>0</v>
      </c>
      <c r="DV39" s="28">
        <f>SUMIF(RAW_RECOVERED!$B:$B,Overview!$A39,RAW_RECOVERED!DW:DW)</f>
        <v>0</v>
      </c>
      <c r="DW39" s="28">
        <f>SUMIF(RAW_RECOVERED!$B:$B,Overview!$A39,RAW_RECOVERED!DX:DX)</f>
        <v>0</v>
      </c>
      <c r="DX39" s="28">
        <f>SUMIF(RAW_RECOVERED!$B:$B,Overview!$A39,RAW_RECOVERED!DY:DY)</f>
        <v>0</v>
      </c>
      <c r="DY39" s="28">
        <f>SUMIF(RAW_RECOVERED!$B:$B,Overview!$A39,RAW_RECOVERED!DZ:DZ)</f>
        <v>0</v>
      </c>
      <c r="DZ39" s="28">
        <f>SUMIF(RAW_RECOVERED!$B:$B,Overview!$A39,RAW_RECOVERED!EA:EA)</f>
        <v>0</v>
      </c>
      <c r="EA39" s="28">
        <f>SUMIF(RAW_RECOVERED!$B:$B,Overview!$A39,RAW_RECOVERED!EB:EB)</f>
        <v>0</v>
      </c>
    </row>
    <row r="40" spans="1:131" s="10" customFormat="1" ht="13.15" x14ac:dyDescent="0.4">
      <c r="A40" s="24" t="str">
        <f t="shared" si="157"/>
        <v>Italy</v>
      </c>
      <c r="B40" s="28">
        <f>SUMIF(RAW_RECOVERED!$B:$B,Overview!$A40,RAW_RECOVERED!C:C)</f>
        <v>0</v>
      </c>
      <c r="C40" s="28">
        <f>SUMIF(RAW_RECOVERED!$B:$B,Overview!$A40,RAW_RECOVERED!D:D)</f>
        <v>0</v>
      </c>
      <c r="D40" s="28">
        <f>SUMIF(RAW_RECOVERED!$B:$B,Overview!$A40,RAW_RECOVERED!E:E)</f>
        <v>0</v>
      </c>
      <c r="E40" s="28">
        <f>SUMIF(RAW_RECOVERED!$B:$B,Overview!$A40,RAW_RECOVERED!F:F)</f>
        <v>0</v>
      </c>
      <c r="F40" s="28">
        <f>SUMIF(RAW_RECOVERED!$B:$B,Overview!$A40,RAW_RECOVERED!G:G)</f>
        <v>0</v>
      </c>
      <c r="G40" s="28">
        <f>SUMIF(RAW_RECOVERED!$B:$B,Overview!$A40,RAW_RECOVERED!H:H)</f>
        <v>0</v>
      </c>
      <c r="H40" s="28">
        <f>SUMIF(RAW_RECOVERED!$B:$B,Overview!$A40,RAW_RECOVERED!I:I)</f>
        <v>0</v>
      </c>
      <c r="I40" s="28">
        <f>SUMIF(RAW_RECOVERED!$B:$B,Overview!$A40,RAW_RECOVERED!J:J)</f>
        <v>0</v>
      </c>
      <c r="J40" s="28">
        <f>SUMIF(RAW_RECOVERED!$B:$B,Overview!$A40,RAW_RECOVERED!K:K)</f>
        <v>0</v>
      </c>
      <c r="K40" s="28">
        <f>SUMIF(RAW_RECOVERED!$B:$B,Overview!$A40,RAW_RECOVERED!L:L)</f>
        <v>0</v>
      </c>
      <c r="L40" s="28">
        <f>SUMIF(RAW_RECOVERED!$B:$B,Overview!$A40,RAW_RECOVERED!M:M)</f>
        <v>0</v>
      </c>
      <c r="M40" s="28">
        <f>SUMIF(RAW_RECOVERED!$B:$B,Overview!$A40,RAW_RECOVERED!N:N)</f>
        <v>0</v>
      </c>
      <c r="N40" s="28">
        <f>SUMIF(RAW_RECOVERED!$B:$B,Overview!$A40,RAW_RECOVERED!O:O)</f>
        <v>0</v>
      </c>
      <c r="O40" s="28">
        <f>SUMIF(RAW_RECOVERED!$B:$B,Overview!$A40,RAW_RECOVERED!P:P)</f>
        <v>0</v>
      </c>
      <c r="P40" s="28">
        <f>SUMIF(RAW_RECOVERED!$B:$B,Overview!$A40,RAW_RECOVERED!Q:Q)</f>
        <v>0</v>
      </c>
      <c r="Q40" s="28">
        <f>SUMIF(RAW_RECOVERED!$B:$B,Overview!$A40,RAW_RECOVERED!R:R)</f>
        <v>0</v>
      </c>
      <c r="R40" s="28">
        <f>SUMIF(RAW_RECOVERED!$B:$B,Overview!$A40,RAW_RECOVERED!S:S)</f>
        <v>0</v>
      </c>
      <c r="S40" s="28">
        <f>SUMIF(RAW_RECOVERED!$B:$B,Overview!$A40,RAW_RECOVERED!T:T)</f>
        <v>0</v>
      </c>
      <c r="T40" s="28">
        <f>SUMIF(RAW_RECOVERED!$B:$B,Overview!$A40,RAW_RECOVERED!U:U)</f>
        <v>0</v>
      </c>
      <c r="U40" s="28">
        <f>SUMIF(RAW_RECOVERED!$B:$B,Overview!$A40,RAW_RECOVERED!V:V)</f>
        <v>0</v>
      </c>
      <c r="V40" s="28">
        <f>SUMIF(RAW_RECOVERED!$B:$B,Overview!$A40,RAW_RECOVERED!W:W)</f>
        <v>0</v>
      </c>
      <c r="W40" s="28">
        <f>SUMIF(RAW_RECOVERED!$B:$B,Overview!$A40,RAW_RECOVERED!X:X)</f>
        <v>0</v>
      </c>
      <c r="X40" s="28">
        <f>SUMIF(RAW_RECOVERED!$B:$B,Overview!$A40,RAW_RECOVERED!Y:Y)</f>
        <v>0</v>
      </c>
      <c r="Y40" s="28">
        <f>SUMIF(RAW_RECOVERED!$B:$B,Overview!$A40,RAW_RECOVERED!Z:Z)</f>
        <v>0</v>
      </c>
      <c r="Z40" s="28">
        <f>SUMIF(RAW_RECOVERED!$B:$B,Overview!$A40,RAW_RECOVERED!AA:AA)</f>
        <v>0</v>
      </c>
      <c r="AA40" s="28">
        <f>SUMIF(RAW_RECOVERED!$B:$B,Overview!$A40,RAW_RECOVERED!AB:AB)</f>
        <v>0</v>
      </c>
      <c r="AB40" s="28">
        <f>SUMIF(RAW_RECOVERED!$B:$B,Overview!$A40,RAW_RECOVERED!AC:AC)</f>
        <v>0</v>
      </c>
      <c r="AC40" s="28">
        <f>SUMIF(RAW_RECOVERED!$B:$B,Overview!$A40,RAW_RECOVERED!AD:AD)</f>
        <v>0</v>
      </c>
      <c r="AD40" s="28">
        <f>SUMIF(RAW_RECOVERED!$B:$B,Overview!$A40,RAW_RECOVERED!AE:AE)</f>
        <v>0</v>
      </c>
      <c r="AE40" s="28">
        <f>SUMIF(RAW_RECOVERED!$B:$B,Overview!$A40,RAW_RECOVERED!AF:AF)</f>
        <v>0</v>
      </c>
      <c r="AF40" s="28">
        <f>SUMIF(RAW_RECOVERED!$B:$B,Overview!$A40,RAW_RECOVERED!AG:AG)</f>
        <v>0</v>
      </c>
      <c r="AG40" s="28">
        <f>SUMIF(RAW_RECOVERED!$B:$B,Overview!$A40,RAW_RECOVERED!AH:AH)</f>
        <v>1</v>
      </c>
      <c r="AH40" s="28">
        <f>SUMIF(RAW_RECOVERED!$B:$B,Overview!$A40,RAW_RECOVERED!AI:AI)</f>
        <v>2</v>
      </c>
      <c r="AI40" s="28">
        <f>SUMIF(RAW_RECOVERED!$B:$B,Overview!$A40,RAW_RECOVERED!AJ:AJ)</f>
        <v>1</v>
      </c>
      <c r="AJ40" s="28">
        <f>SUMIF(RAW_RECOVERED!$B:$B,Overview!$A40,RAW_RECOVERED!AK:AK)</f>
        <v>1</v>
      </c>
      <c r="AK40" s="28">
        <f>SUMIF(RAW_RECOVERED!$B:$B,Overview!$A40,RAW_RECOVERED!AL:AL)</f>
        <v>3</v>
      </c>
      <c r="AL40" s="28">
        <f>SUMIF(RAW_RECOVERED!$B:$B,Overview!$A40,RAW_RECOVERED!AM:AM)</f>
        <v>45</v>
      </c>
      <c r="AM40" s="28">
        <f>SUMIF(RAW_RECOVERED!$B:$B,Overview!$A40,RAW_RECOVERED!AN:AN)</f>
        <v>46</v>
      </c>
      <c r="AN40" s="28">
        <f>SUMIF(RAW_RECOVERED!$B:$B,Overview!$A40,RAW_RECOVERED!AO:AO)</f>
        <v>46</v>
      </c>
      <c r="AO40" s="28">
        <f>SUMIF(RAW_RECOVERED!$B:$B,Overview!$A40,RAW_RECOVERED!AP:AP)</f>
        <v>83</v>
      </c>
      <c r="AP40" s="28">
        <f>SUMIF(RAW_RECOVERED!$B:$B,Overview!$A40,RAW_RECOVERED!AQ:AQ)</f>
        <v>149</v>
      </c>
      <c r="AQ40" s="28">
        <f>SUMIF(RAW_RECOVERED!$B:$B,Overview!$A40,RAW_RECOVERED!AR:AR)</f>
        <v>160</v>
      </c>
      <c r="AR40" s="28">
        <f>SUMIF(RAW_RECOVERED!$B:$B,Overview!$A40,RAW_RECOVERED!AS:AS)</f>
        <v>276</v>
      </c>
      <c r="AS40" s="28">
        <f>SUMIF(RAW_RECOVERED!$B:$B,Overview!$A40,RAW_RECOVERED!AT:AT)</f>
        <v>414</v>
      </c>
      <c r="AT40" s="28">
        <f>SUMIF(RAW_RECOVERED!$B:$B,Overview!$A40,RAW_RECOVERED!AU:AU)</f>
        <v>523</v>
      </c>
      <c r="AU40" s="28">
        <f>SUMIF(RAW_RECOVERED!$B:$B,Overview!$A40,RAW_RECOVERED!AV:AV)</f>
        <v>589</v>
      </c>
      <c r="AV40" s="28">
        <f>SUMIF(RAW_RECOVERED!$B:$B,Overview!$A40,RAW_RECOVERED!AW:AW)</f>
        <v>622</v>
      </c>
      <c r="AW40" s="28">
        <f>SUMIF(RAW_RECOVERED!$B:$B,Overview!$A40,RAW_RECOVERED!AX:AX)</f>
        <v>724</v>
      </c>
      <c r="AX40" s="28">
        <f>SUMIF(RAW_RECOVERED!$B:$B,Overview!$A40,RAW_RECOVERED!AY:AY)</f>
        <v>724</v>
      </c>
      <c r="AY40" s="28">
        <f>SUMIF(RAW_RECOVERED!$B:$B,Overview!$A40,RAW_RECOVERED!AZ:AZ)</f>
        <v>1045</v>
      </c>
      <c r="AZ40" s="28">
        <f>SUMIF(RAW_RECOVERED!$B:$B,Overview!$A40,RAW_RECOVERED!BA:BA)</f>
        <v>1045</v>
      </c>
      <c r="BA40" s="28">
        <f>SUMIF(RAW_RECOVERED!$B:$B,Overview!$A40,RAW_RECOVERED!BB:BB)</f>
        <v>1439</v>
      </c>
      <c r="BB40" s="28">
        <f>SUMIF(RAW_RECOVERED!$B:$B,Overview!$A40,RAW_RECOVERED!BC:BC)</f>
        <v>1966</v>
      </c>
      <c r="BC40" s="28">
        <f>SUMIF(RAW_RECOVERED!$B:$B,Overview!$A40,RAW_RECOVERED!BD:BD)</f>
        <v>2335</v>
      </c>
      <c r="BD40" s="28">
        <f>SUMIF(RAW_RECOVERED!$B:$B,Overview!$A40,RAW_RECOVERED!BE:BE)</f>
        <v>2749</v>
      </c>
      <c r="BE40" s="28">
        <f>SUMIF(RAW_RECOVERED!$B:$B,Overview!$A40,RAW_RECOVERED!BF:BF)</f>
        <v>2941</v>
      </c>
      <c r="BF40" s="28">
        <f>SUMIF(RAW_RECOVERED!$B:$B,Overview!$A40,RAW_RECOVERED!BG:BG)</f>
        <v>4025</v>
      </c>
      <c r="BG40" s="28">
        <f>SUMIF(RAW_RECOVERED!$B:$B,Overview!$A40,RAW_RECOVERED!BH:BH)</f>
        <v>4440</v>
      </c>
      <c r="BH40" s="28">
        <f>SUMIF(RAW_RECOVERED!$B:$B,Overview!$A40,RAW_RECOVERED!BI:BI)</f>
        <v>4440</v>
      </c>
      <c r="BI40" s="28">
        <f>SUMIF(RAW_RECOVERED!$B:$B,Overview!$A40,RAW_RECOVERED!BJ:BJ)</f>
        <v>6072</v>
      </c>
      <c r="BJ40" s="28">
        <f>SUMIF(RAW_RECOVERED!$B:$B,Overview!$A40,RAW_RECOVERED!BK:BK)</f>
        <v>7024</v>
      </c>
      <c r="BK40" s="28">
        <f>SUMIF(RAW_RECOVERED!$B:$B,Overview!$A40,RAW_RECOVERED!BL:BL)</f>
        <v>7024</v>
      </c>
      <c r="BL40" s="28">
        <f>SUMIF(RAW_RECOVERED!$B:$B,Overview!$A40,RAW_RECOVERED!BM:BM)</f>
        <v>8326</v>
      </c>
      <c r="BM40" s="28">
        <f>SUMIF(RAW_RECOVERED!$B:$B,Overview!$A40,RAW_RECOVERED!BN:BN)</f>
        <v>9362</v>
      </c>
      <c r="BN40" s="28">
        <f>SUMIF(RAW_RECOVERED!$B:$B,Overview!$A40,RAW_RECOVERED!BO:BO)</f>
        <v>10361</v>
      </c>
      <c r="BO40" s="28">
        <f>SUMIF(RAW_RECOVERED!$B:$B,Overview!$A40,RAW_RECOVERED!BP:BP)</f>
        <v>10950</v>
      </c>
      <c r="BP40" s="28">
        <f>SUMIF(RAW_RECOVERED!$B:$B,Overview!$A40,RAW_RECOVERED!BQ:BQ)</f>
        <v>12384</v>
      </c>
      <c r="BQ40" s="28">
        <f>SUMIF(RAW_RECOVERED!$B:$B,Overview!$A40,RAW_RECOVERED!BR:BR)</f>
        <v>13030</v>
      </c>
      <c r="BR40" s="28">
        <f>SUMIF(RAW_RECOVERED!$B:$B,Overview!$A40,RAW_RECOVERED!BS:BS)</f>
        <v>14620</v>
      </c>
      <c r="BS40" s="28">
        <f>SUMIF(RAW_RECOVERED!$B:$B,Overview!$A40,RAW_RECOVERED!BT:BT)</f>
        <v>15729</v>
      </c>
      <c r="BT40" s="28">
        <f>SUMIF(RAW_RECOVERED!$B:$B,Overview!$A40,RAW_RECOVERED!BU:BU)</f>
        <v>16847</v>
      </c>
      <c r="BU40" s="28">
        <f>SUMIF(RAW_RECOVERED!$B:$B,Overview!$A40,RAW_RECOVERED!BV:BV)</f>
        <v>18278</v>
      </c>
      <c r="BV40" s="28">
        <f>SUMIF(RAW_RECOVERED!$B:$B,Overview!$A40,RAW_RECOVERED!BW:BW)</f>
        <v>19758</v>
      </c>
      <c r="BW40" s="28">
        <f>SUMIF(RAW_RECOVERED!$B:$B,Overview!$A40,RAW_RECOVERED!BX:BX)</f>
        <v>20996</v>
      </c>
      <c r="BX40" s="28">
        <f>SUMIF(RAW_RECOVERED!$B:$B,Overview!$A40,RAW_RECOVERED!BY:BY)</f>
        <v>21815</v>
      </c>
      <c r="BY40" s="28">
        <f>SUMIF(RAW_RECOVERED!$B:$B,Overview!$A40,RAW_RECOVERED!BZ:BZ)</f>
        <v>22837</v>
      </c>
      <c r="BZ40" s="28">
        <f>SUMIF(RAW_RECOVERED!$B:$B,Overview!$A40,RAW_RECOVERED!CA:CA)</f>
        <v>24392</v>
      </c>
      <c r="CA40" s="28">
        <f>SUMIF(RAW_RECOVERED!$B:$B,Overview!$A40,RAW_RECOVERED!CB:CB)</f>
        <v>26491</v>
      </c>
      <c r="CB40" s="28">
        <f>SUMIF(RAW_RECOVERED!$B:$B,Overview!$A40,RAW_RECOVERED!CC:CC)</f>
        <v>28470</v>
      </c>
      <c r="CC40" s="28">
        <f>SUMIF(RAW_RECOVERED!$B:$B,Overview!$A40,RAW_RECOVERED!CD:CD)</f>
        <v>30455</v>
      </c>
      <c r="CD40" s="28">
        <f>SUMIF(RAW_RECOVERED!$B:$B,Overview!$A40,RAW_RECOVERED!CE:CE)</f>
        <v>32534</v>
      </c>
      <c r="CE40" s="28">
        <f>SUMIF(RAW_RECOVERED!$B:$B,Overview!$A40,RAW_RECOVERED!CF:CF)</f>
        <v>34211</v>
      </c>
      <c r="CF40" s="28">
        <f>SUMIF(RAW_RECOVERED!$B:$B,Overview!$A40,RAW_RECOVERED!CG:CG)</f>
        <v>35435</v>
      </c>
      <c r="CG40" s="28">
        <f>SUMIF(RAW_RECOVERED!$B:$B,Overview!$A40,RAW_RECOVERED!CH:CH)</f>
        <v>37130</v>
      </c>
      <c r="CH40" s="28">
        <f>SUMIF(RAW_RECOVERED!$B:$B,Overview!$A40,RAW_RECOVERED!CI:CI)</f>
        <v>38092</v>
      </c>
      <c r="CI40" s="28">
        <f>SUMIF(RAW_RECOVERED!$B:$B,Overview!$A40,RAW_RECOVERED!CJ:CJ)</f>
        <v>40164</v>
      </c>
      <c r="CJ40" s="28">
        <f>SUMIF(RAW_RECOVERED!$B:$B,Overview!$A40,RAW_RECOVERED!CK:CK)</f>
        <v>42727</v>
      </c>
      <c r="CK40" s="28">
        <f>SUMIF(RAW_RECOVERED!$B:$B,Overview!$A40,RAW_RECOVERED!CL:CL)</f>
        <v>44927</v>
      </c>
      <c r="CL40" s="28">
        <f>SUMIF(RAW_RECOVERED!$B:$B,Overview!$A40,RAW_RECOVERED!CM:CM)</f>
        <v>47055</v>
      </c>
      <c r="CM40" s="28">
        <f>SUMIF(RAW_RECOVERED!$B:$B,Overview!$A40,RAW_RECOVERED!CN:CN)</f>
        <v>48877</v>
      </c>
      <c r="CN40" s="28">
        <f>SUMIF(RAW_RECOVERED!$B:$B,Overview!$A40,RAW_RECOVERED!CO:CO)</f>
        <v>51600</v>
      </c>
      <c r="CO40" s="28">
        <f>SUMIF(RAW_RECOVERED!$B:$B,Overview!$A40,RAW_RECOVERED!CP:CP)</f>
        <v>54543</v>
      </c>
      <c r="CP40" s="28">
        <f>SUMIF(RAW_RECOVERED!$B:$B,Overview!$A40,RAW_RECOVERED!CQ:CQ)</f>
        <v>57576</v>
      </c>
      <c r="CQ40" s="28">
        <f>SUMIF(RAW_RECOVERED!$B:$B,Overview!$A40,RAW_RECOVERED!CR:CR)</f>
        <v>60498</v>
      </c>
      <c r="CR40" s="28">
        <f>SUMIF(RAW_RECOVERED!$B:$B,Overview!$A40,RAW_RECOVERED!CS:CS)</f>
        <v>63120</v>
      </c>
      <c r="CS40" s="28">
        <f>SUMIF(RAW_RECOVERED!$B:$B,Overview!$A40,RAW_RECOVERED!CT:CT)</f>
        <v>64928</v>
      </c>
      <c r="CT40" s="28">
        <f>SUMIF(RAW_RECOVERED!$B:$B,Overview!$A40,RAW_RECOVERED!CU:CU)</f>
        <v>66624</v>
      </c>
      <c r="CU40" s="28">
        <f>SUMIF(RAW_RECOVERED!$B:$B,Overview!$A40,RAW_RECOVERED!CV:CV)</f>
        <v>68941</v>
      </c>
      <c r="CV40" s="28">
        <f>SUMIF(RAW_RECOVERED!$B:$B,Overview!$A40,RAW_RECOVERED!CW:CW)</f>
        <v>71252</v>
      </c>
      <c r="CW40" s="28">
        <f>SUMIF(RAW_RECOVERED!$B:$B,Overview!$A40,RAW_RECOVERED!CX:CX)</f>
        <v>75945</v>
      </c>
      <c r="CX40" s="28">
        <f>SUMIF(RAW_RECOVERED!$B:$B,Overview!$A40,RAW_RECOVERED!CY:CY)</f>
        <v>78249</v>
      </c>
      <c r="CY40" s="28">
        <f>SUMIF(RAW_RECOVERED!$B:$B,Overview!$A40,RAW_RECOVERED!CZ:CZ)</f>
        <v>79914</v>
      </c>
      <c r="CZ40" s="28">
        <f>SUMIF(RAW_RECOVERED!$B:$B,Overview!$A40,RAW_RECOVERED!DA:DA)</f>
        <v>81654</v>
      </c>
      <c r="DA40" s="28">
        <f>SUMIF(RAW_RECOVERED!$B:$B,Overview!$A40,RAW_RECOVERED!DB:DB)</f>
        <v>0</v>
      </c>
      <c r="DB40" s="28">
        <f>SUMIF(RAW_RECOVERED!$B:$B,Overview!$A40,RAW_RECOVERED!DC:DC)</f>
        <v>0</v>
      </c>
      <c r="DC40" s="28">
        <f>SUMIF(RAW_RECOVERED!$B:$B,Overview!$A40,RAW_RECOVERED!DD:DD)</f>
        <v>0</v>
      </c>
      <c r="DD40" s="28">
        <f>SUMIF(RAW_RECOVERED!$B:$B,Overview!$A40,RAW_RECOVERED!DE:DE)</f>
        <v>0</v>
      </c>
      <c r="DE40" s="28">
        <f>SUMIF(RAW_RECOVERED!$B:$B,Overview!$A40,RAW_RECOVERED!DF:DF)</f>
        <v>0</v>
      </c>
      <c r="DF40" s="28">
        <f>SUMIF(RAW_RECOVERED!$B:$B,Overview!$A40,RAW_RECOVERED!DG:DG)</f>
        <v>0</v>
      </c>
      <c r="DG40" s="28">
        <f>SUMIF(RAW_RECOVERED!$B:$B,Overview!$A40,RAW_RECOVERED!DH:DH)</f>
        <v>0</v>
      </c>
      <c r="DH40" s="28">
        <f>SUMIF(RAW_RECOVERED!$B:$B,Overview!$A40,RAW_RECOVERED!DI:DI)</f>
        <v>0</v>
      </c>
      <c r="DI40" s="28">
        <f>SUMIF(RAW_RECOVERED!$B:$B,Overview!$A40,RAW_RECOVERED!DJ:DJ)</f>
        <v>0</v>
      </c>
      <c r="DJ40" s="28">
        <f>SUMIF(RAW_RECOVERED!$B:$B,Overview!$A40,RAW_RECOVERED!DK:DK)</f>
        <v>0</v>
      </c>
      <c r="DK40" s="28">
        <f>SUMIF(RAW_RECOVERED!$B:$B,Overview!$A40,RAW_RECOVERED!DL:DL)</f>
        <v>0</v>
      </c>
      <c r="DL40" s="28">
        <f>SUMIF(RAW_RECOVERED!$B:$B,Overview!$A40,RAW_RECOVERED!DM:DM)</f>
        <v>0</v>
      </c>
      <c r="DM40" s="28">
        <f>SUMIF(RAW_RECOVERED!$B:$B,Overview!$A40,RAW_RECOVERED!DN:DN)</f>
        <v>0</v>
      </c>
      <c r="DN40" s="28">
        <f>SUMIF(RAW_RECOVERED!$B:$B,Overview!$A40,RAW_RECOVERED!DO:DO)</f>
        <v>0</v>
      </c>
      <c r="DO40" s="28">
        <f>SUMIF(RAW_RECOVERED!$B:$B,Overview!$A40,RAW_RECOVERED!DP:DP)</f>
        <v>0</v>
      </c>
      <c r="DP40" s="28">
        <f>SUMIF(RAW_RECOVERED!$B:$B,Overview!$A40,RAW_RECOVERED!DQ:DQ)</f>
        <v>0</v>
      </c>
      <c r="DQ40" s="28">
        <f>SUMIF(RAW_RECOVERED!$B:$B,Overview!$A40,RAW_RECOVERED!DR:DR)</f>
        <v>0</v>
      </c>
      <c r="DR40" s="28">
        <f>SUMIF(RAW_RECOVERED!$B:$B,Overview!$A40,RAW_RECOVERED!DS:DS)</f>
        <v>0</v>
      </c>
      <c r="DS40" s="28">
        <f>SUMIF(RAW_RECOVERED!$B:$B,Overview!$A40,RAW_RECOVERED!DT:DT)</f>
        <v>0</v>
      </c>
      <c r="DT40" s="28">
        <f>SUMIF(RAW_RECOVERED!$B:$B,Overview!$A40,RAW_RECOVERED!DU:DU)</f>
        <v>0</v>
      </c>
      <c r="DU40" s="28">
        <f>SUMIF(RAW_RECOVERED!$B:$B,Overview!$A40,RAW_RECOVERED!DV:DV)</f>
        <v>0</v>
      </c>
      <c r="DV40" s="28">
        <f>SUMIF(RAW_RECOVERED!$B:$B,Overview!$A40,RAW_RECOVERED!DW:DW)</f>
        <v>0</v>
      </c>
      <c r="DW40" s="28">
        <f>SUMIF(RAW_RECOVERED!$B:$B,Overview!$A40,RAW_RECOVERED!DX:DX)</f>
        <v>0</v>
      </c>
      <c r="DX40" s="28">
        <f>SUMIF(RAW_RECOVERED!$B:$B,Overview!$A40,RAW_RECOVERED!DY:DY)</f>
        <v>0</v>
      </c>
      <c r="DY40" s="28">
        <f>SUMIF(RAW_RECOVERED!$B:$B,Overview!$A40,RAW_RECOVERED!DZ:DZ)</f>
        <v>0</v>
      </c>
      <c r="DZ40" s="28">
        <f>SUMIF(RAW_RECOVERED!$B:$B,Overview!$A40,RAW_RECOVERED!EA:EA)</f>
        <v>0</v>
      </c>
      <c r="EA40" s="28">
        <f>SUMIF(RAW_RECOVERED!$B:$B,Overview!$A40,RAW_RECOVERED!EB:EB)</f>
        <v>0</v>
      </c>
    </row>
    <row r="41" spans="1:131" s="10" customFormat="1" ht="13.15" x14ac:dyDescent="0.4">
      <c r="A41" s="24" t="str">
        <f t="shared" si="157"/>
        <v>France</v>
      </c>
      <c r="B41" s="28">
        <f>SUMIF(RAW_RECOVERED!$B:$B,Overview!$A41,RAW_RECOVERED!C:C)</f>
        <v>0</v>
      </c>
      <c r="C41" s="28">
        <f>SUMIF(RAW_RECOVERED!$B:$B,Overview!$A41,RAW_RECOVERED!D:D)</f>
        <v>0</v>
      </c>
      <c r="D41" s="28">
        <f>SUMIF(RAW_RECOVERED!$B:$B,Overview!$A41,RAW_RECOVERED!E:E)</f>
        <v>0</v>
      </c>
      <c r="E41" s="28">
        <f>SUMIF(RAW_RECOVERED!$B:$B,Overview!$A41,RAW_RECOVERED!F:F)</f>
        <v>0</v>
      </c>
      <c r="F41" s="28">
        <f>SUMIF(RAW_RECOVERED!$B:$B,Overview!$A41,RAW_RECOVERED!G:G)</f>
        <v>0</v>
      </c>
      <c r="G41" s="28">
        <f>SUMIF(RAW_RECOVERED!$B:$B,Overview!$A41,RAW_RECOVERED!H:H)</f>
        <v>0</v>
      </c>
      <c r="H41" s="28">
        <f>SUMIF(RAW_RECOVERED!$B:$B,Overview!$A41,RAW_RECOVERED!I:I)</f>
        <v>0</v>
      </c>
      <c r="I41" s="28">
        <f>SUMIF(RAW_RECOVERED!$B:$B,Overview!$A41,RAW_RECOVERED!J:J)</f>
        <v>0</v>
      </c>
      <c r="J41" s="28">
        <f>SUMIF(RAW_RECOVERED!$B:$B,Overview!$A41,RAW_RECOVERED!K:K)</f>
        <v>0</v>
      </c>
      <c r="K41" s="28">
        <f>SUMIF(RAW_RECOVERED!$B:$B,Overview!$A41,RAW_RECOVERED!L:L)</f>
        <v>0</v>
      </c>
      <c r="L41" s="28">
        <f>SUMIF(RAW_RECOVERED!$B:$B,Overview!$A41,RAW_RECOVERED!M:M)</f>
        <v>0</v>
      </c>
      <c r="M41" s="28">
        <f>SUMIF(RAW_RECOVERED!$B:$B,Overview!$A41,RAW_RECOVERED!N:N)</f>
        <v>0</v>
      </c>
      <c r="N41" s="28">
        <f>SUMIF(RAW_RECOVERED!$B:$B,Overview!$A41,RAW_RECOVERED!O:O)</f>
        <v>0</v>
      </c>
      <c r="O41" s="28">
        <f>SUMIF(RAW_RECOVERED!$B:$B,Overview!$A41,RAW_RECOVERED!P:P)</f>
        <v>0</v>
      </c>
      <c r="P41" s="28">
        <f>SUMIF(RAW_RECOVERED!$B:$B,Overview!$A41,RAW_RECOVERED!Q:Q)</f>
        <v>0</v>
      </c>
      <c r="Q41" s="28">
        <f>SUMIF(RAW_RECOVERED!$B:$B,Overview!$A41,RAW_RECOVERED!R:R)</f>
        <v>0</v>
      </c>
      <c r="R41" s="28">
        <f>SUMIF(RAW_RECOVERED!$B:$B,Overview!$A41,RAW_RECOVERED!S:S)</f>
        <v>0</v>
      </c>
      <c r="S41" s="28">
        <f>SUMIF(RAW_RECOVERED!$B:$B,Overview!$A41,RAW_RECOVERED!T:T)</f>
        <v>0</v>
      </c>
      <c r="T41" s="28">
        <f>SUMIF(RAW_RECOVERED!$B:$B,Overview!$A41,RAW_RECOVERED!U:U)</f>
        <v>0</v>
      </c>
      <c r="U41" s="28">
        <f>SUMIF(RAW_RECOVERED!$B:$B,Overview!$A41,RAW_RECOVERED!V:V)</f>
        <v>0</v>
      </c>
      <c r="V41" s="28">
        <f>SUMIF(RAW_RECOVERED!$B:$B,Overview!$A41,RAW_RECOVERED!W:W)</f>
        <v>0</v>
      </c>
      <c r="W41" s="28">
        <f>SUMIF(RAW_RECOVERED!$B:$B,Overview!$A41,RAW_RECOVERED!X:X)</f>
        <v>2</v>
      </c>
      <c r="X41" s="28">
        <f>SUMIF(RAW_RECOVERED!$B:$B,Overview!$A41,RAW_RECOVERED!Y:Y)</f>
        <v>2</v>
      </c>
      <c r="Y41" s="28">
        <f>SUMIF(RAW_RECOVERED!$B:$B,Overview!$A41,RAW_RECOVERED!Z:Z)</f>
        <v>2</v>
      </c>
      <c r="Z41" s="28">
        <f>SUMIF(RAW_RECOVERED!$B:$B,Overview!$A41,RAW_RECOVERED!AA:AA)</f>
        <v>4</v>
      </c>
      <c r="AA41" s="28">
        <f>SUMIF(RAW_RECOVERED!$B:$B,Overview!$A41,RAW_RECOVERED!AB:AB)</f>
        <v>4</v>
      </c>
      <c r="AB41" s="28">
        <f>SUMIF(RAW_RECOVERED!$B:$B,Overview!$A41,RAW_RECOVERED!AC:AC)</f>
        <v>4</v>
      </c>
      <c r="AC41" s="28">
        <f>SUMIF(RAW_RECOVERED!$B:$B,Overview!$A41,RAW_RECOVERED!AD:AD)</f>
        <v>4</v>
      </c>
      <c r="AD41" s="28">
        <f>SUMIF(RAW_RECOVERED!$B:$B,Overview!$A41,RAW_RECOVERED!AE:AE)</f>
        <v>4</v>
      </c>
      <c r="AE41" s="28">
        <f>SUMIF(RAW_RECOVERED!$B:$B,Overview!$A41,RAW_RECOVERED!AF:AF)</f>
        <v>4</v>
      </c>
      <c r="AF41" s="28">
        <f>SUMIF(RAW_RECOVERED!$B:$B,Overview!$A41,RAW_RECOVERED!AG:AG)</f>
        <v>4</v>
      </c>
      <c r="AG41" s="28">
        <f>SUMIF(RAW_RECOVERED!$B:$B,Overview!$A41,RAW_RECOVERED!AH:AH)</f>
        <v>4</v>
      </c>
      <c r="AH41" s="28">
        <f>SUMIF(RAW_RECOVERED!$B:$B,Overview!$A41,RAW_RECOVERED!AI:AI)</f>
        <v>4</v>
      </c>
      <c r="AI41" s="28">
        <f>SUMIF(RAW_RECOVERED!$B:$B,Overview!$A41,RAW_RECOVERED!AJ:AJ)</f>
        <v>4</v>
      </c>
      <c r="AJ41" s="28">
        <f>SUMIF(RAW_RECOVERED!$B:$B,Overview!$A41,RAW_RECOVERED!AK:AK)</f>
        <v>11</v>
      </c>
      <c r="AK41" s="28">
        <f>SUMIF(RAW_RECOVERED!$B:$B,Overview!$A41,RAW_RECOVERED!AL:AL)</f>
        <v>11</v>
      </c>
      <c r="AL41" s="28">
        <f>SUMIF(RAW_RECOVERED!$B:$B,Overview!$A41,RAW_RECOVERED!AM:AM)</f>
        <v>11</v>
      </c>
      <c r="AM41" s="28">
        <f>SUMIF(RAW_RECOVERED!$B:$B,Overview!$A41,RAW_RECOVERED!AN:AN)</f>
        <v>11</v>
      </c>
      <c r="AN41" s="28">
        <f>SUMIF(RAW_RECOVERED!$B:$B,Overview!$A41,RAW_RECOVERED!AO:AO)</f>
        <v>12</v>
      </c>
      <c r="AO41" s="28">
        <f>SUMIF(RAW_RECOVERED!$B:$B,Overview!$A41,RAW_RECOVERED!AP:AP)</f>
        <v>12</v>
      </c>
      <c r="AP41" s="28">
        <f>SUMIF(RAW_RECOVERED!$B:$B,Overview!$A41,RAW_RECOVERED!AQ:AQ)</f>
        <v>12</v>
      </c>
      <c r="AQ41" s="28">
        <f>SUMIF(RAW_RECOVERED!$B:$B,Overview!$A41,RAW_RECOVERED!AR:AR)</f>
        <v>12</v>
      </c>
      <c r="AR41" s="28">
        <f>SUMIF(RAW_RECOVERED!$B:$B,Overview!$A41,RAW_RECOVERED!AS:AS)</f>
        <v>12</v>
      </c>
      <c r="AS41" s="28">
        <f>SUMIF(RAW_RECOVERED!$B:$B,Overview!$A41,RAW_RECOVERED!AT:AT)</f>
        <v>12</v>
      </c>
      <c r="AT41" s="28">
        <f>SUMIF(RAW_RECOVERED!$B:$B,Overview!$A41,RAW_RECOVERED!AU:AU)</f>
        <v>12</v>
      </c>
      <c r="AU41" s="28">
        <f>SUMIF(RAW_RECOVERED!$B:$B,Overview!$A41,RAW_RECOVERED!AV:AV)</f>
        <v>12</v>
      </c>
      <c r="AV41" s="28">
        <f>SUMIF(RAW_RECOVERED!$B:$B,Overview!$A41,RAW_RECOVERED!AW:AW)</f>
        <v>12</v>
      </c>
      <c r="AW41" s="28">
        <f>SUMIF(RAW_RECOVERED!$B:$B,Overview!$A41,RAW_RECOVERED!AX:AX)</f>
        <v>12</v>
      </c>
      <c r="AX41" s="28">
        <f>SUMIF(RAW_RECOVERED!$B:$B,Overview!$A41,RAW_RECOVERED!AY:AY)</f>
        <v>12</v>
      </c>
      <c r="AY41" s="28">
        <f>SUMIF(RAW_RECOVERED!$B:$B,Overview!$A41,RAW_RECOVERED!AZ:AZ)</f>
        <v>12</v>
      </c>
      <c r="AZ41" s="28">
        <f>SUMIF(RAW_RECOVERED!$B:$B,Overview!$A41,RAW_RECOVERED!BA:BA)</f>
        <v>12</v>
      </c>
      <c r="BA41" s="28">
        <f>SUMIF(RAW_RECOVERED!$B:$B,Overview!$A41,RAW_RECOVERED!BB:BB)</f>
        <v>12</v>
      </c>
      <c r="BB41" s="28">
        <f>SUMIF(RAW_RECOVERED!$B:$B,Overview!$A41,RAW_RECOVERED!BC:BC)</f>
        <v>12</v>
      </c>
      <c r="BC41" s="28">
        <f>SUMIF(RAW_RECOVERED!$B:$B,Overview!$A41,RAW_RECOVERED!BD:BD)</f>
        <v>12</v>
      </c>
      <c r="BD41" s="28">
        <f>SUMIF(RAW_RECOVERED!$B:$B,Overview!$A41,RAW_RECOVERED!BE:BE)</f>
        <v>12</v>
      </c>
      <c r="BE41" s="28">
        <f>SUMIF(RAW_RECOVERED!$B:$B,Overview!$A41,RAW_RECOVERED!BF:BF)</f>
        <v>12</v>
      </c>
      <c r="BF41" s="28">
        <f>SUMIF(RAW_RECOVERED!$B:$B,Overview!$A41,RAW_RECOVERED!BG:BG)</f>
        <v>12</v>
      </c>
      <c r="BG41" s="28">
        <f>SUMIF(RAW_RECOVERED!$B:$B,Overview!$A41,RAW_RECOVERED!BH:BH)</f>
        <v>12</v>
      </c>
      <c r="BH41" s="28">
        <f>SUMIF(RAW_RECOVERED!$B:$B,Overview!$A41,RAW_RECOVERED!BI:BI)</f>
        <v>12</v>
      </c>
      <c r="BI41" s="28">
        <f>SUMIF(RAW_RECOVERED!$B:$B,Overview!$A41,RAW_RECOVERED!BJ:BJ)</f>
        <v>12</v>
      </c>
      <c r="BJ41" s="28">
        <f>SUMIF(RAW_RECOVERED!$B:$B,Overview!$A41,RAW_RECOVERED!BK:BK)</f>
        <v>2206</v>
      </c>
      <c r="BK41" s="28">
        <f>SUMIF(RAW_RECOVERED!$B:$B,Overview!$A41,RAW_RECOVERED!BL:BL)</f>
        <v>2206</v>
      </c>
      <c r="BL41" s="28">
        <f>SUMIF(RAW_RECOVERED!$B:$B,Overview!$A41,RAW_RECOVERED!BM:BM)</f>
        <v>3250</v>
      </c>
      <c r="BM41" s="28">
        <f>SUMIF(RAW_RECOVERED!$B:$B,Overview!$A41,RAW_RECOVERED!BN:BN)</f>
        <v>3907</v>
      </c>
      <c r="BN41" s="28">
        <f>SUMIF(RAW_RECOVERED!$B:$B,Overview!$A41,RAW_RECOVERED!BO:BO)</f>
        <v>4955</v>
      </c>
      <c r="BO41" s="28">
        <f>SUMIF(RAW_RECOVERED!$B:$B,Overview!$A41,RAW_RECOVERED!BP:BP)</f>
        <v>5707</v>
      </c>
      <c r="BP41" s="28">
        <f>SUMIF(RAW_RECOVERED!$B:$B,Overview!$A41,RAW_RECOVERED!BQ:BQ)</f>
        <v>5724</v>
      </c>
      <c r="BQ41" s="28">
        <f>SUMIF(RAW_RECOVERED!$B:$B,Overview!$A41,RAW_RECOVERED!BR:BR)</f>
        <v>7226</v>
      </c>
      <c r="BR41" s="28">
        <f>SUMIF(RAW_RECOVERED!$B:$B,Overview!$A41,RAW_RECOVERED!BS:BS)</f>
        <v>7964</v>
      </c>
      <c r="BS41" s="28">
        <f>SUMIF(RAW_RECOVERED!$B:$B,Overview!$A41,RAW_RECOVERED!BT:BT)</f>
        <v>9513</v>
      </c>
      <c r="BT41" s="28">
        <f>SUMIF(RAW_RECOVERED!$B:$B,Overview!$A41,RAW_RECOVERED!BU:BU)</f>
        <v>11053</v>
      </c>
      <c r="BU41" s="28">
        <f>SUMIF(RAW_RECOVERED!$B:$B,Overview!$A41,RAW_RECOVERED!BV:BV)</f>
        <v>12548</v>
      </c>
      <c r="BV41" s="28">
        <f>SUMIF(RAW_RECOVERED!$B:$B,Overview!$A41,RAW_RECOVERED!BW:BW)</f>
        <v>14135</v>
      </c>
      <c r="BW41" s="28">
        <f>SUMIF(RAW_RECOVERED!$B:$B,Overview!$A41,RAW_RECOVERED!BX:BX)</f>
        <v>15572</v>
      </c>
      <c r="BX41" s="28">
        <f>SUMIF(RAW_RECOVERED!$B:$B,Overview!$A41,RAW_RECOVERED!BY:BY)</f>
        <v>16349</v>
      </c>
      <c r="BY41" s="28">
        <f>SUMIF(RAW_RECOVERED!$B:$B,Overview!$A41,RAW_RECOVERED!BZ:BZ)</f>
        <v>17428</v>
      </c>
      <c r="BZ41" s="28">
        <f>SUMIF(RAW_RECOVERED!$B:$B,Overview!$A41,RAW_RECOVERED!CA:CA)</f>
        <v>19523</v>
      </c>
      <c r="CA41" s="28">
        <f>SUMIF(RAW_RECOVERED!$B:$B,Overview!$A41,RAW_RECOVERED!CB:CB)</f>
        <v>21452</v>
      </c>
      <c r="CB41" s="28">
        <f>SUMIF(RAW_RECOVERED!$B:$B,Overview!$A41,RAW_RECOVERED!CC:CC)</f>
        <v>23413</v>
      </c>
      <c r="CC41" s="28">
        <f>SUMIF(RAW_RECOVERED!$B:$B,Overview!$A41,RAW_RECOVERED!CD:CD)</f>
        <v>25195</v>
      </c>
      <c r="CD41" s="28">
        <f>SUMIF(RAW_RECOVERED!$B:$B,Overview!$A41,RAW_RECOVERED!CE:CE)</f>
        <v>26663</v>
      </c>
      <c r="CE41" s="28">
        <f>SUMIF(RAW_RECOVERED!$B:$B,Overview!$A41,RAW_RECOVERED!CF:CF)</f>
        <v>27469</v>
      </c>
      <c r="CF41" s="28">
        <f>SUMIF(RAW_RECOVERED!$B:$B,Overview!$A41,RAW_RECOVERED!CG:CG)</f>
        <v>28001</v>
      </c>
      <c r="CG41" s="28">
        <f>SUMIF(RAW_RECOVERED!$B:$B,Overview!$A41,RAW_RECOVERED!CH:CH)</f>
        <v>28805</v>
      </c>
      <c r="CH41" s="28">
        <f>SUMIF(RAW_RECOVERED!$B:$B,Overview!$A41,RAW_RECOVERED!CI:CI)</f>
        <v>30955</v>
      </c>
      <c r="CI41" s="28">
        <f>SUMIF(RAW_RECOVERED!$B:$B,Overview!$A41,RAW_RECOVERED!CJ:CJ)</f>
        <v>32812</v>
      </c>
      <c r="CJ41" s="28">
        <f>SUMIF(RAW_RECOVERED!$B:$B,Overview!$A41,RAW_RECOVERED!CK:CK)</f>
        <v>34420</v>
      </c>
      <c r="CK41" s="28">
        <f>SUMIF(RAW_RECOVERED!$B:$B,Overview!$A41,RAW_RECOVERED!CL:CL)</f>
        <v>35983</v>
      </c>
      <c r="CL41" s="28">
        <f>SUMIF(RAW_RECOVERED!$B:$B,Overview!$A41,RAW_RECOVERED!CM:CM)</f>
        <v>36578</v>
      </c>
      <c r="CM41" s="28">
        <f>SUMIF(RAW_RECOVERED!$B:$B,Overview!$A41,RAW_RECOVERED!CN:CN)</f>
        <v>37409</v>
      </c>
      <c r="CN41" s="28">
        <f>SUMIF(RAW_RECOVERED!$B:$B,Overview!$A41,RAW_RECOVERED!CO:CO)</f>
        <v>39181</v>
      </c>
      <c r="CO41" s="28">
        <f>SUMIF(RAW_RECOVERED!$B:$B,Overview!$A41,RAW_RECOVERED!CP:CP)</f>
        <v>40657</v>
      </c>
      <c r="CP41" s="28">
        <f>SUMIF(RAW_RECOVERED!$B:$B,Overview!$A41,RAW_RECOVERED!CQ:CQ)</f>
        <v>42088</v>
      </c>
      <c r="CQ41" s="28">
        <f>SUMIF(RAW_RECOVERED!$B:$B,Overview!$A41,RAW_RECOVERED!CR:CR)</f>
        <v>43493</v>
      </c>
      <c r="CR41" s="28">
        <f>SUMIF(RAW_RECOVERED!$B:$B,Overview!$A41,RAW_RECOVERED!CS:CS)</f>
        <v>44594</v>
      </c>
      <c r="CS41" s="28">
        <f>SUMIF(RAW_RECOVERED!$B:$B,Overview!$A41,RAW_RECOVERED!CT:CT)</f>
        <v>44903</v>
      </c>
      <c r="CT41" s="28">
        <f>SUMIF(RAW_RECOVERED!$B:$B,Overview!$A41,RAW_RECOVERED!CU:CU)</f>
        <v>45513</v>
      </c>
      <c r="CU41" s="28">
        <f>SUMIF(RAW_RECOVERED!$B:$B,Overview!$A41,RAW_RECOVERED!CV:CV)</f>
        <v>46886</v>
      </c>
      <c r="CV41" s="28">
        <f>SUMIF(RAW_RECOVERED!$B:$B,Overview!$A41,RAW_RECOVERED!CW:CW)</f>
        <v>48228</v>
      </c>
      <c r="CW41" s="28">
        <f>SUMIF(RAW_RECOVERED!$B:$B,Overview!$A41,RAW_RECOVERED!CX:CX)</f>
        <v>49476</v>
      </c>
      <c r="CX41" s="28">
        <f>SUMIF(RAW_RECOVERED!$B:$B,Overview!$A41,RAW_RECOVERED!CY:CY)</f>
        <v>50212</v>
      </c>
      <c r="CY41" s="28">
        <f>SUMIF(RAW_RECOVERED!$B:$B,Overview!$A41,RAW_RECOVERED!CZ:CZ)</f>
        <v>50663</v>
      </c>
      <c r="CZ41" s="28">
        <f>SUMIF(RAW_RECOVERED!$B:$B,Overview!$A41,RAW_RECOVERED!DA:DA)</f>
        <v>50885</v>
      </c>
      <c r="DA41" s="28">
        <f>SUMIF(RAW_RECOVERED!$B:$B,Overview!$A41,RAW_RECOVERED!DB:DB)</f>
        <v>0</v>
      </c>
      <c r="DB41" s="28">
        <f>SUMIF(RAW_RECOVERED!$B:$B,Overview!$A41,RAW_RECOVERED!DC:DC)</f>
        <v>0</v>
      </c>
      <c r="DC41" s="28">
        <f>SUMIF(RAW_RECOVERED!$B:$B,Overview!$A41,RAW_RECOVERED!DD:DD)</f>
        <v>0</v>
      </c>
      <c r="DD41" s="28">
        <f>SUMIF(RAW_RECOVERED!$B:$B,Overview!$A41,RAW_RECOVERED!DE:DE)</f>
        <v>0</v>
      </c>
      <c r="DE41" s="28">
        <f>SUMIF(RAW_RECOVERED!$B:$B,Overview!$A41,RAW_RECOVERED!DF:DF)</f>
        <v>0</v>
      </c>
      <c r="DF41" s="28">
        <f>SUMIF(RAW_RECOVERED!$B:$B,Overview!$A41,RAW_RECOVERED!DG:DG)</f>
        <v>0</v>
      </c>
      <c r="DG41" s="28">
        <f>SUMIF(RAW_RECOVERED!$B:$B,Overview!$A41,RAW_RECOVERED!DH:DH)</f>
        <v>0</v>
      </c>
      <c r="DH41" s="28">
        <f>SUMIF(RAW_RECOVERED!$B:$B,Overview!$A41,RAW_RECOVERED!DI:DI)</f>
        <v>0</v>
      </c>
      <c r="DI41" s="28">
        <f>SUMIF(RAW_RECOVERED!$B:$B,Overview!$A41,RAW_RECOVERED!DJ:DJ)</f>
        <v>0</v>
      </c>
      <c r="DJ41" s="28">
        <f>SUMIF(RAW_RECOVERED!$B:$B,Overview!$A41,RAW_RECOVERED!DK:DK)</f>
        <v>0</v>
      </c>
      <c r="DK41" s="28">
        <f>SUMIF(RAW_RECOVERED!$B:$B,Overview!$A41,RAW_RECOVERED!DL:DL)</f>
        <v>0</v>
      </c>
      <c r="DL41" s="28">
        <f>SUMIF(RAW_RECOVERED!$B:$B,Overview!$A41,RAW_RECOVERED!DM:DM)</f>
        <v>0</v>
      </c>
      <c r="DM41" s="28">
        <f>SUMIF(RAW_RECOVERED!$B:$B,Overview!$A41,RAW_RECOVERED!DN:DN)</f>
        <v>0</v>
      </c>
      <c r="DN41" s="28">
        <f>SUMIF(RAW_RECOVERED!$B:$B,Overview!$A41,RAW_RECOVERED!DO:DO)</f>
        <v>0</v>
      </c>
      <c r="DO41" s="28">
        <f>SUMIF(RAW_RECOVERED!$B:$B,Overview!$A41,RAW_RECOVERED!DP:DP)</f>
        <v>0</v>
      </c>
      <c r="DP41" s="28">
        <f>SUMIF(RAW_RECOVERED!$B:$B,Overview!$A41,RAW_RECOVERED!DQ:DQ)</f>
        <v>0</v>
      </c>
      <c r="DQ41" s="28">
        <f>SUMIF(RAW_RECOVERED!$B:$B,Overview!$A41,RAW_RECOVERED!DR:DR)</f>
        <v>0</v>
      </c>
      <c r="DR41" s="28">
        <f>SUMIF(RAW_RECOVERED!$B:$B,Overview!$A41,RAW_RECOVERED!DS:DS)</f>
        <v>0</v>
      </c>
      <c r="DS41" s="28">
        <f>SUMIF(RAW_RECOVERED!$B:$B,Overview!$A41,RAW_RECOVERED!DT:DT)</f>
        <v>0</v>
      </c>
      <c r="DT41" s="28">
        <f>SUMIF(RAW_RECOVERED!$B:$B,Overview!$A41,RAW_RECOVERED!DU:DU)</f>
        <v>0</v>
      </c>
      <c r="DU41" s="28">
        <f>SUMIF(RAW_RECOVERED!$B:$B,Overview!$A41,RAW_RECOVERED!DV:DV)</f>
        <v>0</v>
      </c>
      <c r="DV41" s="28">
        <f>SUMIF(RAW_RECOVERED!$B:$B,Overview!$A41,RAW_RECOVERED!DW:DW)</f>
        <v>0</v>
      </c>
      <c r="DW41" s="28">
        <f>SUMIF(RAW_RECOVERED!$B:$B,Overview!$A41,RAW_RECOVERED!DX:DX)</f>
        <v>0</v>
      </c>
      <c r="DX41" s="28">
        <f>SUMIF(RAW_RECOVERED!$B:$B,Overview!$A41,RAW_RECOVERED!DY:DY)</f>
        <v>0</v>
      </c>
      <c r="DY41" s="28">
        <f>SUMIF(RAW_RECOVERED!$B:$B,Overview!$A41,RAW_RECOVERED!DZ:DZ)</f>
        <v>0</v>
      </c>
      <c r="DZ41" s="28">
        <f>SUMIF(RAW_RECOVERED!$B:$B,Overview!$A41,RAW_RECOVERED!EA:EA)</f>
        <v>0</v>
      </c>
      <c r="EA41" s="28">
        <f>SUMIF(RAW_RECOVERED!$B:$B,Overview!$A41,RAW_RECOVERED!EB:EB)</f>
        <v>0</v>
      </c>
    </row>
    <row r="42" spans="1:131" s="10" customFormat="1" ht="13.15" x14ac:dyDescent="0.4">
      <c r="A42" s="24" t="str">
        <f t="shared" si="157"/>
        <v>Korea, South</v>
      </c>
      <c r="B42" s="28">
        <f>SUMIF(RAW_RECOVERED!$B:$B,Overview!$A42,RAW_RECOVERED!C:C)</f>
        <v>0</v>
      </c>
      <c r="C42" s="28">
        <f>SUMIF(RAW_RECOVERED!$B:$B,Overview!$A42,RAW_RECOVERED!D:D)</f>
        <v>0</v>
      </c>
      <c r="D42" s="28">
        <f>SUMIF(RAW_RECOVERED!$B:$B,Overview!$A42,RAW_RECOVERED!E:E)</f>
        <v>0</v>
      </c>
      <c r="E42" s="28">
        <f>SUMIF(RAW_RECOVERED!$B:$B,Overview!$A42,RAW_RECOVERED!F:F)</f>
        <v>0</v>
      </c>
      <c r="F42" s="28">
        <f>SUMIF(RAW_RECOVERED!$B:$B,Overview!$A42,RAW_RECOVERED!G:G)</f>
        <v>0</v>
      </c>
      <c r="G42" s="28">
        <f>SUMIF(RAW_RECOVERED!$B:$B,Overview!$A42,RAW_RECOVERED!H:H)</f>
        <v>0</v>
      </c>
      <c r="H42" s="28">
        <f>SUMIF(RAW_RECOVERED!$B:$B,Overview!$A42,RAW_RECOVERED!I:I)</f>
        <v>0</v>
      </c>
      <c r="I42" s="28">
        <f>SUMIF(RAW_RECOVERED!$B:$B,Overview!$A42,RAW_RECOVERED!J:J)</f>
        <v>0</v>
      </c>
      <c r="J42" s="28">
        <f>SUMIF(RAW_RECOVERED!$B:$B,Overview!$A42,RAW_RECOVERED!K:K)</f>
        <v>0</v>
      </c>
      <c r="K42" s="28">
        <f>SUMIF(RAW_RECOVERED!$B:$B,Overview!$A42,RAW_RECOVERED!L:L)</f>
        <v>0</v>
      </c>
      <c r="L42" s="28">
        <f>SUMIF(RAW_RECOVERED!$B:$B,Overview!$A42,RAW_RECOVERED!M:M)</f>
        <v>0</v>
      </c>
      <c r="M42" s="28">
        <f>SUMIF(RAW_RECOVERED!$B:$B,Overview!$A42,RAW_RECOVERED!N:N)</f>
        <v>0</v>
      </c>
      <c r="N42" s="28">
        <f>SUMIF(RAW_RECOVERED!$B:$B,Overview!$A42,RAW_RECOVERED!O:O)</f>
        <v>0</v>
      </c>
      <c r="O42" s="28">
        <f>SUMIF(RAW_RECOVERED!$B:$B,Overview!$A42,RAW_RECOVERED!P:P)</f>
        <v>0</v>
      </c>
      <c r="P42" s="28">
        <f>SUMIF(RAW_RECOVERED!$B:$B,Overview!$A42,RAW_RECOVERED!Q:Q)</f>
        <v>0</v>
      </c>
      <c r="Q42" s="28">
        <f>SUMIF(RAW_RECOVERED!$B:$B,Overview!$A42,RAW_RECOVERED!R:R)</f>
        <v>0</v>
      </c>
      <c r="R42" s="28">
        <f>SUMIF(RAW_RECOVERED!$B:$B,Overview!$A42,RAW_RECOVERED!S:S)</f>
        <v>1</v>
      </c>
      <c r="S42" s="28">
        <f>SUMIF(RAW_RECOVERED!$B:$B,Overview!$A42,RAW_RECOVERED!T:T)</f>
        <v>1</v>
      </c>
      <c r="T42" s="28">
        <f>SUMIF(RAW_RECOVERED!$B:$B,Overview!$A42,RAW_RECOVERED!U:U)</f>
        <v>3</v>
      </c>
      <c r="U42" s="28">
        <f>SUMIF(RAW_RECOVERED!$B:$B,Overview!$A42,RAW_RECOVERED!V:V)</f>
        <v>3</v>
      </c>
      <c r="V42" s="28">
        <f>SUMIF(RAW_RECOVERED!$B:$B,Overview!$A42,RAW_RECOVERED!W:W)</f>
        <v>3</v>
      </c>
      <c r="W42" s="28">
        <f>SUMIF(RAW_RECOVERED!$B:$B,Overview!$A42,RAW_RECOVERED!X:X)</f>
        <v>7</v>
      </c>
      <c r="X42" s="28">
        <f>SUMIF(RAW_RECOVERED!$B:$B,Overview!$A42,RAW_RECOVERED!Y:Y)</f>
        <v>7</v>
      </c>
      <c r="Y42" s="28">
        <f>SUMIF(RAW_RECOVERED!$B:$B,Overview!$A42,RAW_RECOVERED!Z:Z)</f>
        <v>7</v>
      </c>
      <c r="Z42" s="28">
        <f>SUMIF(RAW_RECOVERED!$B:$B,Overview!$A42,RAW_RECOVERED!AA:AA)</f>
        <v>9</v>
      </c>
      <c r="AA42" s="28">
        <f>SUMIF(RAW_RECOVERED!$B:$B,Overview!$A42,RAW_RECOVERED!AB:AB)</f>
        <v>9</v>
      </c>
      <c r="AB42" s="28">
        <f>SUMIF(RAW_RECOVERED!$B:$B,Overview!$A42,RAW_RECOVERED!AC:AC)</f>
        <v>10</v>
      </c>
      <c r="AC42" s="28">
        <f>SUMIF(RAW_RECOVERED!$B:$B,Overview!$A42,RAW_RECOVERED!AD:AD)</f>
        <v>12</v>
      </c>
      <c r="AD42" s="28">
        <f>SUMIF(RAW_RECOVERED!$B:$B,Overview!$A42,RAW_RECOVERED!AE:AE)</f>
        <v>12</v>
      </c>
      <c r="AE42" s="28">
        <f>SUMIF(RAW_RECOVERED!$B:$B,Overview!$A42,RAW_RECOVERED!AF:AF)</f>
        <v>16</v>
      </c>
      <c r="AF42" s="28">
        <f>SUMIF(RAW_RECOVERED!$B:$B,Overview!$A42,RAW_RECOVERED!AG:AG)</f>
        <v>16</v>
      </c>
      <c r="AG42" s="28">
        <f>SUMIF(RAW_RECOVERED!$B:$B,Overview!$A42,RAW_RECOVERED!AH:AH)</f>
        <v>16</v>
      </c>
      <c r="AH42" s="28">
        <f>SUMIF(RAW_RECOVERED!$B:$B,Overview!$A42,RAW_RECOVERED!AI:AI)</f>
        <v>18</v>
      </c>
      <c r="AI42" s="28">
        <f>SUMIF(RAW_RECOVERED!$B:$B,Overview!$A42,RAW_RECOVERED!AJ:AJ)</f>
        <v>18</v>
      </c>
      <c r="AJ42" s="28">
        <f>SUMIF(RAW_RECOVERED!$B:$B,Overview!$A42,RAW_RECOVERED!AK:AK)</f>
        <v>22</v>
      </c>
      <c r="AK42" s="28">
        <f>SUMIF(RAW_RECOVERED!$B:$B,Overview!$A42,RAW_RECOVERED!AL:AL)</f>
        <v>22</v>
      </c>
      <c r="AL42" s="28">
        <f>SUMIF(RAW_RECOVERED!$B:$B,Overview!$A42,RAW_RECOVERED!AM:AM)</f>
        <v>22</v>
      </c>
      <c r="AM42" s="28">
        <f>SUMIF(RAW_RECOVERED!$B:$B,Overview!$A42,RAW_RECOVERED!AN:AN)</f>
        <v>22</v>
      </c>
      <c r="AN42" s="28">
        <f>SUMIF(RAW_RECOVERED!$B:$B,Overview!$A42,RAW_RECOVERED!AO:AO)</f>
        <v>27</v>
      </c>
      <c r="AO42" s="28">
        <f>SUMIF(RAW_RECOVERED!$B:$B,Overview!$A42,RAW_RECOVERED!AP:AP)</f>
        <v>30</v>
      </c>
      <c r="AP42" s="28">
        <f>SUMIF(RAW_RECOVERED!$B:$B,Overview!$A42,RAW_RECOVERED!AQ:AQ)</f>
        <v>30</v>
      </c>
      <c r="AQ42" s="28">
        <f>SUMIF(RAW_RECOVERED!$B:$B,Overview!$A42,RAW_RECOVERED!AR:AR)</f>
        <v>30</v>
      </c>
      <c r="AR42" s="28">
        <f>SUMIF(RAW_RECOVERED!$B:$B,Overview!$A42,RAW_RECOVERED!AS:AS)</f>
        <v>41</v>
      </c>
      <c r="AS42" s="28">
        <f>SUMIF(RAW_RECOVERED!$B:$B,Overview!$A42,RAW_RECOVERED!AT:AT)</f>
        <v>41</v>
      </c>
      <c r="AT42" s="28">
        <f>SUMIF(RAW_RECOVERED!$B:$B,Overview!$A42,RAW_RECOVERED!AU:AU)</f>
        <v>135</v>
      </c>
      <c r="AU42" s="28">
        <f>SUMIF(RAW_RECOVERED!$B:$B,Overview!$A42,RAW_RECOVERED!AV:AV)</f>
        <v>135</v>
      </c>
      <c r="AV42" s="28">
        <f>SUMIF(RAW_RECOVERED!$B:$B,Overview!$A42,RAW_RECOVERED!AW:AW)</f>
        <v>118</v>
      </c>
      <c r="AW42" s="28">
        <f>SUMIF(RAW_RECOVERED!$B:$B,Overview!$A42,RAW_RECOVERED!AX:AX)</f>
        <v>118</v>
      </c>
      <c r="AX42" s="28">
        <f>SUMIF(RAW_RECOVERED!$B:$B,Overview!$A42,RAW_RECOVERED!AY:AY)</f>
        <v>247</v>
      </c>
      <c r="AY42" s="28">
        <f>SUMIF(RAW_RECOVERED!$B:$B,Overview!$A42,RAW_RECOVERED!AZ:AZ)</f>
        <v>288</v>
      </c>
      <c r="AZ42" s="28">
        <f>SUMIF(RAW_RECOVERED!$B:$B,Overview!$A42,RAW_RECOVERED!BA:BA)</f>
        <v>333</v>
      </c>
      <c r="BA42" s="28">
        <f>SUMIF(RAW_RECOVERED!$B:$B,Overview!$A42,RAW_RECOVERED!BB:BB)</f>
        <v>510</v>
      </c>
      <c r="BB42" s="28">
        <f>SUMIF(RAW_RECOVERED!$B:$B,Overview!$A42,RAW_RECOVERED!BC:BC)</f>
        <v>510</v>
      </c>
      <c r="BC42" s="28">
        <f>SUMIF(RAW_RECOVERED!$B:$B,Overview!$A42,RAW_RECOVERED!BD:BD)</f>
        <v>510</v>
      </c>
      <c r="BD42" s="28">
        <f>SUMIF(RAW_RECOVERED!$B:$B,Overview!$A42,RAW_RECOVERED!BE:BE)</f>
        <v>1137</v>
      </c>
      <c r="BE42" s="28">
        <f>SUMIF(RAW_RECOVERED!$B:$B,Overview!$A42,RAW_RECOVERED!BF:BF)</f>
        <v>1407</v>
      </c>
      <c r="BF42" s="28">
        <f>SUMIF(RAW_RECOVERED!$B:$B,Overview!$A42,RAW_RECOVERED!BG:BG)</f>
        <v>1540</v>
      </c>
      <c r="BG42" s="28">
        <f>SUMIF(RAW_RECOVERED!$B:$B,Overview!$A42,RAW_RECOVERED!BH:BH)</f>
        <v>1540</v>
      </c>
      <c r="BH42" s="28">
        <f>SUMIF(RAW_RECOVERED!$B:$B,Overview!$A42,RAW_RECOVERED!BI:BI)</f>
        <v>1540</v>
      </c>
      <c r="BI42" s="28">
        <f>SUMIF(RAW_RECOVERED!$B:$B,Overview!$A42,RAW_RECOVERED!BJ:BJ)</f>
        <v>1540</v>
      </c>
      <c r="BJ42" s="28">
        <f>SUMIF(RAW_RECOVERED!$B:$B,Overview!$A42,RAW_RECOVERED!BK:BK)</f>
        <v>2909</v>
      </c>
      <c r="BK42" s="28">
        <f>SUMIF(RAW_RECOVERED!$B:$B,Overview!$A42,RAW_RECOVERED!BL:BL)</f>
        <v>2909</v>
      </c>
      <c r="BL42" s="28">
        <f>SUMIF(RAW_RECOVERED!$B:$B,Overview!$A42,RAW_RECOVERED!BM:BM)</f>
        <v>3507</v>
      </c>
      <c r="BM42" s="28">
        <f>SUMIF(RAW_RECOVERED!$B:$B,Overview!$A42,RAW_RECOVERED!BN:BN)</f>
        <v>3730</v>
      </c>
      <c r="BN42" s="28">
        <f>SUMIF(RAW_RECOVERED!$B:$B,Overview!$A42,RAW_RECOVERED!BO:BO)</f>
        <v>4144</v>
      </c>
      <c r="BO42" s="28">
        <f>SUMIF(RAW_RECOVERED!$B:$B,Overview!$A42,RAW_RECOVERED!BP:BP)</f>
        <v>4528</v>
      </c>
      <c r="BP42" s="28">
        <f>SUMIF(RAW_RECOVERED!$B:$B,Overview!$A42,RAW_RECOVERED!BQ:BQ)</f>
        <v>4811</v>
      </c>
      <c r="BQ42" s="28">
        <f>SUMIF(RAW_RECOVERED!$B:$B,Overview!$A42,RAW_RECOVERED!BR:BR)</f>
        <v>5033</v>
      </c>
      <c r="BR42" s="28">
        <f>SUMIF(RAW_RECOVERED!$B:$B,Overview!$A42,RAW_RECOVERED!BS:BS)</f>
        <v>5228</v>
      </c>
      <c r="BS42" s="28">
        <f>SUMIF(RAW_RECOVERED!$B:$B,Overview!$A42,RAW_RECOVERED!BT:BT)</f>
        <v>5408</v>
      </c>
      <c r="BT42" s="28">
        <f>SUMIF(RAW_RECOVERED!$B:$B,Overview!$A42,RAW_RECOVERED!BU:BU)</f>
        <v>5567</v>
      </c>
      <c r="BU42" s="28">
        <f>SUMIF(RAW_RECOVERED!$B:$B,Overview!$A42,RAW_RECOVERED!BV:BV)</f>
        <v>5828</v>
      </c>
      <c r="BV42" s="28">
        <f>SUMIF(RAW_RECOVERED!$B:$B,Overview!$A42,RAW_RECOVERED!BW:BW)</f>
        <v>6021</v>
      </c>
      <c r="BW42" s="28">
        <f>SUMIF(RAW_RECOVERED!$B:$B,Overview!$A42,RAW_RECOVERED!BX:BX)</f>
        <v>6325</v>
      </c>
      <c r="BX42" s="28">
        <f>SUMIF(RAW_RECOVERED!$B:$B,Overview!$A42,RAW_RECOVERED!BY:BY)</f>
        <v>6463</v>
      </c>
      <c r="BY42" s="28">
        <f>SUMIF(RAW_RECOVERED!$B:$B,Overview!$A42,RAW_RECOVERED!BZ:BZ)</f>
        <v>6598</v>
      </c>
      <c r="BZ42" s="28">
        <f>SUMIF(RAW_RECOVERED!$B:$B,Overview!$A42,RAW_RECOVERED!CA:CA)</f>
        <v>6694</v>
      </c>
      <c r="CA42" s="28">
        <f>SUMIF(RAW_RECOVERED!$B:$B,Overview!$A42,RAW_RECOVERED!CB:CB)</f>
        <v>6776</v>
      </c>
      <c r="CB42" s="28">
        <f>SUMIF(RAW_RECOVERED!$B:$B,Overview!$A42,RAW_RECOVERED!CC:CC)</f>
        <v>6973</v>
      </c>
      <c r="CC42" s="28">
        <f>SUMIF(RAW_RECOVERED!$B:$B,Overview!$A42,RAW_RECOVERED!CD:CD)</f>
        <v>7117</v>
      </c>
      <c r="CD42" s="28">
        <f>SUMIF(RAW_RECOVERED!$B:$B,Overview!$A42,RAW_RECOVERED!CE:CE)</f>
        <v>7243</v>
      </c>
      <c r="CE42" s="28">
        <f>SUMIF(RAW_RECOVERED!$B:$B,Overview!$A42,RAW_RECOVERED!CF:CF)</f>
        <v>7368</v>
      </c>
      <c r="CF42" s="28">
        <f>SUMIF(RAW_RECOVERED!$B:$B,Overview!$A42,RAW_RECOVERED!CG:CG)</f>
        <v>7447</v>
      </c>
      <c r="CG42" s="28">
        <f>SUMIF(RAW_RECOVERED!$B:$B,Overview!$A42,RAW_RECOVERED!CH:CH)</f>
        <v>7534</v>
      </c>
      <c r="CH42" s="28">
        <f>SUMIF(RAW_RECOVERED!$B:$B,Overview!$A42,RAW_RECOVERED!CI:CI)</f>
        <v>7616</v>
      </c>
      <c r="CI42" s="28">
        <f>SUMIF(RAW_RECOVERED!$B:$B,Overview!$A42,RAW_RECOVERED!CJ:CJ)</f>
        <v>7757</v>
      </c>
      <c r="CJ42" s="28">
        <f>SUMIF(RAW_RECOVERED!$B:$B,Overview!$A42,RAW_RECOVERED!CK:CK)</f>
        <v>7829</v>
      </c>
      <c r="CK42" s="28">
        <f>SUMIF(RAW_RECOVERED!$B:$B,Overview!$A42,RAW_RECOVERED!CL:CL)</f>
        <v>7937</v>
      </c>
      <c r="CL42" s="28">
        <f>SUMIF(RAW_RECOVERED!$B:$B,Overview!$A42,RAW_RECOVERED!CM:CM)</f>
        <v>8042</v>
      </c>
      <c r="CM42" s="28">
        <f>SUMIF(RAW_RECOVERED!$B:$B,Overview!$A42,RAW_RECOVERED!CN:CN)</f>
        <v>8114</v>
      </c>
      <c r="CN42" s="28">
        <f>SUMIF(RAW_RECOVERED!$B:$B,Overview!$A42,RAW_RECOVERED!CO:CO)</f>
        <v>8213</v>
      </c>
      <c r="CO42" s="28">
        <f>SUMIF(RAW_RECOVERED!$B:$B,Overview!$A42,RAW_RECOVERED!CP:CP)</f>
        <v>8277</v>
      </c>
      <c r="CP42" s="28">
        <f>SUMIF(RAW_RECOVERED!$B:$B,Overview!$A42,RAW_RECOVERED!CQ:CQ)</f>
        <v>8501</v>
      </c>
      <c r="CQ42" s="28">
        <f>SUMIF(RAW_RECOVERED!$B:$B,Overview!$A42,RAW_RECOVERED!CR:CR)</f>
        <v>8635</v>
      </c>
      <c r="CR42" s="28">
        <f>SUMIF(RAW_RECOVERED!$B:$B,Overview!$A42,RAW_RECOVERED!CS:CS)</f>
        <v>8717</v>
      </c>
      <c r="CS42" s="28">
        <f>SUMIF(RAW_RECOVERED!$B:$B,Overview!$A42,RAW_RECOVERED!CT:CT)</f>
        <v>8764</v>
      </c>
      <c r="CT42" s="28">
        <f>SUMIF(RAW_RECOVERED!$B:$B,Overview!$A42,RAW_RECOVERED!CU:CU)</f>
        <v>8854</v>
      </c>
      <c r="CU42" s="28">
        <f>SUMIF(RAW_RECOVERED!$B:$B,Overview!$A42,RAW_RECOVERED!CV:CV)</f>
        <v>8922</v>
      </c>
      <c r="CV42" s="28">
        <f>SUMIF(RAW_RECOVERED!$B:$B,Overview!$A42,RAW_RECOVERED!CW:CW)</f>
        <v>9059</v>
      </c>
      <c r="CW42" s="28">
        <f>SUMIF(RAW_RECOVERED!$B:$B,Overview!$A42,RAW_RECOVERED!CX:CX)</f>
        <v>9072</v>
      </c>
      <c r="CX42" s="28">
        <f>SUMIF(RAW_RECOVERED!$B:$B,Overview!$A42,RAW_RECOVERED!CY:CY)</f>
        <v>9123</v>
      </c>
      <c r="CY42" s="28">
        <f>SUMIF(RAW_RECOVERED!$B:$B,Overview!$A42,RAW_RECOVERED!CZ:CZ)</f>
        <v>9183</v>
      </c>
      <c r="CZ42" s="28">
        <f>SUMIF(RAW_RECOVERED!$B:$B,Overview!$A42,RAW_RECOVERED!DA:DA)</f>
        <v>9217</v>
      </c>
      <c r="DA42" s="28">
        <f>SUMIF(RAW_RECOVERED!$B:$B,Overview!$A42,RAW_RECOVERED!DB:DB)</f>
        <v>0</v>
      </c>
      <c r="DB42" s="28">
        <f>SUMIF(RAW_RECOVERED!$B:$B,Overview!$A42,RAW_RECOVERED!DC:DC)</f>
        <v>0</v>
      </c>
      <c r="DC42" s="28">
        <f>SUMIF(RAW_RECOVERED!$B:$B,Overview!$A42,RAW_RECOVERED!DD:DD)</f>
        <v>0</v>
      </c>
      <c r="DD42" s="28">
        <f>SUMIF(RAW_RECOVERED!$B:$B,Overview!$A42,RAW_RECOVERED!DE:DE)</f>
        <v>0</v>
      </c>
      <c r="DE42" s="28">
        <f>SUMIF(RAW_RECOVERED!$B:$B,Overview!$A42,RAW_RECOVERED!DF:DF)</f>
        <v>0</v>
      </c>
      <c r="DF42" s="28">
        <f>SUMIF(RAW_RECOVERED!$B:$B,Overview!$A42,RAW_RECOVERED!DG:DG)</f>
        <v>0</v>
      </c>
      <c r="DG42" s="28">
        <f>SUMIF(RAW_RECOVERED!$B:$B,Overview!$A42,RAW_RECOVERED!DH:DH)</f>
        <v>0</v>
      </c>
      <c r="DH42" s="28">
        <f>SUMIF(RAW_RECOVERED!$B:$B,Overview!$A42,RAW_RECOVERED!DI:DI)</f>
        <v>0</v>
      </c>
      <c r="DI42" s="28">
        <f>SUMIF(RAW_RECOVERED!$B:$B,Overview!$A42,RAW_RECOVERED!DJ:DJ)</f>
        <v>0</v>
      </c>
      <c r="DJ42" s="28">
        <f>SUMIF(RAW_RECOVERED!$B:$B,Overview!$A42,RAW_RECOVERED!DK:DK)</f>
        <v>0</v>
      </c>
      <c r="DK42" s="28">
        <f>SUMIF(RAW_RECOVERED!$B:$B,Overview!$A42,RAW_RECOVERED!DL:DL)</f>
        <v>0</v>
      </c>
      <c r="DL42" s="28">
        <f>SUMIF(RAW_RECOVERED!$B:$B,Overview!$A42,RAW_RECOVERED!DM:DM)</f>
        <v>0</v>
      </c>
      <c r="DM42" s="28">
        <f>SUMIF(RAW_RECOVERED!$B:$B,Overview!$A42,RAW_RECOVERED!DN:DN)</f>
        <v>0</v>
      </c>
      <c r="DN42" s="28">
        <f>SUMIF(RAW_RECOVERED!$B:$B,Overview!$A42,RAW_RECOVERED!DO:DO)</f>
        <v>0</v>
      </c>
      <c r="DO42" s="28">
        <f>SUMIF(RAW_RECOVERED!$B:$B,Overview!$A42,RAW_RECOVERED!DP:DP)</f>
        <v>0</v>
      </c>
      <c r="DP42" s="28">
        <f>SUMIF(RAW_RECOVERED!$B:$B,Overview!$A42,RAW_RECOVERED!DQ:DQ)</f>
        <v>0</v>
      </c>
      <c r="DQ42" s="28">
        <f>SUMIF(RAW_RECOVERED!$B:$B,Overview!$A42,RAW_RECOVERED!DR:DR)</f>
        <v>0</v>
      </c>
      <c r="DR42" s="28">
        <f>SUMIF(RAW_RECOVERED!$B:$B,Overview!$A42,RAW_RECOVERED!DS:DS)</f>
        <v>0</v>
      </c>
      <c r="DS42" s="28">
        <f>SUMIF(RAW_RECOVERED!$B:$B,Overview!$A42,RAW_RECOVERED!DT:DT)</f>
        <v>0</v>
      </c>
      <c r="DT42" s="28">
        <f>SUMIF(RAW_RECOVERED!$B:$B,Overview!$A42,RAW_RECOVERED!DU:DU)</f>
        <v>0</v>
      </c>
      <c r="DU42" s="28">
        <f>SUMIF(RAW_RECOVERED!$B:$B,Overview!$A42,RAW_RECOVERED!DV:DV)</f>
        <v>0</v>
      </c>
      <c r="DV42" s="28">
        <f>SUMIF(RAW_RECOVERED!$B:$B,Overview!$A42,RAW_RECOVERED!DW:DW)</f>
        <v>0</v>
      </c>
      <c r="DW42" s="28">
        <f>SUMIF(RAW_RECOVERED!$B:$B,Overview!$A42,RAW_RECOVERED!DX:DX)</f>
        <v>0</v>
      </c>
      <c r="DX42" s="28">
        <f>SUMIF(RAW_RECOVERED!$B:$B,Overview!$A42,RAW_RECOVERED!DY:DY)</f>
        <v>0</v>
      </c>
      <c r="DY42" s="28">
        <f>SUMIF(RAW_RECOVERED!$B:$B,Overview!$A42,RAW_RECOVERED!DZ:DZ)</f>
        <v>0</v>
      </c>
      <c r="DZ42" s="28">
        <f>SUMIF(RAW_RECOVERED!$B:$B,Overview!$A42,RAW_RECOVERED!EA:EA)</f>
        <v>0</v>
      </c>
      <c r="EA42" s="28">
        <f>SUMIF(RAW_RECOVERED!$B:$B,Overview!$A42,RAW_RECOVERED!EB:EB)</f>
        <v>0</v>
      </c>
    </row>
    <row r="43" spans="1:131" s="10" customFormat="1" ht="13.15" x14ac:dyDescent="0.4">
      <c r="A43" s="24" t="str">
        <f t="shared" si="157"/>
        <v>Spain</v>
      </c>
      <c r="B43" s="28">
        <f>SUMIF(RAW_RECOVERED!$B:$B,Overview!$A43,RAW_RECOVERED!C:C)</f>
        <v>0</v>
      </c>
      <c r="C43" s="28">
        <f>SUMIF(RAW_RECOVERED!$B:$B,Overview!$A43,RAW_RECOVERED!D:D)</f>
        <v>0</v>
      </c>
      <c r="D43" s="28">
        <f>SUMIF(RAW_RECOVERED!$B:$B,Overview!$A43,RAW_RECOVERED!E:E)</f>
        <v>0</v>
      </c>
      <c r="E43" s="28">
        <f>SUMIF(RAW_RECOVERED!$B:$B,Overview!$A43,RAW_RECOVERED!F:F)</f>
        <v>0</v>
      </c>
      <c r="F43" s="28">
        <f>SUMIF(RAW_RECOVERED!$B:$B,Overview!$A43,RAW_RECOVERED!G:G)</f>
        <v>0</v>
      </c>
      <c r="G43" s="28">
        <f>SUMIF(RAW_RECOVERED!$B:$B,Overview!$A43,RAW_RECOVERED!H:H)</f>
        <v>0</v>
      </c>
      <c r="H43" s="28">
        <f>SUMIF(RAW_RECOVERED!$B:$B,Overview!$A43,RAW_RECOVERED!I:I)</f>
        <v>0</v>
      </c>
      <c r="I43" s="28">
        <f>SUMIF(RAW_RECOVERED!$B:$B,Overview!$A43,RAW_RECOVERED!J:J)</f>
        <v>0</v>
      </c>
      <c r="J43" s="28">
        <f>SUMIF(RAW_RECOVERED!$B:$B,Overview!$A43,RAW_RECOVERED!K:K)</f>
        <v>0</v>
      </c>
      <c r="K43" s="28">
        <f>SUMIF(RAW_RECOVERED!$B:$B,Overview!$A43,RAW_RECOVERED!L:L)</f>
        <v>0</v>
      </c>
      <c r="L43" s="28">
        <f>SUMIF(RAW_RECOVERED!$B:$B,Overview!$A43,RAW_RECOVERED!M:M)</f>
        <v>0</v>
      </c>
      <c r="M43" s="28">
        <f>SUMIF(RAW_RECOVERED!$B:$B,Overview!$A43,RAW_RECOVERED!N:N)</f>
        <v>0</v>
      </c>
      <c r="N43" s="28">
        <f>SUMIF(RAW_RECOVERED!$B:$B,Overview!$A43,RAW_RECOVERED!O:O)</f>
        <v>0</v>
      </c>
      <c r="O43" s="28">
        <f>SUMIF(RAW_RECOVERED!$B:$B,Overview!$A43,RAW_RECOVERED!P:P)</f>
        <v>0</v>
      </c>
      <c r="P43" s="28">
        <f>SUMIF(RAW_RECOVERED!$B:$B,Overview!$A43,RAW_RECOVERED!Q:Q)</f>
        <v>0</v>
      </c>
      <c r="Q43" s="28">
        <f>SUMIF(RAW_RECOVERED!$B:$B,Overview!$A43,RAW_RECOVERED!R:R)</f>
        <v>0</v>
      </c>
      <c r="R43" s="28">
        <f>SUMIF(RAW_RECOVERED!$B:$B,Overview!$A43,RAW_RECOVERED!S:S)</f>
        <v>0</v>
      </c>
      <c r="S43" s="28">
        <f>SUMIF(RAW_RECOVERED!$B:$B,Overview!$A43,RAW_RECOVERED!T:T)</f>
        <v>0</v>
      </c>
      <c r="T43" s="28">
        <f>SUMIF(RAW_RECOVERED!$B:$B,Overview!$A43,RAW_RECOVERED!U:U)</f>
        <v>0</v>
      </c>
      <c r="U43" s="28">
        <f>SUMIF(RAW_RECOVERED!$B:$B,Overview!$A43,RAW_RECOVERED!V:V)</f>
        <v>0</v>
      </c>
      <c r="V43" s="28">
        <f>SUMIF(RAW_RECOVERED!$B:$B,Overview!$A43,RAW_RECOVERED!W:W)</f>
        <v>0</v>
      </c>
      <c r="W43" s="28">
        <f>SUMIF(RAW_RECOVERED!$B:$B,Overview!$A43,RAW_RECOVERED!X:X)</f>
        <v>0</v>
      </c>
      <c r="X43" s="28">
        <f>SUMIF(RAW_RECOVERED!$B:$B,Overview!$A43,RAW_RECOVERED!Y:Y)</f>
        <v>0</v>
      </c>
      <c r="Y43" s="28">
        <f>SUMIF(RAW_RECOVERED!$B:$B,Overview!$A43,RAW_RECOVERED!Z:Z)</f>
        <v>0</v>
      </c>
      <c r="Z43" s="28">
        <f>SUMIF(RAW_RECOVERED!$B:$B,Overview!$A43,RAW_RECOVERED!AA:AA)</f>
        <v>2</v>
      </c>
      <c r="AA43" s="28">
        <f>SUMIF(RAW_RECOVERED!$B:$B,Overview!$A43,RAW_RECOVERED!AB:AB)</f>
        <v>2</v>
      </c>
      <c r="AB43" s="28">
        <f>SUMIF(RAW_RECOVERED!$B:$B,Overview!$A43,RAW_RECOVERED!AC:AC)</f>
        <v>2</v>
      </c>
      <c r="AC43" s="28">
        <f>SUMIF(RAW_RECOVERED!$B:$B,Overview!$A43,RAW_RECOVERED!AD:AD)</f>
        <v>2</v>
      </c>
      <c r="AD43" s="28">
        <f>SUMIF(RAW_RECOVERED!$B:$B,Overview!$A43,RAW_RECOVERED!AE:AE)</f>
        <v>2</v>
      </c>
      <c r="AE43" s="28">
        <f>SUMIF(RAW_RECOVERED!$B:$B,Overview!$A43,RAW_RECOVERED!AF:AF)</f>
        <v>2</v>
      </c>
      <c r="AF43" s="28">
        <f>SUMIF(RAW_RECOVERED!$B:$B,Overview!$A43,RAW_RECOVERED!AG:AG)</f>
        <v>2</v>
      </c>
      <c r="AG43" s="28">
        <f>SUMIF(RAW_RECOVERED!$B:$B,Overview!$A43,RAW_RECOVERED!AH:AH)</f>
        <v>2</v>
      </c>
      <c r="AH43" s="28">
        <f>SUMIF(RAW_RECOVERED!$B:$B,Overview!$A43,RAW_RECOVERED!AI:AI)</f>
        <v>2</v>
      </c>
      <c r="AI43" s="28">
        <f>SUMIF(RAW_RECOVERED!$B:$B,Overview!$A43,RAW_RECOVERED!AJ:AJ)</f>
        <v>2</v>
      </c>
      <c r="AJ43" s="28">
        <f>SUMIF(RAW_RECOVERED!$B:$B,Overview!$A43,RAW_RECOVERED!AK:AK)</f>
        <v>2</v>
      </c>
      <c r="AK43" s="28">
        <f>SUMIF(RAW_RECOVERED!$B:$B,Overview!$A43,RAW_RECOVERED!AL:AL)</f>
        <v>2</v>
      </c>
      <c r="AL43" s="28">
        <f>SUMIF(RAW_RECOVERED!$B:$B,Overview!$A43,RAW_RECOVERED!AM:AM)</f>
        <v>2</v>
      </c>
      <c r="AM43" s="28">
        <f>SUMIF(RAW_RECOVERED!$B:$B,Overview!$A43,RAW_RECOVERED!AN:AN)</f>
        <v>2</v>
      </c>
      <c r="AN43" s="28">
        <f>SUMIF(RAW_RECOVERED!$B:$B,Overview!$A43,RAW_RECOVERED!AO:AO)</f>
        <v>2</v>
      </c>
      <c r="AO43" s="28">
        <f>SUMIF(RAW_RECOVERED!$B:$B,Overview!$A43,RAW_RECOVERED!AP:AP)</f>
        <v>2</v>
      </c>
      <c r="AP43" s="28">
        <f>SUMIF(RAW_RECOVERED!$B:$B,Overview!$A43,RAW_RECOVERED!AQ:AQ)</f>
        <v>2</v>
      </c>
      <c r="AQ43" s="28">
        <f>SUMIF(RAW_RECOVERED!$B:$B,Overview!$A43,RAW_RECOVERED!AR:AR)</f>
        <v>2</v>
      </c>
      <c r="AR43" s="28">
        <f>SUMIF(RAW_RECOVERED!$B:$B,Overview!$A43,RAW_RECOVERED!AS:AS)</f>
        <v>2</v>
      </c>
      <c r="AS43" s="28">
        <f>SUMIF(RAW_RECOVERED!$B:$B,Overview!$A43,RAW_RECOVERED!AT:AT)</f>
        <v>2</v>
      </c>
      <c r="AT43" s="28">
        <f>SUMIF(RAW_RECOVERED!$B:$B,Overview!$A43,RAW_RECOVERED!AU:AU)</f>
        <v>2</v>
      </c>
      <c r="AU43" s="28">
        <f>SUMIF(RAW_RECOVERED!$B:$B,Overview!$A43,RAW_RECOVERED!AV:AV)</f>
        <v>30</v>
      </c>
      <c r="AV43" s="28">
        <f>SUMIF(RAW_RECOVERED!$B:$B,Overview!$A43,RAW_RECOVERED!AW:AW)</f>
        <v>30</v>
      </c>
      <c r="AW43" s="28">
        <f>SUMIF(RAW_RECOVERED!$B:$B,Overview!$A43,RAW_RECOVERED!AX:AX)</f>
        <v>32</v>
      </c>
      <c r="AX43" s="28">
        <f>SUMIF(RAW_RECOVERED!$B:$B,Overview!$A43,RAW_RECOVERED!AY:AY)</f>
        <v>32</v>
      </c>
      <c r="AY43" s="28">
        <f>SUMIF(RAW_RECOVERED!$B:$B,Overview!$A43,RAW_RECOVERED!AZ:AZ)</f>
        <v>183</v>
      </c>
      <c r="AZ43" s="28">
        <f>SUMIF(RAW_RECOVERED!$B:$B,Overview!$A43,RAW_RECOVERED!BA:BA)</f>
        <v>183</v>
      </c>
      <c r="BA43" s="28">
        <f>SUMIF(RAW_RECOVERED!$B:$B,Overview!$A43,RAW_RECOVERED!BB:BB)</f>
        <v>193</v>
      </c>
      <c r="BB43" s="28">
        <f>SUMIF(RAW_RECOVERED!$B:$B,Overview!$A43,RAW_RECOVERED!BC:BC)</f>
        <v>517</v>
      </c>
      <c r="BC43" s="28">
        <f>SUMIF(RAW_RECOVERED!$B:$B,Overview!$A43,RAW_RECOVERED!BD:BD)</f>
        <v>517</v>
      </c>
      <c r="BD43" s="28">
        <f>SUMIF(RAW_RECOVERED!$B:$B,Overview!$A43,RAW_RECOVERED!BE:BE)</f>
        <v>530</v>
      </c>
      <c r="BE43" s="28">
        <f>SUMIF(RAW_RECOVERED!$B:$B,Overview!$A43,RAW_RECOVERED!BF:BF)</f>
        <v>1028</v>
      </c>
      <c r="BF43" s="28">
        <f>SUMIF(RAW_RECOVERED!$B:$B,Overview!$A43,RAW_RECOVERED!BG:BG)</f>
        <v>1081</v>
      </c>
      <c r="BG43" s="28">
        <f>SUMIF(RAW_RECOVERED!$B:$B,Overview!$A43,RAW_RECOVERED!BH:BH)</f>
        <v>1107</v>
      </c>
      <c r="BH43" s="28">
        <f>SUMIF(RAW_RECOVERED!$B:$B,Overview!$A43,RAW_RECOVERED!BI:BI)</f>
        <v>1588</v>
      </c>
      <c r="BI43" s="28">
        <f>SUMIF(RAW_RECOVERED!$B:$B,Overview!$A43,RAW_RECOVERED!BJ:BJ)</f>
        <v>2125</v>
      </c>
      <c r="BJ43" s="28">
        <f>SUMIF(RAW_RECOVERED!$B:$B,Overview!$A43,RAW_RECOVERED!BK:BK)</f>
        <v>2575</v>
      </c>
      <c r="BK43" s="28">
        <f>SUMIF(RAW_RECOVERED!$B:$B,Overview!$A43,RAW_RECOVERED!BL:BL)</f>
        <v>2575</v>
      </c>
      <c r="BL43" s="28">
        <f>SUMIF(RAW_RECOVERED!$B:$B,Overview!$A43,RAW_RECOVERED!BM:BM)</f>
        <v>3794</v>
      </c>
      <c r="BM43" s="28">
        <f>SUMIF(RAW_RECOVERED!$B:$B,Overview!$A43,RAW_RECOVERED!BN:BN)</f>
        <v>5367</v>
      </c>
      <c r="BN43" s="28">
        <f>SUMIF(RAW_RECOVERED!$B:$B,Overview!$A43,RAW_RECOVERED!BO:BO)</f>
        <v>7015</v>
      </c>
      <c r="BO43" s="28">
        <f>SUMIF(RAW_RECOVERED!$B:$B,Overview!$A43,RAW_RECOVERED!BP:BP)</f>
        <v>9357</v>
      </c>
      <c r="BP43" s="28">
        <f>SUMIF(RAW_RECOVERED!$B:$B,Overview!$A43,RAW_RECOVERED!BQ:BQ)</f>
        <v>12285</v>
      </c>
      <c r="BQ43" s="28">
        <f>SUMIF(RAW_RECOVERED!$B:$B,Overview!$A43,RAW_RECOVERED!BR:BR)</f>
        <v>14709</v>
      </c>
      <c r="BR43" s="28">
        <f>SUMIF(RAW_RECOVERED!$B:$B,Overview!$A43,RAW_RECOVERED!BS:BS)</f>
        <v>16780</v>
      </c>
      <c r="BS43" s="28">
        <f>SUMIF(RAW_RECOVERED!$B:$B,Overview!$A43,RAW_RECOVERED!BT:BT)</f>
        <v>19259</v>
      </c>
      <c r="BT43" s="28">
        <f>SUMIF(RAW_RECOVERED!$B:$B,Overview!$A43,RAW_RECOVERED!BU:BU)</f>
        <v>22647</v>
      </c>
      <c r="BU43" s="28">
        <f>SUMIF(RAW_RECOVERED!$B:$B,Overview!$A43,RAW_RECOVERED!BV:BV)</f>
        <v>26743</v>
      </c>
      <c r="BV43" s="28">
        <f>SUMIF(RAW_RECOVERED!$B:$B,Overview!$A43,RAW_RECOVERED!BW:BW)</f>
        <v>30513</v>
      </c>
      <c r="BW43" s="28">
        <f>SUMIF(RAW_RECOVERED!$B:$B,Overview!$A43,RAW_RECOVERED!BX:BX)</f>
        <v>34219</v>
      </c>
      <c r="BX43" s="28">
        <f>SUMIF(RAW_RECOVERED!$B:$B,Overview!$A43,RAW_RECOVERED!BY:BY)</f>
        <v>38080</v>
      </c>
      <c r="BY43" s="28">
        <f>SUMIF(RAW_RECOVERED!$B:$B,Overview!$A43,RAW_RECOVERED!BZ:BZ)</f>
        <v>40437</v>
      </c>
      <c r="BZ43" s="28">
        <f>SUMIF(RAW_RECOVERED!$B:$B,Overview!$A43,RAW_RECOVERED!CA:CA)</f>
        <v>43208</v>
      </c>
      <c r="CA43" s="28">
        <f>SUMIF(RAW_RECOVERED!$B:$B,Overview!$A43,RAW_RECOVERED!CB:CB)</f>
        <v>48021</v>
      </c>
      <c r="CB43" s="28">
        <f>SUMIF(RAW_RECOVERED!$B:$B,Overview!$A43,RAW_RECOVERED!CC:CC)</f>
        <v>52165</v>
      </c>
      <c r="CC43" s="28">
        <f>SUMIF(RAW_RECOVERED!$B:$B,Overview!$A43,RAW_RECOVERED!CD:CD)</f>
        <v>55668</v>
      </c>
      <c r="CD43" s="28">
        <f>SUMIF(RAW_RECOVERED!$B:$B,Overview!$A43,RAW_RECOVERED!CE:CE)</f>
        <v>59109</v>
      </c>
      <c r="CE43" s="28">
        <f>SUMIF(RAW_RECOVERED!$B:$B,Overview!$A43,RAW_RECOVERED!CF:CF)</f>
        <v>62391</v>
      </c>
      <c r="CF43" s="28">
        <f>SUMIF(RAW_RECOVERED!$B:$B,Overview!$A43,RAW_RECOVERED!CG:CG)</f>
        <v>64727</v>
      </c>
      <c r="CG43" s="28">
        <f>SUMIF(RAW_RECOVERED!$B:$B,Overview!$A43,RAW_RECOVERED!CH:CH)</f>
        <v>67504</v>
      </c>
      <c r="CH43" s="28">
        <f>SUMIF(RAW_RECOVERED!$B:$B,Overview!$A43,RAW_RECOVERED!CI:CI)</f>
        <v>70853</v>
      </c>
      <c r="CI43" s="28">
        <f>SUMIF(RAW_RECOVERED!$B:$B,Overview!$A43,RAW_RECOVERED!CJ:CJ)</f>
        <v>74797</v>
      </c>
      <c r="CJ43" s="28">
        <f>SUMIF(RAW_RECOVERED!$B:$B,Overview!$A43,RAW_RECOVERED!CK:CK)</f>
        <v>74797</v>
      </c>
      <c r="CK43" s="28">
        <f>SUMIF(RAW_RECOVERED!$B:$B,Overview!$A43,RAW_RECOVERED!CL:CL)</f>
        <v>74797</v>
      </c>
      <c r="CL43" s="28">
        <f>SUMIF(RAW_RECOVERED!$B:$B,Overview!$A43,RAW_RECOVERED!CM:CM)</f>
        <v>77357</v>
      </c>
      <c r="CM43" s="28">
        <f>SUMIF(RAW_RECOVERED!$B:$B,Overview!$A43,RAW_RECOVERED!CN:CN)</f>
        <v>80587</v>
      </c>
      <c r="CN43" s="28">
        <f>SUMIF(RAW_RECOVERED!$B:$B,Overview!$A43,RAW_RECOVERED!CO:CO)</f>
        <v>82514</v>
      </c>
      <c r="CO43" s="28">
        <f>SUMIF(RAW_RECOVERED!$B:$B,Overview!$A43,RAW_RECOVERED!CP:CP)</f>
        <v>85915</v>
      </c>
      <c r="CP43" s="28">
        <f>SUMIF(RAW_RECOVERED!$B:$B,Overview!$A43,RAW_RECOVERED!CQ:CQ)</f>
        <v>89250</v>
      </c>
      <c r="CQ43" s="28">
        <f>SUMIF(RAW_RECOVERED!$B:$B,Overview!$A43,RAW_RECOVERED!CR:CR)</f>
        <v>92355</v>
      </c>
      <c r="CR43" s="28">
        <f>SUMIF(RAW_RECOVERED!$B:$B,Overview!$A43,RAW_RECOVERED!CS:CS)</f>
        <v>95708</v>
      </c>
      <c r="CS43" s="28">
        <f>SUMIF(RAW_RECOVERED!$B:$B,Overview!$A43,RAW_RECOVERED!CT:CT)</f>
        <v>98372</v>
      </c>
      <c r="CT43" s="28">
        <f>SUMIF(RAW_RECOVERED!$B:$B,Overview!$A43,RAW_RECOVERED!CU:CU)</f>
        <v>100875</v>
      </c>
      <c r="CU43" s="28">
        <f>SUMIF(RAW_RECOVERED!$B:$B,Overview!$A43,RAW_RECOVERED!CV:CV)</f>
        <v>102548</v>
      </c>
      <c r="CV43" s="28">
        <f>SUMIF(RAW_RECOVERED!$B:$B,Overview!$A43,RAW_RECOVERED!CW:CW)</f>
        <v>108947</v>
      </c>
      <c r="CW43" s="28">
        <f>SUMIF(RAW_RECOVERED!$B:$B,Overview!$A43,RAW_RECOVERED!CX:CX)</f>
        <v>112050</v>
      </c>
      <c r="CX43" s="28">
        <f>SUMIF(RAW_RECOVERED!$B:$B,Overview!$A43,RAW_RECOVERED!CY:CY)</f>
        <v>112050</v>
      </c>
      <c r="CY43" s="28">
        <f>SUMIF(RAW_RECOVERED!$B:$B,Overview!$A43,RAW_RECOVERED!CZ:CZ)</f>
        <v>117248</v>
      </c>
      <c r="CZ43" s="28">
        <f>SUMIF(RAW_RECOVERED!$B:$B,Overview!$A43,RAW_RECOVERED!DA:DA)</f>
        <v>118902</v>
      </c>
      <c r="DA43" s="28">
        <f>SUMIF(RAW_RECOVERED!$B:$B,Overview!$A43,RAW_RECOVERED!DB:DB)</f>
        <v>0</v>
      </c>
      <c r="DB43" s="28">
        <f>SUMIF(RAW_RECOVERED!$B:$B,Overview!$A43,RAW_RECOVERED!DC:DC)</f>
        <v>0</v>
      </c>
      <c r="DC43" s="28">
        <f>SUMIF(RAW_RECOVERED!$B:$B,Overview!$A43,RAW_RECOVERED!DD:DD)</f>
        <v>0</v>
      </c>
      <c r="DD43" s="28">
        <f>SUMIF(RAW_RECOVERED!$B:$B,Overview!$A43,RAW_RECOVERED!DE:DE)</f>
        <v>0</v>
      </c>
      <c r="DE43" s="28">
        <f>SUMIF(RAW_RECOVERED!$B:$B,Overview!$A43,RAW_RECOVERED!DF:DF)</f>
        <v>0</v>
      </c>
      <c r="DF43" s="28">
        <f>SUMIF(RAW_RECOVERED!$B:$B,Overview!$A43,RAW_RECOVERED!DG:DG)</f>
        <v>0</v>
      </c>
      <c r="DG43" s="28">
        <f>SUMIF(RAW_RECOVERED!$B:$B,Overview!$A43,RAW_RECOVERED!DH:DH)</f>
        <v>0</v>
      </c>
      <c r="DH43" s="28">
        <f>SUMIF(RAW_RECOVERED!$B:$B,Overview!$A43,RAW_RECOVERED!DI:DI)</f>
        <v>0</v>
      </c>
      <c r="DI43" s="28">
        <f>SUMIF(RAW_RECOVERED!$B:$B,Overview!$A43,RAW_RECOVERED!DJ:DJ)</f>
        <v>0</v>
      </c>
      <c r="DJ43" s="28">
        <f>SUMIF(RAW_RECOVERED!$B:$B,Overview!$A43,RAW_RECOVERED!DK:DK)</f>
        <v>0</v>
      </c>
      <c r="DK43" s="28">
        <f>SUMIF(RAW_RECOVERED!$B:$B,Overview!$A43,RAW_RECOVERED!DL:DL)</f>
        <v>0</v>
      </c>
      <c r="DL43" s="28">
        <f>SUMIF(RAW_RECOVERED!$B:$B,Overview!$A43,RAW_RECOVERED!DM:DM)</f>
        <v>0</v>
      </c>
      <c r="DM43" s="28">
        <f>SUMIF(RAW_RECOVERED!$B:$B,Overview!$A43,RAW_RECOVERED!DN:DN)</f>
        <v>0</v>
      </c>
      <c r="DN43" s="28">
        <f>SUMIF(RAW_RECOVERED!$B:$B,Overview!$A43,RAW_RECOVERED!DO:DO)</f>
        <v>0</v>
      </c>
      <c r="DO43" s="28">
        <f>SUMIF(RAW_RECOVERED!$B:$B,Overview!$A43,RAW_RECOVERED!DP:DP)</f>
        <v>0</v>
      </c>
      <c r="DP43" s="28">
        <f>SUMIF(RAW_RECOVERED!$B:$B,Overview!$A43,RAW_RECOVERED!DQ:DQ)</f>
        <v>0</v>
      </c>
      <c r="DQ43" s="28">
        <f>SUMIF(RAW_RECOVERED!$B:$B,Overview!$A43,RAW_RECOVERED!DR:DR)</f>
        <v>0</v>
      </c>
      <c r="DR43" s="28">
        <f>SUMIF(RAW_RECOVERED!$B:$B,Overview!$A43,RAW_RECOVERED!DS:DS)</f>
        <v>0</v>
      </c>
      <c r="DS43" s="28">
        <f>SUMIF(RAW_RECOVERED!$B:$B,Overview!$A43,RAW_RECOVERED!DT:DT)</f>
        <v>0</v>
      </c>
      <c r="DT43" s="28">
        <f>SUMIF(RAW_RECOVERED!$B:$B,Overview!$A43,RAW_RECOVERED!DU:DU)</f>
        <v>0</v>
      </c>
      <c r="DU43" s="28">
        <f>SUMIF(RAW_RECOVERED!$B:$B,Overview!$A43,RAW_RECOVERED!DV:DV)</f>
        <v>0</v>
      </c>
      <c r="DV43" s="28">
        <f>SUMIF(RAW_RECOVERED!$B:$B,Overview!$A43,RAW_RECOVERED!DW:DW)</f>
        <v>0</v>
      </c>
      <c r="DW43" s="28">
        <f>SUMIF(RAW_RECOVERED!$B:$B,Overview!$A43,RAW_RECOVERED!DX:DX)</f>
        <v>0</v>
      </c>
      <c r="DX43" s="28">
        <f>SUMIF(RAW_RECOVERED!$B:$B,Overview!$A43,RAW_RECOVERED!DY:DY)</f>
        <v>0</v>
      </c>
      <c r="DY43" s="28">
        <f>SUMIF(RAW_RECOVERED!$B:$B,Overview!$A43,RAW_RECOVERED!DZ:DZ)</f>
        <v>0</v>
      </c>
      <c r="DZ43" s="28">
        <f>SUMIF(RAW_RECOVERED!$B:$B,Overview!$A43,RAW_RECOVERED!EA:EA)</f>
        <v>0</v>
      </c>
      <c r="EA43" s="28">
        <f>SUMIF(RAW_RECOVERED!$B:$B,Overview!$A43,RAW_RECOVERED!EB:EB)</f>
        <v>0</v>
      </c>
    </row>
    <row r="44" spans="1:131" s="10" customFormat="1" ht="13.15" x14ac:dyDescent="0.4">
      <c r="A44" s="26" t="str">
        <f t="shared" si="157"/>
        <v>United Kingdom</v>
      </c>
      <c r="B44" s="29">
        <f>SUMIF(RAW_RECOVERED!$B:$B,Overview!$A44,RAW_RECOVERED!C:C)</f>
        <v>0</v>
      </c>
      <c r="C44" s="29">
        <f>SUMIF(RAW_RECOVERED!$B:$B,Overview!$A44,RAW_RECOVERED!D:D)</f>
        <v>0</v>
      </c>
      <c r="D44" s="29">
        <f>SUMIF(RAW_RECOVERED!$B:$B,Overview!$A44,RAW_RECOVERED!E:E)</f>
        <v>0</v>
      </c>
      <c r="E44" s="29">
        <f>SUMIF(RAW_RECOVERED!$B:$B,Overview!$A44,RAW_RECOVERED!F:F)</f>
        <v>0</v>
      </c>
      <c r="F44" s="29">
        <f>SUMIF(RAW_RECOVERED!$B:$B,Overview!$A44,RAW_RECOVERED!G:G)</f>
        <v>0</v>
      </c>
      <c r="G44" s="29">
        <f>SUMIF(RAW_RECOVERED!$B:$B,Overview!$A44,RAW_RECOVERED!H:H)</f>
        <v>0</v>
      </c>
      <c r="H44" s="29">
        <f>SUMIF(RAW_RECOVERED!$B:$B,Overview!$A44,RAW_RECOVERED!I:I)</f>
        <v>0</v>
      </c>
      <c r="I44" s="29">
        <f>SUMIF(RAW_RECOVERED!$B:$B,Overview!$A44,RAW_RECOVERED!J:J)</f>
        <v>0</v>
      </c>
      <c r="J44" s="29">
        <f>SUMIF(RAW_RECOVERED!$B:$B,Overview!$A44,RAW_RECOVERED!K:K)</f>
        <v>0</v>
      </c>
      <c r="K44" s="29">
        <f>SUMIF(RAW_RECOVERED!$B:$B,Overview!$A44,RAW_RECOVERED!L:L)</f>
        <v>0</v>
      </c>
      <c r="L44" s="29">
        <f>SUMIF(RAW_RECOVERED!$B:$B,Overview!$A44,RAW_RECOVERED!M:M)</f>
        <v>0</v>
      </c>
      <c r="M44" s="29">
        <f>SUMIF(RAW_RECOVERED!$B:$B,Overview!$A44,RAW_RECOVERED!N:N)</f>
        <v>0</v>
      </c>
      <c r="N44" s="29">
        <f>SUMIF(RAW_RECOVERED!$B:$B,Overview!$A44,RAW_RECOVERED!O:O)</f>
        <v>0</v>
      </c>
      <c r="O44" s="29">
        <f>SUMIF(RAW_RECOVERED!$B:$B,Overview!$A44,RAW_RECOVERED!P:P)</f>
        <v>0</v>
      </c>
      <c r="P44" s="29">
        <f>SUMIF(RAW_RECOVERED!$B:$B,Overview!$A44,RAW_RECOVERED!Q:Q)</f>
        <v>0</v>
      </c>
      <c r="Q44" s="29">
        <f>SUMIF(RAW_RECOVERED!$B:$B,Overview!$A44,RAW_RECOVERED!R:R)</f>
        <v>0</v>
      </c>
      <c r="R44" s="29">
        <f>SUMIF(RAW_RECOVERED!$B:$B,Overview!$A44,RAW_RECOVERED!S:S)</f>
        <v>0</v>
      </c>
      <c r="S44" s="29">
        <f>SUMIF(RAW_RECOVERED!$B:$B,Overview!$A44,RAW_RECOVERED!T:T)</f>
        <v>0</v>
      </c>
      <c r="T44" s="29">
        <f>SUMIF(RAW_RECOVERED!$B:$B,Overview!$A44,RAW_RECOVERED!U:U)</f>
        <v>0</v>
      </c>
      <c r="U44" s="29">
        <f>SUMIF(RAW_RECOVERED!$B:$B,Overview!$A44,RAW_RECOVERED!V:V)</f>
        <v>0</v>
      </c>
      <c r="V44" s="29">
        <f>SUMIF(RAW_RECOVERED!$B:$B,Overview!$A44,RAW_RECOVERED!W:W)</f>
        <v>0</v>
      </c>
      <c r="W44" s="29">
        <f>SUMIF(RAW_RECOVERED!$B:$B,Overview!$A44,RAW_RECOVERED!X:X)</f>
        <v>1</v>
      </c>
      <c r="X44" s="29">
        <f>SUMIF(RAW_RECOVERED!$B:$B,Overview!$A44,RAW_RECOVERED!Y:Y)</f>
        <v>1</v>
      </c>
      <c r="Y44" s="29">
        <f>SUMIF(RAW_RECOVERED!$B:$B,Overview!$A44,RAW_RECOVERED!Z:Z)</f>
        <v>1</v>
      </c>
      <c r="Z44" s="29">
        <f>SUMIF(RAW_RECOVERED!$B:$B,Overview!$A44,RAW_RECOVERED!AA:AA)</f>
        <v>1</v>
      </c>
      <c r="AA44" s="29">
        <f>SUMIF(RAW_RECOVERED!$B:$B,Overview!$A44,RAW_RECOVERED!AB:AB)</f>
        <v>8</v>
      </c>
      <c r="AB44" s="29">
        <f>SUMIF(RAW_RECOVERED!$B:$B,Overview!$A44,RAW_RECOVERED!AC:AC)</f>
        <v>8</v>
      </c>
      <c r="AC44" s="29">
        <f>SUMIF(RAW_RECOVERED!$B:$B,Overview!$A44,RAW_RECOVERED!AD:AD)</f>
        <v>8</v>
      </c>
      <c r="AD44" s="29">
        <f>SUMIF(RAW_RECOVERED!$B:$B,Overview!$A44,RAW_RECOVERED!AE:AE)</f>
        <v>8</v>
      </c>
      <c r="AE44" s="29">
        <f>SUMIF(RAW_RECOVERED!$B:$B,Overview!$A44,RAW_RECOVERED!AF:AF)</f>
        <v>8</v>
      </c>
      <c r="AF44" s="29">
        <f>SUMIF(RAW_RECOVERED!$B:$B,Overview!$A44,RAW_RECOVERED!AG:AG)</f>
        <v>8</v>
      </c>
      <c r="AG44" s="29">
        <f>SUMIF(RAW_RECOVERED!$B:$B,Overview!$A44,RAW_RECOVERED!AH:AH)</f>
        <v>8</v>
      </c>
      <c r="AH44" s="29">
        <f>SUMIF(RAW_RECOVERED!$B:$B,Overview!$A44,RAW_RECOVERED!AI:AI)</f>
        <v>8</v>
      </c>
      <c r="AI44" s="29">
        <f>SUMIF(RAW_RECOVERED!$B:$B,Overview!$A44,RAW_RECOVERED!AJ:AJ)</f>
        <v>8</v>
      </c>
      <c r="AJ44" s="29">
        <f>SUMIF(RAW_RECOVERED!$B:$B,Overview!$A44,RAW_RECOVERED!AK:AK)</f>
        <v>8</v>
      </c>
      <c r="AK44" s="29">
        <f>SUMIF(RAW_RECOVERED!$B:$B,Overview!$A44,RAW_RECOVERED!AL:AL)</f>
        <v>8</v>
      </c>
      <c r="AL44" s="29">
        <f>SUMIF(RAW_RECOVERED!$B:$B,Overview!$A44,RAW_RECOVERED!AM:AM)</f>
        <v>8</v>
      </c>
      <c r="AM44" s="29">
        <f>SUMIF(RAW_RECOVERED!$B:$B,Overview!$A44,RAW_RECOVERED!AN:AN)</f>
        <v>8</v>
      </c>
      <c r="AN44" s="29">
        <f>SUMIF(RAW_RECOVERED!$B:$B,Overview!$A44,RAW_RECOVERED!AO:AO)</f>
        <v>8</v>
      </c>
      <c r="AO44" s="29">
        <f>SUMIF(RAW_RECOVERED!$B:$B,Overview!$A44,RAW_RECOVERED!AP:AP)</f>
        <v>8</v>
      </c>
      <c r="AP44" s="29">
        <f>SUMIF(RAW_RECOVERED!$B:$B,Overview!$A44,RAW_RECOVERED!AQ:AQ)</f>
        <v>8</v>
      </c>
      <c r="AQ44" s="29">
        <f>SUMIF(RAW_RECOVERED!$B:$B,Overview!$A44,RAW_RECOVERED!AR:AR)</f>
        <v>8</v>
      </c>
      <c r="AR44" s="29">
        <f>SUMIF(RAW_RECOVERED!$B:$B,Overview!$A44,RAW_RECOVERED!AS:AS)</f>
        <v>8</v>
      </c>
      <c r="AS44" s="29">
        <f>SUMIF(RAW_RECOVERED!$B:$B,Overview!$A44,RAW_RECOVERED!AT:AT)</f>
        <v>8</v>
      </c>
      <c r="AT44" s="29">
        <f>SUMIF(RAW_RECOVERED!$B:$B,Overview!$A44,RAW_RECOVERED!AU:AU)</f>
        <v>8</v>
      </c>
      <c r="AU44" s="29">
        <f>SUMIF(RAW_RECOVERED!$B:$B,Overview!$A44,RAW_RECOVERED!AV:AV)</f>
        <v>18</v>
      </c>
      <c r="AV44" s="29">
        <f>SUMIF(RAW_RECOVERED!$B:$B,Overview!$A44,RAW_RECOVERED!AW:AW)</f>
        <v>18</v>
      </c>
      <c r="AW44" s="29">
        <f>SUMIF(RAW_RECOVERED!$B:$B,Overview!$A44,RAW_RECOVERED!AX:AX)</f>
        <v>18</v>
      </c>
      <c r="AX44" s="29">
        <f>SUMIF(RAW_RECOVERED!$B:$B,Overview!$A44,RAW_RECOVERED!AY:AY)</f>
        <v>19</v>
      </c>
      <c r="AY44" s="29">
        <f>SUMIF(RAW_RECOVERED!$B:$B,Overview!$A44,RAW_RECOVERED!AZ:AZ)</f>
        <v>19</v>
      </c>
      <c r="AZ44" s="29">
        <f>SUMIF(RAW_RECOVERED!$B:$B,Overview!$A44,RAW_RECOVERED!BA:BA)</f>
        <v>19</v>
      </c>
      <c r="BA44" s="29">
        <f>SUMIF(RAW_RECOVERED!$B:$B,Overview!$A44,RAW_RECOVERED!BB:BB)</f>
        <v>19</v>
      </c>
      <c r="BB44" s="29">
        <f>SUMIF(RAW_RECOVERED!$B:$B,Overview!$A44,RAW_RECOVERED!BC:BC)</f>
        <v>19</v>
      </c>
      <c r="BC44" s="29">
        <f>SUMIF(RAW_RECOVERED!$B:$B,Overview!$A44,RAW_RECOVERED!BD:BD)</f>
        <v>19</v>
      </c>
      <c r="BD44" s="29">
        <f>SUMIF(RAW_RECOVERED!$B:$B,Overview!$A44,RAW_RECOVERED!BE:BE)</f>
        <v>21</v>
      </c>
      <c r="BE44" s="29">
        <f>SUMIF(RAW_RECOVERED!$B:$B,Overview!$A44,RAW_RECOVERED!BF:BF)</f>
        <v>53</v>
      </c>
      <c r="BF44" s="29">
        <f>SUMIF(RAW_RECOVERED!$B:$B,Overview!$A44,RAW_RECOVERED!BG:BG)</f>
        <v>67</v>
      </c>
      <c r="BG44" s="29">
        <f>SUMIF(RAW_RECOVERED!$B:$B,Overview!$A44,RAW_RECOVERED!BH:BH)</f>
        <v>67</v>
      </c>
      <c r="BH44" s="29">
        <f>SUMIF(RAW_RECOVERED!$B:$B,Overview!$A44,RAW_RECOVERED!BI:BI)</f>
        <v>67</v>
      </c>
      <c r="BI44" s="29">
        <f>SUMIF(RAW_RECOVERED!$B:$B,Overview!$A44,RAW_RECOVERED!BJ:BJ)</f>
        <v>67</v>
      </c>
      <c r="BJ44" s="29">
        <f>SUMIF(RAW_RECOVERED!$B:$B,Overview!$A44,RAW_RECOVERED!BK:BK)</f>
        <v>67</v>
      </c>
      <c r="BK44" s="29">
        <f>SUMIF(RAW_RECOVERED!$B:$B,Overview!$A44,RAW_RECOVERED!BL:BL)</f>
        <v>67</v>
      </c>
      <c r="BL44" s="29">
        <f>SUMIF(RAW_RECOVERED!$B:$B,Overview!$A44,RAW_RECOVERED!BM:BM)</f>
        <v>140</v>
      </c>
      <c r="BM44" s="29">
        <f>SUMIF(RAW_RECOVERED!$B:$B,Overview!$A44,RAW_RECOVERED!BN:BN)</f>
        <v>140</v>
      </c>
      <c r="BN44" s="29">
        <f>SUMIF(RAW_RECOVERED!$B:$B,Overview!$A44,RAW_RECOVERED!BO:BO)</f>
        <v>150</v>
      </c>
      <c r="BO44" s="29">
        <f>SUMIF(RAW_RECOVERED!$B:$B,Overview!$A44,RAW_RECOVERED!BP:BP)</f>
        <v>151</v>
      </c>
      <c r="BP44" s="29">
        <f>SUMIF(RAW_RECOVERED!$B:$B,Overview!$A44,RAW_RECOVERED!BQ:BQ)</f>
        <v>151</v>
      </c>
      <c r="BQ44" s="29">
        <f>SUMIF(RAW_RECOVERED!$B:$B,Overview!$A44,RAW_RECOVERED!BR:BR)</f>
        <v>151</v>
      </c>
      <c r="BR44" s="29">
        <f>SUMIF(RAW_RECOVERED!$B:$B,Overview!$A44,RAW_RECOVERED!BS:BS)</f>
        <v>171</v>
      </c>
      <c r="BS44" s="29">
        <f>SUMIF(RAW_RECOVERED!$B:$B,Overview!$A44,RAW_RECOVERED!BT:BT)</f>
        <v>179</v>
      </c>
      <c r="BT44" s="29">
        <f>SUMIF(RAW_RECOVERED!$B:$B,Overview!$A44,RAW_RECOVERED!BU:BU)</f>
        <v>179</v>
      </c>
      <c r="BU44" s="29">
        <f>SUMIF(RAW_RECOVERED!$B:$B,Overview!$A44,RAW_RECOVERED!BV:BV)</f>
        <v>192</v>
      </c>
      <c r="BV44" s="29">
        <f>SUMIF(RAW_RECOVERED!$B:$B,Overview!$A44,RAW_RECOVERED!BW:BW)</f>
        <v>208</v>
      </c>
      <c r="BW44" s="29">
        <f>SUMIF(RAW_RECOVERED!$B:$B,Overview!$A44,RAW_RECOVERED!BX:BX)</f>
        <v>215</v>
      </c>
      <c r="BX44" s="29">
        <f>SUMIF(RAW_RECOVERED!$B:$B,Overview!$A44,RAW_RECOVERED!BY:BY)</f>
        <v>229</v>
      </c>
      <c r="BY44" s="29">
        <f>SUMIF(RAW_RECOVERED!$B:$B,Overview!$A44,RAW_RECOVERED!BZ:BZ)</f>
        <v>287</v>
      </c>
      <c r="BZ44" s="29">
        <f>SUMIF(RAW_RECOVERED!$B:$B,Overview!$A44,RAW_RECOVERED!CA:CA)</f>
        <v>325</v>
      </c>
      <c r="CA44" s="29">
        <f>SUMIF(RAW_RECOVERED!$B:$B,Overview!$A44,RAW_RECOVERED!CB:CB)</f>
        <v>345</v>
      </c>
      <c r="CB44" s="29">
        <f>SUMIF(RAW_RECOVERED!$B:$B,Overview!$A44,RAW_RECOVERED!CC:CC)</f>
        <v>359</v>
      </c>
      <c r="CC44" s="29">
        <f>SUMIF(RAW_RECOVERED!$B:$B,Overview!$A44,RAW_RECOVERED!CD:CD)</f>
        <v>588</v>
      </c>
      <c r="CD44" s="29">
        <f>SUMIF(RAW_RECOVERED!$B:$B,Overview!$A44,RAW_RECOVERED!CE:CE)</f>
        <v>622</v>
      </c>
      <c r="CE44" s="29">
        <f>SUMIF(RAW_RECOVERED!$B:$B,Overview!$A44,RAW_RECOVERED!CF:CF)</f>
        <v>626</v>
      </c>
      <c r="CF44" s="29">
        <f>SUMIF(RAW_RECOVERED!$B:$B,Overview!$A44,RAW_RECOVERED!CG:CG)</f>
        <v>304</v>
      </c>
      <c r="CG44" s="29">
        <f>SUMIF(RAW_RECOVERED!$B:$B,Overview!$A44,RAW_RECOVERED!CH:CH)</f>
        <v>323</v>
      </c>
      <c r="CH44" s="29">
        <f>SUMIF(RAW_RECOVERED!$B:$B,Overview!$A44,RAW_RECOVERED!CI:CI)</f>
        <v>368</v>
      </c>
      <c r="CI44" s="29">
        <f>SUMIF(RAW_RECOVERED!$B:$B,Overview!$A44,RAW_RECOVERED!CJ:CJ)</f>
        <v>375</v>
      </c>
      <c r="CJ44" s="29">
        <f>SUMIF(RAW_RECOVERED!$B:$B,Overview!$A44,RAW_RECOVERED!CK:CK)</f>
        <v>394</v>
      </c>
      <c r="CK44" s="29">
        <f>SUMIF(RAW_RECOVERED!$B:$B,Overview!$A44,RAW_RECOVERED!CL:CL)</f>
        <v>414</v>
      </c>
      <c r="CL44" s="29">
        <f>SUMIF(RAW_RECOVERED!$B:$B,Overview!$A44,RAW_RECOVERED!CM:CM)</f>
        <v>436</v>
      </c>
      <c r="CM44" s="29">
        <f>SUMIF(RAW_RECOVERED!$B:$B,Overview!$A44,RAW_RECOVERED!CN:CN)</f>
        <v>446</v>
      </c>
      <c r="CN44" s="29">
        <f>SUMIF(RAW_RECOVERED!$B:$B,Overview!$A44,RAW_RECOVERED!CO:CO)</f>
        <v>638</v>
      </c>
      <c r="CO44" s="29">
        <f>SUMIF(RAW_RECOVERED!$B:$B,Overview!$A44,RAW_RECOVERED!CP:CP)</f>
        <v>683</v>
      </c>
      <c r="CP44" s="29">
        <f>SUMIF(RAW_RECOVERED!$B:$B,Overview!$A44,RAW_RECOVERED!CQ:CQ)</f>
        <v>712</v>
      </c>
      <c r="CQ44" s="29">
        <f>SUMIF(RAW_RECOVERED!$B:$B,Overview!$A44,RAW_RECOVERED!CR:CR)</f>
        <v>724</v>
      </c>
      <c r="CR44" s="29">
        <f>SUMIF(RAW_RECOVERED!$B:$B,Overview!$A44,RAW_RECOVERED!CS:CS)</f>
        <v>774</v>
      </c>
      <c r="CS44" s="29">
        <f>SUMIF(RAW_RECOVERED!$B:$B,Overview!$A44,RAW_RECOVERED!CT:CT)</f>
        <v>778</v>
      </c>
      <c r="CT44" s="29">
        <f>SUMIF(RAW_RECOVERED!$B:$B,Overview!$A44,RAW_RECOVERED!CU:CU)</f>
        <v>807</v>
      </c>
      <c r="CU44" s="29">
        <f>SUMIF(RAW_RECOVERED!$B:$B,Overview!$A44,RAW_RECOVERED!CV:CV)</f>
        <v>813</v>
      </c>
      <c r="CV44" s="29">
        <f>SUMIF(RAW_RECOVERED!$B:$B,Overview!$A44,RAW_RECOVERED!CW:CW)</f>
        <v>857</v>
      </c>
      <c r="CW44" s="29">
        <f>SUMIF(RAW_RECOVERED!$B:$B,Overview!$A44,RAW_RECOVERED!CX:CX)</f>
        <v>859</v>
      </c>
      <c r="CX44" s="29">
        <f>SUMIF(RAW_RECOVERED!$B:$B,Overview!$A44,RAW_RECOVERED!CY:CY)</f>
        <v>892</v>
      </c>
      <c r="CY44" s="29">
        <f>SUMIF(RAW_RECOVERED!$B:$B,Overview!$A44,RAW_RECOVERED!CZ:CZ)</f>
        <v>896</v>
      </c>
      <c r="CZ44" s="29">
        <f>SUMIF(RAW_RECOVERED!$B:$B,Overview!$A44,RAW_RECOVERED!DA:DA)</f>
        <v>901</v>
      </c>
      <c r="DA44" s="29">
        <f>SUMIF(RAW_RECOVERED!$B:$B,Overview!$A44,RAW_RECOVERED!DB:DB)</f>
        <v>0</v>
      </c>
      <c r="DB44" s="29">
        <f>SUMIF(RAW_RECOVERED!$B:$B,Overview!$A44,RAW_RECOVERED!DC:DC)</f>
        <v>0</v>
      </c>
      <c r="DC44" s="29">
        <f>SUMIF(RAW_RECOVERED!$B:$B,Overview!$A44,RAW_RECOVERED!DD:DD)</f>
        <v>0</v>
      </c>
      <c r="DD44" s="29">
        <f>SUMIF(RAW_RECOVERED!$B:$B,Overview!$A44,RAW_RECOVERED!DE:DE)</f>
        <v>0</v>
      </c>
      <c r="DE44" s="29">
        <f>SUMIF(RAW_RECOVERED!$B:$B,Overview!$A44,RAW_RECOVERED!DF:DF)</f>
        <v>0</v>
      </c>
      <c r="DF44" s="29">
        <f>SUMIF(RAW_RECOVERED!$B:$B,Overview!$A44,RAW_RECOVERED!DG:DG)</f>
        <v>0</v>
      </c>
      <c r="DG44" s="29">
        <f>SUMIF(RAW_RECOVERED!$B:$B,Overview!$A44,RAW_RECOVERED!DH:DH)</f>
        <v>0</v>
      </c>
      <c r="DH44" s="29">
        <f>SUMIF(RAW_RECOVERED!$B:$B,Overview!$A44,RAW_RECOVERED!DI:DI)</f>
        <v>0</v>
      </c>
      <c r="DI44" s="29">
        <f>SUMIF(RAW_RECOVERED!$B:$B,Overview!$A44,RAW_RECOVERED!DJ:DJ)</f>
        <v>0</v>
      </c>
      <c r="DJ44" s="29">
        <f>SUMIF(RAW_RECOVERED!$B:$B,Overview!$A44,RAW_RECOVERED!DK:DK)</f>
        <v>0</v>
      </c>
      <c r="DK44" s="29">
        <f>SUMIF(RAW_RECOVERED!$B:$B,Overview!$A44,RAW_RECOVERED!DL:DL)</f>
        <v>0</v>
      </c>
      <c r="DL44" s="29">
        <f>SUMIF(RAW_RECOVERED!$B:$B,Overview!$A44,RAW_RECOVERED!DM:DM)</f>
        <v>0</v>
      </c>
      <c r="DM44" s="29">
        <f>SUMIF(RAW_RECOVERED!$B:$B,Overview!$A44,RAW_RECOVERED!DN:DN)</f>
        <v>0</v>
      </c>
      <c r="DN44" s="29">
        <f>SUMIF(RAW_RECOVERED!$B:$B,Overview!$A44,RAW_RECOVERED!DO:DO)</f>
        <v>0</v>
      </c>
      <c r="DO44" s="29">
        <f>SUMIF(RAW_RECOVERED!$B:$B,Overview!$A44,RAW_RECOVERED!DP:DP)</f>
        <v>0</v>
      </c>
      <c r="DP44" s="29">
        <f>SUMIF(RAW_RECOVERED!$B:$B,Overview!$A44,RAW_RECOVERED!DQ:DQ)</f>
        <v>0</v>
      </c>
      <c r="DQ44" s="29">
        <f>SUMIF(RAW_RECOVERED!$B:$B,Overview!$A44,RAW_RECOVERED!DR:DR)</f>
        <v>0</v>
      </c>
      <c r="DR44" s="29">
        <f>SUMIF(RAW_RECOVERED!$B:$B,Overview!$A44,RAW_RECOVERED!DS:DS)</f>
        <v>0</v>
      </c>
      <c r="DS44" s="29">
        <f>SUMIF(RAW_RECOVERED!$B:$B,Overview!$A44,RAW_RECOVERED!DT:DT)</f>
        <v>0</v>
      </c>
      <c r="DT44" s="29">
        <f>SUMIF(RAW_RECOVERED!$B:$B,Overview!$A44,RAW_RECOVERED!DU:DU)</f>
        <v>0</v>
      </c>
      <c r="DU44" s="29">
        <f>SUMIF(RAW_RECOVERED!$B:$B,Overview!$A44,RAW_RECOVERED!DV:DV)</f>
        <v>0</v>
      </c>
      <c r="DV44" s="29">
        <f>SUMIF(RAW_RECOVERED!$B:$B,Overview!$A44,RAW_RECOVERED!DW:DW)</f>
        <v>0</v>
      </c>
      <c r="DW44" s="29">
        <f>SUMIF(RAW_RECOVERED!$B:$B,Overview!$A44,RAW_RECOVERED!DX:DX)</f>
        <v>0</v>
      </c>
      <c r="DX44" s="29">
        <f>SUMIF(RAW_RECOVERED!$B:$B,Overview!$A44,RAW_RECOVERED!DY:DY)</f>
        <v>0</v>
      </c>
      <c r="DY44" s="29">
        <f>SUMIF(RAW_RECOVERED!$B:$B,Overview!$A44,RAW_RECOVERED!DZ:DZ)</f>
        <v>0</v>
      </c>
      <c r="DZ44" s="29">
        <f>SUMIF(RAW_RECOVERED!$B:$B,Overview!$A44,RAW_RECOVERED!EA:EA)</f>
        <v>0</v>
      </c>
      <c r="EA44" s="29">
        <f>SUMIF(RAW_RECOVERED!$B:$B,Overview!$A44,RAW_RECOVERED!EB:EB)</f>
        <v>0</v>
      </c>
    </row>
    <row r="45" spans="1:131" s="7" customFormat="1" ht="11.65" x14ac:dyDescent="0.35">
      <c r="A45" s="7" t="s">
        <v>240</v>
      </c>
      <c r="B45" s="9">
        <f>SUM(RAW_RECOVERED!GS:GS)</f>
        <v>0</v>
      </c>
      <c r="C45" s="9">
        <f>SUM(RAW_RECOVERED!GT:GT)</f>
        <v>0</v>
      </c>
      <c r="D45" s="9">
        <f>SUM(RAW_RECOVERED!GU:GU)</f>
        <v>0</v>
      </c>
      <c r="E45" s="9">
        <f>SUM(RAW_RECOVERED!GV:GV)</f>
        <v>0</v>
      </c>
      <c r="F45" s="9">
        <f>SUM(RAW_RECOVERED!GW:GW)</f>
        <v>0</v>
      </c>
      <c r="G45" s="9">
        <f>SUM(RAW_RECOVERED!GX:GX)</f>
        <v>0</v>
      </c>
      <c r="H45" s="9">
        <f>SUM(RAW_RECOVERED!GY:GY)</f>
        <v>0</v>
      </c>
      <c r="I45" s="9">
        <f>SUM(RAW_RECOVERED!GZ:GZ)</f>
        <v>0</v>
      </c>
      <c r="J45" s="9">
        <f>SUM(RAW_RECOVERED!HA:HA)</f>
        <v>0</v>
      </c>
      <c r="K45" s="9">
        <f>SUM(RAW_RECOVERED!HB:HB)</f>
        <v>0</v>
      </c>
      <c r="L45" s="9">
        <f>SUM(RAW_RECOVERED!HC:HC)</f>
        <v>0</v>
      </c>
      <c r="M45" s="9">
        <f>SUM(RAW_RECOVERED!HD:HD)</f>
        <v>0</v>
      </c>
      <c r="N45" s="9">
        <f>SUM(RAW_RECOVERED!HE:HE)</f>
        <v>0</v>
      </c>
      <c r="O45" s="9">
        <f>SUM(RAW_RECOVERED!HF:HF)</f>
        <v>0</v>
      </c>
      <c r="P45" s="9">
        <f>SUM(RAW_RECOVERED!HG:HG)</f>
        <v>0</v>
      </c>
      <c r="Q45" s="9">
        <f>SUM(RAW_RECOVERED!HH:HH)</f>
        <v>0</v>
      </c>
      <c r="R45" s="9">
        <f>SUM(RAW_RECOVERED!HI:HI)</f>
        <v>0</v>
      </c>
      <c r="S45" s="9">
        <f>SUM(RAW_RECOVERED!HJ:HJ)</f>
        <v>0</v>
      </c>
      <c r="T45" s="9">
        <f>SUM(RAW_RECOVERED!HK:HK)</f>
        <v>0</v>
      </c>
      <c r="U45" s="9">
        <f>SUM(RAW_RECOVERED!HL:HL)</f>
        <v>0</v>
      </c>
      <c r="V45" s="9">
        <f>SUM(RAW_RECOVERED!HM:HM)</f>
        <v>0</v>
      </c>
      <c r="W45" s="9">
        <f>SUM(RAW_RECOVERED!HN:HN)</f>
        <v>0</v>
      </c>
      <c r="X45" s="9">
        <f>SUM(RAW_RECOVERED!HO:HO)</f>
        <v>0</v>
      </c>
      <c r="Y45" s="9">
        <f>SUM(RAW_RECOVERED!HP:HP)</f>
        <v>0</v>
      </c>
      <c r="Z45" s="9">
        <f>SUM(RAW_RECOVERED!HQ:HQ)</f>
        <v>0</v>
      </c>
      <c r="AA45" s="9">
        <f>SUM(RAW_RECOVERED!HR:HR)</f>
        <v>0</v>
      </c>
      <c r="AB45" s="9">
        <f>SUM(RAW_RECOVERED!HS:HS)</f>
        <v>0</v>
      </c>
      <c r="AC45" s="9">
        <f>SUM(RAW_RECOVERED!HT:HT)</f>
        <v>0</v>
      </c>
      <c r="AD45" s="9">
        <f>SUM(RAW_RECOVERED!HU:HU)</f>
        <v>0</v>
      </c>
      <c r="AE45" s="9">
        <f>SUM(RAW_RECOVERED!HV:HV)</f>
        <v>0</v>
      </c>
      <c r="AF45" s="9">
        <f>SUM(RAW_RECOVERED!HW:HW)</f>
        <v>0</v>
      </c>
      <c r="AG45" s="9">
        <f>SUM(RAW_RECOVERED!HX:HX)</f>
        <v>0</v>
      </c>
      <c r="AH45" s="9">
        <f>SUM(RAW_RECOVERED!HY:HY)</f>
        <v>0</v>
      </c>
      <c r="AI45" s="9">
        <f>SUM(RAW_RECOVERED!HZ:HZ)</f>
        <v>0</v>
      </c>
      <c r="AJ45" s="9">
        <f>SUM(RAW_RECOVERED!IA:IA)</f>
        <v>0</v>
      </c>
      <c r="AK45" s="9">
        <f>SUM(RAW_RECOVERED!IB:IB)</f>
        <v>0</v>
      </c>
      <c r="AL45" s="9">
        <f>SUM(RAW_RECOVERED!IC:IC)</f>
        <v>0</v>
      </c>
      <c r="AM45" s="9">
        <f>SUM(RAW_RECOVERED!ID:ID)</f>
        <v>0</v>
      </c>
      <c r="AN45" s="9">
        <f>SUM(RAW_RECOVERED!IE:IE)</f>
        <v>0</v>
      </c>
      <c r="AO45" s="9">
        <f>SUM(RAW_RECOVERED!IF:IF)</f>
        <v>0</v>
      </c>
      <c r="AP45" s="9">
        <f>SUM(RAW_RECOVERED!IG:IG)</f>
        <v>0</v>
      </c>
      <c r="AQ45" s="9">
        <f>SUM(RAW_RECOVERED!IH:IH)</f>
        <v>0</v>
      </c>
      <c r="AR45" s="9">
        <f>SUM(RAW_RECOVERED!II:II)</f>
        <v>0</v>
      </c>
      <c r="AS45" s="9">
        <f>SUM(RAW_RECOVERED!IJ:IJ)</f>
        <v>0</v>
      </c>
      <c r="AT45" s="9">
        <f>SUM(RAW_RECOVERED!IK:IK)</f>
        <v>0</v>
      </c>
      <c r="AU45" s="9">
        <f>SUM(RAW_RECOVERED!IL:IL)</f>
        <v>0</v>
      </c>
      <c r="AV45" s="9">
        <f>SUM(RAW_RECOVERED!IM:IM)</f>
        <v>0</v>
      </c>
      <c r="AW45" s="9">
        <f>SUM(RAW_RECOVERED!IN:IN)</f>
        <v>0</v>
      </c>
      <c r="AX45" s="9">
        <f>SUM(RAW_RECOVERED!IO:IO)</f>
        <v>0</v>
      </c>
      <c r="AY45" s="9">
        <f>SUM(RAW_RECOVERED!IP:IP)</f>
        <v>0</v>
      </c>
      <c r="AZ45" s="9">
        <f>SUM(RAW_RECOVERED!IQ:IQ)</f>
        <v>0</v>
      </c>
      <c r="BA45" s="9">
        <f>SUM(RAW_RECOVERED!IR:IR)</f>
        <v>0</v>
      </c>
      <c r="BB45" s="9">
        <f>SUM(RAW_RECOVERED!IS:IS)</f>
        <v>0</v>
      </c>
      <c r="BC45" s="9">
        <f>SUM(RAW_RECOVERED!IT:IT)</f>
        <v>0</v>
      </c>
      <c r="BD45" s="9">
        <f>SUM(RAW_RECOVERED!IU:IU)</f>
        <v>0</v>
      </c>
      <c r="BE45" s="9">
        <f>SUM(RAW_RECOVERED!IV:IV)</f>
        <v>0</v>
      </c>
      <c r="BF45" s="9">
        <f>SUM(RAW_RECOVERED!IW:IW)</f>
        <v>0</v>
      </c>
      <c r="BG45" s="9">
        <f>SUM(RAW_RECOVERED!IX:IX)</f>
        <v>0</v>
      </c>
      <c r="BH45" s="9">
        <f>SUM(RAW_RECOVERED!IY:IY)</f>
        <v>0</v>
      </c>
      <c r="BI45" s="9">
        <f>SUM(RAW_RECOVERED!IZ:IZ)</f>
        <v>0</v>
      </c>
      <c r="BJ45" s="9">
        <f>SUM(RAW_RECOVERED!JA:JA)</f>
        <v>0</v>
      </c>
      <c r="BK45" s="9">
        <f>SUM(RAW_RECOVERED!JB:JB)</f>
        <v>0</v>
      </c>
      <c r="BL45" s="9">
        <f>SUM(RAW_RECOVERED!JC:JC)</f>
        <v>0</v>
      </c>
      <c r="BM45" s="9">
        <f>SUM(RAW_RECOVERED!JD:JD)</f>
        <v>0</v>
      </c>
      <c r="BN45" s="9">
        <f>SUM(RAW_RECOVERED!JE:JE)</f>
        <v>0</v>
      </c>
      <c r="BO45" s="9">
        <f>SUM(RAW_RECOVERED!JF:JF)</f>
        <v>0</v>
      </c>
      <c r="BP45" s="9">
        <f>SUM(RAW_RECOVERED!JG:JG)</f>
        <v>0</v>
      </c>
      <c r="BQ45" s="9">
        <f>SUM(RAW_RECOVERED!JH:JH)</f>
        <v>0</v>
      </c>
      <c r="BR45" s="9">
        <f>SUM(RAW_RECOVERED!JI:JI)</f>
        <v>0</v>
      </c>
      <c r="BS45" s="9">
        <f>SUM(RAW_RECOVERED!JJ:JJ)</f>
        <v>0</v>
      </c>
      <c r="BT45" s="9">
        <f>SUM(RAW_RECOVERED!JK:JK)</f>
        <v>0</v>
      </c>
      <c r="BU45" s="9">
        <f>SUM(RAW_RECOVERED!JL:JL)</f>
        <v>0</v>
      </c>
      <c r="BV45" s="9">
        <f>SUM(RAW_RECOVERED!JM:JM)</f>
        <v>0</v>
      </c>
      <c r="BW45" s="9">
        <f>SUM(RAW_RECOVERED!JN:JN)</f>
        <v>0</v>
      </c>
      <c r="BX45" s="9">
        <f>SUM(RAW_RECOVERED!JO:JO)</f>
        <v>0</v>
      </c>
      <c r="BY45" s="9">
        <f>SUM(RAW_RECOVERED!JP:JP)</f>
        <v>0</v>
      </c>
      <c r="BZ45" s="9">
        <f>SUM(RAW_RECOVERED!JQ:JQ)</f>
        <v>0</v>
      </c>
      <c r="CA45" s="9">
        <f>SUM(RAW_RECOVERED!JR:JR)</f>
        <v>0</v>
      </c>
      <c r="CB45" s="9">
        <f>SUM(RAW_RECOVERED!JS:JS)</f>
        <v>0</v>
      </c>
      <c r="CC45" s="9">
        <f>SUM(RAW_RECOVERED!JT:JT)</f>
        <v>0</v>
      </c>
      <c r="CD45" s="9">
        <f>SUM(RAW_RECOVERED!JU:JU)</f>
        <v>0</v>
      </c>
      <c r="CE45" s="9">
        <f>SUM(RAW_RECOVERED!JV:JV)</f>
        <v>0</v>
      </c>
      <c r="CF45" s="9">
        <f>SUM(RAW_RECOVERED!JW:JW)</f>
        <v>0</v>
      </c>
      <c r="CG45" s="9">
        <f>SUM(RAW_RECOVERED!JX:JX)</f>
        <v>0</v>
      </c>
      <c r="CH45" s="9">
        <f>SUM(RAW_RECOVERED!JY:JY)</f>
        <v>0</v>
      </c>
      <c r="CI45" s="9">
        <f>SUM(RAW_RECOVERED!JZ:JZ)</f>
        <v>0</v>
      </c>
      <c r="CJ45" s="9">
        <f>SUM(RAW_RECOVERED!KA:KA)</f>
        <v>0</v>
      </c>
      <c r="CK45" s="9">
        <f>SUM(RAW_RECOVERED!KB:KB)</f>
        <v>0</v>
      </c>
      <c r="CL45" s="9">
        <f>SUM(RAW_RECOVERED!KC:KC)</f>
        <v>0</v>
      </c>
      <c r="CM45" s="9">
        <f>SUM(RAW_RECOVERED!KD:KD)</f>
        <v>0</v>
      </c>
      <c r="CN45" s="9">
        <f>SUM(RAW_RECOVERED!KE:KE)</f>
        <v>0</v>
      </c>
      <c r="CO45" s="9">
        <f>SUM(RAW_RECOVERED!KF:KF)</f>
        <v>0</v>
      </c>
      <c r="CP45" s="9">
        <f>SUM(RAW_RECOVERED!KG:KG)</f>
        <v>0</v>
      </c>
      <c r="CQ45" s="9">
        <f>SUM(RAW_RECOVERED!KH:KH)</f>
        <v>0</v>
      </c>
      <c r="CR45" s="9">
        <f>SUM(RAW_RECOVERED!KI:KI)</f>
        <v>0</v>
      </c>
      <c r="CS45" s="9">
        <f>SUM(RAW_RECOVERED!KJ:KJ)</f>
        <v>0</v>
      </c>
      <c r="CT45" s="9">
        <f>SUM(RAW_RECOVERED!KK:KK)</f>
        <v>0</v>
      </c>
      <c r="CU45" s="9">
        <f>SUM(RAW_RECOVERED!KL:KL)</f>
        <v>0</v>
      </c>
      <c r="CV45" s="9">
        <f>SUM(RAW_RECOVERED!KM:KM)</f>
        <v>0</v>
      </c>
      <c r="CW45" s="9">
        <f>SUM(RAW_RECOVERED!KN:KN)</f>
        <v>0</v>
      </c>
      <c r="CX45" s="9">
        <f>SUM(RAW_RECOVERED!KO:KO)</f>
        <v>0</v>
      </c>
      <c r="CY45" s="9">
        <f>SUM(RAW_RECOVERED!KP:KP)</f>
        <v>0</v>
      </c>
      <c r="CZ45" s="9">
        <f>SUM(RAW_RECOVERED!KQ:KQ)</f>
        <v>0</v>
      </c>
      <c r="DA45" s="9">
        <f>SUM(RAW_RECOVERED!KR:KR)</f>
        <v>0</v>
      </c>
      <c r="DB45" s="9">
        <f>SUM(RAW_RECOVERED!KS:KS)</f>
        <v>0</v>
      </c>
      <c r="DC45" s="9">
        <f>SUM(RAW_RECOVERED!KT:KT)</f>
        <v>0</v>
      </c>
      <c r="DD45" s="9">
        <f>SUM(RAW_RECOVERED!KU:KU)</f>
        <v>0</v>
      </c>
      <c r="DE45" s="9">
        <f>SUM(RAW_RECOVERED!KV:KV)</f>
        <v>0</v>
      </c>
      <c r="DF45" s="9">
        <f>SUM(RAW_RECOVERED!KW:KW)</f>
        <v>0</v>
      </c>
      <c r="DG45" s="9">
        <f>SUM(RAW_RECOVERED!KX:KX)</f>
        <v>0</v>
      </c>
      <c r="DH45" s="9">
        <f>SUM(RAW_RECOVERED!KY:KY)</f>
        <v>0</v>
      </c>
      <c r="DI45" s="9">
        <f>SUM(RAW_RECOVERED!KZ:KZ)</f>
        <v>0</v>
      </c>
      <c r="DJ45" s="9">
        <f>SUM(RAW_RECOVERED!LA:LA)</f>
        <v>0</v>
      </c>
      <c r="DK45" s="9">
        <f>SUM(RAW_RECOVERED!LB:LB)</f>
        <v>0</v>
      </c>
      <c r="DL45" s="9">
        <f>SUM(RAW_RECOVERED!LC:LC)</f>
        <v>0</v>
      </c>
      <c r="DM45" s="9">
        <f>SUM(RAW_RECOVERED!LD:LD)</f>
        <v>0</v>
      </c>
      <c r="DN45" s="9">
        <f>SUM(RAW_RECOVERED!LE:LE)</f>
        <v>0</v>
      </c>
      <c r="DO45" s="9">
        <f>SUM(RAW_RECOVERED!LF:LF)</f>
        <v>0</v>
      </c>
      <c r="DP45" s="9">
        <f>SUM(RAW_RECOVERED!LG:LG)</f>
        <v>0</v>
      </c>
      <c r="DQ45" s="9">
        <f>SUM(RAW_RECOVERED!LH:LH)</f>
        <v>0</v>
      </c>
      <c r="DR45" s="9">
        <f>SUM(RAW_RECOVERED!LI:LI)</f>
        <v>0</v>
      </c>
      <c r="DS45" s="9">
        <f>SUM(RAW_RECOVERED!LJ:LJ)</f>
        <v>0</v>
      </c>
      <c r="DT45" s="9">
        <f>SUM(RAW_RECOVERED!LK:LK)</f>
        <v>0</v>
      </c>
      <c r="DU45" s="9">
        <f>SUM(RAW_RECOVERED!LL:LL)</f>
        <v>0</v>
      </c>
      <c r="DV45" s="9">
        <f>SUM(RAW_RECOVERED!LM:LM)</f>
        <v>0</v>
      </c>
      <c r="DW45" s="9">
        <f>SUM(RAW_RECOVERED!LN:LN)</f>
        <v>0</v>
      </c>
      <c r="DX45" s="9">
        <f>SUM(RAW_RECOVERED!LO:LO)</f>
        <v>0</v>
      </c>
      <c r="DY45" s="9">
        <f>SUM(RAW_RECOVERED!LP:LP)</f>
        <v>0</v>
      </c>
      <c r="DZ45" s="9">
        <f>SUM(RAW_RECOVERED!LQ:LQ)</f>
        <v>0</v>
      </c>
      <c r="EA45" s="9">
        <f>SUM(RAW_RECOVERED!LR:LR)</f>
        <v>0</v>
      </c>
    </row>
  </sheetData>
  <mergeCells count="1">
    <mergeCell ref="AO1:CE1"/>
  </mergeCells>
  <phoneticPr fontId="1" type="noConversion"/>
  <conditionalFormatting sqref="C11:CK11">
    <cfRule type="colorScale" priority="2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CK11 EB11:XFD11">
    <cfRule type="cellIs" dxfId="309" priority="21" operator="equal">
      <formula>"infinite"</formula>
    </cfRule>
    <cfRule type="colorScale" priority="2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2:CR12 EB12:XFD12">
    <cfRule type="colorScale" priority="20">
      <colorScale>
        <cfvo type="percent" val="50"/>
        <cfvo type="percent" val="75"/>
        <cfvo type="percent" val="100"/>
        <color rgb="FFC00000"/>
        <color theme="5"/>
        <color theme="9"/>
      </colorScale>
    </cfRule>
  </conditionalFormatting>
  <conditionalFormatting sqref="CL11:CR11">
    <cfRule type="colorScale" priority="19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CL11:CR11">
    <cfRule type="cellIs" dxfId="308" priority="17" operator="equal">
      <formula>"infinite"</formula>
    </cfRule>
    <cfRule type="colorScale" priority="18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3">
    <cfRule type="colorScale" priority="15">
      <colorScale>
        <cfvo type="percent" val="50"/>
        <cfvo type="percent" val="75"/>
        <cfvo type="percent" val="100"/>
        <color rgb="FFC00000"/>
        <color theme="5"/>
        <color theme="9"/>
      </colorScale>
    </cfRule>
  </conditionalFormatting>
  <conditionalFormatting sqref="AO13:CL13">
    <cfRule type="colorScale" priority="11">
      <colorScale>
        <cfvo type="num" val="0"/>
        <cfvo type="num" val="1.3"/>
        <cfvo type="num" val="3"/>
        <color rgb="FF00B050"/>
        <color rgb="FFFFEB84"/>
        <color rgb="FFC00000"/>
      </colorScale>
    </cfRule>
  </conditionalFormatting>
  <conditionalFormatting sqref="BC13:CQ13">
    <cfRule type="colorScale" priority="10">
      <colorScale>
        <cfvo type="num" val="0"/>
        <cfvo type="num" val="1.3"/>
        <cfvo type="num" val="3"/>
        <color rgb="FF00B050"/>
        <color rgb="FFFFEB84"/>
        <color rgb="FFC00000"/>
      </colorScale>
    </cfRule>
  </conditionalFormatting>
  <conditionalFormatting sqref="CS12">
    <cfRule type="colorScale" priority="9">
      <colorScale>
        <cfvo type="percent" val="50"/>
        <cfvo type="percent" val="75"/>
        <cfvo type="percent" val="100"/>
        <color rgb="FFC00000"/>
        <color theme="5"/>
        <color theme="9"/>
      </colorScale>
    </cfRule>
  </conditionalFormatting>
  <conditionalFormatting sqref="CS11">
    <cfRule type="colorScale" priority="8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CS11">
    <cfRule type="cellIs" dxfId="307" priority="6" operator="equal">
      <formula>"infinite"</formula>
    </cfRule>
    <cfRule type="colorScale" priority="7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CT12:EA12">
    <cfRule type="colorScale" priority="5">
      <colorScale>
        <cfvo type="percent" val="50"/>
        <cfvo type="percent" val="75"/>
        <cfvo type="percent" val="100"/>
        <color rgb="FFC00000"/>
        <color theme="5"/>
        <color theme="9"/>
      </colorScale>
    </cfRule>
  </conditionalFormatting>
  <conditionalFormatting sqref="CT11:EA11">
    <cfRule type="colorScale" priority="4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CT11:EA11">
    <cfRule type="cellIs" dxfId="306" priority="2" operator="equal">
      <formula>"infinite"</formula>
    </cfRule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CR13:EA13">
    <cfRule type="colorScale" priority="1">
      <colorScale>
        <cfvo type="num" val="0"/>
        <cfvo type="num" val="1.3"/>
        <cfvo type="num" val="3"/>
        <color rgb="FF00B050"/>
        <color rgb="FFFFEB84"/>
        <color rgb="FFC00000"/>
      </colorScale>
    </cfRule>
  </conditionalFormatting>
  <dataValidations disablePrompts="1" count="1">
    <dataValidation type="list" allowBlank="1" showInputMessage="1" showErrorMessage="1" sqref="A3" xr:uid="{5630CC40-A925-4325-9C5B-54FFF1992765}">
      <formula1>$A$16:$A$22</formula1>
    </dataValidation>
  </dataValidations>
  <pageMargins left="0.7" right="0.7" top="0.78740157499999996" bottom="0.78740157499999996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GP267"/>
  <sheetViews>
    <sheetView workbookViewId="0">
      <selection sqref="A1:GP267"/>
    </sheetView>
  </sheetViews>
  <sheetFormatPr baseColWidth="10" defaultRowHeight="14.25" x14ac:dyDescent="0.45"/>
  <cols>
    <col min="1" max="1" width="27.3984375" bestFit="1" customWidth="1"/>
    <col min="2" max="2" width="28.73046875" bestFit="1" customWidth="1"/>
    <col min="3" max="7" width="10.46484375" bestFit="1" customWidth="1"/>
    <col min="8" max="97" width="11.3984375" bestFit="1" customWidth="1"/>
    <col min="98" max="98" width="12.33203125" bestFit="1" customWidth="1"/>
    <col min="99" max="198" width="12.33203125" customWidth="1"/>
    <col min="199" max="199" width="23.265625" bestFit="1" customWidth="1"/>
    <col min="200" max="200" width="27" bestFit="1" customWidth="1"/>
    <col min="201" max="210" width="9.59765625" bestFit="1" customWidth="1"/>
    <col min="211" max="219" width="8.59765625" bestFit="1" customWidth="1"/>
    <col min="220" max="239" width="9.59765625" bestFit="1" customWidth="1"/>
    <col min="240" max="248" width="8.59765625" bestFit="1" customWidth="1"/>
    <col min="249" max="264" width="9.59765625" bestFit="1" customWidth="1"/>
    <col min="265" max="265" width="11.1328125" bestFit="1" customWidth="1"/>
    <col min="266" max="274" width="5.265625" bestFit="1" customWidth="1"/>
    <col min="275" max="364" width="6.265625" bestFit="1" customWidth="1"/>
    <col min="365" max="398" width="7.265625" bestFit="1" customWidth="1"/>
  </cols>
  <sheetData>
    <row r="1" spans="1:198" x14ac:dyDescent="0.45">
      <c r="A1" t="s">
        <v>255</v>
      </c>
      <c r="B1" t="s">
        <v>256</v>
      </c>
      <c r="C1" t="s">
        <v>257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267</v>
      </c>
      <c r="N1" t="s">
        <v>268</v>
      </c>
      <c r="O1" t="s">
        <v>269</v>
      </c>
      <c r="P1" t="s">
        <v>270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284</v>
      </c>
      <c r="AE1" t="s">
        <v>285</v>
      </c>
      <c r="AF1" t="s">
        <v>286</v>
      </c>
      <c r="AG1" t="s">
        <v>287</v>
      </c>
      <c r="AH1" t="s">
        <v>288</v>
      </c>
      <c r="AI1" t="s">
        <v>289</v>
      </c>
      <c r="AJ1" t="s">
        <v>290</v>
      </c>
      <c r="AK1" t="s">
        <v>291</v>
      </c>
      <c r="AL1" t="s">
        <v>292</v>
      </c>
      <c r="AM1" t="s">
        <v>293</v>
      </c>
      <c r="AN1" t="s">
        <v>294</v>
      </c>
      <c r="AO1" t="s">
        <v>295</v>
      </c>
      <c r="AP1" t="s">
        <v>296</v>
      </c>
      <c r="AQ1" t="s">
        <v>297</v>
      </c>
      <c r="AR1" t="s">
        <v>298</v>
      </c>
      <c r="AS1" t="s">
        <v>299</v>
      </c>
      <c r="AT1" t="s">
        <v>300</v>
      </c>
      <c r="AU1" t="s">
        <v>301</v>
      </c>
      <c r="AV1" t="s">
        <v>302</v>
      </c>
      <c r="AW1" t="s">
        <v>303</v>
      </c>
      <c r="AX1" t="s">
        <v>304</v>
      </c>
      <c r="AY1" t="s">
        <v>305</v>
      </c>
      <c r="AZ1" t="s">
        <v>306</v>
      </c>
      <c r="BA1" t="s">
        <v>307</v>
      </c>
      <c r="BB1" t="s">
        <v>308</v>
      </c>
      <c r="BC1" t="s">
        <v>309</v>
      </c>
      <c r="BD1" t="s">
        <v>310</v>
      </c>
      <c r="BE1" t="s">
        <v>311</v>
      </c>
      <c r="BF1" t="s">
        <v>312</v>
      </c>
      <c r="BG1" t="s">
        <v>313</v>
      </c>
      <c r="BH1" t="s">
        <v>314</v>
      </c>
      <c r="BI1" t="s">
        <v>315</v>
      </c>
      <c r="BJ1" t="s">
        <v>316</v>
      </c>
      <c r="BK1" t="s">
        <v>317</v>
      </c>
      <c r="BL1" t="s">
        <v>318</v>
      </c>
      <c r="BM1" t="s">
        <v>319</v>
      </c>
      <c r="BN1" t="s">
        <v>320</v>
      </c>
      <c r="BO1" t="s">
        <v>321</v>
      </c>
      <c r="BP1" t="s">
        <v>322</v>
      </c>
      <c r="BQ1" t="s">
        <v>323</v>
      </c>
      <c r="BR1" t="s">
        <v>324</v>
      </c>
      <c r="BS1" t="s">
        <v>325</v>
      </c>
      <c r="BT1" t="s">
        <v>326</v>
      </c>
      <c r="BU1" t="s">
        <v>327</v>
      </c>
      <c r="BV1" t="s">
        <v>328</v>
      </c>
      <c r="BW1" t="s">
        <v>329</v>
      </c>
      <c r="BX1" t="s">
        <v>330</v>
      </c>
      <c r="BY1" t="s">
        <v>331</v>
      </c>
      <c r="BZ1" t="s">
        <v>332</v>
      </c>
      <c r="CA1" t="s">
        <v>333</v>
      </c>
      <c r="CB1" t="s">
        <v>334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342</v>
      </c>
      <c r="CK1" t="s">
        <v>343</v>
      </c>
      <c r="CL1" t="s">
        <v>344</v>
      </c>
      <c r="CM1" t="s">
        <v>345</v>
      </c>
      <c r="CN1" t="s">
        <v>346</v>
      </c>
      <c r="CO1" t="s">
        <v>347</v>
      </c>
      <c r="CP1" t="s">
        <v>348</v>
      </c>
      <c r="CQ1" t="s">
        <v>349</v>
      </c>
      <c r="CR1" t="s">
        <v>350</v>
      </c>
      <c r="CS1" t="s">
        <v>351</v>
      </c>
      <c r="CT1" t="s">
        <v>352</v>
      </c>
      <c r="CU1" t="s">
        <v>382</v>
      </c>
      <c r="CV1" t="s">
        <v>383</v>
      </c>
      <c r="CW1" t="s">
        <v>384</v>
      </c>
      <c r="CX1" t="s">
        <v>385</v>
      </c>
      <c r="CY1" t="s">
        <v>386</v>
      </c>
      <c r="CZ1" t="s">
        <v>387</v>
      </c>
      <c r="DA1" t="s">
        <v>388</v>
      </c>
      <c r="DB1" t="s">
        <v>389</v>
      </c>
      <c r="DC1" t="s">
        <v>390</v>
      </c>
      <c r="DD1" t="s">
        <v>391</v>
      </c>
      <c r="DE1" t="s">
        <v>392</v>
      </c>
      <c r="DF1" t="s">
        <v>393</v>
      </c>
      <c r="DG1" t="s">
        <v>394</v>
      </c>
      <c r="DH1" t="s">
        <v>395</v>
      </c>
      <c r="DI1" t="s">
        <v>396</v>
      </c>
      <c r="DJ1" t="s">
        <v>397</v>
      </c>
      <c r="DK1" t="s">
        <v>398</v>
      </c>
      <c r="DL1" t="s">
        <v>399</v>
      </c>
      <c r="DM1" t="s">
        <v>400</v>
      </c>
      <c r="DN1" t="s">
        <v>401</v>
      </c>
      <c r="DO1" t="s">
        <v>402</v>
      </c>
      <c r="DP1" t="s">
        <v>403</v>
      </c>
      <c r="DQ1" t="s">
        <v>404</v>
      </c>
      <c r="DR1" t="s">
        <v>405</v>
      </c>
      <c r="DS1" t="s">
        <v>406</v>
      </c>
      <c r="DT1" t="s">
        <v>407</v>
      </c>
      <c r="DU1" t="s">
        <v>408</v>
      </c>
      <c r="DV1" t="s">
        <v>409</v>
      </c>
      <c r="DW1" t="s">
        <v>410</v>
      </c>
      <c r="DX1" t="s">
        <v>411</v>
      </c>
      <c r="DY1" t="s">
        <v>412</v>
      </c>
      <c r="DZ1" t="s">
        <v>413</v>
      </c>
      <c r="EA1" t="s">
        <v>414</v>
      </c>
      <c r="EB1" t="s">
        <v>415</v>
      </c>
      <c r="EC1" t="s">
        <v>416</v>
      </c>
      <c r="ED1" t="s">
        <v>417</v>
      </c>
      <c r="EE1" t="s">
        <v>418</v>
      </c>
      <c r="EF1" t="s">
        <v>419</v>
      </c>
      <c r="EG1" t="s">
        <v>420</v>
      </c>
      <c r="EH1" t="s">
        <v>421</v>
      </c>
      <c r="EI1" t="s">
        <v>422</v>
      </c>
      <c r="EJ1" t="s">
        <v>423</v>
      </c>
      <c r="EK1" t="s">
        <v>424</v>
      </c>
      <c r="EL1" t="s">
        <v>425</v>
      </c>
      <c r="EM1" t="s">
        <v>426</v>
      </c>
      <c r="EN1" t="s">
        <v>427</v>
      </c>
      <c r="EO1" t="s">
        <v>428</v>
      </c>
      <c r="EP1" t="s">
        <v>429</v>
      </c>
      <c r="EQ1" t="s">
        <v>430</v>
      </c>
      <c r="ER1" t="s">
        <v>431</v>
      </c>
      <c r="ES1" t="s">
        <v>432</v>
      </c>
      <c r="ET1" t="s">
        <v>433</v>
      </c>
      <c r="EU1" t="s">
        <v>434</v>
      </c>
      <c r="EV1" t="s">
        <v>435</v>
      </c>
      <c r="EW1" t="s">
        <v>436</v>
      </c>
      <c r="EX1" t="s">
        <v>437</v>
      </c>
      <c r="EY1" t="s">
        <v>438</v>
      </c>
      <c r="EZ1" t="s">
        <v>439</v>
      </c>
      <c r="FA1" t="s">
        <v>440</v>
      </c>
      <c r="FB1" t="s">
        <v>441</v>
      </c>
      <c r="FC1" t="s">
        <v>442</v>
      </c>
      <c r="FD1" t="s">
        <v>443</v>
      </c>
      <c r="FE1" t="s">
        <v>444</v>
      </c>
      <c r="FF1" t="s">
        <v>445</v>
      </c>
      <c r="FG1" t="s">
        <v>446</v>
      </c>
      <c r="FH1" t="s">
        <v>447</v>
      </c>
      <c r="FI1" t="s">
        <v>448</v>
      </c>
      <c r="FJ1" t="s">
        <v>449</v>
      </c>
      <c r="FK1" t="s">
        <v>450</v>
      </c>
      <c r="FL1" t="s">
        <v>451</v>
      </c>
      <c r="FM1" t="s">
        <v>452</v>
      </c>
      <c r="FN1" t="s">
        <v>453</v>
      </c>
      <c r="FO1" t="s">
        <v>454</v>
      </c>
      <c r="FP1" t="s">
        <v>455</v>
      </c>
      <c r="FQ1" t="s">
        <v>456</v>
      </c>
      <c r="FR1" t="s">
        <v>457</v>
      </c>
      <c r="FS1" t="s">
        <v>458</v>
      </c>
      <c r="FT1" t="s">
        <v>459</v>
      </c>
      <c r="FU1" t="s">
        <v>460</v>
      </c>
      <c r="FV1" t="s">
        <v>461</v>
      </c>
      <c r="FW1" t="s">
        <v>462</v>
      </c>
      <c r="FX1" t="s">
        <v>463</v>
      </c>
      <c r="FY1" t="s">
        <v>464</v>
      </c>
      <c r="FZ1" t="s">
        <v>465</v>
      </c>
      <c r="GA1" t="s">
        <v>466</v>
      </c>
      <c r="GB1" t="s">
        <v>467</v>
      </c>
      <c r="GC1" t="s">
        <v>468</v>
      </c>
      <c r="GD1" t="s">
        <v>469</v>
      </c>
      <c r="GE1" t="s">
        <v>470</v>
      </c>
      <c r="GF1" t="s">
        <v>471</v>
      </c>
      <c r="GG1" t="s">
        <v>472</v>
      </c>
      <c r="GH1" t="s">
        <v>473</v>
      </c>
      <c r="GI1" t="s">
        <v>474</v>
      </c>
      <c r="GJ1" t="s">
        <v>475</v>
      </c>
      <c r="GK1" t="s">
        <v>476</v>
      </c>
      <c r="GL1" t="s">
        <v>477</v>
      </c>
      <c r="GM1" t="s">
        <v>478</v>
      </c>
      <c r="GN1" t="s">
        <v>479</v>
      </c>
      <c r="GO1" t="s">
        <v>480</v>
      </c>
      <c r="GP1" t="s">
        <v>481</v>
      </c>
    </row>
    <row r="2" spans="1:198" x14ac:dyDescent="0.4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  <c r="BS2">
        <v>170</v>
      </c>
      <c r="BT2">
        <v>174</v>
      </c>
      <c r="BU2">
        <v>237</v>
      </c>
      <c r="BV2">
        <v>273</v>
      </c>
      <c r="BW2">
        <v>281</v>
      </c>
      <c r="BX2">
        <v>299</v>
      </c>
      <c r="BY2">
        <v>349</v>
      </c>
      <c r="BZ2">
        <v>367</v>
      </c>
      <c r="CA2">
        <v>423</v>
      </c>
      <c r="CB2">
        <v>444</v>
      </c>
      <c r="CC2">
        <v>484</v>
      </c>
      <c r="CD2">
        <v>521</v>
      </c>
      <c r="CE2">
        <v>555</v>
      </c>
      <c r="CF2">
        <v>607</v>
      </c>
      <c r="CG2">
        <v>665</v>
      </c>
      <c r="CH2">
        <v>714</v>
      </c>
      <c r="CI2">
        <v>784</v>
      </c>
      <c r="CJ2">
        <v>840</v>
      </c>
      <c r="CK2">
        <v>906</v>
      </c>
      <c r="CL2">
        <v>933</v>
      </c>
      <c r="CM2">
        <v>996</v>
      </c>
      <c r="CN2">
        <v>1026</v>
      </c>
      <c r="CO2">
        <v>1092</v>
      </c>
      <c r="CP2">
        <v>1176</v>
      </c>
      <c r="CQ2">
        <v>1279</v>
      </c>
      <c r="CR2">
        <v>1351</v>
      </c>
      <c r="CS2">
        <v>1463</v>
      </c>
      <c r="CT2">
        <v>1531</v>
      </c>
      <c r="CU2" s="1">
        <v>1703</v>
      </c>
      <c r="CV2" s="1">
        <v>1828</v>
      </c>
      <c r="CW2" s="1">
        <v>1939</v>
      </c>
      <c r="CX2" s="1">
        <v>2171</v>
      </c>
      <c r="CY2" s="1">
        <v>2335</v>
      </c>
      <c r="CZ2" s="1">
        <v>2469</v>
      </c>
      <c r="DA2" s="1">
        <v>2704</v>
      </c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</row>
    <row r="3" spans="1:198" x14ac:dyDescent="0.4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  <c r="BS3">
        <v>223</v>
      </c>
      <c r="BT3">
        <v>243</v>
      </c>
      <c r="BU3">
        <v>259</v>
      </c>
      <c r="BV3">
        <v>277</v>
      </c>
      <c r="BW3">
        <v>304</v>
      </c>
      <c r="BX3">
        <v>333</v>
      </c>
      <c r="BY3">
        <v>361</v>
      </c>
      <c r="BZ3">
        <v>377</v>
      </c>
      <c r="CA3">
        <v>383</v>
      </c>
      <c r="CB3">
        <v>400</v>
      </c>
      <c r="CC3">
        <v>409</v>
      </c>
      <c r="CD3">
        <v>416</v>
      </c>
      <c r="CE3">
        <v>433</v>
      </c>
      <c r="CF3">
        <v>446</v>
      </c>
      <c r="CG3">
        <v>467</v>
      </c>
      <c r="CH3">
        <v>475</v>
      </c>
      <c r="CI3">
        <v>494</v>
      </c>
      <c r="CJ3">
        <v>518</v>
      </c>
      <c r="CK3">
        <v>539</v>
      </c>
      <c r="CL3">
        <v>548</v>
      </c>
      <c r="CM3">
        <v>562</v>
      </c>
      <c r="CN3">
        <v>584</v>
      </c>
      <c r="CO3">
        <v>609</v>
      </c>
      <c r="CP3">
        <v>634</v>
      </c>
      <c r="CQ3">
        <v>663</v>
      </c>
      <c r="CR3">
        <v>678</v>
      </c>
      <c r="CS3">
        <v>712</v>
      </c>
      <c r="CT3">
        <v>726</v>
      </c>
      <c r="CU3" s="1">
        <v>736</v>
      </c>
      <c r="CV3" s="1">
        <v>750</v>
      </c>
      <c r="CW3" s="1">
        <v>766</v>
      </c>
      <c r="CX3" s="1">
        <v>773</v>
      </c>
      <c r="CY3" s="1">
        <v>782</v>
      </c>
      <c r="CZ3" s="1">
        <v>789</v>
      </c>
      <c r="DA3" s="1">
        <v>795</v>
      </c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</row>
    <row r="4" spans="1:198" x14ac:dyDescent="0.4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  <c r="BS4">
        <v>584</v>
      </c>
      <c r="BT4">
        <v>716</v>
      </c>
      <c r="BU4">
        <v>847</v>
      </c>
      <c r="BV4">
        <v>986</v>
      </c>
      <c r="BW4">
        <v>1171</v>
      </c>
      <c r="BX4">
        <v>1251</v>
      </c>
      <c r="BY4">
        <v>1320</v>
      </c>
      <c r="BZ4">
        <v>1423</v>
      </c>
      <c r="CA4">
        <v>1468</v>
      </c>
      <c r="CB4">
        <v>1572</v>
      </c>
      <c r="CC4">
        <v>1666</v>
      </c>
      <c r="CD4">
        <v>1761</v>
      </c>
      <c r="CE4">
        <v>1825</v>
      </c>
      <c r="CF4">
        <v>1914</v>
      </c>
      <c r="CG4">
        <v>1983</v>
      </c>
      <c r="CH4">
        <v>2070</v>
      </c>
      <c r="CI4">
        <v>2160</v>
      </c>
      <c r="CJ4">
        <v>2268</v>
      </c>
      <c r="CK4">
        <v>2418</v>
      </c>
      <c r="CL4">
        <v>2534</v>
      </c>
      <c r="CM4">
        <v>2629</v>
      </c>
      <c r="CN4">
        <v>2718</v>
      </c>
      <c r="CO4">
        <v>2811</v>
      </c>
      <c r="CP4">
        <v>2910</v>
      </c>
      <c r="CQ4">
        <v>3007</v>
      </c>
      <c r="CR4">
        <v>3127</v>
      </c>
      <c r="CS4">
        <v>3256</v>
      </c>
      <c r="CT4">
        <v>3382</v>
      </c>
      <c r="CU4" s="1">
        <v>3517</v>
      </c>
      <c r="CV4" s="1">
        <v>3649</v>
      </c>
      <c r="CW4" s="1">
        <v>3848</v>
      </c>
      <c r="CX4" s="1">
        <v>4006</v>
      </c>
      <c r="CY4" s="1">
        <v>4154</v>
      </c>
      <c r="CZ4" s="1">
        <v>4295</v>
      </c>
      <c r="DA4" s="1">
        <v>4474</v>
      </c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</row>
    <row r="5" spans="1:198" x14ac:dyDescent="0.4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  <c r="BS5">
        <v>370</v>
      </c>
      <c r="BT5">
        <v>376</v>
      </c>
      <c r="BU5">
        <v>390</v>
      </c>
      <c r="BV5">
        <v>428</v>
      </c>
      <c r="BW5">
        <v>439</v>
      </c>
      <c r="BX5">
        <v>466</v>
      </c>
      <c r="BY5">
        <v>501</v>
      </c>
      <c r="BZ5">
        <v>525</v>
      </c>
      <c r="CA5">
        <v>545</v>
      </c>
      <c r="CB5">
        <v>564</v>
      </c>
      <c r="CC5">
        <v>583</v>
      </c>
      <c r="CD5">
        <v>601</v>
      </c>
      <c r="CE5">
        <v>601</v>
      </c>
      <c r="CF5">
        <v>638</v>
      </c>
      <c r="CG5">
        <v>646</v>
      </c>
      <c r="CH5">
        <v>659</v>
      </c>
      <c r="CI5">
        <v>673</v>
      </c>
      <c r="CJ5">
        <v>673</v>
      </c>
      <c r="CK5">
        <v>696</v>
      </c>
      <c r="CL5">
        <v>704</v>
      </c>
      <c r="CM5">
        <v>713</v>
      </c>
      <c r="CN5">
        <v>717</v>
      </c>
      <c r="CO5">
        <v>717</v>
      </c>
      <c r="CP5">
        <v>723</v>
      </c>
      <c r="CQ5">
        <v>723</v>
      </c>
      <c r="CR5">
        <v>731</v>
      </c>
      <c r="CS5">
        <v>738</v>
      </c>
      <c r="CT5">
        <v>738</v>
      </c>
      <c r="CU5" s="1">
        <v>743</v>
      </c>
      <c r="CV5" s="1">
        <v>743</v>
      </c>
      <c r="CW5" s="1">
        <v>743</v>
      </c>
      <c r="CX5" s="1">
        <v>745</v>
      </c>
      <c r="CY5" s="1">
        <v>745</v>
      </c>
      <c r="CZ5" s="1">
        <v>747</v>
      </c>
      <c r="DA5" s="1">
        <v>748</v>
      </c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</row>
    <row r="6" spans="1:198" x14ac:dyDescent="0.4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  <c r="BS6">
        <v>7</v>
      </c>
      <c r="BT6">
        <v>7</v>
      </c>
      <c r="BU6">
        <v>8</v>
      </c>
      <c r="BV6">
        <v>8</v>
      </c>
      <c r="BW6">
        <v>8</v>
      </c>
      <c r="BX6">
        <v>10</v>
      </c>
      <c r="BY6">
        <v>14</v>
      </c>
      <c r="BZ6">
        <v>16</v>
      </c>
      <c r="CA6">
        <v>17</v>
      </c>
      <c r="CB6">
        <v>19</v>
      </c>
      <c r="CC6">
        <v>19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24</v>
      </c>
      <c r="CM6">
        <v>24</v>
      </c>
      <c r="CN6">
        <v>24</v>
      </c>
      <c r="CO6">
        <v>24</v>
      </c>
      <c r="CP6">
        <v>25</v>
      </c>
      <c r="CQ6">
        <v>25</v>
      </c>
      <c r="CR6">
        <v>25</v>
      </c>
      <c r="CS6">
        <v>25</v>
      </c>
      <c r="CT6">
        <v>26</v>
      </c>
      <c r="CU6" s="1">
        <v>27</v>
      </c>
      <c r="CV6" s="1">
        <v>27</v>
      </c>
      <c r="CW6" s="1">
        <v>27</v>
      </c>
      <c r="CX6" s="1">
        <v>27</v>
      </c>
      <c r="CY6" s="1">
        <v>30</v>
      </c>
      <c r="CZ6" s="1">
        <v>35</v>
      </c>
      <c r="DA6" s="1">
        <v>35</v>
      </c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</row>
    <row r="7" spans="1:198" x14ac:dyDescent="0.4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  <c r="BS7">
        <v>7</v>
      </c>
      <c r="BT7">
        <v>7</v>
      </c>
      <c r="BU7">
        <v>7</v>
      </c>
      <c r="BV7">
        <v>9</v>
      </c>
      <c r="BW7">
        <v>15</v>
      </c>
      <c r="BX7">
        <v>15</v>
      </c>
      <c r="BY7">
        <v>15</v>
      </c>
      <c r="BZ7">
        <v>15</v>
      </c>
      <c r="CA7">
        <v>19</v>
      </c>
      <c r="CB7">
        <v>19</v>
      </c>
      <c r="CC7">
        <v>19</v>
      </c>
      <c r="CD7">
        <v>19</v>
      </c>
      <c r="CE7">
        <v>21</v>
      </c>
      <c r="CF7">
        <v>21</v>
      </c>
      <c r="CG7">
        <v>23</v>
      </c>
      <c r="CH7">
        <v>23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24</v>
      </c>
      <c r="CQ7">
        <v>24</v>
      </c>
      <c r="CR7">
        <v>24</v>
      </c>
      <c r="CS7">
        <v>24</v>
      </c>
      <c r="CT7">
        <v>24</v>
      </c>
      <c r="CU7" s="1">
        <v>24</v>
      </c>
      <c r="CV7" s="1">
        <v>24</v>
      </c>
      <c r="CW7" s="1">
        <v>24</v>
      </c>
      <c r="CX7" s="1">
        <v>24</v>
      </c>
      <c r="CY7" s="1">
        <v>25</v>
      </c>
      <c r="CZ7" s="1">
        <v>25</v>
      </c>
      <c r="DA7" s="1">
        <v>25</v>
      </c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</row>
    <row r="8" spans="1:198" x14ac:dyDescent="0.4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  <c r="BS8">
        <v>820</v>
      </c>
      <c r="BT8">
        <v>1054</v>
      </c>
      <c r="BU8">
        <v>1054</v>
      </c>
      <c r="BV8">
        <v>1133</v>
      </c>
      <c r="BW8">
        <v>1265</v>
      </c>
      <c r="BX8">
        <v>1451</v>
      </c>
      <c r="BY8">
        <v>1451</v>
      </c>
      <c r="BZ8">
        <v>1554</v>
      </c>
      <c r="CA8">
        <v>1628</v>
      </c>
      <c r="CB8">
        <v>1715</v>
      </c>
      <c r="CC8">
        <v>1795</v>
      </c>
      <c r="CD8">
        <v>1975</v>
      </c>
      <c r="CE8">
        <v>1975</v>
      </c>
      <c r="CF8">
        <v>2142</v>
      </c>
      <c r="CG8">
        <v>2208</v>
      </c>
      <c r="CH8">
        <v>2277</v>
      </c>
      <c r="CI8">
        <v>2443</v>
      </c>
      <c r="CJ8">
        <v>2571</v>
      </c>
      <c r="CK8">
        <v>2669</v>
      </c>
      <c r="CL8">
        <v>2758</v>
      </c>
      <c r="CM8">
        <v>2839</v>
      </c>
      <c r="CN8">
        <v>2941</v>
      </c>
      <c r="CO8">
        <v>3031</v>
      </c>
      <c r="CP8">
        <v>3144</v>
      </c>
      <c r="CQ8">
        <v>3435</v>
      </c>
      <c r="CR8">
        <v>3607</v>
      </c>
      <c r="CS8">
        <v>3780</v>
      </c>
      <c r="CT8">
        <v>3892</v>
      </c>
      <c r="CU8" s="1">
        <v>4003</v>
      </c>
      <c r="CV8" s="1">
        <v>4127</v>
      </c>
      <c r="CW8" s="1">
        <v>4285</v>
      </c>
      <c r="CX8" s="1">
        <v>4428</v>
      </c>
      <c r="CY8" s="1">
        <v>4532</v>
      </c>
      <c r="CZ8" s="1">
        <v>4681</v>
      </c>
      <c r="DA8" s="1">
        <v>4783</v>
      </c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</row>
    <row r="9" spans="1:198" x14ac:dyDescent="0.4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  <c r="BS9">
        <v>482</v>
      </c>
      <c r="BT9">
        <v>532</v>
      </c>
      <c r="BU9">
        <v>571</v>
      </c>
      <c r="BV9">
        <v>663</v>
      </c>
      <c r="BW9">
        <v>736</v>
      </c>
      <c r="BX9">
        <v>770</v>
      </c>
      <c r="BY9">
        <v>822</v>
      </c>
      <c r="BZ9">
        <v>833</v>
      </c>
      <c r="CA9">
        <v>853</v>
      </c>
      <c r="CB9">
        <v>881</v>
      </c>
      <c r="CC9">
        <v>921</v>
      </c>
      <c r="CD9">
        <v>937</v>
      </c>
      <c r="CE9">
        <v>967</v>
      </c>
      <c r="CF9">
        <v>1013</v>
      </c>
      <c r="CG9">
        <v>1039</v>
      </c>
      <c r="CH9">
        <v>1067</v>
      </c>
      <c r="CI9">
        <v>1111</v>
      </c>
      <c r="CJ9">
        <v>1159</v>
      </c>
      <c r="CK9">
        <v>1201</v>
      </c>
      <c r="CL9">
        <v>1248</v>
      </c>
      <c r="CM9">
        <v>1291</v>
      </c>
      <c r="CN9">
        <v>1339</v>
      </c>
      <c r="CO9">
        <v>1401</v>
      </c>
      <c r="CP9">
        <v>1473</v>
      </c>
      <c r="CQ9">
        <v>1523</v>
      </c>
      <c r="CR9">
        <v>1596</v>
      </c>
      <c r="CS9">
        <v>1677</v>
      </c>
      <c r="CT9">
        <v>1746</v>
      </c>
      <c r="CU9" s="1">
        <v>1808</v>
      </c>
      <c r="CV9" s="1">
        <v>1867</v>
      </c>
      <c r="CW9" s="1">
        <v>1932</v>
      </c>
      <c r="CX9" s="1">
        <v>2066</v>
      </c>
      <c r="CY9" s="1">
        <v>2148</v>
      </c>
      <c r="CZ9" s="1">
        <v>2273</v>
      </c>
      <c r="DA9" s="1">
        <v>2386</v>
      </c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</row>
    <row r="10" spans="1:198" x14ac:dyDescent="0.4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  <c r="BS10">
        <v>78</v>
      </c>
      <c r="BT10">
        <v>80</v>
      </c>
      <c r="BU10">
        <v>84</v>
      </c>
      <c r="BV10">
        <v>87</v>
      </c>
      <c r="BW10">
        <v>91</v>
      </c>
      <c r="BX10">
        <v>93</v>
      </c>
      <c r="BY10">
        <v>96</v>
      </c>
      <c r="BZ10">
        <v>96</v>
      </c>
      <c r="CA10">
        <v>96</v>
      </c>
      <c r="CB10">
        <v>99</v>
      </c>
      <c r="CC10">
        <v>100</v>
      </c>
      <c r="CD10">
        <v>103</v>
      </c>
      <c r="CE10">
        <v>103</v>
      </c>
      <c r="CF10">
        <v>103</v>
      </c>
      <c r="CG10">
        <v>102</v>
      </c>
      <c r="CH10">
        <v>103</v>
      </c>
      <c r="CI10">
        <v>103</v>
      </c>
      <c r="CJ10">
        <v>103</v>
      </c>
      <c r="CK10">
        <v>103</v>
      </c>
      <c r="CL10">
        <v>103</v>
      </c>
      <c r="CM10">
        <v>103</v>
      </c>
      <c r="CN10">
        <v>104</v>
      </c>
      <c r="CO10">
        <v>104</v>
      </c>
      <c r="CP10">
        <v>104</v>
      </c>
      <c r="CQ10">
        <v>104</v>
      </c>
      <c r="CR10">
        <v>105</v>
      </c>
      <c r="CS10">
        <v>106</v>
      </c>
      <c r="CT10">
        <v>106</v>
      </c>
      <c r="CU10" s="1">
        <v>106</v>
      </c>
      <c r="CV10" s="1">
        <v>106</v>
      </c>
      <c r="CW10" s="1">
        <v>106</v>
      </c>
      <c r="CX10" s="1">
        <v>106</v>
      </c>
      <c r="CY10" s="1">
        <v>106</v>
      </c>
      <c r="CZ10" s="1">
        <v>106</v>
      </c>
      <c r="DA10" s="1">
        <v>106</v>
      </c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</row>
    <row r="11" spans="1:1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  <c r="BS11">
        <v>2032</v>
      </c>
      <c r="BT11">
        <v>2032</v>
      </c>
      <c r="BU11">
        <v>2182</v>
      </c>
      <c r="BV11">
        <v>2298</v>
      </c>
      <c r="BW11">
        <v>2389</v>
      </c>
      <c r="BX11">
        <v>2493</v>
      </c>
      <c r="BY11">
        <v>2580</v>
      </c>
      <c r="BZ11">
        <v>2637</v>
      </c>
      <c r="CA11">
        <v>2686</v>
      </c>
      <c r="CB11">
        <v>2734</v>
      </c>
      <c r="CC11">
        <v>2773</v>
      </c>
      <c r="CD11">
        <v>2822</v>
      </c>
      <c r="CE11">
        <v>2857</v>
      </c>
      <c r="CF11">
        <v>2857</v>
      </c>
      <c r="CG11">
        <v>2863</v>
      </c>
      <c r="CH11">
        <v>2870</v>
      </c>
      <c r="CI11">
        <v>2886</v>
      </c>
      <c r="CJ11">
        <v>2897</v>
      </c>
      <c r="CK11">
        <v>2926</v>
      </c>
      <c r="CL11">
        <v>2936</v>
      </c>
      <c r="CM11">
        <v>2957</v>
      </c>
      <c r="CN11">
        <v>2963</v>
      </c>
      <c r="CO11">
        <v>2969</v>
      </c>
      <c r="CP11">
        <v>2971</v>
      </c>
      <c r="CQ11">
        <v>2976</v>
      </c>
      <c r="CR11">
        <v>2982</v>
      </c>
      <c r="CS11">
        <v>2994</v>
      </c>
      <c r="CT11">
        <v>3002</v>
      </c>
      <c r="CU11" s="1">
        <v>3004</v>
      </c>
      <c r="CV11" s="1">
        <v>3016</v>
      </c>
      <c r="CW11" s="1">
        <v>3016</v>
      </c>
      <c r="CX11" s="1">
        <v>3025</v>
      </c>
      <c r="CY11" s="1">
        <v>3030</v>
      </c>
      <c r="CZ11" s="1">
        <v>3035</v>
      </c>
      <c r="DA11" s="1">
        <v>3033</v>
      </c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</row>
    <row r="12" spans="1:198" x14ac:dyDescent="0.4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  <c r="BS12">
        <v>15</v>
      </c>
      <c r="BT12">
        <v>17</v>
      </c>
      <c r="BU12">
        <v>19</v>
      </c>
      <c r="BV12">
        <v>21</v>
      </c>
      <c r="BW12">
        <v>22</v>
      </c>
      <c r="BX12">
        <v>26</v>
      </c>
      <c r="BY12">
        <v>27</v>
      </c>
      <c r="BZ12">
        <v>28</v>
      </c>
      <c r="CA12">
        <v>28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 s="1">
        <v>28</v>
      </c>
      <c r="CV12" s="1">
        <v>28</v>
      </c>
      <c r="CW12" s="1">
        <v>28</v>
      </c>
      <c r="CX12" s="1">
        <v>28</v>
      </c>
      <c r="CY12" s="1">
        <v>27</v>
      </c>
      <c r="CZ12" s="1">
        <v>29</v>
      </c>
      <c r="DA12" s="1">
        <v>29</v>
      </c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</row>
    <row r="13" spans="1:1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  <c r="BS13">
        <v>689</v>
      </c>
      <c r="BT13">
        <v>743</v>
      </c>
      <c r="BU13">
        <v>781</v>
      </c>
      <c r="BV13">
        <v>835</v>
      </c>
      <c r="BW13">
        <v>873</v>
      </c>
      <c r="BX13">
        <v>900</v>
      </c>
      <c r="BY13">
        <v>907</v>
      </c>
      <c r="BZ13">
        <v>921</v>
      </c>
      <c r="CA13">
        <v>934</v>
      </c>
      <c r="CB13">
        <v>943</v>
      </c>
      <c r="CC13">
        <v>953</v>
      </c>
      <c r="CD13">
        <v>965</v>
      </c>
      <c r="CE13">
        <v>974</v>
      </c>
      <c r="CF13">
        <v>983</v>
      </c>
      <c r="CG13">
        <v>987</v>
      </c>
      <c r="CH13">
        <v>998</v>
      </c>
      <c r="CI13">
        <v>999</v>
      </c>
      <c r="CJ13">
        <v>1001</v>
      </c>
      <c r="CK13">
        <v>1007</v>
      </c>
      <c r="CL13">
        <v>1015</v>
      </c>
      <c r="CM13">
        <v>1019</v>
      </c>
      <c r="CN13">
        <v>1019</v>
      </c>
      <c r="CO13">
        <v>1024</v>
      </c>
      <c r="CP13">
        <v>1024</v>
      </c>
      <c r="CQ13">
        <v>1026</v>
      </c>
      <c r="CR13">
        <v>1026</v>
      </c>
      <c r="CS13">
        <v>1026</v>
      </c>
      <c r="CT13">
        <v>1030</v>
      </c>
      <c r="CU13" s="1">
        <v>1033</v>
      </c>
      <c r="CV13" s="1">
        <v>1034</v>
      </c>
      <c r="CW13" s="1">
        <v>1033</v>
      </c>
      <c r="CX13" s="1">
        <v>1033</v>
      </c>
      <c r="CY13" s="1">
        <v>1034</v>
      </c>
      <c r="CZ13" s="1">
        <v>1035</v>
      </c>
      <c r="DA13" s="1">
        <v>1038</v>
      </c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</row>
    <row r="14" spans="1:1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  <c r="BS14">
        <v>305</v>
      </c>
      <c r="BT14">
        <v>337</v>
      </c>
      <c r="BU14">
        <v>367</v>
      </c>
      <c r="BV14">
        <v>367</v>
      </c>
      <c r="BW14">
        <v>396</v>
      </c>
      <c r="BX14">
        <v>407</v>
      </c>
      <c r="BY14">
        <v>407</v>
      </c>
      <c r="BZ14">
        <v>411</v>
      </c>
      <c r="CA14">
        <v>411</v>
      </c>
      <c r="CB14">
        <v>415</v>
      </c>
      <c r="CC14">
        <v>420</v>
      </c>
      <c r="CD14">
        <v>428</v>
      </c>
      <c r="CE14">
        <v>429</v>
      </c>
      <c r="CF14">
        <v>429</v>
      </c>
      <c r="CG14">
        <v>429</v>
      </c>
      <c r="CH14">
        <v>433</v>
      </c>
      <c r="CI14">
        <v>433</v>
      </c>
      <c r="CJ14">
        <v>433</v>
      </c>
      <c r="CK14">
        <v>435</v>
      </c>
      <c r="CL14">
        <v>435</v>
      </c>
      <c r="CM14">
        <v>435</v>
      </c>
      <c r="CN14">
        <v>435</v>
      </c>
      <c r="CO14">
        <v>437</v>
      </c>
      <c r="CP14">
        <v>438</v>
      </c>
      <c r="CQ14">
        <v>438</v>
      </c>
      <c r="CR14">
        <v>438</v>
      </c>
      <c r="CS14">
        <v>438</v>
      </c>
      <c r="CT14">
        <v>438</v>
      </c>
      <c r="CU14" s="1">
        <v>438</v>
      </c>
      <c r="CV14" s="1">
        <v>438</v>
      </c>
      <c r="CW14" s="1">
        <v>438</v>
      </c>
      <c r="CX14" s="1">
        <v>438</v>
      </c>
      <c r="CY14" s="1">
        <v>438</v>
      </c>
      <c r="CZ14" s="1">
        <v>438</v>
      </c>
      <c r="DA14" s="1">
        <v>438</v>
      </c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</row>
    <row r="15" spans="1:198" x14ac:dyDescent="0.4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  <c r="BS15">
        <v>66</v>
      </c>
      <c r="BT15">
        <v>69</v>
      </c>
      <c r="BU15">
        <v>69</v>
      </c>
      <c r="BV15">
        <v>72</v>
      </c>
      <c r="BW15">
        <v>74</v>
      </c>
      <c r="BX15">
        <v>80</v>
      </c>
      <c r="BY15">
        <v>82</v>
      </c>
      <c r="BZ15">
        <v>86</v>
      </c>
      <c r="CA15">
        <v>89</v>
      </c>
      <c r="CB15">
        <v>98</v>
      </c>
      <c r="CC15">
        <v>111</v>
      </c>
      <c r="CD15">
        <v>122</v>
      </c>
      <c r="CE15">
        <v>133</v>
      </c>
      <c r="CF15">
        <v>133</v>
      </c>
      <c r="CG15">
        <v>144</v>
      </c>
      <c r="CH15">
        <v>165</v>
      </c>
      <c r="CI15">
        <v>165</v>
      </c>
      <c r="CJ15">
        <v>169</v>
      </c>
      <c r="CK15">
        <v>180</v>
      </c>
      <c r="CL15">
        <v>188</v>
      </c>
      <c r="CM15">
        <v>195</v>
      </c>
      <c r="CN15">
        <v>200</v>
      </c>
      <c r="CO15">
        <v>201</v>
      </c>
      <c r="CP15">
        <v>205</v>
      </c>
      <c r="CQ15">
        <v>207</v>
      </c>
      <c r="CR15">
        <v>207</v>
      </c>
      <c r="CS15">
        <v>207</v>
      </c>
      <c r="CT15">
        <v>212</v>
      </c>
      <c r="CU15" s="1">
        <v>214</v>
      </c>
      <c r="CV15" s="1">
        <v>218</v>
      </c>
      <c r="CW15" s="1">
        <v>219</v>
      </c>
      <c r="CX15" s="1">
        <v>221</v>
      </c>
      <c r="CY15" s="1">
        <v>221</v>
      </c>
      <c r="CZ15" s="1">
        <v>221</v>
      </c>
      <c r="DA15" s="1">
        <v>221</v>
      </c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</row>
    <row r="16" spans="1:1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  <c r="BS16">
        <v>821</v>
      </c>
      <c r="BT16">
        <v>917</v>
      </c>
      <c r="BU16">
        <v>968</v>
      </c>
      <c r="BV16">
        <v>1036</v>
      </c>
      <c r="BW16">
        <v>1085</v>
      </c>
      <c r="BX16">
        <v>1115</v>
      </c>
      <c r="BY16">
        <v>1135</v>
      </c>
      <c r="BZ16">
        <v>1158</v>
      </c>
      <c r="CA16">
        <v>1191</v>
      </c>
      <c r="CB16">
        <v>1212</v>
      </c>
      <c r="CC16">
        <v>1228</v>
      </c>
      <c r="CD16">
        <v>1241</v>
      </c>
      <c r="CE16">
        <v>1265</v>
      </c>
      <c r="CF16">
        <v>1268</v>
      </c>
      <c r="CG16">
        <v>1281</v>
      </c>
      <c r="CH16">
        <v>1291</v>
      </c>
      <c r="CI16">
        <v>1299</v>
      </c>
      <c r="CJ16">
        <v>1299</v>
      </c>
      <c r="CK16">
        <v>1302</v>
      </c>
      <c r="CL16">
        <v>1319</v>
      </c>
      <c r="CM16">
        <v>1328</v>
      </c>
      <c r="CN16">
        <v>1329</v>
      </c>
      <c r="CO16">
        <v>1336</v>
      </c>
      <c r="CP16">
        <v>1336</v>
      </c>
      <c r="CQ16">
        <v>1337</v>
      </c>
      <c r="CR16">
        <v>1343</v>
      </c>
      <c r="CS16">
        <v>1346</v>
      </c>
      <c r="CT16">
        <v>1349</v>
      </c>
      <c r="CU16" s="1">
        <v>1349</v>
      </c>
      <c r="CV16" s="1">
        <v>1354</v>
      </c>
      <c r="CW16" s="1">
        <v>1361</v>
      </c>
      <c r="CX16" s="1">
        <v>1364</v>
      </c>
      <c r="CY16" s="1">
        <v>1371</v>
      </c>
      <c r="CZ16" s="1">
        <v>1384</v>
      </c>
      <c r="DA16" s="1">
        <v>1406</v>
      </c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</row>
    <row r="17" spans="1:198" x14ac:dyDescent="0.4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  <c r="BS17">
        <v>355</v>
      </c>
      <c r="BT17">
        <v>364</v>
      </c>
      <c r="BU17">
        <v>392</v>
      </c>
      <c r="BV17">
        <v>400</v>
      </c>
      <c r="BW17">
        <v>400</v>
      </c>
      <c r="BX17">
        <v>436</v>
      </c>
      <c r="BY17">
        <v>453</v>
      </c>
      <c r="BZ17">
        <v>460</v>
      </c>
      <c r="CA17">
        <v>460</v>
      </c>
      <c r="CB17">
        <v>481</v>
      </c>
      <c r="CC17">
        <v>495</v>
      </c>
      <c r="CD17">
        <v>506</v>
      </c>
      <c r="CE17">
        <v>514</v>
      </c>
      <c r="CF17">
        <v>514</v>
      </c>
      <c r="CG17">
        <v>517</v>
      </c>
      <c r="CH17">
        <v>527</v>
      </c>
      <c r="CI17">
        <v>527</v>
      </c>
      <c r="CJ17">
        <v>532</v>
      </c>
      <c r="CK17">
        <v>541</v>
      </c>
      <c r="CL17">
        <v>544</v>
      </c>
      <c r="CM17">
        <v>545</v>
      </c>
      <c r="CN17">
        <v>545</v>
      </c>
      <c r="CO17">
        <v>546</v>
      </c>
      <c r="CP17">
        <v>546</v>
      </c>
      <c r="CQ17">
        <v>546</v>
      </c>
      <c r="CR17">
        <v>548</v>
      </c>
      <c r="CS17">
        <v>549</v>
      </c>
      <c r="CT17">
        <v>549</v>
      </c>
      <c r="CU17" s="1">
        <v>549</v>
      </c>
      <c r="CV17" s="1">
        <v>550</v>
      </c>
      <c r="CW17" s="1">
        <v>551</v>
      </c>
      <c r="CX17" s="1">
        <v>551</v>
      </c>
      <c r="CY17" s="1">
        <v>551</v>
      </c>
      <c r="CZ17" s="1">
        <v>551</v>
      </c>
      <c r="DA17" s="1">
        <v>551</v>
      </c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</row>
    <row r="18" spans="1:198" x14ac:dyDescent="0.4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  <c r="BS18">
        <v>9618</v>
      </c>
      <c r="BT18">
        <v>10180</v>
      </c>
      <c r="BU18">
        <v>10711</v>
      </c>
      <c r="BV18">
        <v>11129</v>
      </c>
      <c r="BW18">
        <v>11524</v>
      </c>
      <c r="BX18">
        <v>11781</v>
      </c>
      <c r="BY18">
        <v>12051</v>
      </c>
      <c r="BZ18">
        <v>12297</v>
      </c>
      <c r="CA18">
        <v>12639</v>
      </c>
      <c r="CB18">
        <v>12942</v>
      </c>
      <c r="CC18">
        <v>13244</v>
      </c>
      <c r="CD18">
        <v>13555</v>
      </c>
      <c r="CE18">
        <v>13806</v>
      </c>
      <c r="CF18">
        <v>13945</v>
      </c>
      <c r="CG18">
        <v>14041</v>
      </c>
      <c r="CH18">
        <v>14226</v>
      </c>
      <c r="CI18">
        <v>14336</v>
      </c>
      <c r="CJ18">
        <v>14476</v>
      </c>
      <c r="CK18">
        <v>14595</v>
      </c>
      <c r="CL18">
        <v>14671</v>
      </c>
      <c r="CM18">
        <v>14749</v>
      </c>
      <c r="CN18">
        <v>14795</v>
      </c>
      <c r="CO18">
        <v>14873</v>
      </c>
      <c r="CP18">
        <v>14925</v>
      </c>
      <c r="CQ18">
        <v>15002</v>
      </c>
      <c r="CR18">
        <v>15071</v>
      </c>
      <c r="CS18">
        <v>15148</v>
      </c>
      <c r="CT18">
        <v>15225</v>
      </c>
      <c r="CU18" s="1">
        <v>15274</v>
      </c>
      <c r="CV18" s="1">
        <v>15357</v>
      </c>
      <c r="CW18" s="1">
        <v>15402</v>
      </c>
      <c r="CX18" s="1">
        <v>15452</v>
      </c>
      <c r="CY18" s="1">
        <v>15531</v>
      </c>
      <c r="CZ18" s="1">
        <v>15558</v>
      </c>
      <c r="DA18" s="1">
        <v>15597</v>
      </c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</row>
    <row r="19" spans="1:198" x14ac:dyDescent="0.4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  <c r="BS19">
        <v>273</v>
      </c>
      <c r="BT19">
        <v>298</v>
      </c>
      <c r="BU19">
        <v>359</v>
      </c>
      <c r="BV19">
        <v>400</v>
      </c>
      <c r="BW19">
        <v>443</v>
      </c>
      <c r="BX19">
        <v>521</v>
      </c>
      <c r="BY19">
        <v>584</v>
      </c>
      <c r="BZ19">
        <v>641</v>
      </c>
      <c r="CA19">
        <v>717</v>
      </c>
      <c r="CB19">
        <v>822</v>
      </c>
      <c r="CC19">
        <v>926</v>
      </c>
      <c r="CD19">
        <v>991</v>
      </c>
      <c r="CE19">
        <v>1058</v>
      </c>
      <c r="CF19">
        <v>1098</v>
      </c>
      <c r="CG19">
        <v>1148</v>
      </c>
      <c r="CH19">
        <v>1197</v>
      </c>
      <c r="CI19">
        <v>1253</v>
      </c>
      <c r="CJ19">
        <v>1283</v>
      </c>
      <c r="CK19">
        <v>1340</v>
      </c>
      <c r="CL19">
        <v>1373</v>
      </c>
      <c r="CM19">
        <v>1398</v>
      </c>
      <c r="CN19">
        <v>1436</v>
      </c>
      <c r="CO19">
        <v>1480</v>
      </c>
      <c r="CP19">
        <v>1518</v>
      </c>
      <c r="CQ19">
        <v>1548</v>
      </c>
      <c r="CR19">
        <v>1592</v>
      </c>
      <c r="CS19">
        <v>1617</v>
      </c>
      <c r="CT19">
        <v>1645</v>
      </c>
      <c r="CU19" s="1">
        <v>1678</v>
      </c>
      <c r="CV19" s="1">
        <v>1717</v>
      </c>
      <c r="CW19" s="1">
        <v>1766</v>
      </c>
      <c r="CX19" s="1">
        <v>1804</v>
      </c>
      <c r="CY19" s="1">
        <v>1854</v>
      </c>
      <c r="CZ19" s="1">
        <v>1894</v>
      </c>
      <c r="DA19" s="1">
        <v>1932</v>
      </c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</row>
    <row r="20" spans="1:198" x14ac:dyDescent="0.45">
      <c r="A20" s="1" t="s">
        <v>2</v>
      </c>
      <c r="B20" s="1" t="s">
        <v>246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  <c r="BS20">
        <v>14</v>
      </c>
      <c r="BT20">
        <v>14</v>
      </c>
      <c r="BU20">
        <v>21</v>
      </c>
      <c r="BV20">
        <v>24</v>
      </c>
      <c r="BW20">
        <v>24</v>
      </c>
      <c r="BX20">
        <v>28</v>
      </c>
      <c r="BY20">
        <v>28</v>
      </c>
      <c r="BZ20">
        <v>29</v>
      </c>
      <c r="CA20">
        <v>33</v>
      </c>
      <c r="CB20">
        <v>40</v>
      </c>
      <c r="CC20">
        <v>41</v>
      </c>
      <c r="CD20">
        <v>42</v>
      </c>
      <c r="CE20">
        <v>46</v>
      </c>
      <c r="CF20">
        <v>46</v>
      </c>
      <c r="CG20">
        <v>47</v>
      </c>
      <c r="CH20">
        <v>49</v>
      </c>
      <c r="CI20">
        <v>49</v>
      </c>
      <c r="CJ20">
        <v>53</v>
      </c>
      <c r="CK20">
        <v>54</v>
      </c>
      <c r="CL20">
        <v>55</v>
      </c>
      <c r="CM20">
        <v>55</v>
      </c>
      <c r="CN20">
        <v>60</v>
      </c>
      <c r="CO20">
        <v>65</v>
      </c>
      <c r="CP20">
        <v>65</v>
      </c>
      <c r="CQ20">
        <v>72</v>
      </c>
      <c r="CR20">
        <v>73</v>
      </c>
      <c r="CS20">
        <v>78</v>
      </c>
      <c r="CT20">
        <v>80</v>
      </c>
      <c r="CU20" s="1">
        <v>80</v>
      </c>
      <c r="CV20" s="1">
        <v>80</v>
      </c>
      <c r="CW20" s="1">
        <v>80</v>
      </c>
      <c r="CX20" s="1">
        <v>81</v>
      </c>
      <c r="CY20" s="1">
        <v>81</v>
      </c>
      <c r="CZ20" s="1">
        <v>83</v>
      </c>
      <c r="DA20" s="1">
        <v>83</v>
      </c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</row>
    <row r="21" spans="1:198" x14ac:dyDescent="0.4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  <c r="BS21">
        <v>515</v>
      </c>
      <c r="BT21">
        <v>567</v>
      </c>
      <c r="BU21">
        <v>569</v>
      </c>
      <c r="BV21">
        <v>643</v>
      </c>
      <c r="BW21">
        <v>672</v>
      </c>
      <c r="BX21">
        <v>688</v>
      </c>
      <c r="BY21">
        <v>700</v>
      </c>
      <c r="BZ21">
        <v>756</v>
      </c>
      <c r="CA21">
        <v>811</v>
      </c>
      <c r="CB21">
        <v>823</v>
      </c>
      <c r="CC21">
        <v>887</v>
      </c>
      <c r="CD21">
        <v>925</v>
      </c>
      <c r="CE21">
        <v>1040</v>
      </c>
      <c r="CF21">
        <v>1136</v>
      </c>
      <c r="CG21">
        <v>1361</v>
      </c>
      <c r="CH21">
        <v>1528</v>
      </c>
      <c r="CI21">
        <v>1671</v>
      </c>
      <c r="CJ21">
        <v>1700</v>
      </c>
      <c r="CK21">
        <v>1740</v>
      </c>
      <c r="CL21">
        <v>1773</v>
      </c>
      <c r="CM21">
        <v>1881</v>
      </c>
      <c r="CN21">
        <v>1907</v>
      </c>
      <c r="CO21">
        <v>1973</v>
      </c>
      <c r="CP21">
        <v>2027</v>
      </c>
      <c r="CQ21">
        <v>2217</v>
      </c>
      <c r="CR21">
        <v>2518</v>
      </c>
      <c r="CS21">
        <v>2588</v>
      </c>
      <c r="CT21">
        <v>2647</v>
      </c>
      <c r="CU21" s="1">
        <v>2723</v>
      </c>
      <c r="CV21" s="1">
        <v>2811</v>
      </c>
      <c r="CW21" s="1">
        <v>2921</v>
      </c>
      <c r="CX21" s="1">
        <v>3040</v>
      </c>
      <c r="CY21" s="1">
        <v>3170</v>
      </c>
      <c r="CZ21" s="1">
        <v>3284</v>
      </c>
      <c r="DA21" s="1">
        <v>3383</v>
      </c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</row>
    <row r="22" spans="1:198" x14ac:dyDescent="0.4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  <c r="BS22">
        <v>49</v>
      </c>
      <c r="BT22">
        <v>51</v>
      </c>
      <c r="BU22">
        <v>54</v>
      </c>
      <c r="BV22">
        <v>56</v>
      </c>
      <c r="BW22">
        <v>61</v>
      </c>
      <c r="BX22">
        <v>70</v>
      </c>
      <c r="BY22">
        <v>88</v>
      </c>
      <c r="BZ22">
        <v>123</v>
      </c>
      <c r="CA22">
        <v>164</v>
      </c>
      <c r="CB22">
        <v>218</v>
      </c>
      <c r="CC22">
        <v>330</v>
      </c>
      <c r="CD22">
        <v>424</v>
      </c>
      <c r="CE22">
        <v>482</v>
      </c>
      <c r="CF22">
        <v>621</v>
      </c>
      <c r="CG22">
        <v>803</v>
      </c>
      <c r="CH22">
        <v>1012</v>
      </c>
      <c r="CI22">
        <v>1231</v>
      </c>
      <c r="CJ22">
        <v>1572</v>
      </c>
      <c r="CK22">
        <v>1838</v>
      </c>
      <c r="CL22">
        <v>2144</v>
      </c>
      <c r="CM22">
        <v>2456</v>
      </c>
      <c r="CN22">
        <v>2948</v>
      </c>
      <c r="CO22">
        <v>3382</v>
      </c>
      <c r="CP22">
        <v>3772</v>
      </c>
      <c r="CQ22">
        <v>4186</v>
      </c>
      <c r="CR22">
        <v>4689</v>
      </c>
      <c r="CS22">
        <v>4998</v>
      </c>
      <c r="CT22">
        <v>5416</v>
      </c>
      <c r="CU22" s="1">
        <v>5913</v>
      </c>
      <c r="CV22" s="1">
        <v>6462</v>
      </c>
      <c r="CW22" s="1">
        <v>7103</v>
      </c>
      <c r="CX22" s="1">
        <v>7667</v>
      </c>
      <c r="CY22" s="1">
        <v>8238</v>
      </c>
      <c r="CZ22" s="1">
        <v>8790</v>
      </c>
      <c r="DA22" s="1">
        <v>9455</v>
      </c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</row>
    <row r="23" spans="1:198" x14ac:dyDescent="0.4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  <c r="BS23">
        <v>33</v>
      </c>
      <c r="BT23">
        <v>34</v>
      </c>
      <c r="BU23">
        <v>34</v>
      </c>
      <c r="BV23">
        <v>46</v>
      </c>
      <c r="BW23">
        <v>51</v>
      </c>
      <c r="BX23">
        <v>52</v>
      </c>
      <c r="BY23">
        <v>56</v>
      </c>
      <c r="BZ23">
        <v>60</v>
      </c>
      <c r="CA23">
        <v>63</v>
      </c>
      <c r="CB23">
        <v>63</v>
      </c>
      <c r="CC23">
        <v>66</v>
      </c>
      <c r="CD23">
        <v>67</v>
      </c>
      <c r="CE23">
        <v>68</v>
      </c>
      <c r="CF23">
        <v>71</v>
      </c>
      <c r="CG23">
        <v>72</v>
      </c>
      <c r="CH23">
        <v>72</v>
      </c>
      <c r="CI23">
        <v>73</v>
      </c>
      <c r="CJ23">
        <v>75</v>
      </c>
      <c r="CK23">
        <v>75</v>
      </c>
      <c r="CL23">
        <v>75</v>
      </c>
      <c r="CM23">
        <v>75</v>
      </c>
      <c r="CN23">
        <v>75</v>
      </c>
      <c r="CO23">
        <v>75</v>
      </c>
      <c r="CP23">
        <v>75</v>
      </c>
      <c r="CQ23">
        <v>76</v>
      </c>
      <c r="CR23">
        <v>77</v>
      </c>
      <c r="CS23">
        <v>79</v>
      </c>
      <c r="CT23">
        <v>79</v>
      </c>
      <c r="CU23" s="1">
        <v>80</v>
      </c>
      <c r="CV23" s="1">
        <v>80</v>
      </c>
      <c r="CW23" s="1">
        <v>80</v>
      </c>
      <c r="CX23" s="1">
        <v>81</v>
      </c>
      <c r="CY23" s="1">
        <v>81</v>
      </c>
      <c r="CZ23" s="1">
        <v>81</v>
      </c>
      <c r="DA23" s="1">
        <v>82</v>
      </c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</row>
    <row r="24" spans="1:198" x14ac:dyDescent="0.4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  <c r="BS24">
        <v>152</v>
      </c>
      <c r="BT24">
        <v>152</v>
      </c>
      <c r="BU24">
        <v>163</v>
      </c>
      <c r="BV24">
        <v>304</v>
      </c>
      <c r="BW24">
        <v>351</v>
      </c>
      <c r="BX24">
        <v>440</v>
      </c>
      <c r="BY24">
        <v>562</v>
      </c>
      <c r="BZ24">
        <v>700</v>
      </c>
      <c r="CA24">
        <v>861</v>
      </c>
      <c r="CB24">
        <v>1066</v>
      </c>
      <c r="CC24">
        <v>1486</v>
      </c>
      <c r="CD24">
        <v>1981</v>
      </c>
      <c r="CE24">
        <v>2226</v>
      </c>
      <c r="CF24">
        <v>2578</v>
      </c>
      <c r="CG24">
        <v>2919</v>
      </c>
      <c r="CH24">
        <v>3281</v>
      </c>
      <c r="CI24">
        <v>3728</v>
      </c>
      <c r="CJ24">
        <v>4204</v>
      </c>
      <c r="CK24">
        <v>4779</v>
      </c>
      <c r="CL24">
        <v>4779</v>
      </c>
      <c r="CM24">
        <v>4779</v>
      </c>
      <c r="CN24">
        <v>6264</v>
      </c>
      <c r="CO24">
        <v>6723</v>
      </c>
      <c r="CP24">
        <v>7281</v>
      </c>
      <c r="CQ24">
        <v>8022</v>
      </c>
      <c r="CR24">
        <v>8773</v>
      </c>
      <c r="CS24">
        <v>9590</v>
      </c>
      <c r="CT24">
        <v>10463</v>
      </c>
      <c r="CU24" s="1">
        <v>11289</v>
      </c>
      <c r="CV24" s="1">
        <v>12208</v>
      </c>
      <c r="CW24" s="1">
        <v>13181</v>
      </c>
      <c r="CX24" s="1">
        <v>14027</v>
      </c>
      <c r="CY24" s="1">
        <v>14917</v>
      </c>
      <c r="CZ24" s="1">
        <v>15828</v>
      </c>
      <c r="DA24" s="1">
        <v>16705</v>
      </c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</row>
    <row r="25" spans="1:198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  <c r="BS25">
        <v>11899</v>
      </c>
      <c r="BT25">
        <v>12775</v>
      </c>
      <c r="BU25">
        <v>13964</v>
      </c>
      <c r="BV25">
        <v>15348</v>
      </c>
      <c r="BW25">
        <v>16770</v>
      </c>
      <c r="BX25">
        <v>18431</v>
      </c>
      <c r="BY25">
        <v>19691</v>
      </c>
      <c r="BZ25">
        <v>20814</v>
      </c>
      <c r="CA25">
        <v>22194</v>
      </c>
      <c r="CB25">
        <v>23403</v>
      </c>
      <c r="CC25">
        <v>24983</v>
      </c>
      <c r="CD25">
        <v>26667</v>
      </c>
      <c r="CE25">
        <v>28018</v>
      </c>
      <c r="CF25">
        <v>29647</v>
      </c>
      <c r="CG25">
        <v>30589</v>
      </c>
      <c r="CH25">
        <v>31119</v>
      </c>
      <c r="CI25">
        <v>33573</v>
      </c>
      <c r="CJ25">
        <v>34809</v>
      </c>
      <c r="CK25">
        <v>36138</v>
      </c>
      <c r="CL25">
        <v>37183</v>
      </c>
      <c r="CM25">
        <v>38496</v>
      </c>
      <c r="CN25">
        <v>39983</v>
      </c>
      <c r="CO25">
        <v>40956</v>
      </c>
      <c r="CP25">
        <v>41889</v>
      </c>
      <c r="CQ25">
        <v>42797</v>
      </c>
      <c r="CR25">
        <v>44293</v>
      </c>
      <c r="CS25">
        <v>45325</v>
      </c>
      <c r="CT25">
        <v>46134</v>
      </c>
      <c r="CU25" s="1">
        <v>46687</v>
      </c>
      <c r="CV25" s="1">
        <v>47334</v>
      </c>
      <c r="CW25" s="1">
        <v>47859</v>
      </c>
      <c r="CX25" s="1">
        <v>48519</v>
      </c>
      <c r="CY25" s="1">
        <v>49032</v>
      </c>
      <c r="CZ25" s="1">
        <v>49517</v>
      </c>
      <c r="DA25" s="1">
        <v>49906</v>
      </c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</row>
    <row r="26" spans="1:198" x14ac:dyDescent="0.4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9</v>
      </c>
      <c r="BU26">
        <v>13</v>
      </c>
      <c r="BV26">
        <v>13</v>
      </c>
      <c r="BW26">
        <v>16</v>
      </c>
      <c r="BX26">
        <v>16</v>
      </c>
      <c r="BY26">
        <v>22</v>
      </c>
      <c r="BZ26">
        <v>26</v>
      </c>
      <c r="CA26">
        <v>26</v>
      </c>
      <c r="CB26">
        <v>26</v>
      </c>
      <c r="CC26">
        <v>26</v>
      </c>
      <c r="CD26">
        <v>35</v>
      </c>
      <c r="CE26">
        <v>35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54</v>
      </c>
      <c r="CO26">
        <v>54</v>
      </c>
      <c r="CP26">
        <v>54</v>
      </c>
      <c r="CQ26">
        <v>54</v>
      </c>
      <c r="CR26">
        <v>54</v>
      </c>
      <c r="CS26">
        <v>54</v>
      </c>
      <c r="CT26">
        <v>64</v>
      </c>
      <c r="CU26" s="1">
        <v>64</v>
      </c>
      <c r="CV26" s="1">
        <v>64</v>
      </c>
      <c r="CW26" s="1">
        <v>64</v>
      </c>
      <c r="CX26" s="1">
        <v>64</v>
      </c>
      <c r="CY26" s="1">
        <v>90</v>
      </c>
      <c r="CZ26" s="1">
        <v>90</v>
      </c>
      <c r="DA26" s="1">
        <v>90</v>
      </c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</row>
    <row r="27" spans="1:198" x14ac:dyDescent="0.4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  <c r="BS27">
        <v>4</v>
      </c>
      <c r="BT27">
        <v>4</v>
      </c>
      <c r="BU27">
        <v>4</v>
      </c>
      <c r="BV27">
        <v>5</v>
      </c>
      <c r="BW27">
        <v>5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  <c r="CM27">
        <v>5</v>
      </c>
      <c r="CN27">
        <v>5</v>
      </c>
      <c r="CO27">
        <v>6</v>
      </c>
      <c r="CP27">
        <v>6</v>
      </c>
      <c r="CQ27">
        <v>7</v>
      </c>
      <c r="CR27">
        <v>7</v>
      </c>
      <c r="CS27">
        <v>7</v>
      </c>
      <c r="CT27">
        <v>7</v>
      </c>
      <c r="CU27" s="1">
        <v>7</v>
      </c>
      <c r="CV27" s="1">
        <v>7</v>
      </c>
      <c r="CW27" s="1">
        <v>7</v>
      </c>
      <c r="CX27" s="1">
        <v>7</v>
      </c>
      <c r="CY27" s="1">
        <v>7</v>
      </c>
      <c r="CZ27" s="1">
        <v>7</v>
      </c>
      <c r="DA27" s="1">
        <v>7</v>
      </c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</row>
    <row r="28" spans="1:198" x14ac:dyDescent="0.4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  <c r="BS28">
        <v>97</v>
      </c>
      <c r="BT28">
        <v>107</v>
      </c>
      <c r="BU28">
        <v>115</v>
      </c>
      <c r="BV28">
        <v>123</v>
      </c>
      <c r="BW28">
        <v>132</v>
      </c>
      <c r="BX28">
        <v>139</v>
      </c>
      <c r="BY28">
        <v>157</v>
      </c>
      <c r="BZ28">
        <v>183</v>
      </c>
      <c r="CA28">
        <v>194</v>
      </c>
      <c r="CB28">
        <v>210</v>
      </c>
      <c r="CC28">
        <v>264</v>
      </c>
      <c r="CD28">
        <v>268</v>
      </c>
      <c r="CE28">
        <v>275</v>
      </c>
      <c r="CF28">
        <v>300</v>
      </c>
      <c r="CG28">
        <v>330</v>
      </c>
      <c r="CH28">
        <v>354</v>
      </c>
      <c r="CI28">
        <v>397</v>
      </c>
      <c r="CJ28">
        <v>441</v>
      </c>
      <c r="CK28">
        <v>465</v>
      </c>
      <c r="CL28">
        <v>493</v>
      </c>
      <c r="CM28">
        <v>520</v>
      </c>
      <c r="CN28">
        <v>564</v>
      </c>
      <c r="CO28">
        <v>598</v>
      </c>
      <c r="CP28">
        <v>609</v>
      </c>
      <c r="CQ28">
        <v>703</v>
      </c>
      <c r="CR28">
        <v>807</v>
      </c>
      <c r="CS28">
        <v>866</v>
      </c>
      <c r="CT28">
        <v>950</v>
      </c>
      <c r="CU28" s="1">
        <v>1014</v>
      </c>
      <c r="CV28" s="1">
        <v>1014</v>
      </c>
      <c r="CW28" s="1">
        <v>1110</v>
      </c>
      <c r="CX28" s="1">
        <v>1110</v>
      </c>
      <c r="CY28" s="1">
        <v>1229</v>
      </c>
      <c r="CZ28" s="1">
        <v>1229</v>
      </c>
      <c r="DA28" s="1">
        <v>1594</v>
      </c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</row>
    <row r="29" spans="1:198" x14ac:dyDescent="0.4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  <c r="BS29">
        <v>368</v>
      </c>
      <c r="BT29">
        <v>420</v>
      </c>
      <c r="BU29">
        <v>459</v>
      </c>
      <c r="BV29">
        <v>533</v>
      </c>
      <c r="BW29">
        <v>579</v>
      </c>
      <c r="BX29">
        <v>624</v>
      </c>
      <c r="BY29">
        <v>654</v>
      </c>
      <c r="BZ29">
        <v>674</v>
      </c>
      <c r="CA29">
        <v>764</v>
      </c>
      <c r="CB29">
        <v>804</v>
      </c>
      <c r="CC29">
        <v>858</v>
      </c>
      <c r="CD29">
        <v>901</v>
      </c>
      <c r="CE29">
        <v>946</v>
      </c>
      <c r="CF29">
        <v>1009</v>
      </c>
      <c r="CG29">
        <v>1037</v>
      </c>
      <c r="CH29">
        <v>1083</v>
      </c>
      <c r="CI29">
        <v>1110</v>
      </c>
      <c r="CJ29">
        <v>1167</v>
      </c>
      <c r="CK29">
        <v>1214</v>
      </c>
      <c r="CL29">
        <v>1268</v>
      </c>
      <c r="CM29">
        <v>1285</v>
      </c>
      <c r="CN29">
        <v>1309</v>
      </c>
      <c r="CO29">
        <v>1342</v>
      </c>
      <c r="CP29">
        <v>1368</v>
      </c>
      <c r="CQ29">
        <v>1413</v>
      </c>
      <c r="CR29">
        <v>1421</v>
      </c>
      <c r="CS29">
        <v>1486</v>
      </c>
      <c r="CT29">
        <v>1516</v>
      </c>
      <c r="CU29" s="1">
        <v>1565</v>
      </c>
      <c r="CV29" s="1">
        <v>1585</v>
      </c>
      <c r="CW29" s="1">
        <v>1677</v>
      </c>
      <c r="CX29" s="1">
        <v>1757</v>
      </c>
      <c r="CY29" s="1">
        <v>1781</v>
      </c>
      <c r="CZ29" s="1">
        <v>1839</v>
      </c>
      <c r="DA29" s="1">
        <v>1857</v>
      </c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</row>
    <row r="30" spans="1:198" x14ac:dyDescent="0.4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  <c r="BS30">
        <v>4579</v>
      </c>
      <c r="BT30">
        <v>5717</v>
      </c>
      <c r="BU30">
        <v>6836</v>
      </c>
      <c r="BV30">
        <v>8044</v>
      </c>
      <c r="BW30">
        <v>9056</v>
      </c>
      <c r="BX30">
        <v>10360</v>
      </c>
      <c r="BY30">
        <v>11130</v>
      </c>
      <c r="BZ30">
        <v>12161</v>
      </c>
      <c r="CA30">
        <v>14034</v>
      </c>
      <c r="CB30">
        <v>16170</v>
      </c>
      <c r="CC30">
        <v>18092</v>
      </c>
      <c r="CD30">
        <v>19638</v>
      </c>
      <c r="CE30">
        <v>20727</v>
      </c>
      <c r="CF30">
        <v>22192</v>
      </c>
      <c r="CG30">
        <v>23430</v>
      </c>
      <c r="CH30">
        <v>25262</v>
      </c>
      <c r="CI30">
        <v>28320</v>
      </c>
      <c r="CJ30">
        <v>30425</v>
      </c>
      <c r="CK30">
        <v>33682</v>
      </c>
      <c r="CL30">
        <v>36658</v>
      </c>
      <c r="CM30">
        <v>38654</v>
      </c>
      <c r="CN30">
        <v>40743</v>
      </c>
      <c r="CO30">
        <v>43079</v>
      </c>
      <c r="CP30">
        <v>45757</v>
      </c>
      <c r="CQ30">
        <v>50036</v>
      </c>
      <c r="CR30">
        <v>54043</v>
      </c>
      <c r="CS30">
        <v>59324</v>
      </c>
      <c r="CT30">
        <v>63100</v>
      </c>
      <c r="CU30" s="1">
        <v>67446</v>
      </c>
      <c r="CV30" s="1">
        <v>73235</v>
      </c>
      <c r="CW30" s="1">
        <v>79685</v>
      </c>
      <c r="CX30" s="1">
        <v>87187</v>
      </c>
      <c r="CY30" s="1">
        <v>92202</v>
      </c>
      <c r="CZ30" s="1">
        <v>97100</v>
      </c>
      <c r="DA30" s="1">
        <v>101826</v>
      </c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</row>
    <row r="31" spans="1:198" x14ac:dyDescent="0.4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  <c r="BS31">
        <v>127</v>
      </c>
      <c r="BT31">
        <v>129</v>
      </c>
      <c r="BU31">
        <v>131</v>
      </c>
      <c r="BV31">
        <v>133</v>
      </c>
      <c r="BW31">
        <v>134</v>
      </c>
      <c r="BX31">
        <v>135</v>
      </c>
      <c r="BY31">
        <v>135</v>
      </c>
      <c r="BZ31">
        <v>135</v>
      </c>
      <c r="CA31">
        <v>135</v>
      </c>
      <c r="CB31">
        <v>135</v>
      </c>
      <c r="CC31">
        <v>135</v>
      </c>
      <c r="CD31">
        <v>136</v>
      </c>
      <c r="CE31">
        <v>136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137</v>
      </c>
      <c r="CM31">
        <v>138</v>
      </c>
      <c r="CN31">
        <v>138</v>
      </c>
      <c r="CO31">
        <v>138</v>
      </c>
      <c r="CP31">
        <v>138</v>
      </c>
      <c r="CQ31">
        <v>138</v>
      </c>
      <c r="CR31">
        <v>138</v>
      </c>
      <c r="CS31">
        <v>138</v>
      </c>
      <c r="CT31">
        <v>138</v>
      </c>
      <c r="CU31" s="1">
        <v>138</v>
      </c>
      <c r="CV31" s="1">
        <v>138</v>
      </c>
      <c r="CW31" s="1">
        <v>138</v>
      </c>
      <c r="CX31" s="1">
        <v>138</v>
      </c>
      <c r="CY31" s="1">
        <v>138</v>
      </c>
      <c r="CZ31" s="1">
        <v>138</v>
      </c>
      <c r="DA31" s="1">
        <v>138</v>
      </c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</row>
    <row r="32" spans="1:198" x14ac:dyDescent="0.4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  <c r="BS32">
        <v>359</v>
      </c>
      <c r="BT32">
        <v>399</v>
      </c>
      <c r="BU32">
        <v>422</v>
      </c>
      <c r="BV32">
        <v>457</v>
      </c>
      <c r="BW32">
        <v>485</v>
      </c>
      <c r="BX32">
        <v>503</v>
      </c>
      <c r="BY32">
        <v>531</v>
      </c>
      <c r="BZ32">
        <v>549</v>
      </c>
      <c r="CA32">
        <v>577</v>
      </c>
      <c r="CB32">
        <v>593</v>
      </c>
      <c r="CC32">
        <v>618</v>
      </c>
      <c r="CD32">
        <v>635</v>
      </c>
      <c r="CE32">
        <v>661</v>
      </c>
      <c r="CF32">
        <v>675</v>
      </c>
      <c r="CG32">
        <v>685</v>
      </c>
      <c r="CH32">
        <v>713</v>
      </c>
      <c r="CI32">
        <v>747</v>
      </c>
      <c r="CJ32">
        <v>800</v>
      </c>
      <c r="CK32">
        <v>846</v>
      </c>
      <c r="CL32">
        <v>878</v>
      </c>
      <c r="CM32">
        <v>894</v>
      </c>
      <c r="CN32">
        <v>929</v>
      </c>
      <c r="CO32">
        <v>975</v>
      </c>
      <c r="CP32">
        <v>1024</v>
      </c>
      <c r="CQ32">
        <v>1097</v>
      </c>
      <c r="CR32">
        <v>1234</v>
      </c>
      <c r="CS32">
        <v>1247</v>
      </c>
      <c r="CT32">
        <v>1300</v>
      </c>
      <c r="CU32" s="1">
        <v>1363</v>
      </c>
      <c r="CV32" s="1">
        <v>1399</v>
      </c>
      <c r="CW32" s="1">
        <v>1447</v>
      </c>
      <c r="CX32" s="1">
        <v>1506</v>
      </c>
      <c r="CY32" s="1">
        <v>1555</v>
      </c>
      <c r="CZ32" s="1">
        <v>1594</v>
      </c>
      <c r="DA32" s="1">
        <v>1618</v>
      </c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</row>
    <row r="33" spans="1:198" x14ac:dyDescent="0.4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  <c r="BS33">
        <v>246</v>
      </c>
      <c r="BT33">
        <v>261</v>
      </c>
      <c r="BU33">
        <v>282</v>
      </c>
      <c r="BV33">
        <v>288</v>
      </c>
      <c r="BW33">
        <v>302</v>
      </c>
      <c r="BX33">
        <v>318</v>
      </c>
      <c r="BY33">
        <v>345</v>
      </c>
      <c r="BZ33">
        <v>364</v>
      </c>
      <c r="CA33">
        <v>384</v>
      </c>
      <c r="CB33">
        <v>414</v>
      </c>
      <c r="CC33">
        <v>443</v>
      </c>
      <c r="CD33">
        <v>443</v>
      </c>
      <c r="CE33">
        <v>484</v>
      </c>
      <c r="CF33">
        <v>497</v>
      </c>
      <c r="CG33">
        <v>497</v>
      </c>
      <c r="CH33">
        <v>528</v>
      </c>
      <c r="CI33">
        <v>542</v>
      </c>
      <c r="CJ33">
        <v>546</v>
      </c>
      <c r="CK33">
        <v>557</v>
      </c>
      <c r="CL33">
        <v>565</v>
      </c>
      <c r="CM33">
        <v>576</v>
      </c>
      <c r="CN33">
        <v>581</v>
      </c>
      <c r="CO33">
        <v>600</v>
      </c>
      <c r="CP33">
        <v>609</v>
      </c>
      <c r="CQ33">
        <v>616</v>
      </c>
      <c r="CR33">
        <v>629</v>
      </c>
      <c r="CS33">
        <v>629</v>
      </c>
      <c r="CT33">
        <v>632</v>
      </c>
      <c r="CU33" s="1">
        <v>635</v>
      </c>
      <c r="CV33" s="1">
        <v>638</v>
      </c>
      <c r="CW33" s="1">
        <v>641</v>
      </c>
      <c r="CX33" s="1">
        <v>645</v>
      </c>
      <c r="CY33" s="1">
        <v>649</v>
      </c>
      <c r="CZ33" s="1">
        <v>652</v>
      </c>
      <c r="DA33" s="1">
        <v>662</v>
      </c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</row>
    <row r="34" spans="1:198" x14ac:dyDescent="0.4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7</v>
      </c>
      <c r="BY34">
        <v>7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8</v>
      </c>
      <c r="CF34">
        <v>8</v>
      </c>
      <c r="CG34">
        <v>10</v>
      </c>
      <c r="CH34">
        <v>11</v>
      </c>
      <c r="CI34">
        <v>56</v>
      </c>
      <c r="CJ34">
        <v>56</v>
      </c>
      <c r="CK34">
        <v>56</v>
      </c>
      <c r="CL34">
        <v>58</v>
      </c>
      <c r="CM34">
        <v>61</v>
      </c>
      <c r="CN34">
        <v>67</v>
      </c>
      <c r="CO34">
        <v>68</v>
      </c>
      <c r="CP34">
        <v>73</v>
      </c>
      <c r="CQ34">
        <v>82</v>
      </c>
      <c r="CR34">
        <v>88</v>
      </c>
      <c r="CS34">
        <v>90</v>
      </c>
      <c r="CT34">
        <v>106</v>
      </c>
      <c r="CU34" s="1">
        <v>109</v>
      </c>
      <c r="CV34" s="1">
        <v>114</v>
      </c>
      <c r="CW34" s="1">
        <v>114</v>
      </c>
      <c r="CX34" s="1">
        <v>121</v>
      </c>
      <c r="CY34" s="1">
        <v>122</v>
      </c>
      <c r="CZ34" s="1">
        <v>152</v>
      </c>
      <c r="DA34" s="1">
        <v>165</v>
      </c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</row>
    <row r="35" spans="1:198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  <c r="BS35">
        <v>107</v>
      </c>
      <c r="BT35">
        <v>109</v>
      </c>
      <c r="BU35">
        <v>109</v>
      </c>
      <c r="BV35">
        <v>110</v>
      </c>
      <c r="BW35">
        <v>114</v>
      </c>
      <c r="BX35">
        <v>114</v>
      </c>
      <c r="BY35">
        <v>114</v>
      </c>
      <c r="BZ35">
        <v>114</v>
      </c>
      <c r="CA35">
        <v>115</v>
      </c>
      <c r="CB35">
        <v>117</v>
      </c>
      <c r="CC35">
        <v>119</v>
      </c>
      <c r="CD35">
        <v>119</v>
      </c>
      <c r="CE35">
        <v>120</v>
      </c>
      <c r="CF35">
        <v>122</v>
      </c>
      <c r="CG35">
        <v>122</v>
      </c>
      <c r="CH35">
        <v>122</v>
      </c>
      <c r="CI35">
        <v>122</v>
      </c>
      <c r="CJ35">
        <v>122</v>
      </c>
      <c r="CK35">
        <v>122</v>
      </c>
      <c r="CL35">
        <v>122</v>
      </c>
      <c r="CM35">
        <v>122</v>
      </c>
      <c r="CN35">
        <v>122</v>
      </c>
      <c r="CO35">
        <v>122</v>
      </c>
      <c r="CP35">
        <v>122</v>
      </c>
      <c r="CQ35">
        <v>122</v>
      </c>
      <c r="CR35">
        <v>122</v>
      </c>
      <c r="CS35">
        <v>122</v>
      </c>
      <c r="CT35">
        <v>122</v>
      </c>
      <c r="CU35" s="1">
        <v>122</v>
      </c>
      <c r="CV35" s="1">
        <v>122</v>
      </c>
      <c r="CW35" s="1">
        <v>122</v>
      </c>
      <c r="CX35" s="1">
        <v>122</v>
      </c>
      <c r="CY35" s="1">
        <v>122</v>
      </c>
      <c r="CZ35" s="1">
        <v>122</v>
      </c>
      <c r="DA35" s="1">
        <v>122</v>
      </c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</row>
    <row r="36" spans="1:198" x14ac:dyDescent="0.4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  <c r="BS36">
        <v>139</v>
      </c>
      <c r="BT36">
        <v>193</v>
      </c>
      <c r="BU36">
        <v>233</v>
      </c>
      <c r="BV36">
        <v>306</v>
      </c>
      <c r="BW36">
        <v>509</v>
      </c>
      <c r="BX36">
        <v>555</v>
      </c>
      <c r="BY36">
        <v>650</v>
      </c>
      <c r="BZ36">
        <v>658</v>
      </c>
      <c r="CA36">
        <v>658</v>
      </c>
      <c r="CB36">
        <v>730</v>
      </c>
      <c r="CC36">
        <v>730</v>
      </c>
      <c r="CD36">
        <v>820</v>
      </c>
      <c r="CE36">
        <v>820</v>
      </c>
      <c r="CF36">
        <v>820</v>
      </c>
      <c r="CG36">
        <v>820</v>
      </c>
      <c r="CH36">
        <v>848</v>
      </c>
      <c r="CI36">
        <v>848</v>
      </c>
      <c r="CJ36">
        <v>996</v>
      </c>
      <c r="CK36">
        <v>996</v>
      </c>
      <c r="CL36">
        <v>1017</v>
      </c>
      <c r="CM36">
        <v>1017</v>
      </c>
      <c r="CN36">
        <v>1163</v>
      </c>
      <c r="CO36">
        <v>1163</v>
      </c>
      <c r="CP36">
        <v>1163</v>
      </c>
      <c r="CQ36">
        <v>1334</v>
      </c>
      <c r="CR36">
        <v>1430</v>
      </c>
      <c r="CS36">
        <v>1518</v>
      </c>
      <c r="CT36">
        <v>1621</v>
      </c>
      <c r="CU36" s="1">
        <v>1705</v>
      </c>
      <c r="CV36" s="1">
        <v>1705</v>
      </c>
      <c r="CW36" s="1">
        <v>1832</v>
      </c>
      <c r="CX36" s="1">
        <v>1832</v>
      </c>
      <c r="CY36" s="1">
        <v>1832</v>
      </c>
      <c r="CZ36" s="1">
        <v>2077</v>
      </c>
      <c r="DA36" s="1">
        <v>2077</v>
      </c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</row>
    <row r="37" spans="1:198" x14ac:dyDescent="0.4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  <c r="BS37">
        <v>661</v>
      </c>
      <c r="BT37">
        <v>690</v>
      </c>
      <c r="BU37">
        <v>754</v>
      </c>
      <c r="BV37">
        <v>969</v>
      </c>
      <c r="BW37">
        <v>969</v>
      </c>
      <c r="BX37">
        <v>1075</v>
      </c>
      <c r="BY37">
        <v>1181</v>
      </c>
      <c r="BZ37">
        <v>1250</v>
      </c>
      <c r="CA37">
        <v>1373</v>
      </c>
      <c r="CB37">
        <v>1373</v>
      </c>
      <c r="CC37">
        <v>1423</v>
      </c>
      <c r="CD37">
        <v>1451</v>
      </c>
      <c r="CE37">
        <v>1567</v>
      </c>
      <c r="CF37">
        <v>1567</v>
      </c>
      <c r="CG37">
        <v>1732</v>
      </c>
      <c r="CH37">
        <v>1870</v>
      </c>
      <c r="CI37">
        <v>1870</v>
      </c>
      <c r="CJ37">
        <v>1996</v>
      </c>
      <c r="CK37">
        <v>2397</v>
      </c>
      <c r="CL37">
        <v>2562</v>
      </c>
      <c r="CM37">
        <v>2803</v>
      </c>
      <c r="CN37">
        <v>2908</v>
      </c>
      <c r="CO37">
        <v>3095</v>
      </c>
      <c r="CP37">
        <v>3401</v>
      </c>
      <c r="CQ37">
        <v>3720</v>
      </c>
      <c r="CR37">
        <v>4017</v>
      </c>
      <c r="CS37">
        <v>4233</v>
      </c>
      <c r="CT37">
        <v>4480</v>
      </c>
      <c r="CU37" s="1">
        <v>4696</v>
      </c>
      <c r="CV37" s="1">
        <v>4850</v>
      </c>
      <c r="CW37" s="1">
        <v>5165</v>
      </c>
      <c r="CX37" s="1">
        <v>5355</v>
      </c>
      <c r="CY37" s="1">
        <v>5573</v>
      </c>
      <c r="CZ37" s="1">
        <v>5670</v>
      </c>
      <c r="DA37" s="1">
        <v>5766</v>
      </c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</row>
    <row r="38" spans="1:198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  <c r="BS38">
        <v>970</v>
      </c>
      <c r="BT38">
        <v>1013</v>
      </c>
      <c r="BU38">
        <v>1013</v>
      </c>
      <c r="BV38">
        <v>1121</v>
      </c>
      <c r="BW38">
        <v>1174</v>
      </c>
      <c r="BX38">
        <v>1203</v>
      </c>
      <c r="BY38">
        <v>1203</v>
      </c>
      <c r="BZ38">
        <v>1266</v>
      </c>
      <c r="CA38">
        <v>1266</v>
      </c>
      <c r="CB38">
        <v>1291</v>
      </c>
      <c r="CC38">
        <v>1336</v>
      </c>
      <c r="CD38">
        <v>1370</v>
      </c>
      <c r="CE38">
        <v>1445</v>
      </c>
      <c r="CF38">
        <v>1445</v>
      </c>
      <c r="CG38">
        <v>1490</v>
      </c>
      <c r="CH38">
        <v>1490</v>
      </c>
      <c r="CI38">
        <v>1517</v>
      </c>
      <c r="CJ38">
        <v>1561</v>
      </c>
      <c r="CK38">
        <v>1575</v>
      </c>
      <c r="CL38">
        <v>1618</v>
      </c>
      <c r="CM38">
        <v>1647</v>
      </c>
      <c r="CN38">
        <v>1647</v>
      </c>
      <c r="CO38">
        <v>1724</v>
      </c>
      <c r="CP38">
        <v>1795</v>
      </c>
      <c r="CQ38">
        <v>1824</v>
      </c>
      <c r="CR38">
        <v>1853</v>
      </c>
      <c r="CS38">
        <v>1948</v>
      </c>
      <c r="CT38">
        <v>1948</v>
      </c>
      <c r="CU38" s="1">
        <v>1998</v>
      </c>
      <c r="CV38" s="1">
        <v>2053</v>
      </c>
      <c r="CW38" s="1">
        <v>2087</v>
      </c>
      <c r="CX38" s="1">
        <v>2112</v>
      </c>
      <c r="CY38" s="1">
        <v>2145</v>
      </c>
      <c r="CZ38" s="1">
        <v>2171</v>
      </c>
      <c r="DA38" s="1">
        <v>2171</v>
      </c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</row>
    <row r="39" spans="1:198" x14ac:dyDescent="0.4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  <c r="CM39">
        <v>13</v>
      </c>
      <c r="CN39">
        <v>13</v>
      </c>
      <c r="CO39">
        <v>13</v>
      </c>
      <c r="CP39">
        <v>13</v>
      </c>
      <c r="CQ39">
        <v>13</v>
      </c>
      <c r="CR39">
        <v>13</v>
      </c>
      <c r="CS39">
        <v>13</v>
      </c>
      <c r="CT39">
        <v>13</v>
      </c>
      <c r="CU39" s="1">
        <v>13</v>
      </c>
      <c r="CV39" s="1">
        <v>13</v>
      </c>
      <c r="CW39" s="1">
        <v>13</v>
      </c>
      <c r="CX39" s="1">
        <v>13</v>
      </c>
      <c r="CY39" s="1">
        <v>13</v>
      </c>
      <c r="CZ39" s="1">
        <v>13</v>
      </c>
      <c r="DA39" s="1">
        <v>13</v>
      </c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</row>
    <row r="40" spans="1:198" x14ac:dyDescent="0.4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  <c r="BS40">
        <v>96</v>
      </c>
      <c r="BT40">
        <v>103</v>
      </c>
      <c r="BU40">
        <v>127</v>
      </c>
      <c r="BV40">
        <v>167</v>
      </c>
      <c r="BW40">
        <v>182</v>
      </c>
      <c r="BX40">
        <v>182</v>
      </c>
      <c r="BY40">
        <v>203</v>
      </c>
      <c r="BZ40">
        <v>203</v>
      </c>
      <c r="CA40">
        <v>217</v>
      </c>
      <c r="CB40">
        <v>217</v>
      </c>
      <c r="CC40">
        <v>221</v>
      </c>
      <c r="CD40">
        <v>230</v>
      </c>
      <c r="CE40">
        <v>243</v>
      </c>
      <c r="CF40">
        <v>242</v>
      </c>
      <c r="CG40">
        <v>246</v>
      </c>
      <c r="CH40">
        <v>246</v>
      </c>
      <c r="CI40">
        <v>246</v>
      </c>
      <c r="CJ40">
        <v>250</v>
      </c>
      <c r="CK40">
        <v>250</v>
      </c>
      <c r="CL40">
        <v>253</v>
      </c>
      <c r="CM40">
        <v>254</v>
      </c>
      <c r="CN40">
        <v>254</v>
      </c>
      <c r="CO40">
        <v>255</v>
      </c>
      <c r="CP40">
        <v>257</v>
      </c>
      <c r="CQ40">
        <v>262</v>
      </c>
      <c r="CR40">
        <v>263</v>
      </c>
      <c r="CS40">
        <v>267</v>
      </c>
      <c r="CT40">
        <v>271</v>
      </c>
      <c r="CU40" s="1">
        <v>273</v>
      </c>
      <c r="CV40" s="1">
        <v>273</v>
      </c>
      <c r="CW40" s="1">
        <v>275</v>
      </c>
      <c r="CX40" s="1">
        <v>277</v>
      </c>
      <c r="CY40" s="1">
        <v>281</v>
      </c>
      <c r="CZ40" s="1">
        <v>282</v>
      </c>
      <c r="DA40" s="1">
        <v>282</v>
      </c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</row>
    <row r="41" spans="1:198" x14ac:dyDescent="0.4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  <c r="BS41">
        <v>68</v>
      </c>
      <c r="BT41">
        <v>70</v>
      </c>
      <c r="BU41">
        <v>81</v>
      </c>
      <c r="BV41">
        <v>91</v>
      </c>
      <c r="BW41">
        <v>91</v>
      </c>
      <c r="BX41">
        <v>91</v>
      </c>
      <c r="BY41">
        <v>98</v>
      </c>
      <c r="BZ41">
        <v>103</v>
      </c>
      <c r="CA41">
        <v>105</v>
      </c>
      <c r="CB41">
        <v>105</v>
      </c>
      <c r="CC41">
        <v>108</v>
      </c>
      <c r="CD41">
        <v>112</v>
      </c>
      <c r="CE41">
        <v>112</v>
      </c>
      <c r="CF41">
        <v>114</v>
      </c>
      <c r="CG41">
        <v>116</v>
      </c>
      <c r="CH41">
        <v>116</v>
      </c>
      <c r="CI41">
        <v>117</v>
      </c>
      <c r="CJ41">
        <v>117</v>
      </c>
      <c r="CK41">
        <v>117</v>
      </c>
      <c r="CL41">
        <v>117</v>
      </c>
      <c r="CM41">
        <v>118</v>
      </c>
      <c r="CN41">
        <v>118</v>
      </c>
      <c r="CO41">
        <v>118</v>
      </c>
      <c r="CP41">
        <v>118</v>
      </c>
      <c r="CQ41">
        <v>118</v>
      </c>
      <c r="CR41">
        <v>118</v>
      </c>
      <c r="CS41">
        <v>118</v>
      </c>
      <c r="CT41">
        <v>118</v>
      </c>
      <c r="CU41" s="1">
        <v>118</v>
      </c>
      <c r="CV41" s="1">
        <v>118</v>
      </c>
      <c r="CW41" s="1">
        <v>118</v>
      </c>
      <c r="CX41" s="1">
        <v>118</v>
      </c>
      <c r="CY41" s="1">
        <v>118</v>
      </c>
      <c r="CZ41" s="1">
        <v>118</v>
      </c>
      <c r="DA41" s="1">
        <v>118</v>
      </c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</row>
    <row r="42" spans="1:198" x14ac:dyDescent="0.4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  <c r="BS42">
        <v>148</v>
      </c>
      <c r="BT42">
        <v>152</v>
      </c>
      <c r="BU42">
        <v>175</v>
      </c>
      <c r="BV42">
        <v>183</v>
      </c>
      <c r="BW42">
        <v>195</v>
      </c>
      <c r="BX42">
        <v>195</v>
      </c>
      <c r="BY42">
        <v>217</v>
      </c>
      <c r="BZ42">
        <v>226</v>
      </c>
      <c r="CA42">
        <v>228</v>
      </c>
      <c r="CB42">
        <v>228</v>
      </c>
      <c r="CC42">
        <v>232</v>
      </c>
      <c r="CD42">
        <v>239</v>
      </c>
      <c r="CE42">
        <v>241</v>
      </c>
      <c r="CF42">
        <v>242</v>
      </c>
      <c r="CG42">
        <v>244</v>
      </c>
      <c r="CH42">
        <v>244</v>
      </c>
      <c r="CI42">
        <v>247</v>
      </c>
      <c r="CJ42">
        <v>252</v>
      </c>
      <c r="CK42">
        <v>256</v>
      </c>
      <c r="CL42">
        <v>257</v>
      </c>
      <c r="CM42">
        <v>257</v>
      </c>
      <c r="CN42">
        <v>257</v>
      </c>
      <c r="CO42">
        <v>257</v>
      </c>
      <c r="CP42">
        <v>256</v>
      </c>
      <c r="CQ42">
        <v>256</v>
      </c>
      <c r="CR42">
        <v>256</v>
      </c>
      <c r="CS42">
        <v>257</v>
      </c>
      <c r="CT42">
        <v>258</v>
      </c>
      <c r="CU42" s="1">
        <v>258</v>
      </c>
      <c r="CV42" s="1">
        <v>258</v>
      </c>
      <c r="CW42" s="1">
        <v>258</v>
      </c>
      <c r="CX42" s="1">
        <v>258</v>
      </c>
      <c r="CY42" s="1">
        <v>259</v>
      </c>
      <c r="CZ42" s="1">
        <v>259</v>
      </c>
      <c r="DA42" s="1">
        <v>259</v>
      </c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</row>
    <row r="43" spans="1:198" x14ac:dyDescent="0.4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  <c r="BS43">
        <v>127</v>
      </c>
      <c r="BT43">
        <v>147</v>
      </c>
      <c r="BU43">
        <v>173</v>
      </c>
      <c r="BV43">
        <v>193</v>
      </c>
      <c r="BW43">
        <v>207</v>
      </c>
      <c r="BX43">
        <v>236</v>
      </c>
      <c r="BY43">
        <v>262</v>
      </c>
      <c r="BZ43">
        <v>293</v>
      </c>
      <c r="CA43">
        <v>310</v>
      </c>
      <c r="CB43">
        <v>310</v>
      </c>
      <c r="CC43">
        <v>342</v>
      </c>
      <c r="CD43">
        <v>407</v>
      </c>
      <c r="CE43">
        <v>428</v>
      </c>
      <c r="CF43">
        <v>445</v>
      </c>
      <c r="CG43">
        <v>474</v>
      </c>
      <c r="CH43">
        <v>517</v>
      </c>
      <c r="CI43">
        <v>549</v>
      </c>
      <c r="CJ43">
        <v>579</v>
      </c>
      <c r="CK43">
        <v>606</v>
      </c>
      <c r="CL43">
        <v>649</v>
      </c>
      <c r="CM43">
        <v>675</v>
      </c>
      <c r="CN43">
        <v>721</v>
      </c>
      <c r="CO43">
        <v>737</v>
      </c>
      <c r="CP43">
        <v>772</v>
      </c>
      <c r="CQ43">
        <v>827</v>
      </c>
      <c r="CR43">
        <v>850</v>
      </c>
      <c r="CS43">
        <v>865</v>
      </c>
      <c r="CT43">
        <v>873</v>
      </c>
      <c r="CU43" s="1">
        <v>900</v>
      </c>
      <c r="CV43" s="1">
        <v>915</v>
      </c>
      <c r="CW43" s="1">
        <v>935</v>
      </c>
      <c r="CX43" s="1">
        <v>947</v>
      </c>
      <c r="CY43" s="1">
        <v>959</v>
      </c>
      <c r="CZ43" s="1">
        <v>963</v>
      </c>
      <c r="DA43" s="1">
        <v>971</v>
      </c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</row>
    <row r="44" spans="1:198" x14ac:dyDescent="0.4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  <c r="BS44">
        <v>1706</v>
      </c>
      <c r="BT44">
        <v>1966</v>
      </c>
      <c r="BU44">
        <v>2392</v>
      </c>
      <c r="BV44">
        <v>2793</v>
      </c>
      <c r="BW44">
        <v>3255</v>
      </c>
      <c r="BX44">
        <v>3630</v>
      </c>
      <c r="BY44">
        <v>4354</v>
      </c>
      <c r="BZ44">
        <v>4347</v>
      </c>
      <c r="CA44">
        <v>4726</v>
      </c>
      <c r="CB44">
        <v>5276</v>
      </c>
      <c r="CC44">
        <v>5759</v>
      </c>
      <c r="CD44">
        <v>6237</v>
      </c>
      <c r="CE44">
        <v>6648</v>
      </c>
      <c r="CF44">
        <v>7049</v>
      </c>
      <c r="CG44">
        <v>7470</v>
      </c>
      <c r="CH44">
        <v>7953</v>
      </c>
      <c r="CI44">
        <v>8447</v>
      </c>
      <c r="CJ44">
        <v>9840</v>
      </c>
      <c r="CK44">
        <v>10456</v>
      </c>
      <c r="CL44">
        <v>11013</v>
      </c>
      <c r="CM44">
        <v>11561</v>
      </c>
      <c r="CN44">
        <v>12063</v>
      </c>
      <c r="CO44">
        <v>12715</v>
      </c>
      <c r="CP44">
        <v>13718</v>
      </c>
      <c r="CQ44">
        <v>14068</v>
      </c>
      <c r="CR44">
        <v>14550</v>
      </c>
      <c r="CS44">
        <v>15012</v>
      </c>
      <c r="CT44">
        <v>15568</v>
      </c>
      <c r="CU44" s="1">
        <v>15970</v>
      </c>
      <c r="CV44" s="1">
        <v>16500</v>
      </c>
      <c r="CW44" s="1">
        <v>16978</v>
      </c>
      <c r="CX44" s="1">
        <v>17395</v>
      </c>
      <c r="CY44" s="1">
        <v>17880</v>
      </c>
      <c r="CZ44" s="1">
        <v>18321</v>
      </c>
      <c r="DA44" s="1">
        <v>18574</v>
      </c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</row>
    <row r="45" spans="1:198" x14ac:dyDescent="0.4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  <c r="BS45">
        <v>18</v>
      </c>
      <c r="BT45">
        <v>21</v>
      </c>
      <c r="BU45">
        <v>21</v>
      </c>
      <c r="BV45">
        <v>22</v>
      </c>
      <c r="BW45">
        <v>22</v>
      </c>
      <c r="BX45">
        <v>22</v>
      </c>
      <c r="BY45">
        <v>22</v>
      </c>
      <c r="BZ45">
        <v>22</v>
      </c>
      <c r="CA45">
        <v>22</v>
      </c>
      <c r="CB45">
        <v>25</v>
      </c>
      <c r="CC45">
        <v>25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26</v>
      </c>
      <c r="CJ45">
        <v>26</v>
      </c>
      <c r="CK45">
        <v>26</v>
      </c>
      <c r="CL45">
        <v>26</v>
      </c>
      <c r="CM45">
        <v>26</v>
      </c>
      <c r="CN45">
        <v>26</v>
      </c>
      <c r="CO45">
        <v>26</v>
      </c>
      <c r="CP45">
        <v>26</v>
      </c>
      <c r="CQ45">
        <v>26</v>
      </c>
      <c r="CR45">
        <v>26</v>
      </c>
      <c r="CS45">
        <v>26</v>
      </c>
      <c r="CT45">
        <v>26</v>
      </c>
      <c r="CU45" s="1">
        <v>26</v>
      </c>
      <c r="CV45" s="1">
        <v>27</v>
      </c>
      <c r="CW45" s="1">
        <v>27</v>
      </c>
      <c r="CX45" s="1">
        <v>27</v>
      </c>
      <c r="CY45" s="1">
        <v>27</v>
      </c>
      <c r="CZ45" s="1">
        <v>27</v>
      </c>
      <c r="DA45" s="1">
        <v>27</v>
      </c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</row>
    <row r="46" spans="1:198" x14ac:dyDescent="0.4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  <c r="BS46">
        <v>3430</v>
      </c>
      <c r="BT46">
        <v>4162</v>
      </c>
      <c r="BU46">
        <v>4611</v>
      </c>
      <c r="BV46">
        <v>5518</v>
      </c>
      <c r="BW46">
        <v>6101</v>
      </c>
      <c r="BX46">
        <v>6101</v>
      </c>
      <c r="BY46">
        <v>7944</v>
      </c>
      <c r="BZ46">
        <v>8580</v>
      </c>
      <c r="CA46">
        <v>9340</v>
      </c>
      <c r="CB46">
        <v>10031</v>
      </c>
      <c r="CC46">
        <v>10912</v>
      </c>
      <c r="CD46">
        <v>11677</v>
      </c>
      <c r="CE46">
        <v>12292</v>
      </c>
      <c r="CF46">
        <v>12846</v>
      </c>
      <c r="CG46">
        <v>13557</v>
      </c>
      <c r="CH46">
        <v>14248</v>
      </c>
      <c r="CI46">
        <v>14860</v>
      </c>
      <c r="CJ46">
        <v>15857</v>
      </c>
      <c r="CK46">
        <v>16798</v>
      </c>
      <c r="CL46">
        <v>17521</v>
      </c>
      <c r="CM46">
        <v>17950</v>
      </c>
      <c r="CN46">
        <v>19319</v>
      </c>
      <c r="CO46">
        <v>20126</v>
      </c>
      <c r="CP46">
        <v>20965</v>
      </c>
      <c r="CQ46">
        <v>21838</v>
      </c>
      <c r="CR46">
        <v>22616</v>
      </c>
      <c r="CS46">
        <v>23267</v>
      </c>
      <c r="CT46">
        <v>24109</v>
      </c>
      <c r="CU46" s="1">
        <v>24983</v>
      </c>
      <c r="CV46" s="1">
        <v>25761</v>
      </c>
      <c r="CW46" s="1">
        <v>26610</v>
      </c>
      <c r="CX46" s="1">
        <v>27550</v>
      </c>
      <c r="CY46" s="1">
        <v>28656</v>
      </c>
      <c r="CZ46" s="1">
        <v>29664</v>
      </c>
      <c r="DA46" s="1">
        <v>31873</v>
      </c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</row>
    <row r="47" spans="1:198" x14ac:dyDescent="0.4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  <c r="BS47">
        <v>156</v>
      </c>
      <c r="BT47">
        <v>184</v>
      </c>
      <c r="BU47">
        <v>193</v>
      </c>
      <c r="BV47">
        <v>206</v>
      </c>
      <c r="BW47">
        <v>220</v>
      </c>
      <c r="BX47">
        <v>220</v>
      </c>
      <c r="BY47">
        <v>249</v>
      </c>
      <c r="BZ47">
        <v>249</v>
      </c>
      <c r="CA47">
        <v>260</v>
      </c>
      <c r="CB47">
        <v>260</v>
      </c>
      <c r="CC47">
        <v>271</v>
      </c>
      <c r="CD47">
        <v>285</v>
      </c>
      <c r="CE47">
        <v>289</v>
      </c>
      <c r="CF47">
        <v>298</v>
      </c>
      <c r="CG47">
        <v>300</v>
      </c>
      <c r="CH47">
        <v>300</v>
      </c>
      <c r="CI47">
        <v>304</v>
      </c>
      <c r="CJ47">
        <v>305</v>
      </c>
      <c r="CK47">
        <v>307</v>
      </c>
      <c r="CL47">
        <v>313</v>
      </c>
      <c r="CM47">
        <v>315</v>
      </c>
      <c r="CN47">
        <v>316</v>
      </c>
      <c r="CO47">
        <v>320</v>
      </c>
      <c r="CP47">
        <v>326</v>
      </c>
      <c r="CQ47">
        <v>331</v>
      </c>
      <c r="CR47">
        <v>341</v>
      </c>
      <c r="CS47">
        <v>349</v>
      </c>
      <c r="CT47">
        <v>353</v>
      </c>
      <c r="CU47" s="1">
        <v>365</v>
      </c>
      <c r="CV47" s="1">
        <v>366</v>
      </c>
      <c r="CW47" s="1">
        <v>383</v>
      </c>
      <c r="CX47" s="1">
        <v>389</v>
      </c>
      <c r="CY47" s="1">
        <v>415</v>
      </c>
      <c r="CZ47" s="1">
        <v>421</v>
      </c>
      <c r="DA47" s="1">
        <v>433</v>
      </c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</row>
    <row r="48" spans="1:198" x14ac:dyDescent="0.4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8</v>
      </c>
      <c r="BX48">
        <v>8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11</v>
      </c>
      <c r="CH48">
        <v>11</v>
      </c>
      <c r="CI48">
        <v>12</v>
      </c>
      <c r="CJ48">
        <v>12</v>
      </c>
      <c r="CK48">
        <v>12</v>
      </c>
      <c r="CL48">
        <v>12</v>
      </c>
      <c r="CM48">
        <v>12</v>
      </c>
      <c r="CN48">
        <v>12</v>
      </c>
      <c r="CO48">
        <v>14</v>
      </c>
      <c r="CP48">
        <v>14</v>
      </c>
      <c r="CQ48">
        <v>16</v>
      </c>
      <c r="CR48">
        <v>16</v>
      </c>
      <c r="CS48">
        <v>16</v>
      </c>
      <c r="CT48">
        <v>19</v>
      </c>
      <c r="CU48" s="1">
        <v>19</v>
      </c>
      <c r="CV48" s="1">
        <v>50</v>
      </c>
      <c r="CW48" s="1">
        <v>50</v>
      </c>
      <c r="CX48" s="1">
        <v>50</v>
      </c>
      <c r="CY48" s="1">
        <v>72</v>
      </c>
      <c r="CZ48" s="1">
        <v>72</v>
      </c>
      <c r="DA48" s="1">
        <v>72</v>
      </c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</row>
    <row r="49" spans="1:198" x14ac:dyDescent="0.4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5</v>
      </c>
      <c r="BT49">
        <v>7</v>
      </c>
      <c r="BU49">
        <v>7</v>
      </c>
      <c r="BV49">
        <v>8</v>
      </c>
      <c r="BW49">
        <v>8</v>
      </c>
      <c r="BX49">
        <v>9</v>
      </c>
      <c r="BY49">
        <v>9</v>
      </c>
      <c r="BZ49">
        <v>9</v>
      </c>
      <c r="CA49">
        <v>10</v>
      </c>
      <c r="CB49">
        <v>10</v>
      </c>
      <c r="CC49">
        <v>11</v>
      </c>
      <c r="CD49">
        <v>11</v>
      </c>
      <c r="CE49">
        <v>11</v>
      </c>
      <c r="CF49">
        <v>18</v>
      </c>
      <c r="CG49">
        <v>23</v>
      </c>
      <c r="CH49">
        <v>23</v>
      </c>
      <c r="CI49">
        <v>23</v>
      </c>
      <c r="CJ49">
        <v>27</v>
      </c>
      <c r="CK49">
        <v>27</v>
      </c>
      <c r="CL49">
        <v>33</v>
      </c>
      <c r="CM49">
        <v>33</v>
      </c>
      <c r="CN49">
        <v>33</v>
      </c>
      <c r="CO49">
        <v>33</v>
      </c>
      <c r="CP49">
        <v>33</v>
      </c>
      <c r="CQ49">
        <v>33</v>
      </c>
      <c r="CR49">
        <v>40</v>
      </c>
      <c r="CS49">
        <v>46</v>
      </c>
      <c r="CT49">
        <v>46</v>
      </c>
      <c r="CU49" s="1">
        <v>46</v>
      </c>
      <c r="CV49" s="1">
        <v>52</v>
      </c>
      <c r="CW49" s="1">
        <v>52</v>
      </c>
      <c r="CX49" s="1">
        <v>73</v>
      </c>
      <c r="CY49" s="1">
        <v>73</v>
      </c>
      <c r="CZ49" s="1">
        <v>117</v>
      </c>
      <c r="DA49" s="1">
        <v>117</v>
      </c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</row>
    <row r="50" spans="1:198" x14ac:dyDescent="0.4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  <c r="BS50">
        <v>2449</v>
      </c>
      <c r="BT50">
        <v>2738</v>
      </c>
      <c r="BU50">
        <v>3031</v>
      </c>
      <c r="BV50">
        <v>3404</v>
      </c>
      <c r="BW50">
        <v>3737</v>
      </c>
      <c r="BX50">
        <v>4161</v>
      </c>
      <c r="BY50">
        <v>4471</v>
      </c>
      <c r="BZ50">
        <v>4815</v>
      </c>
      <c r="CA50">
        <v>5116</v>
      </c>
      <c r="CB50">
        <v>5546</v>
      </c>
      <c r="CC50">
        <v>5972</v>
      </c>
      <c r="CD50">
        <v>6501</v>
      </c>
      <c r="CE50">
        <v>6927</v>
      </c>
      <c r="CF50">
        <v>7213</v>
      </c>
      <c r="CG50">
        <v>7525</v>
      </c>
      <c r="CH50">
        <v>7917</v>
      </c>
      <c r="CI50">
        <v>8273</v>
      </c>
      <c r="CJ50">
        <v>8807</v>
      </c>
      <c r="CK50">
        <v>9252</v>
      </c>
      <c r="CL50">
        <v>9730</v>
      </c>
      <c r="CM50">
        <v>10088</v>
      </c>
      <c r="CN50">
        <v>10507</v>
      </c>
      <c r="CO50">
        <v>10832</v>
      </c>
      <c r="CP50">
        <v>11296</v>
      </c>
      <c r="CQ50">
        <v>11812</v>
      </c>
      <c r="CR50">
        <v>12306</v>
      </c>
      <c r="CS50">
        <v>12858</v>
      </c>
      <c r="CT50">
        <v>13331</v>
      </c>
      <c r="CU50" s="1">
        <v>13813</v>
      </c>
      <c r="CV50" s="1">
        <v>14365</v>
      </c>
      <c r="CW50" s="1">
        <v>14885</v>
      </c>
      <c r="CX50" s="1">
        <v>16023</v>
      </c>
      <c r="CY50" s="1">
        <v>17008</v>
      </c>
      <c r="CZ50" s="1">
        <v>18435</v>
      </c>
      <c r="DA50" s="1">
        <v>19663</v>
      </c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</row>
    <row r="51" spans="1:198" x14ac:dyDescent="0.4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991</v>
      </c>
      <c r="CD51">
        <v>991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  <c r="CM51">
        <v>991</v>
      </c>
      <c r="CN51">
        <v>991</v>
      </c>
      <c r="CO51">
        <v>991</v>
      </c>
      <c r="CP51">
        <v>991</v>
      </c>
      <c r="CQ51">
        <v>991</v>
      </c>
      <c r="CR51">
        <v>991</v>
      </c>
      <c r="CS51">
        <v>991</v>
      </c>
      <c r="CT51">
        <v>991</v>
      </c>
      <c r="CU51" s="1">
        <v>991</v>
      </c>
      <c r="CV51" s="1">
        <v>991</v>
      </c>
      <c r="CW51" s="1">
        <v>991</v>
      </c>
      <c r="CX51" s="1">
        <v>991</v>
      </c>
      <c r="CY51" s="1">
        <v>991</v>
      </c>
      <c r="CZ51" s="1">
        <v>991</v>
      </c>
      <c r="DA51" s="1">
        <v>991</v>
      </c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</row>
    <row r="52" spans="1:198" x14ac:dyDescent="0.4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  <c r="BS52">
        <v>577</v>
      </c>
      <c r="BT52">
        <v>580</v>
      </c>
      <c r="BU52">
        <v>580</v>
      </c>
      <c r="BV52">
        <v>582</v>
      </c>
      <c r="BW52">
        <v>584</v>
      </c>
      <c r="BX52">
        <v>585</v>
      </c>
      <c r="BY52">
        <v>586</v>
      </c>
      <c r="BZ52">
        <v>587</v>
      </c>
      <c r="CA52">
        <v>587</v>
      </c>
      <c r="CB52">
        <v>588</v>
      </c>
      <c r="CC52">
        <v>588</v>
      </c>
      <c r="CD52">
        <v>588</v>
      </c>
      <c r="CE52">
        <v>589</v>
      </c>
      <c r="CF52">
        <v>589</v>
      </c>
      <c r="CG52">
        <v>589</v>
      </c>
      <c r="CH52">
        <v>589</v>
      </c>
      <c r="CI52">
        <v>590</v>
      </c>
      <c r="CJ52">
        <v>593</v>
      </c>
      <c r="CK52">
        <v>593</v>
      </c>
      <c r="CL52">
        <v>593</v>
      </c>
      <c r="CM52">
        <v>593</v>
      </c>
      <c r="CN52">
        <v>593</v>
      </c>
      <c r="CO52">
        <v>593</v>
      </c>
      <c r="CP52">
        <v>593</v>
      </c>
      <c r="CQ52">
        <v>593</v>
      </c>
      <c r="CR52">
        <v>593</v>
      </c>
      <c r="CS52">
        <v>593</v>
      </c>
      <c r="CT52">
        <v>593</v>
      </c>
      <c r="CU52" s="1">
        <v>593</v>
      </c>
      <c r="CV52" s="1">
        <v>593</v>
      </c>
      <c r="CW52" s="1">
        <v>593</v>
      </c>
      <c r="CX52" s="1">
        <v>593</v>
      </c>
      <c r="CY52" s="1">
        <v>593</v>
      </c>
      <c r="CZ52" s="1">
        <v>593</v>
      </c>
      <c r="DA52" s="1">
        <v>593</v>
      </c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</row>
    <row r="53" spans="1:198" x14ac:dyDescent="0.4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  <c r="BS53">
        <v>579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  <c r="CM53">
        <v>579</v>
      </c>
      <c r="CN53">
        <v>579</v>
      </c>
      <c r="CO53">
        <v>579</v>
      </c>
      <c r="CP53">
        <v>579</v>
      </c>
      <c r="CQ53">
        <v>579</v>
      </c>
      <c r="CR53">
        <v>579</v>
      </c>
      <c r="CS53">
        <v>579</v>
      </c>
      <c r="CT53">
        <v>579</v>
      </c>
      <c r="CU53" s="1">
        <v>579</v>
      </c>
      <c r="CV53" s="1">
        <v>579</v>
      </c>
      <c r="CW53" s="1">
        <v>579</v>
      </c>
      <c r="CX53" s="1">
        <v>579</v>
      </c>
      <c r="CY53" s="1">
        <v>579</v>
      </c>
      <c r="CZ53" s="1">
        <v>579</v>
      </c>
      <c r="DA53" s="1">
        <v>579</v>
      </c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</row>
    <row r="54" spans="1:198" x14ac:dyDescent="0.4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  <c r="BS54">
        <v>340</v>
      </c>
      <c r="BT54">
        <v>343</v>
      </c>
      <c r="BU54">
        <v>345</v>
      </c>
      <c r="BV54">
        <v>345</v>
      </c>
      <c r="BW54">
        <v>349</v>
      </c>
      <c r="BX54">
        <v>350</v>
      </c>
      <c r="BY54">
        <v>350</v>
      </c>
      <c r="BZ54">
        <v>350</v>
      </c>
      <c r="CA54">
        <v>351</v>
      </c>
      <c r="CB54">
        <v>351</v>
      </c>
      <c r="CC54">
        <v>351</v>
      </c>
      <c r="CD54">
        <v>351</v>
      </c>
      <c r="CE54">
        <v>351</v>
      </c>
      <c r="CF54">
        <v>352</v>
      </c>
      <c r="CG54">
        <v>352</v>
      </c>
      <c r="CH54">
        <v>353</v>
      </c>
      <c r="CI54">
        <v>353</v>
      </c>
      <c r="CJ54">
        <v>353</v>
      </c>
      <c r="CK54">
        <v>354</v>
      </c>
      <c r="CL54">
        <v>355</v>
      </c>
      <c r="CM54">
        <v>355</v>
      </c>
      <c r="CN54">
        <v>355</v>
      </c>
      <c r="CO54">
        <v>355</v>
      </c>
      <c r="CP54">
        <v>355</v>
      </c>
      <c r="CQ54">
        <v>355</v>
      </c>
      <c r="CR54">
        <v>355</v>
      </c>
      <c r="CS54">
        <v>355</v>
      </c>
      <c r="CT54">
        <v>355</v>
      </c>
      <c r="CU54" s="1">
        <v>355</v>
      </c>
      <c r="CV54" s="1">
        <v>355</v>
      </c>
      <c r="CW54" s="1">
        <v>355</v>
      </c>
      <c r="CX54" s="1">
        <v>356</v>
      </c>
      <c r="CY54" s="1">
        <v>356</v>
      </c>
      <c r="CZ54" s="1">
        <v>356</v>
      </c>
      <c r="DA54" s="1">
        <v>356</v>
      </c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</row>
    <row r="55" spans="1:198" x14ac:dyDescent="0.4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  <c r="BS55">
        <v>138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139</v>
      </c>
      <c r="CA55">
        <v>139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  <c r="CM55">
        <v>139</v>
      </c>
      <c r="CN55">
        <v>139</v>
      </c>
      <c r="CO55">
        <v>139</v>
      </c>
      <c r="CP55">
        <v>139</v>
      </c>
      <c r="CQ55">
        <v>139</v>
      </c>
      <c r="CR55">
        <v>139</v>
      </c>
      <c r="CS55">
        <v>139</v>
      </c>
      <c r="CT55">
        <v>139</v>
      </c>
      <c r="CU55" s="1">
        <v>139</v>
      </c>
      <c r="CV55" s="1">
        <v>139</v>
      </c>
      <c r="CW55" s="1">
        <v>139</v>
      </c>
      <c r="CX55" s="1">
        <v>139</v>
      </c>
      <c r="CY55" s="1">
        <v>139</v>
      </c>
      <c r="CZ55" s="1">
        <v>139</v>
      </c>
      <c r="DA55" s="1">
        <v>139</v>
      </c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</row>
    <row r="56" spans="1:198" x14ac:dyDescent="0.4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  <c r="BS56">
        <v>1484</v>
      </c>
      <c r="BT56">
        <v>1494</v>
      </c>
      <c r="BU56">
        <v>1501</v>
      </c>
      <c r="BV56">
        <v>1507</v>
      </c>
      <c r="BW56">
        <v>1514</v>
      </c>
      <c r="BX56">
        <v>1516</v>
      </c>
      <c r="BY56">
        <v>1524</v>
      </c>
      <c r="BZ56">
        <v>1532</v>
      </c>
      <c r="CA56">
        <v>1533</v>
      </c>
      <c r="CB56">
        <v>1536</v>
      </c>
      <c r="CC56">
        <v>1539</v>
      </c>
      <c r="CD56">
        <v>1544</v>
      </c>
      <c r="CE56">
        <v>1548</v>
      </c>
      <c r="CF56">
        <v>1552</v>
      </c>
      <c r="CG56">
        <v>1555</v>
      </c>
      <c r="CH56">
        <v>1564</v>
      </c>
      <c r="CI56">
        <v>1566</v>
      </c>
      <c r="CJ56">
        <v>1571</v>
      </c>
      <c r="CK56">
        <v>1577</v>
      </c>
      <c r="CL56">
        <v>1579</v>
      </c>
      <c r="CM56">
        <v>1580</v>
      </c>
      <c r="CN56">
        <v>1581</v>
      </c>
      <c r="CO56">
        <v>1582</v>
      </c>
      <c r="CP56">
        <v>1582</v>
      </c>
      <c r="CQ56">
        <v>1585</v>
      </c>
      <c r="CR56">
        <v>1585</v>
      </c>
      <c r="CS56">
        <v>1586</v>
      </c>
      <c r="CT56">
        <v>1587</v>
      </c>
      <c r="CU56" s="1">
        <v>1587</v>
      </c>
      <c r="CV56" s="1">
        <v>1588</v>
      </c>
      <c r="CW56" s="1">
        <v>1588</v>
      </c>
      <c r="CX56" s="1">
        <v>1588</v>
      </c>
      <c r="CY56" s="1">
        <v>1588</v>
      </c>
      <c r="CZ56" s="1">
        <v>1588</v>
      </c>
      <c r="DA56" s="1">
        <v>1588</v>
      </c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</row>
    <row r="57" spans="1:198" x14ac:dyDescent="0.4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  <c r="CM57">
        <v>254</v>
      </c>
      <c r="CN57">
        <v>254</v>
      </c>
      <c r="CO57">
        <v>254</v>
      </c>
      <c r="CP57">
        <v>254</v>
      </c>
      <c r="CQ57">
        <v>254</v>
      </c>
      <c r="CR57">
        <v>254</v>
      </c>
      <c r="CS57">
        <v>254</v>
      </c>
      <c r="CT57">
        <v>254</v>
      </c>
      <c r="CU57" s="1">
        <v>254</v>
      </c>
      <c r="CV57" s="1">
        <v>254</v>
      </c>
      <c r="CW57" s="1">
        <v>254</v>
      </c>
      <c r="CX57" s="1">
        <v>254</v>
      </c>
      <c r="CY57" s="1">
        <v>254</v>
      </c>
      <c r="CZ57" s="1">
        <v>254</v>
      </c>
      <c r="DA57" s="1">
        <v>254</v>
      </c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</row>
    <row r="58" spans="1:198" x14ac:dyDescent="0.4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  <c r="CM58">
        <v>147</v>
      </c>
      <c r="CN58">
        <v>147</v>
      </c>
      <c r="CO58">
        <v>147</v>
      </c>
      <c r="CP58">
        <v>147</v>
      </c>
      <c r="CQ58">
        <v>147</v>
      </c>
      <c r="CR58">
        <v>147</v>
      </c>
      <c r="CS58">
        <v>147</v>
      </c>
      <c r="CT58">
        <v>147</v>
      </c>
      <c r="CU58" s="1">
        <v>147</v>
      </c>
      <c r="CV58" s="1">
        <v>147</v>
      </c>
      <c r="CW58" s="1">
        <v>147</v>
      </c>
      <c r="CX58" s="1">
        <v>147</v>
      </c>
      <c r="CY58" s="1">
        <v>147</v>
      </c>
      <c r="CZ58" s="1">
        <v>147</v>
      </c>
      <c r="DA58" s="1">
        <v>147</v>
      </c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</row>
    <row r="59" spans="1:198" x14ac:dyDescent="0.4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  <c r="CM59">
        <v>168</v>
      </c>
      <c r="CN59">
        <v>168</v>
      </c>
      <c r="CO59">
        <v>168</v>
      </c>
      <c r="CP59">
        <v>168</v>
      </c>
      <c r="CQ59">
        <v>168</v>
      </c>
      <c r="CR59">
        <v>168</v>
      </c>
      <c r="CS59">
        <v>168</v>
      </c>
      <c r="CT59">
        <v>168</v>
      </c>
      <c r="CU59" s="1">
        <v>168</v>
      </c>
      <c r="CV59" s="1">
        <v>168</v>
      </c>
      <c r="CW59" s="1">
        <v>168</v>
      </c>
      <c r="CX59" s="1">
        <v>168</v>
      </c>
      <c r="CY59" s="1">
        <v>168</v>
      </c>
      <c r="CZ59" s="1">
        <v>168</v>
      </c>
      <c r="DA59" s="1">
        <v>168</v>
      </c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</row>
    <row r="60" spans="1:198" x14ac:dyDescent="0.4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321</v>
      </c>
      <c r="BT60">
        <v>321</v>
      </c>
      <c r="BU60">
        <v>323</v>
      </c>
      <c r="BV60">
        <v>325</v>
      </c>
      <c r="BW60">
        <v>326</v>
      </c>
      <c r="BX60">
        <v>326</v>
      </c>
      <c r="BY60">
        <v>327</v>
      </c>
      <c r="BZ60">
        <v>327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328</v>
      </c>
      <c r="CK60">
        <v>328</v>
      </c>
      <c r="CL60">
        <v>328</v>
      </c>
      <c r="CM60">
        <v>328</v>
      </c>
      <c r="CN60">
        <v>328</v>
      </c>
      <c r="CO60">
        <v>328</v>
      </c>
      <c r="CP60">
        <v>328</v>
      </c>
      <c r="CQ60">
        <v>328</v>
      </c>
      <c r="CR60">
        <v>328</v>
      </c>
      <c r="CS60">
        <v>328</v>
      </c>
      <c r="CT60">
        <v>328</v>
      </c>
      <c r="CU60" s="1">
        <v>328</v>
      </c>
      <c r="CV60" s="1">
        <v>328</v>
      </c>
      <c r="CW60" s="1">
        <v>328</v>
      </c>
      <c r="CX60" s="1">
        <v>328</v>
      </c>
      <c r="CY60" s="1">
        <v>328</v>
      </c>
      <c r="CZ60" s="1">
        <v>328</v>
      </c>
      <c r="DA60" s="1">
        <v>328</v>
      </c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</row>
    <row r="61" spans="1:198" x14ac:dyDescent="0.4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488</v>
      </c>
      <c r="BW61">
        <v>489</v>
      </c>
      <c r="BX61">
        <v>491</v>
      </c>
      <c r="BY61">
        <v>504</v>
      </c>
      <c r="BZ61">
        <v>524</v>
      </c>
      <c r="CA61">
        <v>544</v>
      </c>
      <c r="CB61">
        <v>569</v>
      </c>
      <c r="CC61">
        <v>609</v>
      </c>
      <c r="CD61">
        <v>638</v>
      </c>
      <c r="CE61">
        <v>661</v>
      </c>
      <c r="CF61">
        <v>684</v>
      </c>
      <c r="CG61">
        <v>740</v>
      </c>
      <c r="CH61">
        <v>819</v>
      </c>
      <c r="CI61">
        <v>841</v>
      </c>
      <c r="CJ61">
        <v>861</v>
      </c>
      <c r="CK61">
        <v>872</v>
      </c>
      <c r="CL61">
        <v>892</v>
      </c>
      <c r="CM61">
        <v>898</v>
      </c>
      <c r="CN61">
        <v>905</v>
      </c>
      <c r="CO61">
        <v>913</v>
      </c>
      <c r="CP61">
        <v>921</v>
      </c>
      <c r="CQ61">
        <v>928</v>
      </c>
      <c r="CR61">
        <v>930</v>
      </c>
      <c r="CS61">
        <v>935</v>
      </c>
      <c r="CT61">
        <v>936</v>
      </c>
      <c r="CU61" s="1">
        <v>939</v>
      </c>
      <c r="CV61" s="1">
        <v>939</v>
      </c>
      <c r="CW61" s="1">
        <v>939</v>
      </c>
      <c r="CX61" s="1">
        <v>944</v>
      </c>
      <c r="CY61" s="1">
        <v>944</v>
      </c>
      <c r="CZ61" s="1">
        <v>944</v>
      </c>
      <c r="DA61" s="1">
        <v>944</v>
      </c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</row>
    <row r="62" spans="1:198" x14ac:dyDescent="0.4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  <c r="BS62">
        <v>1276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  <c r="CM62">
        <v>1276</v>
      </c>
      <c r="CN62">
        <v>1276</v>
      </c>
      <c r="CO62">
        <v>1276</v>
      </c>
      <c r="CP62">
        <v>1276</v>
      </c>
      <c r="CQ62">
        <v>1276</v>
      </c>
      <c r="CR62">
        <v>1276</v>
      </c>
      <c r="CS62">
        <v>1276</v>
      </c>
      <c r="CT62">
        <v>1276</v>
      </c>
      <c r="CU62" s="1">
        <v>1276</v>
      </c>
      <c r="CV62" s="1">
        <v>1276</v>
      </c>
      <c r="CW62" s="1">
        <v>1276</v>
      </c>
      <c r="CX62" s="1">
        <v>1276</v>
      </c>
      <c r="CY62" s="1">
        <v>1276</v>
      </c>
      <c r="CZ62" s="1">
        <v>1276</v>
      </c>
      <c r="DA62" s="1">
        <v>1276</v>
      </c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</row>
    <row r="63" spans="1:198" x14ac:dyDescent="0.4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  <c r="BS63">
        <v>682</v>
      </c>
      <c r="BT63">
        <v>714</v>
      </c>
      <c r="BU63">
        <v>765</v>
      </c>
      <c r="BV63">
        <v>802</v>
      </c>
      <c r="BW63">
        <v>845</v>
      </c>
      <c r="BX63">
        <v>862</v>
      </c>
      <c r="BY63">
        <v>890</v>
      </c>
      <c r="BZ63">
        <v>914</v>
      </c>
      <c r="CA63">
        <v>935</v>
      </c>
      <c r="CB63">
        <v>960</v>
      </c>
      <c r="CC63">
        <v>973</v>
      </c>
      <c r="CD63">
        <v>989</v>
      </c>
      <c r="CE63">
        <v>1000</v>
      </c>
      <c r="CF63">
        <v>1004</v>
      </c>
      <c r="CG63">
        <v>1009</v>
      </c>
      <c r="CH63">
        <v>1012</v>
      </c>
      <c r="CI63">
        <v>1017</v>
      </c>
      <c r="CJ63">
        <v>1017</v>
      </c>
      <c r="CK63">
        <v>1021</v>
      </c>
      <c r="CL63">
        <v>1024</v>
      </c>
      <c r="CM63">
        <v>1025</v>
      </c>
      <c r="CN63">
        <v>1025</v>
      </c>
      <c r="CO63">
        <v>1029</v>
      </c>
      <c r="CP63">
        <v>1033</v>
      </c>
      <c r="CQ63">
        <v>1035</v>
      </c>
      <c r="CR63">
        <v>1035</v>
      </c>
      <c r="CS63">
        <v>1037</v>
      </c>
      <c r="CT63">
        <v>1037</v>
      </c>
      <c r="CU63" s="1">
        <v>1037</v>
      </c>
      <c r="CV63" s="1">
        <v>1037</v>
      </c>
      <c r="CW63" s="1">
        <v>1037</v>
      </c>
      <c r="CX63" s="1">
        <v>1037</v>
      </c>
      <c r="CY63" s="1">
        <v>1039</v>
      </c>
      <c r="CZ63" s="1">
        <v>1039</v>
      </c>
      <c r="DA63" s="1">
        <v>1039</v>
      </c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</row>
    <row r="64" spans="1:198" x14ac:dyDescent="0.4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67802</v>
      </c>
      <c r="BV64">
        <v>67802</v>
      </c>
      <c r="BW64">
        <v>67802</v>
      </c>
      <c r="BX64">
        <v>67803</v>
      </c>
      <c r="BY64">
        <v>67803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68128</v>
      </c>
      <c r="CL64">
        <v>68128</v>
      </c>
      <c r="CM64">
        <v>68128</v>
      </c>
      <c r="CN64">
        <v>68128</v>
      </c>
      <c r="CO64">
        <v>68128</v>
      </c>
      <c r="CP64">
        <v>68128</v>
      </c>
      <c r="CQ64">
        <v>68128</v>
      </c>
      <c r="CR64">
        <v>68128</v>
      </c>
      <c r="CS64">
        <v>68128</v>
      </c>
      <c r="CT64">
        <v>68128</v>
      </c>
      <c r="CU64" s="1">
        <v>68128</v>
      </c>
      <c r="CV64" s="1">
        <v>68128</v>
      </c>
      <c r="CW64" s="1">
        <v>68128</v>
      </c>
      <c r="CX64" s="1">
        <v>68128</v>
      </c>
      <c r="CY64" s="1">
        <v>68128</v>
      </c>
      <c r="CZ64" s="1">
        <v>68128</v>
      </c>
      <c r="DA64" s="1">
        <v>68128</v>
      </c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</row>
    <row r="65" spans="1:198" x14ac:dyDescent="0.4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1019</v>
      </c>
      <c r="BW65">
        <v>1019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  <c r="CM65">
        <v>1019</v>
      </c>
      <c r="CN65">
        <v>1019</v>
      </c>
      <c r="CO65">
        <v>1019</v>
      </c>
      <c r="CP65">
        <v>1019</v>
      </c>
      <c r="CQ65">
        <v>1019</v>
      </c>
      <c r="CR65">
        <v>1019</v>
      </c>
      <c r="CS65">
        <v>1019</v>
      </c>
      <c r="CT65">
        <v>1019</v>
      </c>
      <c r="CU65" s="1">
        <v>1019</v>
      </c>
      <c r="CV65" s="1">
        <v>1019</v>
      </c>
      <c r="CW65" s="1">
        <v>1019</v>
      </c>
      <c r="CX65" s="1">
        <v>1019</v>
      </c>
      <c r="CY65" s="1">
        <v>1019</v>
      </c>
      <c r="CZ65" s="1">
        <v>1019</v>
      </c>
      <c r="DA65" s="1">
        <v>1019</v>
      </c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</row>
    <row r="66" spans="1:198" x14ac:dyDescent="0.4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  <c r="BS66">
        <v>97</v>
      </c>
      <c r="BT66">
        <v>107</v>
      </c>
      <c r="BU66">
        <v>111</v>
      </c>
      <c r="BV66">
        <v>117</v>
      </c>
      <c r="BW66">
        <v>117</v>
      </c>
      <c r="BX66">
        <v>117</v>
      </c>
      <c r="BY66">
        <v>117</v>
      </c>
      <c r="BZ66">
        <v>118</v>
      </c>
      <c r="CA66">
        <v>121</v>
      </c>
      <c r="CB66">
        <v>124</v>
      </c>
      <c r="CC66">
        <v>126</v>
      </c>
      <c r="CD66">
        <v>128</v>
      </c>
      <c r="CE66">
        <v>155</v>
      </c>
      <c r="CF66">
        <v>189</v>
      </c>
      <c r="CG66">
        <v>190</v>
      </c>
      <c r="CH66">
        <v>190</v>
      </c>
      <c r="CI66">
        <v>190</v>
      </c>
      <c r="CJ66">
        <v>193</v>
      </c>
      <c r="CK66">
        <v>193</v>
      </c>
      <c r="CL66">
        <v>193</v>
      </c>
      <c r="CM66">
        <v>193</v>
      </c>
      <c r="CN66">
        <v>194</v>
      </c>
      <c r="CO66">
        <v>194</v>
      </c>
      <c r="CP66">
        <v>194</v>
      </c>
      <c r="CQ66">
        <v>194</v>
      </c>
      <c r="CR66">
        <v>197</v>
      </c>
      <c r="CS66">
        <v>198</v>
      </c>
      <c r="CT66">
        <v>198</v>
      </c>
      <c r="CU66" s="1">
        <v>199</v>
      </c>
      <c r="CV66" s="1">
        <v>199</v>
      </c>
      <c r="CW66" s="1">
        <v>200</v>
      </c>
      <c r="CX66" s="1">
        <v>201</v>
      </c>
      <c r="CY66" s="1">
        <v>201</v>
      </c>
      <c r="CZ66" s="1">
        <v>201</v>
      </c>
      <c r="DA66" s="1">
        <v>201</v>
      </c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</row>
    <row r="67" spans="1:198" x14ac:dyDescent="0.4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  <c r="BS67">
        <v>645</v>
      </c>
      <c r="BT67">
        <v>646</v>
      </c>
      <c r="BU67">
        <v>646</v>
      </c>
      <c r="BV67">
        <v>647</v>
      </c>
      <c r="BW67">
        <v>651</v>
      </c>
      <c r="BX67">
        <v>651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652</v>
      </c>
      <c r="CF67">
        <v>653</v>
      </c>
      <c r="CG67">
        <v>653</v>
      </c>
      <c r="CH67">
        <v>653</v>
      </c>
      <c r="CI67">
        <v>653</v>
      </c>
      <c r="CJ67">
        <v>653</v>
      </c>
      <c r="CK67">
        <v>653</v>
      </c>
      <c r="CL67">
        <v>653</v>
      </c>
      <c r="CM67">
        <v>653</v>
      </c>
      <c r="CN67">
        <v>653</v>
      </c>
      <c r="CO67">
        <v>653</v>
      </c>
      <c r="CP67">
        <v>653</v>
      </c>
      <c r="CQ67">
        <v>653</v>
      </c>
      <c r="CR67">
        <v>653</v>
      </c>
      <c r="CS67">
        <v>653</v>
      </c>
      <c r="CT67">
        <v>653</v>
      </c>
      <c r="CU67" s="1">
        <v>653</v>
      </c>
      <c r="CV67" s="1">
        <v>653</v>
      </c>
      <c r="CW67" s="1">
        <v>653</v>
      </c>
      <c r="CX67" s="1">
        <v>653</v>
      </c>
      <c r="CY67" s="1">
        <v>653</v>
      </c>
      <c r="CZ67" s="1">
        <v>653</v>
      </c>
      <c r="DA67" s="1">
        <v>653</v>
      </c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</row>
    <row r="68" spans="1:198" x14ac:dyDescent="0.4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  <c r="BS68">
        <v>937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  <c r="CM68">
        <v>937</v>
      </c>
      <c r="CN68">
        <v>937</v>
      </c>
      <c r="CO68">
        <v>937</v>
      </c>
      <c r="CP68">
        <v>937</v>
      </c>
      <c r="CQ68">
        <v>937</v>
      </c>
      <c r="CR68">
        <v>937</v>
      </c>
      <c r="CS68">
        <v>937</v>
      </c>
      <c r="CT68">
        <v>937</v>
      </c>
      <c r="CU68" s="1">
        <v>937</v>
      </c>
      <c r="CV68" s="1">
        <v>937</v>
      </c>
      <c r="CW68" s="1">
        <v>937</v>
      </c>
      <c r="CX68" s="1">
        <v>937</v>
      </c>
      <c r="CY68" s="1">
        <v>937</v>
      </c>
      <c r="CZ68" s="1">
        <v>937</v>
      </c>
      <c r="DA68" s="1">
        <v>937</v>
      </c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</row>
    <row r="69" spans="1:198" x14ac:dyDescent="0.4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  <c r="BS69">
        <v>98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99</v>
      </c>
      <c r="CG69">
        <v>100</v>
      </c>
      <c r="CH69">
        <v>100</v>
      </c>
      <c r="CI69">
        <v>102</v>
      </c>
      <c r="CJ69">
        <v>102</v>
      </c>
      <c r="CK69">
        <v>102</v>
      </c>
      <c r="CL69">
        <v>102</v>
      </c>
      <c r="CM69">
        <v>104</v>
      </c>
      <c r="CN69">
        <v>104</v>
      </c>
      <c r="CO69">
        <v>106</v>
      </c>
      <c r="CP69">
        <v>106</v>
      </c>
      <c r="CQ69">
        <v>108</v>
      </c>
      <c r="CR69">
        <v>109</v>
      </c>
      <c r="CS69">
        <v>109</v>
      </c>
      <c r="CT69">
        <v>110</v>
      </c>
      <c r="CU69" s="1">
        <v>110</v>
      </c>
      <c r="CV69" s="1">
        <v>110</v>
      </c>
      <c r="CW69" s="1">
        <v>111</v>
      </c>
      <c r="CX69" s="1">
        <v>111</v>
      </c>
      <c r="CY69" s="1">
        <v>112</v>
      </c>
      <c r="CZ69" s="1">
        <v>112</v>
      </c>
      <c r="DA69" s="1">
        <v>112</v>
      </c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</row>
    <row r="70" spans="1:198" x14ac:dyDescent="0.4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  <c r="BS70">
        <v>136</v>
      </c>
      <c r="BT70">
        <v>139</v>
      </c>
      <c r="BU70">
        <v>140</v>
      </c>
      <c r="BV70">
        <v>141</v>
      </c>
      <c r="BW70">
        <v>141</v>
      </c>
      <c r="BX70">
        <v>141</v>
      </c>
      <c r="BY70">
        <v>142</v>
      </c>
      <c r="BZ70">
        <v>142</v>
      </c>
      <c r="CA70">
        <v>144</v>
      </c>
      <c r="CB70">
        <v>144</v>
      </c>
      <c r="CC70">
        <v>144</v>
      </c>
      <c r="CD70">
        <v>144</v>
      </c>
      <c r="CE70">
        <v>145</v>
      </c>
      <c r="CF70">
        <v>145</v>
      </c>
      <c r="CG70">
        <v>145</v>
      </c>
      <c r="CH70">
        <v>145</v>
      </c>
      <c r="CI70">
        <v>145</v>
      </c>
      <c r="CJ70">
        <v>145</v>
      </c>
      <c r="CK70">
        <v>146</v>
      </c>
      <c r="CL70">
        <v>146</v>
      </c>
      <c r="CM70">
        <v>146</v>
      </c>
      <c r="CN70">
        <v>146</v>
      </c>
      <c r="CO70">
        <v>146</v>
      </c>
      <c r="CP70">
        <v>146</v>
      </c>
      <c r="CQ70">
        <v>146</v>
      </c>
      <c r="CR70">
        <v>146</v>
      </c>
      <c r="CS70">
        <v>146</v>
      </c>
      <c r="CT70">
        <v>146</v>
      </c>
      <c r="CU70" s="1">
        <v>146</v>
      </c>
      <c r="CV70" s="1">
        <v>146</v>
      </c>
      <c r="CW70" s="1">
        <v>146</v>
      </c>
      <c r="CX70" s="1">
        <v>146</v>
      </c>
      <c r="CY70" s="1">
        <v>146</v>
      </c>
      <c r="CZ70" s="1">
        <v>146</v>
      </c>
      <c r="DA70" s="1">
        <v>146</v>
      </c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</row>
    <row r="71" spans="1:198" x14ac:dyDescent="0.4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  <c r="BS71">
        <v>38</v>
      </c>
      <c r="BT71">
        <v>41</v>
      </c>
      <c r="BU71">
        <v>41</v>
      </c>
      <c r="BV71">
        <v>41</v>
      </c>
      <c r="BW71">
        <v>43</v>
      </c>
      <c r="BX71">
        <v>43</v>
      </c>
      <c r="BY71">
        <v>44</v>
      </c>
      <c r="BZ71">
        <v>44</v>
      </c>
      <c r="CA71">
        <v>44</v>
      </c>
      <c r="CB71">
        <v>45</v>
      </c>
      <c r="CC71">
        <v>45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  <c r="CM71">
        <v>45</v>
      </c>
      <c r="CN71">
        <v>45</v>
      </c>
      <c r="CO71">
        <v>45</v>
      </c>
      <c r="CP71">
        <v>45</v>
      </c>
      <c r="CQ71">
        <v>45</v>
      </c>
      <c r="CR71">
        <v>45</v>
      </c>
      <c r="CS71">
        <v>45</v>
      </c>
      <c r="CT71">
        <v>45</v>
      </c>
      <c r="CU71" s="1">
        <v>45</v>
      </c>
      <c r="CV71" s="1">
        <v>45</v>
      </c>
      <c r="CW71" s="1">
        <v>45</v>
      </c>
      <c r="CX71" s="1">
        <v>45</v>
      </c>
      <c r="CY71" s="1">
        <v>45</v>
      </c>
      <c r="CZ71" s="1">
        <v>45</v>
      </c>
      <c r="DA71" s="1">
        <v>45</v>
      </c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</row>
    <row r="72" spans="1:198" x14ac:dyDescent="0.4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  <c r="CM72">
        <v>75</v>
      </c>
      <c r="CN72">
        <v>75</v>
      </c>
      <c r="CO72">
        <v>75</v>
      </c>
      <c r="CP72">
        <v>75</v>
      </c>
      <c r="CQ72">
        <v>75</v>
      </c>
      <c r="CR72">
        <v>75</v>
      </c>
      <c r="CS72">
        <v>75</v>
      </c>
      <c r="CT72">
        <v>75</v>
      </c>
      <c r="CU72" s="1">
        <v>75</v>
      </c>
      <c r="CV72" s="1">
        <v>75</v>
      </c>
      <c r="CW72" s="1">
        <v>75</v>
      </c>
      <c r="CX72" s="1">
        <v>75</v>
      </c>
      <c r="CY72" s="1">
        <v>75</v>
      </c>
      <c r="CZ72" s="1">
        <v>75</v>
      </c>
      <c r="DA72" s="1">
        <v>75</v>
      </c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</row>
    <row r="73" spans="1:198" x14ac:dyDescent="0.4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  <c r="CM73">
        <v>18</v>
      </c>
      <c r="CN73">
        <v>18</v>
      </c>
      <c r="CO73">
        <v>18</v>
      </c>
      <c r="CP73">
        <v>18</v>
      </c>
      <c r="CQ73">
        <v>18</v>
      </c>
      <c r="CR73">
        <v>18</v>
      </c>
      <c r="CS73">
        <v>18</v>
      </c>
      <c r="CT73">
        <v>18</v>
      </c>
      <c r="CU73" s="1">
        <v>18</v>
      </c>
      <c r="CV73" s="1">
        <v>18</v>
      </c>
      <c r="CW73" s="1">
        <v>18</v>
      </c>
      <c r="CX73" s="1">
        <v>18</v>
      </c>
      <c r="CY73" s="1">
        <v>18</v>
      </c>
      <c r="CZ73" s="1">
        <v>18</v>
      </c>
      <c r="DA73" s="1">
        <v>18</v>
      </c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</row>
    <row r="74" spans="1:198" x14ac:dyDescent="0.4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  <c r="BS74">
        <v>253</v>
      </c>
      <c r="BT74">
        <v>253</v>
      </c>
      <c r="BU74">
        <v>255</v>
      </c>
      <c r="BV74">
        <v>255</v>
      </c>
      <c r="BW74">
        <v>255</v>
      </c>
      <c r="BX74">
        <v>256</v>
      </c>
      <c r="BY74">
        <v>256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  <c r="CM74">
        <v>256</v>
      </c>
      <c r="CN74">
        <v>256</v>
      </c>
      <c r="CO74">
        <v>277</v>
      </c>
      <c r="CP74">
        <v>279</v>
      </c>
      <c r="CQ74">
        <v>279</v>
      </c>
      <c r="CR74">
        <v>286</v>
      </c>
      <c r="CS74">
        <v>286</v>
      </c>
      <c r="CT74">
        <v>286</v>
      </c>
      <c r="CU74" s="1">
        <v>286</v>
      </c>
      <c r="CV74" s="1">
        <v>306</v>
      </c>
      <c r="CW74" s="1">
        <v>306</v>
      </c>
      <c r="CX74" s="1">
        <v>306</v>
      </c>
      <c r="CY74" s="1">
        <v>306</v>
      </c>
      <c r="CZ74" s="1">
        <v>306</v>
      </c>
      <c r="DA74" s="1">
        <v>306</v>
      </c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</row>
    <row r="75" spans="1:198" x14ac:dyDescent="0.4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  <c r="BS75">
        <v>773</v>
      </c>
      <c r="BT75">
        <v>774</v>
      </c>
      <c r="BU75">
        <v>774</v>
      </c>
      <c r="BV75">
        <v>775</v>
      </c>
      <c r="BW75">
        <v>778</v>
      </c>
      <c r="BX75">
        <v>778</v>
      </c>
      <c r="BY75">
        <v>779</v>
      </c>
      <c r="BZ75">
        <v>780</v>
      </c>
      <c r="CA75">
        <v>781</v>
      </c>
      <c r="CB75">
        <v>783</v>
      </c>
      <c r="CC75">
        <v>783</v>
      </c>
      <c r="CD75">
        <v>783</v>
      </c>
      <c r="CE75">
        <v>784</v>
      </c>
      <c r="CF75">
        <v>784</v>
      </c>
      <c r="CG75">
        <v>784</v>
      </c>
      <c r="CH75">
        <v>784</v>
      </c>
      <c r="CI75">
        <v>784</v>
      </c>
      <c r="CJ75">
        <v>784</v>
      </c>
      <c r="CK75">
        <v>787</v>
      </c>
      <c r="CL75">
        <v>787</v>
      </c>
      <c r="CM75">
        <v>787</v>
      </c>
      <c r="CN75">
        <v>787</v>
      </c>
      <c r="CO75">
        <v>787</v>
      </c>
      <c r="CP75">
        <v>787</v>
      </c>
      <c r="CQ75">
        <v>787</v>
      </c>
      <c r="CR75">
        <v>787</v>
      </c>
      <c r="CS75">
        <v>787</v>
      </c>
      <c r="CT75">
        <v>787</v>
      </c>
      <c r="CU75" s="1">
        <v>787</v>
      </c>
      <c r="CV75" s="1">
        <v>787</v>
      </c>
      <c r="CW75" s="1">
        <v>787</v>
      </c>
      <c r="CX75" s="1">
        <v>787</v>
      </c>
      <c r="CY75" s="1">
        <v>787</v>
      </c>
      <c r="CZ75" s="1">
        <v>787</v>
      </c>
      <c r="DA75" s="1">
        <v>788</v>
      </c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</row>
    <row r="76" spans="1:198" x14ac:dyDescent="0.4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  <c r="BS76">
        <v>498</v>
      </c>
      <c r="BT76">
        <v>509</v>
      </c>
      <c r="BU76">
        <v>516</v>
      </c>
      <c r="BV76">
        <v>522</v>
      </c>
      <c r="BW76">
        <v>526</v>
      </c>
      <c r="BX76">
        <v>529</v>
      </c>
      <c r="BY76">
        <v>531</v>
      </c>
      <c r="BZ76">
        <v>536</v>
      </c>
      <c r="CA76">
        <v>538</v>
      </c>
      <c r="CB76">
        <v>543</v>
      </c>
      <c r="CC76">
        <v>552</v>
      </c>
      <c r="CD76">
        <v>555</v>
      </c>
      <c r="CE76">
        <v>555</v>
      </c>
      <c r="CF76">
        <v>607</v>
      </c>
      <c r="CG76">
        <v>618</v>
      </c>
      <c r="CH76">
        <v>618</v>
      </c>
      <c r="CI76">
        <v>622</v>
      </c>
      <c r="CJ76">
        <v>628</v>
      </c>
      <c r="CK76">
        <v>628</v>
      </c>
      <c r="CL76">
        <v>628</v>
      </c>
      <c r="CM76">
        <v>635</v>
      </c>
      <c r="CN76">
        <v>638</v>
      </c>
      <c r="CO76">
        <v>638</v>
      </c>
      <c r="CP76">
        <v>639</v>
      </c>
      <c r="CQ76">
        <v>641</v>
      </c>
      <c r="CR76">
        <v>641</v>
      </c>
      <c r="CS76">
        <v>642</v>
      </c>
      <c r="CT76">
        <v>642</v>
      </c>
      <c r="CU76" s="1">
        <v>644</v>
      </c>
      <c r="CV76" s="1">
        <v>645</v>
      </c>
      <c r="CW76" s="1">
        <v>647</v>
      </c>
      <c r="CX76" s="1">
        <v>652</v>
      </c>
      <c r="CY76" s="1">
        <v>652</v>
      </c>
      <c r="CZ76" s="1">
        <v>652</v>
      </c>
      <c r="DA76" s="1">
        <v>655</v>
      </c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</row>
    <row r="77" spans="1:198" x14ac:dyDescent="0.4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  <c r="BS77">
        <v>136</v>
      </c>
      <c r="BT77">
        <v>136</v>
      </c>
      <c r="BU77">
        <v>137</v>
      </c>
      <c r="BV77">
        <v>137</v>
      </c>
      <c r="BW77">
        <v>137</v>
      </c>
      <c r="BX77">
        <v>137</v>
      </c>
      <c r="BY77">
        <v>138</v>
      </c>
      <c r="BZ77">
        <v>138</v>
      </c>
      <c r="CA77">
        <v>138</v>
      </c>
      <c r="CB77">
        <v>163</v>
      </c>
      <c r="CC77">
        <v>166</v>
      </c>
      <c r="CD77">
        <v>168</v>
      </c>
      <c r="CE77">
        <v>172</v>
      </c>
      <c r="CF77">
        <v>172</v>
      </c>
      <c r="CG77">
        <v>173</v>
      </c>
      <c r="CH77">
        <v>173</v>
      </c>
      <c r="CI77">
        <v>186</v>
      </c>
      <c r="CJ77">
        <v>194</v>
      </c>
      <c r="CK77">
        <v>197</v>
      </c>
      <c r="CL77">
        <v>197</v>
      </c>
      <c r="CM77">
        <v>197</v>
      </c>
      <c r="CN77">
        <v>197</v>
      </c>
      <c r="CO77">
        <v>197</v>
      </c>
      <c r="CP77">
        <v>197</v>
      </c>
      <c r="CQ77">
        <v>197</v>
      </c>
      <c r="CR77">
        <v>197</v>
      </c>
      <c r="CS77">
        <v>197</v>
      </c>
      <c r="CT77">
        <v>197</v>
      </c>
      <c r="CU77" s="1">
        <v>197</v>
      </c>
      <c r="CV77" s="1">
        <v>197</v>
      </c>
      <c r="CW77" s="1">
        <v>197</v>
      </c>
      <c r="CX77" s="1">
        <v>197</v>
      </c>
      <c r="CY77" s="1">
        <v>197</v>
      </c>
      <c r="CZ77" s="1">
        <v>197</v>
      </c>
      <c r="DA77" s="1">
        <v>198</v>
      </c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</row>
    <row r="78" spans="1:198" x14ac:dyDescent="0.4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  <c r="BS78">
        <v>550</v>
      </c>
      <c r="BT78">
        <v>550</v>
      </c>
      <c r="BU78">
        <v>552</v>
      </c>
      <c r="BV78">
        <v>554</v>
      </c>
      <c r="BW78">
        <v>555</v>
      </c>
      <c r="BX78">
        <v>557</v>
      </c>
      <c r="BY78">
        <v>558</v>
      </c>
      <c r="BZ78">
        <v>559</v>
      </c>
      <c r="CA78">
        <v>560</v>
      </c>
      <c r="CB78">
        <v>560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561</v>
      </c>
      <c r="CM78">
        <v>561</v>
      </c>
      <c r="CN78">
        <v>561</v>
      </c>
      <c r="CO78">
        <v>561</v>
      </c>
      <c r="CP78">
        <v>561</v>
      </c>
      <c r="CQ78">
        <v>561</v>
      </c>
      <c r="CR78">
        <v>561</v>
      </c>
      <c r="CS78">
        <v>561</v>
      </c>
      <c r="CT78">
        <v>561</v>
      </c>
      <c r="CU78" s="1">
        <v>561</v>
      </c>
      <c r="CV78" s="1">
        <v>561</v>
      </c>
      <c r="CW78" s="1">
        <v>561</v>
      </c>
      <c r="CX78" s="1">
        <v>561</v>
      </c>
      <c r="CY78" s="1">
        <v>561</v>
      </c>
      <c r="CZ78" s="1">
        <v>561</v>
      </c>
      <c r="DA78" s="1">
        <v>561</v>
      </c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</row>
    <row r="79" spans="1:198" x14ac:dyDescent="0.4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  <c r="BS79">
        <v>174</v>
      </c>
      <c r="BT79">
        <v>174</v>
      </c>
      <c r="BU79">
        <v>176</v>
      </c>
      <c r="BV79">
        <v>176</v>
      </c>
      <c r="BW79">
        <v>180</v>
      </c>
      <c r="BX79">
        <v>180</v>
      </c>
      <c r="BY79">
        <v>180</v>
      </c>
      <c r="BZ79">
        <v>180</v>
      </c>
      <c r="CA79">
        <v>180</v>
      </c>
      <c r="CB79">
        <v>180</v>
      </c>
      <c r="CC79">
        <v>182</v>
      </c>
      <c r="CD79">
        <v>183</v>
      </c>
      <c r="CE79">
        <v>183</v>
      </c>
      <c r="CF79">
        <v>183</v>
      </c>
      <c r="CG79">
        <v>184</v>
      </c>
      <c r="CH79">
        <v>185</v>
      </c>
      <c r="CI79">
        <v>185</v>
      </c>
      <c r="CJ79">
        <v>186</v>
      </c>
      <c r="CK79">
        <v>189</v>
      </c>
      <c r="CL79">
        <v>189</v>
      </c>
      <c r="CM79">
        <v>189</v>
      </c>
      <c r="CN79">
        <v>189</v>
      </c>
      <c r="CO79">
        <v>189</v>
      </c>
      <c r="CP79">
        <v>189</v>
      </c>
      <c r="CQ79">
        <v>189</v>
      </c>
      <c r="CR79">
        <v>190</v>
      </c>
      <c r="CS79">
        <v>190</v>
      </c>
      <c r="CT79">
        <v>190</v>
      </c>
      <c r="CU79" s="1">
        <v>190</v>
      </c>
      <c r="CV79" s="1">
        <v>190</v>
      </c>
      <c r="CW79" s="1">
        <v>190</v>
      </c>
      <c r="CX79" s="1">
        <v>190</v>
      </c>
      <c r="CY79" s="1">
        <v>190</v>
      </c>
      <c r="CZ79" s="1">
        <v>190</v>
      </c>
      <c r="DA79" s="1">
        <v>190</v>
      </c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</row>
    <row r="80" spans="1:198" x14ac:dyDescent="0.4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 s="1">
        <v>1</v>
      </c>
      <c r="CV80" s="1">
        <v>1</v>
      </c>
      <c r="CW80" s="1">
        <v>1</v>
      </c>
      <c r="CX80" s="1">
        <v>1</v>
      </c>
      <c r="CY80" s="1">
        <v>1</v>
      </c>
      <c r="CZ80" s="1">
        <v>1</v>
      </c>
      <c r="DA80" s="1">
        <v>1</v>
      </c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</row>
    <row r="81" spans="1:198" x14ac:dyDescent="0.4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  <c r="CM81">
        <v>76</v>
      </c>
      <c r="CN81">
        <v>76</v>
      </c>
      <c r="CO81">
        <v>76</v>
      </c>
      <c r="CP81">
        <v>76</v>
      </c>
      <c r="CQ81">
        <v>76</v>
      </c>
      <c r="CR81">
        <v>76</v>
      </c>
      <c r="CS81">
        <v>76</v>
      </c>
      <c r="CT81">
        <v>76</v>
      </c>
      <c r="CU81" s="1">
        <v>76</v>
      </c>
      <c r="CV81" s="1">
        <v>76</v>
      </c>
      <c r="CW81" s="1">
        <v>76</v>
      </c>
      <c r="CX81" s="1">
        <v>76</v>
      </c>
      <c r="CY81" s="1">
        <v>76</v>
      </c>
      <c r="CZ81" s="1">
        <v>76</v>
      </c>
      <c r="DA81" s="1">
        <v>76</v>
      </c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</row>
    <row r="82" spans="1:198" x14ac:dyDescent="0.4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  <c r="BS82">
        <v>180</v>
      </c>
      <c r="BT82">
        <v>182</v>
      </c>
      <c r="BU82">
        <v>182</v>
      </c>
      <c r="BV82">
        <v>183</v>
      </c>
      <c r="BW82">
        <v>184</v>
      </c>
      <c r="BX82">
        <v>184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  <c r="CM82">
        <v>184</v>
      </c>
      <c r="CN82">
        <v>184</v>
      </c>
      <c r="CO82">
        <v>184</v>
      </c>
      <c r="CP82">
        <v>184</v>
      </c>
      <c r="CQ82">
        <v>184</v>
      </c>
      <c r="CR82">
        <v>185</v>
      </c>
      <c r="CS82">
        <v>185</v>
      </c>
      <c r="CT82">
        <v>185</v>
      </c>
      <c r="CU82" s="1">
        <v>185</v>
      </c>
      <c r="CV82" s="1">
        <v>185</v>
      </c>
      <c r="CW82" s="1">
        <v>185</v>
      </c>
      <c r="CX82" s="1">
        <v>185</v>
      </c>
      <c r="CY82" s="1">
        <v>185</v>
      </c>
      <c r="CZ82" s="1">
        <v>185</v>
      </c>
      <c r="DA82" s="1">
        <v>185</v>
      </c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</row>
    <row r="83" spans="1:198" x14ac:dyDescent="0.4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  <c r="BS83">
        <v>1255</v>
      </c>
      <c r="BT83">
        <v>1257</v>
      </c>
      <c r="BU83">
        <v>1257</v>
      </c>
      <c r="BV83">
        <v>1258</v>
      </c>
      <c r="BW83">
        <v>1260</v>
      </c>
      <c r="BX83">
        <v>1262</v>
      </c>
      <c r="BY83">
        <v>1263</v>
      </c>
      <c r="BZ83">
        <v>1264</v>
      </c>
      <c r="CA83">
        <v>1265</v>
      </c>
      <c r="CB83">
        <v>1266</v>
      </c>
      <c r="CC83">
        <v>1267</v>
      </c>
      <c r="CD83">
        <v>1267</v>
      </c>
      <c r="CE83">
        <v>1267</v>
      </c>
      <c r="CF83">
        <v>1267</v>
      </c>
      <c r="CG83">
        <v>1267</v>
      </c>
      <c r="CH83">
        <v>1267</v>
      </c>
      <c r="CI83">
        <v>1268</v>
      </c>
      <c r="CJ83">
        <v>1268</v>
      </c>
      <c r="CK83">
        <v>1268</v>
      </c>
      <c r="CL83">
        <v>1268</v>
      </c>
      <c r="CM83">
        <v>1268</v>
      </c>
      <c r="CN83">
        <v>1268</v>
      </c>
      <c r="CO83">
        <v>1268</v>
      </c>
      <c r="CP83">
        <v>1268</v>
      </c>
      <c r="CQ83">
        <v>1268</v>
      </c>
      <c r="CR83">
        <v>1268</v>
      </c>
      <c r="CS83">
        <v>1268</v>
      </c>
      <c r="CT83">
        <v>1268</v>
      </c>
      <c r="CU83" s="1">
        <v>1268</v>
      </c>
      <c r="CV83" s="1">
        <v>1268</v>
      </c>
      <c r="CW83" s="1">
        <v>1268</v>
      </c>
      <c r="CX83" s="1">
        <v>1268</v>
      </c>
      <c r="CY83" s="1">
        <v>1268</v>
      </c>
      <c r="CZ83" s="1">
        <v>1268</v>
      </c>
      <c r="DA83" s="1">
        <v>1268</v>
      </c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</row>
    <row r="84" spans="1:198" x14ac:dyDescent="0.4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  <c r="BS84">
        <v>798</v>
      </c>
      <c r="BT84">
        <v>906</v>
      </c>
      <c r="BU84">
        <v>1065</v>
      </c>
      <c r="BV84">
        <v>1161</v>
      </c>
      <c r="BW84">
        <v>1267</v>
      </c>
      <c r="BX84">
        <v>1406</v>
      </c>
      <c r="BY84">
        <v>1485</v>
      </c>
      <c r="BZ84">
        <v>1579</v>
      </c>
      <c r="CA84">
        <v>1780</v>
      </c>
      <c r="CB84">
        <v>2054</v>
      </c>
      <c r="CC84">
        <v>2223</v>
      </c>
      <c r="CD84">
        <v>2473</v>
      </c>
      <c r="CE84">
        <v>2709</v>
      </c>
      <c r="CF84">
        <v>2776</v>
      </c>
      <c r="CG84">
        <v>2852</v>
      </c>
      <c r="CH84">
        <v>2979</v>
      </c>
      <c r="CI84">
        <v>3105</v>
      </c>
      <c r="CJ84">
        <v>3233</v>
      </c>
      <c r="CK84">
        <v>3439</v>
      </c>
      <c r="CL84">
        <v>3439</v>
      </c>
      <c r="CM84">
        <v>3792</v>
      </c>
      <c r="CN84">
        <v>3977</v>
      </c>
      <c r="CO84">
        <v>4149</v>
      </c>
      <c r="CP84">
        <v>4356</v>
      </c>
      <c r="CQ84">
        <v>4561</v>
      </c>
      <c r="CR84">
        <v>4881</v>
      </c>
      <c r="CS84">
        <v>5142</v>
      </c>
      <c r="CT84">
        <v>5379</v>
      </c>
      <c r="CU84" s="1">
        <v>5597</v>
      </c>
      <c r="CV84" s="1">
        <v>5949</v>
      </c>
      <c r="CW84" s="1">
        <v>6207</v>
      </c>
      <c r="CX84" s="1">
        <v>6507</v>
      </c>
      <c r="CY84" s="1">
        <v>7006</v>
      </c>
      <c r="CZ84" s="1">
        <v>7285</v>
      </c>
      <c r="DA84" s="1">
        <v>7668</v>
      </c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</row>
    <row r="85" spans="1:198" x14ac:dyDescent="0.4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  <c r="BS85">
        <v>19</v>
      </c>
      <c r="BT85">
        <v>19</v>
      </c>
      <c r="BU85">
        <v>19</v>
      </c>
      <c r="BV85">
        <v>22</v>
      </c>
      <c r="BW85">
        <v>22</v>
      </c>
      <c r="BX85">
        <v>22</v>
      </c>
      <c r="BY85">
        <v>45</v>
      </c>
      <c r="BZ85">
        <v>45</v>
      </c>
      <c r="CA85">
        <v>45</v>
      </c>
      <c r="CB85">
        <v>45</v>
      </c>
      <c r="CC85">
        <v>60</v>
      </c>
      <c r="CD85">
        <v>60</v>
      </c>
      <c r="CE85">
        <v>60</v>
      </c>
      <c r="CF85">
        <v>60</v>
      </c>
      <c r="CG85">
        <v>60</v>
      </c>
      <c r="CH85">
        <v>60</v>
      </c>
      <c r="CI85">
        <v>117</v>
      </c>
      <c r="CJ85">
        <v>117</v>
      </c>
      <c r="CK85">
        <v>143</v>
      </c>
      <c r="CL85">
        <v>143</v>
      </c>
      <c r="CM85">
        <v>143</v>
      </c>
      <c r="CN85">
        <v>160</v>
      </c>
      <c r="CO85">
        <v>165</v>
      </c>
      <c r="CP85">
        <v>186</v>
      </c>
      <c r="CQ85">
        <v>186</v>
      </c>
      <c r="CR85">
        <v>200</v>
      </c>
      <c r="CS85">
        <v>200</v>
      </c>
      <c r="CT85">
        <v>200</v>
      </c>
      <c r="CU85" s="1">
        <v>200</v>
      </c>
      <c r="CV85" s="1">
        <v>207</v>
      </c>
      <c r="CW85" s="1">
        <v>207</v>
      </c>
      <c r="CX85" s="1">
        <v>220</v>
      </c>
      <c r="CY85" s="1">
        <v>229</v>
      </c>
      <c r="CZ85" s="1">
        <v>229</v>
      </c>
      <c r="DA85" s="1">
        <v>229</v>
      </c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</row>
    <row r="86" spans="1:198" x14ac:dyDescent="0.4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  <c r="BS86">
        <v>81</v>
      </c>
      <c r="BT86">
        <v>98</v>
      </c>
      <c r="BU86">
        <v>109</v>
      </c>
      <c r="BV86">
        <v>134</v>
      </c>
      <c r="BW86">
        <v>134</v>
      </c>
      <c r="BX86">
        <v>154</v>
      </c>
      <c r="BY86">
        <v>154</v>
      </c>
      <c r="BZ86">
        <v>161</v>
      </c>
      <c r="CA86">
        <v>180</v>
      </c>
      <c r="CB86">
        <v>180</v>
      </c>
      <c r="CC86">
        <v>180</v>
      </c>
      <c r="CD86">
        <v>215</v>
      </c>
      <c r="CE86">
        <v>223</v>
      </c>
      <c r="CF86">
        <v>234</v>
      </c>
      <c r="CG86">
        <v>235</v>
      </c>
      <c r="CH86">
        <v>241</v>
      </c>
      <c r="CI86">
        <v>254</v>
      </c>
      <c r="CJ86">
        <v>267</v>
      </c>
      <c r="CK86">
        <v>287</v>
      </c>
      <c r="CL86">
        <v>307</v>
      </c>
      <c r="CM86">
        <v>327</v>
      </c>
      <c r="CN86">
        <v>332</v>
      </c>
      <c r="CO86">
        <v>350</v>
      </c>
      <c r="CP86">
        <v>359</v>
      </c>
      <c r="CQ86">
        <v>377</v>
      </c>
      <c r="CR86">
        <v>394</v>
      </c>
      <c r="CS86">
        <v>416</v>
      </c>
      <c r="CT86">
        <v>442</v>
      </c>
      <c r="CU86" s="1">
        <v>459</v>
      </c>
      <c r="CV86" s="1">
        <v>471</v>
      </c>
      <c r="CW86" s="1">
        <v>491</v>
      </c>
      <c r="CX86" s="1">
        <v>572</v>
      </c>
      <c r="CY86" s="1">
        <v>604</v>
      </c>
      <c r="CZ86" s="1">
        <v>674</v>
      </c>
      <c r="DA86" s="1">
        <v>674</v>
      </c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</row>
    <row r="87" spans="1:198" x14ac:dyDescent="0.4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  <c r="BS87">
        <v>330</v>
      </c>
      <c r="BT87">
        <v>347</v>
      </c>
      <c r="BU87">
        <v>375</v>
      </c>
      <c r="BV87">
        <v>396</v>
      </c>
      <c r="BW87">
        <v>416</v>
      </c>
      <c r="BX87">
        <v>435</v>
      </c>
      <c r="BY87">
        <v>454</v>
      </c>
      <c r="BZ87">
        <v>467</v>
      </c>
      <c r="CA87">
        <v>483</v>
      </c>
      <c r="CB87">
        <v>502</v>
      </c>
      <c r="CC87">
        <v>539</v>
      </c>
      <c r="CD87">
        <v>558</v>
      </c>
      <c r="CE87">
        <v>577</v>
      </c>
      <c r="CF87">
        <v>595</v>
      </c>
      <c r="CG87">
        <v>612</v>
      </c>
      <c r="CH87">
        <v>618</v>
      </c>
      <c r="CI87">
        <v>626</v>
      </c>
      <c r="CJ87">
        <v>642</v>
      </c>
      <c r="CK87">
        <v>649</v>
      </c>
      <c r="CL87">
        <v>655</v>
      </c>
      <c r="CM87">
        <v>660</v>
      </c>
      <c r="CN87">
        <v>662</v>
      </c>
      <c r="CO87">
        <v>669</v>
      </c>
      <c r="CP87">
        <v>681</v>
      </c>
      <c r="CQ87">
        <v>686</v>
      </c>
      <c r="CR87">
        <v>687</v>
      </c>
      <c r="CS87">
        <v>693</v>
      </c>
      <c r="CT87">
        <v>695</v>
      </c>
      <c r="CU87" s="1">
        <v>697</v>
      </c>
      <c r="CV87" s="1">
        <v>705</v>
      </c>
      <c r="CW87" s="1">
        <v>713</v>
      </c>
      <c r="CX87" s="1">
        <v>719</v>
      </c>
      <c r="CY87" s="1">
        <v>725</v>
      </c>
      <c r="CZ87" s="1">
        <v>733</v>
      </c>
      <c r="DA87" s="1">
        <v>739</v>
      </c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</row>
    <row r="88" spans="1:198" x14ac:dyDescent="0.4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  <c r="BS88">
        <v>168</v>
      </c>
      <c r="BT88">
        <v>179</v>
      </c>
      <c r="BU88">
        <v>190</v>
      </c>
      <c r="BV88">
        <v>194</v>
      </c>
      <c r="BW88">
        <v>218</v>
      </c>
      <c r="BX88">
        <v>245</v>
      </c>
      <c r="BY88">
        <v>261</v>
      </c>
      <c r="BZ88">
        <v>323</v>
      </c>
      <c r="CA88">
        <v>349</v>
      </c>
      <c r="CB88">
        <v>384</v>
      </c>
      <c r="CC88">
        <v>444</v>
      </c>
      <c r="CD88">
        <v>444</v>
      </c>
      <c r="CE88">
        <v>533</v>
      </c>
      <c r="CF88">
        <v>574</v>
      </c>
      <c r="CG88">
        <v>626</v>
      </c>
      <c r="CH88">
        <v>638</v>
      </c>
      <c r="CI88">
        <v>638</v>
      </c>
      <c r="CJ88">
        <v>654</v>
      </c>
      <c r="CK88">
        <v>688</v>
      </c>
      <c r="CL88">
        <v>801</v>
      </c>
      <c r="CM88">
        <v>847</v>
      </c>
      <c r="CN88">
        <v>847</v>
      </c>
      <c r="CO88">
        <v>916</v>
      </c>
      <c r="CP88">
        <v>952</v>
      </c>
      <c r="CQ88">
        <v>1004</v>
      </c>
      <c r="CR88">
        <v>1077</v>
      </c>
      <c r="CS88">
        <v>1077</v>
      </c>
      <c r="CT88">
        <v>1150</v>
      </c>
      <c r="CU88" s="1">
        <v>1164</v>
      </c>
      <c r="CV88" s="1">
        <v>1183</v>
      </c>
      <c r="CW88" s="1">
        <v>1238</v>
      </c>
      <c r="CX88" s="1">
        <v>1275</v>
      </c>
      <c r="CY88" s="1">
        <v>1333</v>
      </c>
      <c r="CZ88" s="1">
        <v>1362</v>
      </c>
      <c r="DA88" s="1">
        <v>1398</v>
      </c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</row>
    <row r="89" spans="1:198" x14ac:dyDescent="0.4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  <c r="BS89">
        <v>790</v>
      </c>
      <c r="BT89">
        <v>867</v>
      </c>
      <c r="BU89">
        <v>963</v>
      </c>
      <c r="BV89">
        <v>1011</v>
      </c>
      <c r="BW89">
        <v>1079</v>
      </c>
      <c r="BX89">
        <v>1126</v>
      </c>
      <c r="BY89">
        <v>1182</v>
      </c>
      <c r="BZ89">
        <v>1222</v>
      </c>
      <c r="CA89">
        <v>1282</v>
      </c>
      <c r="CB89">
        <v>1343</v>
      </c>
      <c r="CC89">
        <v>1407</v>
      </c>
      <c r="CD89">
        <v>1495</v>
      </c>
      <c r="CE89">
        <v>1534</v>
      </c>
      <c r="CF89">
        <v>1600</v>
      </c>
      <c r="CG89">
        <v>1650</v>
      </c>
      <c r="CH89">
        <v>1704</v>
      </c>
      <c r="CI89">
        <v>1741</v>
      </c>
      <c r="CJ89">
        <v>1791</v>
      </c>
      <c r="CK89">
        <v>1814</v>
      </c>
      <c r="CL89">
        <v>1832</v>
      </c>
      <c r="CM89">
        <v>1871</v>
      </c>
      <c r="CN89">
        <v>1881</v>
      </c>
      <c r="CO89">
        <v>1908</v>
      </c>
      <c r="CP89">
        <v>1950</v>
      </c>
      <c r="CQ89">
        <v>1981</v>
      </c>
      <c r="CR89">
        <v>2009</v>
      </c>
      <c r="CS89">
        <v>2016</v>
      </c>
      <c r="CT89">
        <v>2030</v>
      </c>
      <c r="CU89" s="1">
        <v>2039</v>
      </c>
      <c r="CV89" s="1">
        <v>2047</v>
      </c>
      <c r="CW89" s="1">
        <v>2062</v>
      </c>
      <c r="CX89" s="1">
        <v>2076</v>
      </c>
      <c r="CY89" s="1">
        <v>2085</v>
      </c>
      <c r="CZ89" s="1">
        <v>2088</v>
      </c>
      <c r="DA89" s="1">
        <v>2096</v>
      </c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</row>
    <row r="90" spans="1:198" x14ac:dyDescent="0.4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  <c r="CM90">
        <v>712</v>
      </c>
      <c r="CN90">
        <v>712</v>
      </c>
      <c r="CO90">
        <v>712</v>
      </c>
      <c r="CP90">
        <v>712</v>
      </c>
      <c r="CQ90">
        <v>712</v>
      </c>
      <c r="CR90">
        <v>712</v>
      </c>
      <c r="CS90">
        <v>712</v>
      </c>
      <c r="CT90">
        <v>712</v>
      </c>
      <c r="CU90" s="1">
        <v>712</v>
      </c>
      <c r="CV90" s="1">
        <v>712</v>
      </c>
      <c r="CW90" s="1">
        <v>712</v>
      </c>
      <c r="CX90" s="1">
        <v>712</v>
      </c>
      <c r="CY90" s="1">
        <v>712</v>
      </c>
      <c r="CZ90" s="1">
        <v>712</v>
      </c>
      <c r="DA90" s="1">
        <v>712</v>
      </c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</row>
    <row r="91" spans="1:198" x14ac:dyDescent="0.4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  <c r="BS91">
        <v>170</v>
      </c>
      <c r="BT91">
        <v>186</v>
      </c>
      <c r="BU91">
        <v>212</v>
      </c>
      <c r="BV91">
        <v>233</v>
      </c>
      <c r="BW91">
        <v>269</v>
      </c>
      <c r="BX91">
        <v>288</v>
      </c>
      <c r="BY91">
        <v>320</v>
      </c>
      <c r="BZ91">
        <v>350</v>
      </c>
      <c r="CA91">
        <v>396</v>
      </c>
      <c r="CB91">
        <v>457</v>
      </c>
      <c r="CC91">
        <v>515</v>
      </c>
      <c r="CD91">
        <v>564</v>
      </c>
      <c r="CE91">
        <v>620</v>
      </c>
      <c r="CF91">
        <v>669</v>
      </c>
      <c r="CG91">
        <v>726</v>
      </c>
      <c r="CH91">
        <v>766</v>
      </c>
      <c r="CI91">
        <v>814</v>
      </c>
      <c r="CJ91">
        <v>862</v>
      </c>
      <c r="CK91">
        <v>923</v>
      </c>
      <c r="CL91">
        <v>986</v>
      </c>
      <c r="CM91">
        <v>1035</v>
      </c>
      <c r="CN91">
        <v>1087</v>
      </c>
      <c r="CO91">
        <v>1137</v>
      </c>
      <c r="CP91">
        <v>1189</v>
      </c>
      <c r="CQ91">
        <v>1235</v>
      </c>
      <c r="CR91">
        <v>1285</v>
      </c>
      <c r="CS91">
        <v>1337</v>
      </c>
      <c r="CT91">
        <v>1369</v>
      </c>
      <c r="CU91" s="1">
        <v>1389</v>
      </c>
      <c r="CV91" s="1">
        <v>1437</v>
      </c>
      <c r="CW91" s="1">
        <v>1467</v>
      </c>
      <c r="CX91" s="1">
        <v>1501</v>
      </c>
      <c r="CY91" s="1">
        <v>1537</v>
      </c>
      <c r="CZ91" s="1">
        <v>1611</v>
      </c>
      <c r="DA91" s="1">
        <v>1649</v>
      </c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</row>
    <row r="92" spans="1:198" x14ac:dyDescent="0.4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  <c r="BS92">
        <v>230</v>
      </c>
      <c r="BT92">
        <v>262</v>
      </c>
      <c r="BU92">
        <v>320</v>
      </c>
      <c r="BV92">
        <v>356</v>
      </c>
      <c r="BW92">
        <v>396</v>
      </c>
      <c r="BX92">
        <v>426</v>
      </c>
      <c r="BY92">
        <v>446</v>
      </c>
      <c r="BZ92">
        <v>465</v>
      </c>
      <c r="CA92">
        <v>494</v>
      </c>
      <c r="CB92">
        <v>526</v>
      </c>
      <c r="CC92">
        <v>564</v>
      </c>
      <c r="CD92">
        <v>595</v>
      </c>
      <c r="CE92">
        <v>616</v>
      </c>
      <c r="CF92">
        <v>633</v>
      </c>
      <c r="CG92">
        <v>662</v>
      </c>
      <c r="CH92">
        <v>695</v>
      </c>
      <c r="CI92">
        <v>715</v>
      </c>
      <c r="CJ92">
        <v>735</v>
      </c>
      <c r="CK92">
        <v>750</v>
      </c>
      <c r="CL92">
        <v>761</v>
      </c>
      <c r="CM92">
        <v>767</v>
      </c>
      <c r="CN92">
        <v>772</v>
      </c>
      <c r="CO92">
        <v>784</v>
      </c>
      <c r="CP92">
        <v>790</v>
      </c>
      <c r="CQ92">
        <v>795</v>
      </c>
      <c r="CR92">
        <v>804</v>
      </c>
      <c r="CS92">
        <v>810</v>
      </c>
      <c r="CT92">
        <v>817</v>
      </c>
      <c r="CU92" s="1">
        <v>822</v>
      </c>
      <c r="CV92" s="1">
        <v>837</v>
      </c>
      <c r="CW92" s="1">
        <v>843</v>
      </c>
      <c r="CX92" s="1">
        <v>850</v>
      </c>
      <c r="CY92" s="1">
        <v>857</v>
      </c>
      <c r="CZ92" s="1">
        <v>864</v>
      </c>
      <c r="DA92" s="1">
        <v>872</v>
      </c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</row>
    <row r="93" spans="1:198" x14ac:dyDescent="0.4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  <c r="BS93">
        <v>3001</v>
      </c>
      <c r="BT93">
        <v>3308</v>
      </c>
      <c r="BU93">
        <v>3508</v>
      </c>
      <c r="BV93">
        <v>3858</v>
      </c>
      <c r="BW93">
        <v>4091</v>
      </c>
      <c r="BX93">
        <v>4472</v>
      </c>
      <c r="BY93">
        <v>4587</v>
      </c>
      <c r="BZ93">
        <v>4822</v>
      </c>
      <c r="CA93">
        <v>5017</v>
      </c>
      <c r="CB93">
        <v>5312</v>
      </c>
      <c r="CC93">
        <v>5569</v>
      </c>
      <c r="CD93">
        <v>5732</v>
      </c>
      <c r="CE93">
        <v>5831</v>
      </c>
      <c r="CF93">
        <v>5991</v>
      </c>
      <c r="CG93">
        <v>6059</v>
      </c>
      <c r="CH93">
        <v>6111</v>
      </c>
      <c r="CI93">
        <v>6216</v>
      </c>
      <c r="CJ93">
        <v>6433</v>
      </c>
      <c r="CK93">
        <v>6549</v>
      </c>
      <c r="CL93">
        <v>6606</v>
      </c>
      <c r="CM93">
        <v>6746</v>
      </c>
      <c r="CN93">
        <v>6900</v>
      </c>
      <c r="CO93">
        <v>7033</v>
      </c>
      <c r="CP93">
        <v>7132</v>
      </c>
      <c r="CQ93">
        <v>7187</v>
      </c>
      <c r="CR93">
        <v>7273</v>
      </c>
      <c r="CS93">
        <v>7352</v>
      </c>
      <c r="CT93">
        <v>7404</v>
      </c>
      <c r="CU93" s="1">
        <v>7445</v>
      </c>
      <c r="CV93" s="1">
        <v>7504</v>
      </c>
      <c r="CW93" s="1">
        <v>7579</v>
      </c>
      <c r="CX93" s="1">
        <v>7682</v>
      </c>
      <c r="CY93" s="1">
        <v>7737</v>
      </c>
      <c r="CZ93" s="1">
        <v>7755</v>
      </c>
      <c r="DA93" s="1">
        <v>7781</v>
      </c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</row>
    <row r="94" spans="1:198" x14ac:dyDescent="0.4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  <c r="BS94">
        <v>168</v>
      </c>
      <c r="BT94">
        <v>169</v>
      </c>
      <c r="BU94">
        <v>173</v>
      </c>
      <c r="BV94">
        <v>177</v>
      </c>
      <c r="BW94">
        <v>179</v>
      </c>
      <c r="BX94">
        <v>181</v>
      </c>
      <c r="BY94">
        <v>181</v>
      </c>
      <c r="BZ94">
        <v>183</v>
      </c>
      <c r="CA94">
        <v>184</v>
      </c>
      <c r="CB94">
        <v>184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  <c r="CM94">
        <v>185</v>
      </c>
      <c r="CN94">
        <v>185</v>
      </c>
      <c r="CO94">
        <v>185</v>
      </c>
      <c r="CP94">
        <v>185</v>
      </c>
      <c r="CQ94">
        <v>187</v>
      </c>
      <c r="CR94">
        <v>187</v>
      </c>
      <c r="CS94">
        <v>187</v>
      </c>
      <c r="CT94">
        <v>187</v>
      </c>
      <c r="CU94" s="1">
        <v>187</v>
      </c>
      <c r="CV94" s="1">
        <v>187</v>
      </c>
      <c r="CW94" s="1">
        <v>187</v>
      </c>
      <c r="CX94" s="1">
        <v>187</v>
      </c>
      <c r="CY94" s="1">
        <v>187</v>
      </c>
      <c r="CZ94" s="1">
        <v>187</v>
      </c>
      <c r="DA94" s="1">
        <v>187</v>
      </c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</row>
    <row r="95" spans="1:198" x14ac:dyDescent="0.4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11</v>
      </c>
      <c r="BY95">
        <v>11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  <c r="CM95">
        <v>11</v>
      </c>
      <c r="CN95">
        <v>11</v>
      </c>
      <c r="CO95">
        <v>11</v>
      </c>
      <c r="CP95">
        <v>11</v>
      </c>
      <c r="CQ95">
        <v>11</v>
      </c>
      <c r="CR95">
        <v>11</v>
      </c>
      <c r="CS95">
        <v>11</v>
      </c>
      <c r="CT95">
        <v>11</v>
      </c>
      <c r="CU95" s="1">
        <v>11</v>
      </c>
      <c r="CV95" s="1">
        <v>11</v>
      </c>
      <c r="CW95" s="1">
        <v>11</v>
      </c>
      <c r="CX95" s="1">
        <v>11</v>
      </c>
      <c r="CY95" s="1">
        <v>11</v>
      </c>
      <c r="CZ95" s="1">
        <v>11</v>
      </c>
      <c r="DA95" s="1">
        <v>11</v>
      </c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</row>
    <row r="96" spans="1:198" x14ac:dyDescent="0.4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  <c r="BS96">
        <v>2577</v>
      </c>
      <c r="BT96">
        <v>2860</v>
      </c>
      <c r="BU96">
        <v>3107</v>
      </c>
      <c r="BV96">
        <v>3386</v>
      </c>
      <c r="BW96">
        <v>3757</v>
      </c>
      <c r="BX96">
        <v>4077</v>
      </c>
      <c r="BY96">
        <v>4369</v>
      </c>
      <c r="BZ96">
        <v>4681</v>
      </c>
      <c r="CA96">
        <v>5071</v>
      </c>
      <c r="CB96">
        <v>5402</v>
      </c>
      <c r="CC96">
        <v>5635</v>
      </c>
      <c r="CD96">
        <v>5819</v>
      </c>
      <c r="CE96">
        <v>5996</v>
      </c>
      <c r="CF96">
        <v>6174</v>
      </c>
      <c r="CG96">
        <v>6318</v>
      </c>
      <c r="CH96">
        <v>6511</v>
      </c>
      <c r="CI96">
        <v>6681</v>
      </c>
      <c r="CJ96">
        <v>6879</v>
      </c>
      <c r="CK96">
        <v>7073</v>
      </c>
      <c r="CL96">
        <v>7242</v>
      </c>
      <c r="CM96">
        <v>7384</v>
      </c>
      <c r="CN96">
        <v>7515</v>
      </c>
      <c r="CO96">
        <v>7695</v>
      </c>
      <c r="CP96">
        <v>7912</v>
      </c>
      <c r="CQ96">
        <v>8073</v>
      </c>
      <c r="CR96">
        <v>8210</v>
      </c>
      <c r="CS96">
        <v>8445</v>
      </c>
      <c r="CT96">
        <v>8575</v>
      </c>
      <c r="CU96" s="1">
        <v>8698</v>
      </c>
      <c r="CV96" s="1">
        <v>8851</v>
      </c>
      <c r="CW96" s="1">
        <v>9008</v>
      </c>
      <c r="CX96" s="1">
        <v>9158</v>
      </c>
      <c r="CY96" s="1">
        <v>9311</v>
      </c>
      <c r="CZ96" s="1">
        <v>9407</v>
      </c>
      <c r="DA96" s="1">
        <v>9523</v>
      </c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</row>
    <row r="97" spans="1:198" x14ac:dyDescent="0.4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  <c r="BS97">
        <v>18</v>
      </c>
      <c r="BT97">
        <v>30</v>
      </c>
      <c r="BU97">
        <v>33</v>
      </c>
      <c r="BV97">
        <v>40</v>
      </c>
      <c r="BW97">
        <v>49</v>
      </c>
      <c r="BX97">
        <v>50</v>
      </c>
      <c r="BY97">
        <v>59</v>
      </c>
      <c r="BZ97">
        <v>90</v>
      </c>
      <c r="CA97">
        <v>90</v>
      </c>
      <c r="CB97">
        <v>135</v>
      </c>
      <c r="CC97">
        <v>135</v>
      </c>
      <c r="CD97">
        <v>150</v>
      </c>
      <c r="CE97">
        <v>187</v>
      </c>
      <c r="CF97">
        <v>214</v>
      </c>
      <c r="CG97">
        <v>298</v>
      </c>
      <c r="CH97">
        <v>363</v>
      </c>
      <c r="CI97">
        <v>435</v>
      </c>
      <c r="CJ97">
        <v>591</v>
      </c>
      <c r="CK97">
        <v>732</v>
      </c>
      <c r="CL97">
        <v>732</v>
      </c>
      <c r="CM97">
        <v>846</v>
      </c>
      <c r="CN97">
        <v>846</v>
      </c>
      <c r="CO97">
        <v>945</v>
      </c>
      <c r="CP97">
        <v>974</v>
      </c>
      <c r="CQ97">
        <v>986</v>
      </c>
      <c r="CR97">
        <v>999</v>
      </c>
      <c r="CS97">
        <v>1008</v>
      </c>
      <c r="CT97">
        <v>1023</v>
      </c>
      <c r="CU97" s="1">
        <v>1035</v>
      </c>
      <c r="CV97" s="1">
        <v>1072</v>
      </c>
      <c r="CW97" s="1">
        <v>1077</v>
      </c>
      <c r="CX97" s="1">
        <v>1089</v>
      </c>
      <c r="CY97" s="1">
        <v>1097</v>
      </c>
      <c r="CZ97" s="1">
        <v>1112</v>
      </c>
      <c r="DA97" s="1">
        <v>1112</v>
      </c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</row>
    <row r="98" spans="1:198" x14ac:dyDescent="0.4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  <c r="BS98">
        <v>901</v>
      </c>
      <c r="BT98">
        <v>1109</v>
      </c>
      <c r="BU98">
        <v>1284</v>
      </c>
      <c r="BV98">
        <v>1380</v>
      </c>
      <c r="BW98">
        <v>1488</v>
      </c>
      <c r="BX98">
        <v>1488</v>
      </c>
      <c r="BY98">
        <v>1745</v>
      </c>
      <c r="BZ98">
        <v>1828</v>
      </c>
      <c r="CA98">
        <v>1956</v>
      </c>
      <c r="CB98">
        <v>2111</v>
      </c>
      <c r="CC98">
        <v>2349</v>
      </c>
      <c r="CD98">
        <v>2620</v>
      </c>
      <c r="CE98">
        <v>2759</v>
      </c>
      <c r="CF98">
        <v>2967</v>
      </c>
      <c r="CG98">
        <v>3167</v>
      </c>
      <c r="CH98">
        <v>3286</v>
      </c>
      <c r="CI98">
        <v>3614</v>
      </c>
      <c r="CJ98">
        <v>3755</v>
      </c>
      <c r="CK98">
        <v>4126</v>
      </c>
      <c r="CL98">
        <v>4335</v>
      </c>
      <c r="CM98">
        <v>4680</v>
      </c>
      <c r="CN98">
        <v>4964</v>
      </c>
      <c r="CO98">
        <v>5044</v>
      </c>
      <c r="CP98">
        <v>5300</v>
      </c>
      <c r="CQ98">
        <v>5543</v>
      </c>
      <c r="CR98">
        <v>5749</v>
      </c>
      <c r="CS98">
        <v>5926</v>
      </c>
      <c r="CT98">
        <v>6135</v>
      </c>
      <c r="CU98" s="1">
        <v>6293</v>
      </c>
      <c r="CV98" s="1">
        <v>6416</v>
      </c>
      <c r="CW98" s="1">
        <v>6652</v>
      </c>
      <c r="CX98" s="1">
        <v>6972</v>
      </c>
      <c r="CY98" s="1">
        <v>7288</v>
      </c>
      <c r="CZ98" s="1">
        <v>7578</v>
      </c>
      <c r="DA98" s="1">
        <v>7954</v>
      </c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</row>
    <row r="99" spans="1:198" x14ac:dyDescent="0.4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  <c r="BS99">
        <v>1962</v>
      </c>
      <c r="BT99">
        <v>2240</v>
      </c>
      <c r="BU99">
        <v>2748</v>
      </c>
      <c r="BV99">
        <v>3163</v>
      </c>
      <c r="BW99">
        <v>3368</v>
      </c>
      <c r="BX99">
        <v>3465</v>
      </c>
      <c r="BY99">
        <v>3646</v>
      </c>
      <c r="BZ99">
        <v>3747</v>
      </c>
      <c r="CA99">
        <v>3747</v>
      </c>
      <c r="CB99">
        <v>4450</v>
      </c>
      <c r="CC99">
        <v>4965</v>
      </c>
      <c r="CD99">
        <v>7161</v>
      </c>
      <c r="CE99">
        <v>7257</v>
      </c>
      <c r="CF99">
        <v>7466</v>
      </c>
      <c r="CG99">
        <v>7529</v>
      </c>
      <c r="CH99">
        <v>7603</v>
      </c>
      <c r="CI99">
        <v>7858</v>
      </c>
      <c r="CJ99">
        <v>8225</v>
      </c>
      <c r="CK99">
        <v>8450</v>
      </c>
      <c r="CL99">
        <v>9022</v>
      </c>
      <c r="CM99">
        <v>9468</v>
      </c>
      <c r="CN99">
        <v>10128</v>
      </c>
      <c r="CO99">
        <v>10398</v>
      </c>
      <c r="CP99">
        <v>10850</v>
      </c>
      <c r="CQ99">
        <v>11183</v>
      </c>
      <c r="CR99">
        <v>22719</v>
      </c>
      <c r="CS99">
        <v>22719</v>
      </c>
      <c r="CT99">
        <v>22719</v>
      </c>
      <c r="CU99" s="1">
        <v>23240</v>
      </c>
      <c r="CV99" s="1">
        <v>24258</v>
      </c>
      <c r="CW99" s="1">
        <v>24675</v>
      </c>
      <c r="CX99" s="1">
        <v>24934</v>
      </c>
      <c r="CY99" s="1">
        <v>26336</v>
      </c>
      <c r="CZ99" s="1">
        <v>27464</v>
      </c>
      <c r="DA99" s="1">
        <v>29538</v>
      </c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</row>
    <row r="100" spans="1:198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  <c r="BS100">
        <v>656</v>
      </c>
      <c r="BT100">
        <v>710</v>
      </c>
      <c r="BU100">
        <v>779</v>
      </c>
      <c r="BV100">
        <v>865</v>
      </c>
      <c r="BW100">
        <v>985</v>
      </c>
      <c r="BX100">
        <v>1070</v>
      </c>
      <c r="BY100">
        <v>1173</v>
      </c>
      <c r="BZ100">
        <v>1322</v>
      </c>
      <c r="CA100">
        <v>1450</v>
      </c>
      <c r="CB100">
        <v>1560</v>
      </c>
      <c r="CC100">
        <v>1699</v>
      </c>
      <c r="CD100">
        <v>1794</v>
      </c>
      <c r="CE100">
        <v>1939</v>
      </c>
      <c r="CF100">
        <v>2065</v>
      </c>
      <c r="CG100">
        <v>2190</v>
      </c>
      <c r="CH100">
        <v>2350</v>
      </c>
      <c r="CI100">
        <v>2505</v>
      </c>
      <c r="CJ100">
        <v>2673</v>
      </c>
      <c r="CK100">
        <v>2844</v>
      </c>
      <c r="CL100">
        <v>3032</v>
      </c>
      <c r="CM100">
        <v>3144</v>
      </c>
      <c r="CN100">
        <v>3333</v>
      </c>
      <c r="CO100">
        <v>3490</v>
      </c>
      <c r="CP100">
        <v>3659</v>
      </c>
      <c r="CQ100">
        <v>3891</v>
      </c>
      <c r="CR100">
        <v>4092</v>
      </c>
      <c r="CS100">
        <v>4319</v>
      </c>
      <c r="CT100">
        <v>4534</v>
      </c>
      <c r="CU100" s="1">
        <v>4782</v>
      </c>
      <c r="CV100" s="1">
        <v>5042</v>
      </c>
      <c r="CW100" s="1">
        <v>5268</v>
      </c>
      <c r="CX100" s="1">
        <v>5537</v>
      </c>
      <c r="CY100" s="1">
        <v>5895</v>
      </c>
      <c r="CZ100" s="1">
        <v>6193</v>
      </c>
      <c r="DA100" s="1">
        <v>6465</v>
      </c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</row>
    <row r="101" spans="1:198" x14ac:dyDescent="0.4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  <c r="BS101">
        <v>30</v>
      </c>
      <c r="BT101">
        <v>32</v>
      </c>
      <c r="BU101">
        <v>32</v>
      </c>
      <c r="BV101">
        <v>41</v>
      </c>
      <c r="BW101">
        <v>46</v>
      </c>
      <c r="BX101">
        <v>56</v>
      </c>
      <c r="BY101">
        <v>62</v>
      </c>
      <c r="BZ101">
        <v>69</v>
      </c>
      <c r="CA101">
        <v>78</v>
      </c>
      <c r="CB101">
        <v>93</v>
      </c>
      <c r="CC101">
        <v>103</v>
      </c>
      <c r="CD101">
        <v>117</v>
      </c>
      <c r="CE101">
        <v>118</v>
      </c>
      <c r="CF101">
        <v>125</v>
      </c>
      <c r="CG101">
        <v>137</v>
      </c>
      <c r="CH101">
        <v>149</v>
      </c>
      <c r="CI101">
        <v>159</v>
      </c>
      <c r="CJ101">
        <v>164</v>
      </c>
      <c r="CK101">
        <v>177</v>
      </c>
      <c r="CL101">
        <v>190</v>
      </c>
      <c r="CM101">
        <v>201</v>
      </c>
      <c r="CN101">
        <v>218</v>
      </c>
      <c r="CO101">
        <v>225</v>
      </c>
      <c r="CP101">
        <v>237</v>
      </c>
      <c r="CQ101">
        <v>250</v>
      </c>
      <c r="CR101">
        <v>274</v>
      </c>
      <c r="CS101">
        <v>274</v>
      </c>
      <c r="CT101">
        <v>298</v>
      </c>
      <c r="CU101" s="1">
        <v>323</v>
      </c>
      <c r="CV101" s="1">
        <v>345</v>
      </c>
      <c r="CW101" s="1">
        <v>377</v>
      </c>
      <c r="CX101" s="1">
        <v>395</v>
      </c>
      <c r="CY101" s="1">
        <v>424</v>
      </c>
      <c r="CZ101" s="1">
        <v>446</v>
      </c>
      <c r="DA101" s="1">
        <v>490</v>
      </c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</row>
    <row r="102" spans="1:198" x14ac:dyDescent="0.4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  <c r="BS102">
        <v>12</v>
      </c>
      <c r="BT102">
        <v>12</v>
      </c>
      <c r="BU102">
        <v>15</v>
      </c>
      <c r="BV102">
        <v>15</v>
      </c>
      <c r="BW102">
        <v>16</v>
      </c>
      <c r="BX102">
        <v>16</v>
      </c>
      <c r="BY102">
        <v>16</v>
      </c>
      <c r="BZ102">
        <v>16</v>
      </c>
      <c r="CA102">
        <v>16</v>
      </c>
      <c r="CB102">
        <v>18</v>
      </c>
      <c r="CC102">
        <v>18</v>
      </c>
      <c r="CD102">
        <v>18</v>
      </c>
      <c r="CE102">
        <v>18</v>
      </c>
      <c r="CF102">
        <v>21</v>
      </c>
      <c r="CG102">
        <v>21</v>
      </c>
      <c r="CH102">
        <v>41</v>
      </c>
      <c r="CI102">
        <v>51</v>
      </c>
      <c r="CJ102">
        <v>51</v>
      </c>
      <c r="CK102">
        <v>79</v>
      </c>
      <c r="CL102">
        <v>79</v>
      </c>
      <c r="CM102">
        <v>79</v>
      </c>
      <c r="CN102">
        <v>79</v>
      </c>
      <c r="CO102">
        <v>83</v>
      </c>
      <c r="CP102">
        <v>84</v>
      </c>
      <c r="CQ102">
        <v>84</v>
      </c>
      <c r="CR102">
        <v>214</v>
      </c>
      <c r="CS102">
        <v>258</v>
      </c>
      <c r="CT102">
        <v>258</v>
      </c>
      <c r="CU102" s="1">
        <v>258</v>
      </c>
      <c r="CV102" s="1">
        <v>315</v>
      </c>
      <c r="CW102" s="1">
        <v>315</v>
      </c>
      <c r="CX102" s="1">
        <v>315</v>
      </c>
      <c r="CY102" s="1">
        <v>315</v>
      </c>
      <c r="CZ102" s="1">
        <v>315</v>
      </c>
      <c r="DA102" s="1">
        <v>315</v>
      </c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</row>
    <row r="103" spans="1:198" x14ac:dyDescent="0.4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  <c r="BS103">
        <v>12</v>
      </c>
      <c r="BT103">
        <v>15</v>
      </c>
      <c r="BU103">
        <v>15</v>
      </c>
      <c r="BV103">
        <v>22</v>
      </c>
      <c r="BW103">
        <v>22</v>
      </c>
      <c r="BX103">
        <v>29</v>
      </c>
      <c r="BY103">
        <v>29</v>
      </c>
      <c r="BZ103">
        <v>31</v>
      </c>
      <c r="CA103">
        <v>31</v>
      </c>
      <c r="CB103">
        <v>33</v>
      </c>
      <c r="CC103">
        <v>33</v>
      </c>
      <c r="CD103">
        <v>34</v>
      </c>
      <c r="CE103">
        <v>34</v>
      </c>
      <c r="CF103">
        <v>34</v>
      </c>
      <c r="CG103">
        <v>34</v>
      </c>
      <c r="CH103">
        <v>34</v>
      </c>
      <c r="CI103">
        <v>35</v>
      </c>
      <c r="CJ103">
        <v>35</v>
      </c>
      <c r="CK103">
        <v>35</v>
      </c>
      <c r="CL103">
        <v>39</v>
      </c>
      <c r="CM103">
        <v>39</v>
      </c>
      <c r="CN103">
        <v>39</v>
      </c>
      <c r="CO103">
        <v>39</v>
      </c>
      <c r="CP103">
        <v>39</v>
      </c>
      <c r="CQ103">
        <v>39</v>
      </c>
      <c r="CR103">
        <v>39</v>
      </c>
      <c r="CS103">
        <v>39</v>
      </c>
      <c r="CT103">
        <v>39</v>
      </c>
      <c r="CU103" s="1">
        <v>39</v>
      </c>
      <c r="CV103" s="1">
        <v>39</v>
      </c>
      <c r="CW103" s="1">
        <v>39</v>
      </c>
      <c r="CX103" s="1">
        <v>39</v>
      </c>
      <c r="CY103" s="1">
        <v>39</v>
      </c>
      <c r="CZ103" s="1">
        <v>39</v>
      </c>
      <c r="DA103" s="1">
        <v>39</v>
      </c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</row>
    <row r="104" spans="1:198" x14ac:dyDescent="0.4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  <c r="BS104">
        <v>715</v>
      </c>
      <c r="BT104">
        <v>745</v>
      </c>
      <c r="BU104">
        <v>779</v>
      </c>
      <c r="BV104">
        <v>858</v>
      </c>
      <c r="BW104">
        <v>961</v>
      </c>
      <c r="BX104">
        <v>1039</v>
      </c>
      <c r="BY104">
        <v>1097</v>
      </c>
      <c r="BZ104">
        <v>1108</v>
      </c>
      <c r="CA104">
        <v>1149</v>
      </c>
      <c r="CB104">
        <v>1185</v>
      </c>
      <c r="CC104">
        <v>1207</v>
      </c>
      <c r="CD104">
        <v>1258</v>
      </c>
      <c r="CE104">
        <v>1304</v>
      </c>
      <c r="CF104">
        <v>1309</v>
      </c>
      <c r="CG104">
        <v>1332</v>
      </c>
      <c r="CH104">
        <v>1373</v>
      </c>
      <c r="CI104">
        <v>1400</v>
      </c>
      <c r="CJ104">
        <v>1434</v>
      </c>
      <c r="CK104">
        <v>1459</v>
      </c>
      <c r="CL104">
        <v>1512</v>
      </c>
      <c r="CM104">
        <v>1528</v>
      </c>
      <c r="CN104">
        <v>1535</v>
      </c>
      <c r="CO104">
        <v>1552</v>
      </c>
      <c r="CP104">
        <v>1559</v>
      </c>
      <c r="CQ104">
        <v>1592</v>
      </c>
      <c r="CR104">
        <v>1605</v>
      </c>
      <c r="CS104">
        <v>1635</v>
      </c>
      <c r="CT104">
        <v>1643</v>
      </c>
      <c r="CU104" s="1">
        <v>1647</v>
      </c>
      <c r="CV104" s="1">
        <v>1660</v>
      </c>
      <c r="CW104" s="1">
        <v>1666</v>
      </c>
      <c r="CX104" s="1">
        <v>1689</v>
      </c>
      <c r="CY104" s="1">
        <v>1694</v>
      </c>
      <c r="CZ104" s="1">
        <v>1699</v>
      </c>
      <c r="DA104" s="1">
        <v>1700</v>
      </c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</row>
    <row r="105" spans="1:198" x14ac:dyDescent="0.4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10</v>
      </c>
      <c r="CA105">
        <v>10</v>
      </c>
      <c r="CB105">
        <v>12</v>
      </c>
      <c r="CC105">
        <v>12</v>
      </c>
      <c r="CD105">
        <v>12</v>
      </c>
      <c r="CE105">
        <v>12</v>
      </c>
      <c r="CF105">
        <v>14</v>
      </c>
      <c r="CG105">
        <v>15</v>
      </c>
      <c r="CH105">
        <v>15</v>
      </c>
      <c r="CI105">
        <v>15</v>
      </c>
      <c r="CJ105">
        <v>16</v>
      </c>
      <c r="CK105">
        <v>16</v>
      </c>
      <c r="CL105">
        <v>22</v>
      </c>
      <c r="CM105">
        <v>22</v>
      </c>
      <c r="CN105">
        <v>24</v>
      </c>
      <c r="CO105">
        <v>31</v>
      </c>
      <c r="CP105">
        <v>31</v>
      </c>
      <c r="CQ105">
        <v>31</v>
      </c>
      <c r="CR105">
        <v>36</v>
      </c>
      <c r="CS105">
        <v>56</v>
      </c>
      <c r="CT105">
        <v>59</v>
      </c>
      <c r="CU105" s="1">
        <v>65</v>
      </c>
      <c r="CV105" s="1">
        <v>71</v>
      </c>
      <c r="CW105" s="1">
        <v>91</v>
      </c>
      <c r="CX105" s="1">
        <v>100</v>
      </c>
      <c r="CY105" s="1">
        <v>106</v>
      </c>
      <c r="CZ105" s="1">
        <v>108</v>
      </c>
      <c r="DA105" s="1">
        <v>112</v>
      </c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</row>
    <row r="106" spans="1:198" x14ac:dyDescent="0.4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  <c r="BS106">
        <v>23</v>
      </c>
      <c r="BT106">
        <v>26</v>
      </c>
      <c r="BU106">
        <v>29</v>
      </c>
      <c r="BV106">
        <v>29</v>
      </c>
      <c r="BW106">
        <v>35</v>
      </c>
      <c r="BX106">
        <v>38</v>
      </c>
      <c r="BY106">
        <v>43</v>
      </c>
      <c r="BZ106">
        <v>44</v>
      </c>
      <c r="CA106">
        <v>52</v>
      </c>
      <c r="CB106">
        <v>55</v>
      </c>
      <c r="CC106">
        <v>56</v>
      </c>
      <c r="CD106">
        <v>65</v>
      </c>
      <c r="CE106">
        <v>69</v>
      </c>
      <c r="CF106">
        <v>71</v>
      </c>
      <c r="CG106">
        <v>74</v>
      </c>
      <c r="CH106">
        <v>82</v>
      </c>
      <c r="CI106">
        <v>85</v>
      </c>
      <c r="CJ106">
        <v>92</v>
      </c>
      <c r="CK106">
        <v>96</v>
      </c>
      <c r="CL106">
        <v>105</v>
      </c>
      <c r="CM106">
        <v>108</v>
      </c>
      <c r="CN106">
        <v>111</v>
      </c>
      <c r="CO106">
        <v>114</v>
      </c>
      <c r="CP106">
        <v>116</v>
      </c>
      <c r="CQ106">
        <v>116</v>
      </c>
      <c r="CR106">
        <v>117</v>
      </c>
      <c r="CS106">
        <v>122</v>
      </c>
      <c r="CT106">
        <v>123</v>
      </c>
      <c r="CU106" s="1">
        <v>124</v>
      </c>
      <c r="CV106" s="1">
        <v>126</v>
      </c>
      <c r="CW106" s="1">
        <v>130</v>
      </c>
      <c r="CX106" s="1">
        <v>131</v>
      </c>
      <c r="CY106" s="1">
        <v>133</v>
      </c>
      <c r="CZ106" s="1">
        <v>133</v>
      </c>
      <c r="DA106" s="1">
        <v>135</v>
      </c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</row>
    <row r="107" spans="1:198" x14ac:dyDescent="0.4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7</v>
      </c>
      <c r="BW107">
        <v>7</v>
      </c>
      <c r="BX107">
        <v>12</v>
      </c>
      <c r="BY107">
        <v>12</v>
      </c>
      <c r="BZ107">
        <v>14</v>
      </c>
      <c r="CA107">
        <v>15</v>
      </c>
      <c r="CB107">
        <v>15</v>
      </c>
      <c r="CC107">
        <v>15</v>
      </c>
      <c r="CD107">
        <v>16</v>
      </c>
      <c r="CE107">
        <v>16</v>
      </c>
      <c r="CF107">
        <v>16</v>
      </c>
      <c r="CG107">
        <v>16</v>
      </c>
      <c r="CH107">
        <v>16</v>
      </c>
      <c r="CI107">
        <v>16</v>
      </c>
      <c r="CJ107">
        <v>17</v>
      </c>
      <c r="CK107">
        <v>17</v>
      </c>
      <c r="CL107">
        <v>17</v>
      </c>
      <c r="CM107">
        <v>17</v>
      </c>
      <c r="CN107">
        <v>18</v>
      </c>
      <c r="CO107">
        <v>18</v>
      </c>
      <c r="CP107">
        <v>18</v>
      </c>
      <c r="CQ107">
        <v>18</v>
      </c>
      <c r="CR107">
        <v>18</v>
      </c>
      <c r="CS107">
        <v>18</v>
      </c>
      <c r="CT107">
        <v>18</v>
      </c>
      <c r="CU107" s="1">
        <v>18</v>
      </c>
      <c r="CV107" s="1">
        <v>18</v>
      </c>
      <c r="CW107" s="1">
        <v>18</v>
      </c>
      <c r="CX107" s="1">
        <v>18</v>
      </c>
      <c r="CY107" s="1">
        <v>18</v>
      </c>
      <c r="CZ107" s="1">
        <v>18</v>
      </c>
      <c r="DA107" s="1">
        <v>18</v>
      </c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</row>
    <row r="108" spans="1:198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  <c r="BS108">
        <v>1352</v>
      </c>
      <c r="BT108">
        <v>1418</v>
      </c>
      <c r="BU108">
        <v>1446</v>
      </c>
      <c r="BV108">
        <v>1518</v>
      </c>
      <c r="BW108">
        <v>1615</v>
      </c>
      <c r="BX108">
        <v>1882</v>
      </c>
      <c r="BY108">
        <v>1927</v>
      </c>
      <c r="BZ108">
        <v>2176</v>
      </c>
      <c r="CA108">
        <v>2308</v>
      </c>
      <c r="CB108">
        <v>2487</v>
      </c>
      <c r="CC108">
        <v>2605</v>
      </c>
      <c r="CD108">
        <v>2769</v>
      </c>
      <c r="CE108">
        <v>2905</v>
      </c>
      <c r="CF108">
        <v>2974</v>
      </c>
      <c r="CG108">
        <v>3064</v>
      </c>
      <c r="CH108">
        <v>3161</v>
      </c>
      <c r="CI108">
        <v>3237</v>
      </c>
      <c r="CJ108">
        <v>3369</v>
      </c>
      <c r="CK108">
        <v>3489</v>
      </c>
      <c r="CL108">
        <v>3681</v>
      </c>
      <c r="CM108">
        <v>3783</v>
      </c>
      <c r="CN108">
        <v>3868</v>
      </c>
      <c r="CO108">
        <v>4014</v>
      </c>
      <c r="CP108">
        <v>4129</v>
      </c>
      <c r="CQ108">
        <v>4284</v>
      </c>
      <c r="CR108">
        <v>4395</v>
      </c>
      <c r="CS108">
        <v>4475</v>
      </c>
      <c r="CT108">
        <v>4576</v>
      </c>
      <c r="CU108" s="1">
        <v>4695</v>
      </c>
      <c r="CV108" s="1">
        <v>4740</v>
      </c>
      <c r="CW108" s="1">
        <v>4906</v>
      </c>
      <c r="CX108" s="1">
        <v>4995</v>
      </c>
      <c r="CY108" s="1">
        <v>5051</v>
      </c>
      <c r="CZ108" s="1">
        <v>5176</v>
      </c>
      <c r="DA108" s="1">
        <v>5254</v>
      </c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</row>
    <row r="109" spans="1:198" x14ac:dyDescent="0.4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43</v>
      </c>
      <c r="BT109">
        <v>43</v>
      </c>
      <c r="BU109">
        <v>51</v>
      </c>
      <c r="BV109">
        <v>51</v>
      </c>
      <c r="BW109">
        <v>57</v>
      </c>
      <c r="BX109">
        <v>61</v>
      </c>
      <c r="BY109">
        <v>61</v>
      </c>
      <c r="BZ109">
        <v>72</v>
      </c>
      <c r="CA109">
        <v>72</v>
      </c>
      <c r="CB109">
        <v>77</v>
      </c>
      <c r="CC109">
        <v>83</v>
      </c>
      <c r="CD109">
        <v>83</v>
      </c>
      <c r="CE109">
        <v>83</v>
      </c>
      <c r="CF109">
        <v>86</v>
      </c>
      <c r="CG109">
        <v>86</v>
      </c>
      <c r="CH109">
        <v>86</v>
      </c>
      <c r="CI109">
        <v>86</v>
      </c>
      <c r="CJ109">
        <v>86</v>
      </c>
      <c r="CK109">
        <v>96</v>
      </c>
      <c r="CL109">
        <v>96</v>
      </c>
      <c r="CM109">
        <v>96</v>
      </c>
      <c r="CN109">
        <v>97</v>
      </c>
      <c r="CO109">
        <v>97</v>
      </c>
      <c r="CP109">
        <v>97</v>
      </c>
      <c r="CQ109">
        <v>107</v>
      </c>
      <c r="CR109">
        <v>111</v>
      </c>
      <c r="CS109">
        <v>111</v>
      </c>
      <c r="CT109">
        <v>111</v>
      </c>
      <c r="CU109" s="1">
        <v>111</v>
      </c>
      <c r="CV109" s="1">
        <v>125</v>
      </c>
      <c r="CW109" s="1">
        <v>125</v>
      </c>
      <c r="CX109" s="1">
        <v>126</v>
      </c>
      <c r="CY109" s="1">
        <v>128</v>
      </c>
      <c r="CZ109" s="1">
        <v>128</v>
      </c>
      <c r="DA109" s="1">
        <v>128</v>
      </c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</row>
    <row r="110" spans="1:198" x14ac:dyDescent="0.4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  <c r="BS110">
        <v>36</v>
      </c>
      <c r="BT110">
        <v>36</v>
      </c>
      <c r="BU110">
        <v>37</v>
      </c>
      <c r="BV110">
        <v>37</v>
      </c>
      <c r="BW110">
        <v>39</v>
      </c>
      <c r="BX110">
        <v>40</v>
      </c>
      <c r="BY110">
        <v>41</v>
      </c>
      <c r="BZ110">
        <v>42</v>
      </c>
      <c r="CA110">
        <v>47</v>
      </c>
      <c r="CB110">
        <v>51</v>
      </c>
      <c r="CC110">
        <v>51</v>
      </c>
      <c r="CD110">
        <v>51</v>
      </c>
      <c r="CE110">
        <v>51</v>
      </c>
      <c r="CF110">
        <v>53</v>
      </c>
      <c r="CG110">
        <v>55</v>
      </c>
      <c r="CH110">
        <v>55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56</v>
      </c>
      <c r="CO110">
        <v>56</v>
      </c>
      <c r="CP110">
        <v>57</v>
      </c>
      <c r="CQ110">
        <v>57</v>
      </c>
      <c r="CR110">
        <v>57</v>
      </c>
      <c r="CS110">
        <v>57</v>
      </c>
      <c r="CT110">
        <v>57</v>
      </c>
      <c r="CU110" s="1">
        <v>57</v>
      </c>
      <c r="CV110" s="1">
        <v>58</v>
      </c>
      <c r="CW110" s="1">
        <v>58</v>
      </c>
      <c r="CX110" s="1">
        <v>58</v>
      </c>
      <c r="CY110" s="1">
        <v>58</v>
      </c>
      <c r="CZ110" s="1">
        <v>58</v>
      </c>
      <c r="DA110" s="1">
        <v>58</v>
      </c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</row>
    <row r="111" spans="1:198" x14ac:dyDescent="0.4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  <c r="BS111">
        <v>106</v>
      </c>
      <c r="BT111">
        <v>114</v>
      </c>
      <c r="BU111">
        <v>125</v>
      </c>
      <c r="BV111">
        <v>128</v>
      </c>
      <c r="BW111">
        <v>130</v>
      </c>
      <c r="BX111">
        <v>134</v>
      </c>
      <c r="BY111">
        <v>135</v>
      </c>
      <c r="BZ111">
        <v>135</v>
      </c>
      <c r="CA111">
        <v>139</v>
      </c>
      <c r="CB111">
        <v>141</v>
      </c>
      <c r="CC111">
        <v>141</v>
      </c>
      <c r="CD111">
        <v>143</v>
      </c>
      <c r="CE111">
        <v>143</v>
      </c>
      <c r="CF111">
        <v>143</v>
      </c>
      <c r="CG111">
        <v>143</v>
      </c>
      <c r="CH111">
        <v>145</v>
      </c>
      <c r="CI111">
        <v>145</v>
      </c>
      <c r="CJ111">
        <v>145</v>
      </c>
      <c r="CK111">
        <v>145</v>
      </c>
      <c r="CL111">
        <v>148</v>
      </c>
      <c r="CM111">
        <v>148</v>
      </c>
      <c r="CN111">
        <v>148</v>
      </c>
      <c r="CO111">
        <v>148</v>
      </c>
      <c r="CP111">
        <v>148</v>
      </c>
      <c r="CQ111">
        <v>148</v>
      </c>
      <c r="CR111">
        <v>149</v>
      </c>
      <c r="CS111">
        <v>149</v>
      </c>
      <c r="CT111">
        <v>149</v>
      </c>
      <c r="CU111" s="1">
        <v>149</v>
      </c>
      <c r="CV111" s="1">
        <v>149</v>
      </c>
      <c r="CW111" s="1">
        <v>149</v>
      </c>
      <c r="CX111" s="1">
        <v>151</v>
      </c>
      <c r="CY111" s="1">
        <v>152</v>
      </c>
      <c r="CZ111" s="1">
        <v>152</v>
      </c>
      <c r="DA111" s="1">
        <v>152</v>
      </c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</row>
    <row r="112" spans="1:198" x14ac:dyDescent="0.4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  <c r="BS112">
        <v>82</v>
      </c>
      <c r="BT112">
        <v>94</v>
      </c>
      <c r="BU112">
        <v>94</v>
      </c>
      <c r="BV112">
        <v>116</v>
      </c>
      <c r="BW112">
        <v>128</v>
      </c>
      <c r="BX112">
        <v>134</v>
      </c>
      <c r="BY112">
        <v>147</v>
      </c>
      <c r="BZ112">
        <v>147</v>
      </c>
      <c r="CA112">
        <v>171</v>
      </c>
      <c r="CB112">
        <v>171</v>
      </c>
      <c r="CC112">
        <v>184</v>
      </c>
      <c r="CD112">
        <v>191</v>
      </c>
      <c r="CE112">
        <v>196</v>
      </c>
      <c r="CF112">
        <v>196</v>
      </c>
      <c r="CG112">
        <v>207</v>
      </c>
      <c r="CH112">
        <v>217</v>
      </c>
      <c r="CI112">
        <v>217</v>
      </c>
      <c r="CJ112">
        <v>233</v>
      </c>
      <c r="CK112">
        <v>245</v>
      </c>
      <c r="CL112">
        <v>254</v>
      </c>
      <c r="CM112">
        <v>271</v>
      </c>
      <c r="CN112">
        <v>271</v>
      </c>
      <c r="CO112">
        <v>311</v>
      </c>
      <c r="CP112">
        <v>326</v>
      </c>
      <c r="CQ112">
        <v>326</v>
      </c>
      <c r="CR112">
        <v>354</v>
      </c>
      <c r="CS112">
        <v>380</v>
      </c>
      <c r="CT112">
        <v>401</v>
      </c>
      <c r="CU112" s="1">
        <v>401</v>
      </c>
      <c r="CV112" s="1">
        <v>460</v>
      </c>
      <c r="CW112" s="1">
        <v>460</v>
      </c>
      <c r="CX112" s="1">
        <v>539</v>
      </c>
      <c r="CY112" s="1">
        <v>539</v>
      </c>
      <c r="CZ112" s="1">
        <v>539</v>
      </c>
      <c r="DA112" s="1">
        <v>650</v>
      </c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</row>
    <row r="113" spans="1:198" x14ac:dyDescent="0.4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  <c r="BS113">
        <v>15</v>
      </c>
      <c r="BT113">
        <v>16</v>
      </c>
      <c r="BU113">
        <v>16</v>
      </c>
      <c r="BV113">
        <v>18</v>
      </c>
      <c r="BW113">
        <v>18</v>
      </c>
      <c r="BX113">
        <v>17</v>
      </c>
      <c r="BY113">
        <v>18</v>
      </c>
      <c r="BZ113">
        <v>18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  <c r="CN113">
        <v>18</v>
      </c>
      <c r="CO113">
        <v>18</v>
      </c>
      <c r="CP113">
        <v>18</v>
      </c>
      <c r="CQ113">
        <v>18</v>
      </c>
      <c r="CR113">
        <v>18</v>
      </c>
      <c r="CS113">
        <v>18</v>
      </c>
      <c r="CT113">
        <v>18</v>
      </c>
      <c r="CU113" s="1">
        <v>18</v>
      </c>
      <c r="CV113" s="1">
        <v>18</v>
      </c>
      <c r="CW113" s="1">
        <v>18</v>
      </c>
      <c r="CX113" s="1">
        <v>18</v>
      </c>
      <c r="CY113" s="1">
        <v>18</v>
      </c>
      <c r="CZ113" s="1">
        <v>18</v>
      </c>
      <c r="DA113" s="1">
        <v>18</v>
      </c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</row>
    <row r="114" spans="1:198" x14ac:dyDescent="0.4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  <c r="BS114">
        <v>224</v>
      </c>
      <c r="BT114">
        <v>247</v>
      </c>
      <c r="BU114">
        <v>281</v>
      </c>
      <c r="BV114">
        <v>308</v>
      </c>
      <c r="BW114">
        <v>321</v>
      </c>
      <c r="BX114">
        <v>334</v>
      </c>
      <c r="BY114">
        <v>344</v>
      </c>
      <c r="BZ114">
        <v>349</v>
      </c>
      <c r="CA114">
        <v>358</v>
      </c>
      <c r="CB114">
        <v>358</v>
      </c>
      <c r="CC114">
        <v>362</v>
      </c>
      <c r="CD114">
        <v>382</v>
      </c>
      <c r="CE114">
        <v>388</v>
      </c>
      <c r="CF114">
        <v>389</v>
      </c>
      <c r="CG114">
        <v>391</v>
      </c>
      <c r="CH114">
        <v>391</v>
      </c>
      <c r="CI114">
        <v>391</v>
      </c>
      <c r="CJ114">
        <v>394</v>
      </c>
      <c r="CK114">
        <v>402</v>
      </c>
      <c r="CL114">
        <v>407</v>
      </c>
      <c r="CM114">
        <v>408</v>
      </c>
      <c r="CN114">
        <v>408</v>
      </c>
      <c r="CO114">
        <v>410</v>
      </c>
      <c r="CP114">
        <v>410</v>
      </c>
      <c r="CQ114">
        <v>412</v>
      </c>
      <c r="CR114">
        <v>412</v>
      </c>
      <c r="CS114">
        <v>417</v>
      </c>
      <c r="CT114">
        <v>417</v>
      </c>
      <c r="CU114" s="1">
        <v>418</v>
      </c>
      <c r="CV114" s="1">
        <v>418</v>
      </c>
      <c r="CW114" s="1">
        <v>420</v>
      </c>
      <c r="CX114" s="1">
        <v>420</v>
      </c>
      <c r="CY114" s="1">
        <v>422</v>
      </c>
      <c r="CZ114" s="1">
        <v>423</v>
      </c>
      <c r="DA114" s="1">
        <v>423</v>
      </c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</row>
    <row r="115" spans="1:198" x14ac:dyDescent="0.4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  <c r="BS115">
        <v>6</v>
      </c>
      <c r="BT115">
        <v>6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  <c r="CM115">
        <v>6</v>
      </c>
      <c r="CN115">
        <v>6</v>
      </c>
      <c r="CO115">
        <v>6</v>
      </c>
      <c r="CP115">
        <v>6</v>
      </c>
      <c r="CQ115">
        <v>6</v>
      </c>
      <c r="CR115">
        <v>6</v>
      </c>
      <c r="CS115">
        <v>6</v>
      </c>
      <c r="CT115">
        <v>6</v>
      </c>
      <c r="CU115" s="1">
        <v>6</v>
      </c>
      <c r="CV115" s="1">
        <v>6</v>
      </c>
      <c r="CW115" s="1">
        <v>6</v>
      </c>
      <c r="CX115" s="1">
        <v>6</v>
      </c>
      <c r="CY115" s="1">
        <v>6</v>
      </c>
      <c r="CZ115" s="1">
        <v>6</v>
      </c>
      <c r="DA115" s="1">
        <v>6</v>
      </c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</row>
    <row r="116" spans="1:198" x14ac:dyDescent="0.4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  <c r="BS116">
        <v>15</v>
      </c>
      <c r="BT116">
        <v>15</v>
      </c>
      <c r="BU116">
        <v>15</v>
      </c>
      <c r="BV116">
        <v>22</v>
      </c>
      <c r="BW116">
        <v>22</v>
      </c>
      <c r="BX116">
        <v>24</v>
      </c>
      <c r="BY116">
        <v>32</v>
      </c>
      <c r="BZ116">
        <v>32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35</v>
      </c>
      <c r="CJ116">
        <v>35</v>
      </c>
      <c r="CK116">
        <v>35</v>
      </c>
      <c r="CL116">
        <v>37</v>
      </c>
      <c r="CM116">
        <v>37</v>
      </c>
      <c r="CN116">
        <v>37</v>
      </c>
      <c r="CO116">
        <v>37</v>
      </c>
      <c r="CP116">
        <v>38</v>
      </c>
      <c r="CQ116">
        <v>38</v>
      </c>
      <c r="CR116">
        <v>38</v>
      </c>
      <c r="CS116">
        <v>38</v>
      </c>
      <c r="CT116">
        <v>38</v>
      </c>
      <c r="CU116" s="1">
        <v>38</v>
      </c>
      <c r="CV116" s="1">
        <v>38</v>
      </c>
      <c r="CW116" s="1">
        <v>38</v>
      </c>
      <c r="CX116" s="1">
        <v>38</v>
      </c>
      <c r="CY116" s="1">
        <v>38</v>
      </c>
      <c r="CZ116" s="1">
        <v>38</v>
      </c>
      <c r="DA116" s="1">
        <v>38</v>
      </c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</row>
    <row r="117" spans="1:198" x14ac:dyDescent="0.4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  <c r="BS117">
        <v>93</v>
      </c>
      <c r="BT117">
        <v>128</v>
      </c>
      <c r="BU117">
        <v>135</v>
      </c>
      <c r="BV117">
        <v>138</v>
      </c>
      <c r="BW117">
        <v>143</v>
      </c>
      <c r="BX117">
        <v>145</v>
      </c>
      <c r="BY117">
        <v>149</v>
      </c>
      <c r="BZ117">
        <v>151</v>
      </c>
      <c r="CA117">
        <v>152</v>
      </c>
      <c r="CB117">
        <v>154</v>
      </c>
      <c r="CC117">
        <v>154</v>
      </c>
      <c r="CD117">
        <v>155</v>
      </c>
      <c r="CE117">
        <v>155</v>
      </c>
      <c r="CF117">
        <v>155</v>
      </c>
      <c r="CG117">
        <v>157</v>
      </c>
      <c r="CH117">
        <v>157</v>
      </c>
      <c r="CI117">
        <v>158</v>
      </c>
      <c r="CJ117">
        <v>158</v>
      </c>
      <c r="CK117">
        <v>158</v>
      </c>
      <c r="CL117">
        <v>158</v>
      </c>
      <c r="CM117">
        <v>163</v>
      </c>
      <c r="CN117">
        <v>163</v>
      </c>
      <c r="CO117">
        <v>163</v>
      </c>
      <c r="CP117">
        <v>164</v>
      </c>
      <c r="CQ117">
        <v>164</v>
      </c>
      <c r="CR117">
        <v>170</v>
      </c>
      <c r="CS117">
        <v>175</v>
      </c>
      <c r="CT117">
        <v>175</v>
      </c>
      <c r="CU117" s="1">
        <v>175</v>
      </c>
      <c r="CV117" s="1">
        <v>175</v>
      </c>
      <c r="CW117" s="1">
        <v>175</v>
      </c>
      <c r="CX117" s="1">
        <v>178</v>
      </c>
      <c r="CY117" s="1">
        <v>179</v>
      </c>
      <c r="CZ117" s="1">
        <v>179</v>
      </c>
      <c r="DA117" s="1">
        <v>179</v>
      </c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</row>
    <row r="118" spans="1:198" x14ac:dyDescent="0.4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  <c r="BS118">
        <v>44550</v>
      </c>
      <c r="BT118">
        <v>52128</v>
      </c>
      <c r="BU118">
        <v>56989</v>
      </c>
      <c r="BV118">
        <v>59105</v>
      </c>
      <c r="BW118">
        <v>64338</v>
      </c>
      <c r="BX118">
        <v>68605</v>
      </c>
      <c r="BY118">
        <v>70478</v>
      </c>
      <c r="BZ118">
        <v>74390</v>
      </c>
      <c r="CA118">
        <v>78167</v>
      </c>
      <c r="CB118">
        <v>82048</v>
      </c>
      <c r="CC118">
        <v>86334</v>
      </c>
      <c r="CD118">
        <v>90676</v>
      </c>
      <c r="CE118">
        <v>93790</v>
      </c>
      <c r="CF118">
        <v>120633</v>
      </c>
      <c r="CG118">
        <v>124298</v>
      </c>
      <c r="CH118">
        <v>129257</v>
      </c>
      <c r="CI118">
        <v>132473</v>
      </c>
      <c r="CJ118">
        <v>144944</v>
      </c>
      <c r="CK118">
        <v>146923</v>
      </c>
      <c r="CL118">
        <v>146906</v>
      </c>
      <c r="CM118">
        <v>151808</v>
      </c>
      <c r="CN118">
        <v>154188</v>
      </c>
      <c r="CO118">
        <v>156921</v>
      </c>
      <c r="CP118">
        <v>154715</v>
      </c>
      <c r="CQ118">
        <v>157026</v>
      </c>
      <c r="CR118">
        <v>158636</v>
      </c>
      <c r="CS118">
        <v>160292</v>
      </c>
      <c r="CT118">
        <v>160847</v>
      </c>
      <c r="CU118" s="1">
        <v>164589</v>
      </c>
      <c r="CV118" s="1">
        <v>167605</v>
      </c>
      <c r="CW118" s="1">
        <v>165093</v>
      </c>
      <c r="CX118" s="1">
        <v>165764</v>
      </c>
      <c r="CY118" s="1">
        <v>165764</v>
      </c>
      <c r="CZ118" s="1">
        <v>166976</v>
      </c>
      <c r="DA118" s="1">
        <v>167272</v>
      </c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</row>
    <row r="119" spans="1:198" x14ac:dyDescent="0.4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  <c r="BS119">
        <v>7</v>
      </c>
      <c r="BT119">
        <v>16</v>
      </c>
      <c r="BU119">
        <v>18</v>
      </c>
      <c r="BV119">
        <v>21</v>
      </c>
      <c r="BW119">
        <v>21</v>
      </c>
      <c r="BX119">
        <v>21</v>
      </c>
      <c r="BY119">
        <v>21</v>
      </c>
      <c r="BZ119">
        <v>24</v>
      </c>
      <c r="CA119">
        <v>30</v>
      </c>
      <c r="CB119">
        <v>34</v>
      </c>
      <c r="CC119">
        <v>44</v>
      </c>
      <c r="CD119">
        <v>44</v>
      </c>
      <c r="CE119">
        <v>46</v>
      </c>
      <c r="CF119">
        <v>49</v>
      </c>
      <c r="CG119">
        <v>57</v>
      </c>
      <c r="CH119">
        <v>57</v>
      </c>
      <c r="CI119">
        <v>80</v>
      </c>
      <c r="CJ119">
        <v>80</v>
      </c>
      <c r="CK119">
        <v>108</v>
      </c>
      <c r="CL119">
        <v>108</v>
      </c>
      <c r="CM119">
        <v>109</v>
      </c>
      <c r="CN119">
        <v>120</v>
      </c>
      <c r="CO119">
        <v>156</v>
      </c>
      <c r="CP119">
        <v>166</v>
      </c>
      <c r="CQ119">
        <v>167</v>
      </c>
      <c r="CR119">
        <v>172</v>
      </c>
      <c r="CS119">
        <v>176</v>
      </c>
      <c r="CT119">
        <v>176</v>
      </c>
      <c r="CU119" s="1">
        <v>211</v>
      </c>
      <c r="CV119" s="1">
        <v>238</v>
      </c>
      <c r="CW119" s="1">
        <v>276</v>
      </c>
      <c r="CX119" s="1">
        <v>276</v>
      </c>
      <c r="CY119" s="1">
        <v>276</v>
      </c>
      <c r="CZ119" s="1">
        <v>335</v>
      </c>
      <c r="DA119" s="1">
        <v>335</v>
      </c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</row>
    <row r="120" spans="1:198" x14ac:dyDescent="0.45">
      <c r="A120" s="1" t="s">
        <v>2</v>
      </c>
      <c r="B120" s="1" t="s">
        <v>247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  <c r="BS120">
        <v>4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9</v>
      </c>
      <c r="CF120">
        <v>9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  <c r="CM120">
        <v>10</v>
      </c>
      <c r="CN120">
        <v>10</v>
      </c>
      <c r="CO120">
        <v>10</v>
      </c>
      <c r="CP120">
        <v>10</v>
      </c>
      <c r="CQ120">
        <v>10</v>
      </c>
      <c r="CR120">
        <v>10</v>
      </c>
      <c r="CS120">
        <v>10</v>
      </c>
      <c r="CT120">
        <v>10</v>
      </c>
      <c r="CU120" s="1">
        <v>10</v>
      </c>
      <c r="CV120" s="1">
        <v>10</v>
      </c>
      <c r="CW120" s="1">
        <v>10</v>
      </c>
      <c r="CX120" s="1">
        <v>11</v>
      </c>
      <c r="CY120" s="1">
        <v>12</v>
      </c>
      <c r="CZ120" s="1">
        <v>17</v>
      </c>
      <c r="DA120" s="1">
        <v>17</v>
      </c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</row>
    <row r="121" spans="1:198" x14ac:dyDescent="0.4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  <c r="BS121">
        <v>103</v>
      </c>
      <c r="BT121">
        <v>110</v>
      </c>
      <c r="BU121">
        <v>117</v>
      </c>
      <c r="BV121">
        <v>134</v>
      </c>
      <c r="BW121">
        <v>155</v>
      </c>
      <c r="BX121">
        <v>162</v>
      </c>
      <c r="BY121">
        <v>174</v>
      </c>
      <c r="BZ121">
        <v>188</v>
      </c>
      <c r="CA121">
        <v>196</v>
      </c>
      <c r="CB121">
        <v>211</v>
      </c>
      <c r="CC121">
        <v>218</v>
      </c>
      <c r="CD121">
        <v>234</v>
      </c>
      <c r="CE121">
        <v>242</v>
      </c>
      <c r="CF121">
        <v>257</v>
      </c>
      <c r="CG121">
        <v>272</v>
      </c>
      <c r="CH121">
        <v>300</v>
      </c>
      <c r="CI121">
        <v>306</v>
      </c>
      <c r="CJ121">
        <v>348</v>
      </c>
      <c r="CK121">
        <v>370</v>
      </c>
      <c r="CL121">
        <v>388</v>
      </c>
      <c r="CM121">
        <v>394</v>
      </c>
      <c r="CN121">
        <v>402</v>
      </c>
      <c r="CO121">
        <v>408</v>
      </c>
      <c r="CP121">
        <v>416</v>
      </c>
      <c r="CQ121">
        <v>425</v>
      </c>
      <c r="CR121">
        <v>444</v>
      </c>
      <c r="CS121">
        <v>456</v>
      </c>
      <c r="CT121">
        <v>486</v>
      </c>
      <c r="CU121" s="1">
        <v>497</v>
      </c>
      <c r="CV121" s="1">
        <v>511</v>
      </c>
      <c r="CW121" s="1">
        <v>517</v>
      </c>
      <c r="CX121" s="1">
        <v>539</v>
      </c>
      <c r="CY121" s="1">
        <v>566</v>
      </c>
      <c r="CZ121" s="1">
        <v>582</v>
      </c>
      <c r="DA121" s="1">
        <v>589</v>
      </c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</row>
    <row r="122" spans="1:198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  <c r="BS122">
        <v>66885</v>
      </c>
      <c r="BT122">
        <v>71808</v>
      </c>
      <c r="BU122">
        <v>77872</v>
      </c>
      <c r="BV122">
        <v>84794</v>
      </c>
      <c r="BW122">
        <v>91159</v>
      </c>
      <c r="BX122">
        <v>96092</v>
      </c>
      <c r="BY122">
        <v>100123</v>
      </c>
      <c r="BZ122">
        <v>103374</v>
      </c>
      <c r="CA122">
        <v>107663</v>
      </c>
      <c r="CB122">
        <v>113296</v>
      </c>
      <c r="CC122">
        <v>118181</v>
      </c>
      <c r="CD122">
        <v>122171</v>
      </c>
      <c r="CE122">
        <v>124908</v>
      </c>
      <c r="CF122">
        <v>127854</v>
      </c>
      <c r="CG122">
        <v>130072</v>
      </c>
      <c r="CH122">
        <v>131359</v>
      </c>
      <c r="CI122">
        <v>134753</v>
      </c>
      <c r="CJ122">
        <v>137698</v>
      </c>
      <c r="CK122">
        <v>141397</v>
      </c>
      <c r="CL122">
        <v>143342</v>
      </c>
      <c r="CM122">
        <v>145184</v>
      </c>
      <c r="CN122">
        <v>147065</v>
      </c>
      <c r="CO122">
        <v>148291</v>
      </c>
      <c r="CP122">
        <v>150648</v>
      </c>
      <c r="CQ122">
        <v>153129</v>
      </c>
      <c r="CR122">
        <v>154999</v>
      </c>
      <c r="CS122">
        <v>156513</v>
      </c>
      <c r="CT122">
        <v>157770</v>
      </c>
      <c r="CU122" s="1">
        <v>158758</v>
      </c>
      <c r="CV122" s="1">
        <v>159912</v>
      </c>
      <c r="CW122" s="1">
        <v>161539</v>
      </c>
      <c r="CX122" s="1">
        <v>163009</v>
      </c>
      <c r="CY122" s="1">
        <v>164077</v>
      </c>
      <c r="CZ122" s="1">
        <v>164967</v>
      </c>
      <c r="DA122" s="1">
        <v>165664</v>
      </c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</row>
    <row r="123" spans="1:198" x14ac:dyDescent="0.4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  <c r="BS123">
        <v>152</v>
      </c>
      <c r="BT123">
        <v>161</v>
      </c>
      <c r="BU123">
        <v>195</v>
      </c>
      <c r="BV123">
        <v>204</v>
      </c>
      <c r="BW123">
        <v>205</v>
      </c>
      <c r="BX123">
        <v>205</v>
      </c>
      <c r="BY123">
        <v>214</v>
      </c>
      <c r="BZ123">
        <v>214</v>
      </c>
      <c r="CA123">
        <v>287</v>
      </c>
      <c r="CB123">
        <v>313</v>
      </c>
      <c r="CC123">
        <v>378</v>
      </c>
      <c r="CD123">
        <v>378</v>
      </c>
      <c r="CE123">
        <v>408</v>
      </c>
      <c r="CF123">
        <v>566</v>
      </c>
      <c r="CG123">
        <v>566</v>
      </c>
      <c r="CH123">
        <v>636</v>
      </c>
      <c r="CI123">
        <v>636</v>
      </c>
      <c r="CJ123">
        <v>641</v>
      </c>
      <c r="CK123">
        <v>641</v>
      </c>
      <c r="CL123">
        <v>834</v>
      </c>
      <c r="CM123">
        <v>1042</v>
      </c>
      <c r="CN123">
        <v>1042</v>
      </c>
      <c r="CO123">
        <v>1042</v>
      </c>
      <c r="CP123">
        <v>1154</v>
      </c>
      <c r="CQ123">
        <v>1154</v>
      </c>
      <c r="CR123">
        <v>1279</v>
      </c>
      <c r="CS123">
        <v>1279</v>
      </c>
      <c r="CT123">
        <v>1550</v>
      </c>
      <c r="CU123" s="1">
        <v>1550</v>
      </c>
      <c r="CV123" s="1">
        <v>1671</v>
      </c>
      <c r="CW123" s="1">
        <v>1671</v>
      </c>
      <c r="CX123" s="1">
        <v>2074</v>
      </c>
      <c r="CY123" s="1">
        <v>2074</v>
      </c>
      <c r="CZ123" s="1">
        <v>2169</v>
      </c>
      <c r="DA123" s="1">
        <v>2169</v>
      </c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</row>
    <row r="124" spans="1:198" x14ac:dyDescent="0.4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  <c r="BS124">
        <v>1212</v>
      </c>
      <c r="BT124">
        <v>1314</v>
      </c>
      <c r="BU124">
        <v>1415</v>
      </c>
      <c r="BV124">
        <v>1544</v>
      </c>
      <c r="BW124">
        <v>1613</v>
      </c>
      <c r="BX124">
        <v>1673</v>
      </c>
      <c r="BY124">
        <v>1735</v>
      </c>
      <c r="BZ124">
        <v>1755</v>
      </c>
      <c r="CA124">
        <v>1832</v>
      </c>
      <c r="CB124">
        <v>1884</v>
      </c>
      <c r="CC124">
        <v>1955</v>
      </c>
      <c r="CD124">
        <v>2011</v>
      </c>
      <c r="CE124">
        <v>2081</v>
      </c>
      <c r="CF124">
        <v>2114</v>
      </c>
      <c r="CG124">
        <v>2145</v>
      </c>
      <c r="CH124">
        <v>2170</v>
      </c>
      <c r="CI124">
        <v>2192</v>
      </c>
      <c r="CJ124">
        <v>2207</v>
      </c>
      <c r="CK124">
        <v>2224</v>
      </c>
      <c r="CL124">
        <v>2235</v>
      </c>
      <c r="CM124">
        <v>2235</v>
      </c>
      <c r="CN124">
        <v>2245</v>
      </c>
      <c r="CO124">
        <v>2401</v>
      </c>
      <c r="CP124">
        <v>2408</v>
      </c>
      <c r="CQ124">
        <v>2463</v>
      </c>
      <c r="CR124">
        <v>2490</v>
      </c>
      <c r="CS124">
        <v>2506</v>
      </c>
      <c r="CT124">
        <v>2517</v>
      </c>
      <c r="CU124" s="1">
        <v>2534</v>
      </c>
      <c r="CV124" s="1">
        <v>2566</v>
      </c>
      <c r="CW124" s="1">
        <v>2576</v>
      </c>
      <c r="CX124" s="1">
        <v>2591</v>
      </c>
      <c r="CY124" s="1">
        <v>2612</v>
      </c>
      <c r="CZ124" s="1">
        <v>2620</v>
      </c>
      <c r="DA124" s="1">
        <v>2626</v>
      </c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</row>
    <row r="125" spans="1:198" x14ac:dyDescent="0.4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  <c r="BS125">
        <v>36</v>
      </c>
      <c r="BT125">
        <v>38</v>
      </c>
      <c r="BU125">
        <v>39</v>
      </c>
      <c r="BV125">
        <v>47</v>
      </c>
      <c r="BW125">
        <v>50</v>
      </c>
      <c r="BX125">
        <v>61</v>
      </c>
      <c r="BY125">
        <v>61</v>
      </c>
      <c r="BZ125">
        <v>70</v>
      </c>
      <c r="CA125">
        <v>77</v>
      </c>
      <c r="CB125">
        <v>87</v>
      </c>
      <c r="CC125">
        <v>95</v>
      </c>
      <c r="CD125">
        <v>126</v>
      </c>
      <c r="CE125">
        <v>137</v>
      </c>
      <c r="CF125">
        <v>155</v>
      </c>
      <c r="CG125">
        <v>156</v>
      </c>
      <c r="CH125">
        <v>167</v>
      </c>
      <c r="CI125">
        <v>180</v>
      </c>
      <c r="CJ125">
        <v>196</v>
      </c>
      <c r="CK125">
        <v>214</v>
      </c>
      <c r="CL125">
        <v>235</v>
      </c>
      <c r="CM125">
        <v>257</v>
      </c>
      <c r="CN125">
        <v>289</v>
      </c>
      <c r="CO125">
        <v>294</v>
      </c>
      <c r="CP125">
        <v>316</v>
      </c>
      <c r="CQ125">
        <v>384</v>
      </c>
      <c r="CR125">
        <v>430</v>
      </c>
      <c r="CS125">
        <v>473</v>
      </c>
      <c r="CT125">
        <v>500</v>
      </c>
      <c r="CU125" s="1">
        <v>530</v>
      </c>
      <c r="CV125" s="1">
        <v>530</v>
      </c>
      <c r="CW125" s="1">
        <v>557</v>
      </c>
      <c r="CX125" s="1">
        <v>599</v>
      </c>
      <c r="CY125" s="1">
        <v>644</v>
      </c>
      <c r="CZ125" s="1">
        <v>688</v>
      </c>
      <c r="DA125" s="1">
        <v>703</v>
      </c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</row>
    <row r="126" spans="1:198" x14ac:dyDescent="0.4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  <c r="BS126">
        <v>22</v>
      </c>
      <c r="BT126">
        <v>22</v>
      </c>
      <c r="BU126">
        <v>30</v>
      </c>
      <c r="BV126">
        <v>52</v>
      </c>
      <c r="BW126">
        <v>73</v>
      </c>
      <c r="BX126">
        <v>111</v>
      </c>
      <c r="BY126">
        <v>121</v>
      </c>
      <c r="BZ126">
        <v>128</v>
      </c>
      <c r="CA126">
        <v>144</v>
      </c>
      <c r="CB126">
        <v>164</v>
      </c>
      <c r="CC126">
        <v>194</v>
      </c>
      <c r="CD126">
        <v>212</v>
      </c>
      <c r="CE126">
        <v>250</v>
      </c>
      <c r="CF126">
        <v>250</v>
      </c>
      <c r="CG126">
        <v>319</v>
      </c>
      <c r="CH126">
        <v>363</v>
      </c>
      <c r="CI126">
        <v>404</v>
      </c>
      <c r="CJ126">
        <v>438</v>
      </c>
      <c r="CK126">
        <v>477</v>
      </c>
      <c r="CL126">
        <v>518</v>
      </c>
      <c r="CM126">
        <v>579</v>
      </c>
      <c r="CN126">
        <v>622</v>
      </c>
      <c r="CO126">
        <v>688</v>
      </c>
      <c r="CP126">
        <v>761</v>
      </c>
      <c r="CQ126">
        <v>862</v>
      </c>
      <c r="CR126">
        <v>954</v>
      </c>
      <c r="CS126">
        <v>996</v>
      </c>
      <c r="CT126">
        <v>996</v>
      </c>
      <c r="CU126" s="1">
        <v>1163</v>
      </c>
      <c r="CV126" s="1">
        <v>1240</v>
      </c>
      <c r="CW126" s="1">
        <v>1351</v>
      </c>
      <c r="CX126" s="1">
        <v>1495</v>
      </c>
      <c r="CY126" s="1">
        <v>1537</v>
      </c>
      <c r="CZ126" s="1">
        <v>1586</v>
      </c>
      <c r="DA126" s="1">
        <v>1586</v>
      </c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</row>
    <row r="127" spans="1:198" x14ac:dyDescent="0.4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  <c r="BS127">
        <v>8</v>
      </c>
      <c r="BT127">
        <v>12</v>
      </c>
      <c r="BU127">
        <v>19</v>
      </c>
      <c r="BV127">
        <v>19</v>
      </c>
      <c r="BW127">
        <v>23</v>
      </c>
      <c r="BX127">
        <v>23</v>
      </c>
      <c r="BY127">
        <v>24</v>
      </c>
      <c r="BZ127">
        <v>31</v>
      </c>
      <c r="CA127">
        <v>33</v>
      </c>
      <c r="CB127">
        <v>37</v>
      </c>
      <c r="CC127">
        <v>37</v>
      </c>
      <c r="CD127">
        <v>37</v>
      </c>
      <c r="CE127">
        <v>45</v>
      </c>
      <c r="CF127">
        <v>45</v>
      </c>
      <c r="CG127">
        <v>45</v>
      </c>
      <c r="CH127">
        <v>47</v>
      </c>
      <c r="CI127">
        <v>55</v>
      </c>
      <c r="CJ127">
        <v>55</v>
      </c>
      <c r="CK127">
        <v>63</v>
      </c>
      <c r="CL127">
        <v>63</v>
      </c>
      <c r="CM127">
        <v>65</v>
      </c>
      <c r="CN127">
        <v>65</v>
      </c>
      <c r="CO127">
        <v>66</v>
      </c>
      <c r="CP127">
        <v>67</v>
      </c>
      <c r="CQ127">
        <v>70</v>
      </c>
      <c r="CR127">
        <v>73</v>
      </c>
      <c r="CS127">
        <v>73</v>
      </c>
      <c r="CT127">
        <v>74</v>
      </c>
      <c r="CU127" s="1">
        <v>74</v>
      </c>
      <c r="CV127" s="1">
        <v>74</v>
      </c>
      <c r="CW127" s="1">
        <v>78</v>
      </c>
      <c r="CX127" s="1">
        <v>82</v>
      </c>
      <c r="CY127" s="1">
        <v>82</v>
      </c>
      <c r="CZ127" s="1">
        <v>82</v>
      </c>
      <c r="DA127" s="1">
        <v>82</v>
      </c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</row>
    <row r="128" spans="1:198" x14ac:dyDescent="0.4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  <c r="BS128">
        <v>15</v>
      </c>
      <c r="BT128">
        <v>15</v>
      </c>
      <c r="BU128">
        <v>16</v>
      </c>
      <c r="BV128">
        <v>16</v>
      </c>
      <c r="BW128">
        <v>18</v>
      </c>
      <c r="BX128">
        <v>20</v>
      </c>
      <c r="BY128">
        <v>21</v>
      </c>
      <c r="BZ128">
        <v>24</v>
      </c>
      <c r="CA128">
        <v>25</v>
      </c>
      <c r="CB128">
        <v>27</v>
      </c>
      <c r="CC128">
        <v>30</v>
      </c>
      <c r="CD128">
        <v>31</v>
      </c>
      <c r="CE128">
        <v>33</v>
      </c>
      <c r="CF128">
        <v>33</v>
      </c>
      <c r="CG128">
        <v>40</v>
      </c>
      <c r="CH128">
        <v>40</v>
      </c>
      <c r="CI128">
        <v>41</v>
      </c>
      <c r="CJ128">
        <v>41</v>
      </c>
      <c r="CK128">
        <v>43</v>
      </c>
      <c r="CL128">
        <v>44</v>
      </c>
      <c r="CM128">
        <v>47</v>
      </c>
      <c r="CN128">
        <v>57</v>
      </c>
      <c r="CO128">
        <v>57</v>
      </c>
      <c r="CP128">
        <v>62</v>
      </c>
      <c r="CQ128">
        <v>72</v>
      </c>
      <c r="CR128">
        <v>72</v>
      </c>
      <c r="CS128">
        <v>72</v>
      </c>
      <c r="CT128">
        <v>74</v>
      </c>
      <c r="CU128" s="1">
        <v>76</v>
      </c>
      <c r="CV128" s="1">
        <v>76</v>
      </c>
      <c r="CW128" s="1">
        <v>76</v>
      </c>
      <c r="CX128" s="1">
        <v>81</v>
      </c>
      <c r="CY128" s="1">
        <v>85</v>
      </c>
      <c r="CZ128" s="1">
        <v>85</v>
      </c>
      <c r="DA128" s="1">
        <v>88</v>
      </c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</row>
    <row r="129" spans="1:198" x14ac:dyDescent="0.4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  <c r="BS129">
        <v>6</v>
      </c>
      <c r="BT129">
        <v>6</v>
      </c>
      <c r="BU129">
        <v>6</v>
      </c>
      <c r="BV129">
        <v>7</v>
      </c>
      <c r="BW129">
        <v>7</v>
      </c>
      <c r="BX129">
        <v>7</v>
      </c>
      <c r="BY129">
        <v>7</v>
      </c>
      <c r="BZ129">
        <v>7</v>
      </c>
      <c r="CA129">
        <v>7</v>
      </c>
      <c r="CB129">
        <v>8</v>
      </c>
      <c r="CC129">
        <v>8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  <c r="CM129">
        <v>8</v>
      </c>
      <c r="CN129">
        <v>9</v>
      </c>
      <c r="CO129">
        <v>9</v>
      </c>
      <c r="CP129">
        <v>9</v>
      </c>
      <c r="CQ129">
        <v>9</v>
      </c>
      <c r="CR129">
        <v>9</v>
      </c>
      <c r="CS129">
        <v>9</v>
      </c>
      <c r="CT129">
        <v>9</v>
      </c>
      <c r="CU129" s="1">
        <v>9</v>
      </c>
      <c r="CV129" s="1">
        <v>10</v>
      </c>
      <c r="CW129" s="1">
        <v>10</v>
      </c>
      <c r="CX129" s="1">
        <v>11</v>
      </c>
      <c r="CY129" s="1">
        <v>11</v>
      </c>
      <c r="CZ129" s="1">
        <v>11</v>
      </c>
      <c r="DA129" s="1">
        <v>11</v>
      </c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</row>
    <row r="130" spans="1:198" x14ac:dyDescent="0.4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  <c r="BS130">
        <v>139</v>
      </c>
      <c r="BT130">
        <v>141</v>
      </c>
      <c r="BU130">
        <v>172</v>
      </c>
      <c r="BV130">
        <v>219</v>
      </c>
      <c r="BW130">
        <v>222</v>
      </c>
      <c r="BX130">
        <v>264</v>
      </c>
      <c r="BY130">
        <v>268</v>
      </c>
      <c r="BZ130">
        <v>298</v>
      </c>
      <c r="CA130">
        <v>305</v>
      </c>
      <c r="CB130">
        <v>312</v>
      </c>
      <c r="CC130">
        <v>343</v>
      </c>
      <c r="CD130">
        <v>382</v>
      </c>
      <c r="CE130">
        <v>392</v>
      </c>
      <c r="CF130">
        <v>393</v>
      </c>
      <c r="CG130">
        <v>397</v>
      </c>
      <c r="CH130">
        <v>407</v>
      </c>
      <c r="CI130">
        <v>419</v>
      </c>
      <c r="CJ130">
        <v>426</v>
      </c>
      <c r="CK130">
        <v>442</v>
      </c>
      <c r="CL130">
        <v>457</v>
      </c>
      <c r="CM130">
        <v>472</v>
      </c>
      <c r="CN130">
        <v>477</v>
      </c>
      <c r="CO130">
        <v>494</v>
      </c>
      <c r="CP130">
        <v>510</v>
      </c>
      <c r="CQ130">
        <v>519</v>
      </c>
      <c r="CR130">
        <v>591</v>
      </c>
      <c r="CS130">
        <v>627</v>
      </c>
      <c r="CT130">
        <v>627</v>
      </c>
      <c r="CU130" s="1">
        <v>661</v>
      </c>
      <c r="CV130" s="1">
        <v>702</v>
      </c>
      <c r="CW130" s="1">
        <v>738</v>
      </c>
      <c r="CX130" s="1">
        <v>771</v>
      </c>
      <c r="CY130" s="1">
        <v>804</v>
      </c>
      <c r="CZ130" s="1">
        <v>1010</v>
      </c>
      <c r="DA130" s="1">
        <v>1055</v>
      </c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</row>
    <row r="131" spans="1:198" x14ac:dyDescent="0.4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  <c r="BS131">
        <v>447</v>
      </c>
      <c r="BT131">
        <v>492</v>
      </c>
      <c r="BU131">
        <v>525</v>
      </c>
      <c r="BV131">
        <v>585</v>
      </c>
      <c r="BW131">
        <v>623</v>
      </c>
      <c r="BX131">
        <v>678</v>
      </c>
      <c r="BY131">
        <v>733</v>
      </c>
      <c r="BZ131">
        <v>744</v>
      </c>
      <c r="CA131">
        <v>817</v>
      </c>
      <c r="CB131">
        <v>895</v>
      </c>
      <c r="CC131">
        <v>980</v>
      </c>
      <c r="CD131">
        <v>1190</v>
      </c>
      <c r="CE131">
        <v>1310</v>
      </c>
      <c r="CF131">
        <v>1410</v>
      </c>
      <c r="CG131">
        <v>1458</v>
      </c>
      <c r="CH131">
        <v>1512</v>
      </c>
      <c r="CI131">
        <v>1579</v>
      </c>
      <c r="CJ131">
        <v>1652</v>
      </c>
      <c r="CK131">
        <v>1763</v>
      </c>
      <c r="CL131">
        <v>1834</v>
      </c>
      <c r="CM131">
        <v>1916</v>
      </c>
      <c r="CN131">
        <v>1984</v>
      </c>
      <c r="CO131">
        <v>2098</v>
      </c>
      <c r="CP131">
        <v>2168</v>
      </c>
      <c r="CQ131">
        <v>2284</v>
      </c>
      <c r="CR131">
        <v>2443</v>
      </c>
      <c r="CS131">
        <v>2443</v>
      </c>
      <c r="CT131">
        <v>2500</v>
      </c>
      <c r="CU131" s="1">
        <v>2583</v>
      </c>
      <c r="CV131" s="1">
        <v>2649</v>
      </c>
      <c r="CW131" s="1">
        <v>2727</v>
      </c>
      <c r="CX131" s="1">
        <v>2775</v>
      </c>
      <c r="CY131" s="1">
        <v>2863</v>
      </c>
      <c r="CZ131" s="1">
        <v>2942</v>
      </c>
      <c r="DA131" s="1">
        <v>2998</v>
      </c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</row>
    <row r="132" spans="1:198" x14ac:dyDescent="0.4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  <c r="BS132">
        <v>1086</v>
      </c>
      <c r="BT132">
        <v>1135</v>
      </c>
      <c r="BU132">
        <v>1220</v>
      </c>
      <c r="BV132">
        <v>1319</v>
      </c>
      <c r="BW132">
        <v>1364</v>
      </c>
      <c r="BX132">
        <v>1417</v>
      </c>
      <c r="BY132">
        <v>1486</v>
      </c>
      <c r="BZ132">
        <v>1562</v>
      </c>
      <c r="CA132">
        <v>1586</v>
      </c>
      <c r="CB132">
        <v>1616</v>
      </c>
      <c r="CC132">
        <v>1648</v>
      </c>
      <c r="CD132">
        <v>1675</v>
      </c>
      <c r="CE132">
        <v>1689</v>
      </c>
      <c r="CF132">
        <v>1701</v>
      </c>
      <c r="CG132">
        <v>1711</v>
      </c>
      <c r="CH132">
        <v>1720</v>
      </c>
      <c r="CI132">
        <v>1727</v>
      </c>
      <c r="CJ132">
        <v>1739</v>
      </c>
      <c r="CK132">
        <v>1754</v>
      </c>
      <c r="CL132">
        <v>1760</v>
      </c>
      <c r="CM132">
        <v>1771</v>
      </c>
      <c r="CN132">
        <v>1773</v>
      </c>
      <c r="CO132">
        <v>1778</v>
      </c>
      <c r="CP132">
        <v>1785</v>
      </c>
      <c r="CQ132">
        <v>1789</v>
      </c>
      <c r="CR132">
        <v>1789</v>
      </c>
      <c r="CS132">
        <v>1790</v>
      </c>
      <c r="CT132">
        <v>1792</v>
      </c>
      <c r="CU132" s="1">
        <v>1792</v>
      </c>
      <c r="CV132" s="1">
        <v>1795</v>
      </c>
      <c r="CW132" s="1">
        <v>1797</v>
      </c>
      <c r="CX132" s="1">
        <v>1797</v>
      </c>
      <c r="CY132" s="1">
        <v>1798</v>
      </c>
      <c r="CZ132" s="1">
        <v>1798</v>
      </c>
      <c r="DA132" s="1">
        <v>1799</v>
      </c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</row>
    <row r="133" spans="1:198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  <c r="BS133">
        <v>1251</v>
      </c>
      <c r="BT133">
        <v>1397</v>
      </c>
      <c r="BU133">
        <v>1998</v>
      </c>
      <c r="BV133">
        <v>2543</v>
      </c>
      <c r="BW133">
        <v>2567</v>
      </c>
      <c r="BX133">
        <v>3082</v>
      </c>
      <c r="BY133">
        <v>3588</v>
      </c>
      <c r="BZ133">
        <v>4778</v>
      </c>
      <c r="CA133">
        <v>5311</v>
      </c>
      <c r="CB133">
        <v>5916</v>
      </c>
      <c r="CC133">
        <v>6725</v>
      </c>
      <c r="CD133">
        <v>7598</v>
      </c>
      <c r="CE133">
        <v>8446</v>
      </c>
      <c r="CF133">
        <v>9205</v>
      </c>
      <c r="CG133">
        <v>10453</v>
      </c>
      <c r="CH133">
        <v>11487</v>
      </c>
      <c r="CI133">
        <v>12322</v>
      </c>
      <c r="CJ133">
        <v>13430</v>
      </c>
      <c r="CK133">
        <v>14352</v>
      </c>
      <c r="CL133">
        <v>15722</v>
      </c>
      <c r="CM133">
        <v>17615</v>
      </c>
      <c r="CN133">
        <v>18539</v>
      </c>
      <c r="CO133">
        <v>20080</v>
      </c>
      <c r="CP133">
        <v>21370</v>
      </c>
      <c r="CQ133">
        <v>23077</v>
      </c>
      <c r="CR133">
        <v>24530</v>
      </c>
      <c r="CS133">
        <v>26283</v>
      </c>
      <c r="CT133">
        <v>27890</v>
      </c>
      <c r="CU133" s="1">
        <v>29451</v>
      </c>
      <c r="CV133" s="1">
        <v>31324</v>
      </c>
      <c r="CW133" s="1">
        <v>33062</v>
      </c>
      <c r="CX133" s="1">
        <v>34863</v>
      </c>
      <c r="CY133" s="1">
        <v>37257</v>
      </c>
      <c r="CZ133" s="1">
        <v>39699</v>
      </c>
      <c r="DA133" s="1">
        <v>42505</v>
      </c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</row>
    <row r="134" spans="1:198" x14ac:dyDescent="0.4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  <c r="BS134">
        <v>1414</v>
      </c>
      <c r="BT134">
        <v>1528</v>
      </c>
      <c r="BU134">
        <v>1677</v>
      </c>
      <c r="BV134">
        <v>1790</v>
      </c>
      <c r="BW134">
        <v>1986</v>
      </c>
      <c r="BX134">
        <v>2092</v>
      </c>
      <c r="BY134">
        <v>2273</v>
      </c>
      <c r="BZ134">
        <v>2491</v>
      </c>
      <c r="CA134">
        <v>2738</v>
      </c>
      <c r="CB134">
        <v>2956</v>
      </c>
      <c r="CC134">
        <v>3293</v>
      </c>
      <c r="CD134">
        <v>3512</v>
      </c>
      <c r="CE134">
        <v>3842</v>
      </c>
      <c r="CF134">
        <v>4241</v>
      </c>
      <c r="CG134">
        <v>4557</v>
      </c>
      <c r="CH134">
        <v>4839</v>
      </c>
      <c r="CI134">
        <v>5136</v>
      </c>
      <c r="CJ134">
        <v>5516</v>
      </c>
      <c r="CK134">
        <v>5923</v>
      </c>
      <c r="CL134">
        <v>6248</v>
      </c>
      <c r="CM134">
        <v>6575</v>
      </c>
      <c r="CN134">
        <v>6760</v>
      </c>
      <c r="CO134">
        <v>7135</v>
      </c>
      <c r="CP134">
        <v>7418</v>
      </c>
      <c r="CQ134">
        <v>7775</v>
      </c>
      <c r="CR134">
        <v>8211</v>
      </c>
      <c r="CS134">
        <v>8607</v>
      </c>
      <c r="CT134">
        <v>8882</v>
      </c>
      <c r="CU134" s="1">
        <v>9096</v>
      </c>
      <c r="CV134" s="1">
        <v>9511</v>
      </c>
      <c r="CW134" s="1">
        <v>9771</v>
      </c>
      <c r="CX134" s="1">
        <v>10118</v>
      </c>
      <c r="CY134" s="1">
        <v>10551</v>
      </c>
      <c r="CZ134" s="1">
        <v>10843</v>
      </c>
      <c r="DA134" s="1">
        <v>11192</v>
      </c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</row>
    <row r="135" spans="1:198" x14ac:dyDescent="0.4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  <c r="BS135">
        <v>41495</v>
      </c>
      <c r="BT135">
        <v>44605</v>
      </c>
      <c r="BU135">
        <v>47593</v>
      </c>
      <c r="BV135">
        <v>50468</v>
      </c>
      <c r="BW135">
        <v>53183</v>
      </c>
      <c r="BX135">
        <v>55743</v>
      </c>
      <c r="BY135">
        <v>58226</v>
      </c>
      <c r="BZ135">
        <v>60500</v>
      </c>
      <c r="CA135">
        <v>62589</v>
      </c>
      <c r="CB135">
        <v>64586</v>
      </c>
      <c r="CC135">
        <v>66220</v>
      </c>
      <c r="CD135">
        <v>68192</v>
      </c>
      <c r="CE135">
        <v>70029</v>
      </c>
      <c r="CF135">
        <v>71686</v>
      </c>
      <c r="CG135">
        <v>73303</v>
      </c>
      <c r="CH135">
        <v>74877</v>
      </c>
      <c r="CI135">
        <v>76389</v>
      </c>
      <c r="CJ135">
        <v>77995</v>
      </c>
      <c r="CK135">
        <v>79494</v>
      </c>
      <c r="CL135">
        <v>80868</v>
      </c>
      <c r="CM135">
        <v>82211</v>
      </c>
      <c r="CN135">
        <v>83505</v>
      </c>
      <c r="CO135">
        <v>84802</v>
      </c>
      <c r="CP135">
        <v>85996</v>
      </c>
      <c r="CQ135">
        <v>87026</v>
      </c>
      <c r="CR135">
        <v>88194</v>
      </c>
      <c r="CS135">
        <v>89328</v>
      </c>
      <c r="CT135">
        <v>90481</v>
      </c>
      <c r="CU135" s="1">
        <v>91472</v>
      </c>
      <c r="CV135" s="1">
        <v>92584</v>
      </c>
      <c r="CW135" s="1">
        <v>93657</v>
      </c>
      <c r="CX135" s="1">
        <v>94640</v>
      </c>
      <c r="CY135" s="1">
        <v>95646</v>
      </c>
      <c r="CZ135" s="1">
        <v>96448</v>
      </c>
      <c r="DA135" s="1">
        <v>97424</v>
      </c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</row>
    <row r="136" spans="1:198" x14ac:dyDescent="0.4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  <c r="BS136">
        <v>630</v>
      </c>
      <c r="BT136">
        <v>694</v>
      </c>
      <c r="BU136">
        <v>728</v>
      </c>
      <c r="BV136">
        <v>772</v>
      </c>
      <c r="BW136">
        <v>820</v>
      </c>
      <c r="BX136">
        <v>878</v>
      </c>
      <c r="BY136">
        <v>961</v>
      </c>
      <c r="BZ136">
        <v>1031</v>
      </c>
      <c r="CA136">
        <v>1122</v>
      </c>
      <c r="CB136">
        <v>1202</v>
      </c>
      <c r="CC136">
        <v>1232</v>
      </c>
      <c r="CD136">
        <v>1279</v>
      </c>
      <c r="CE136">
        <v>1318</v>
      </c>
      <c r="CF136">
        <v>1352</v>
      </c>
      <c r="CG136">
        <v>1378</v>
      </c>
      <c r="CH136">
        <v>1400</v>
      </c>
      <c r="CI136">
        <v>1415</v>
      </c>
      <c r="CJ136">
        <v>1434</v>
      </c>
      <c r="CK136">
        <v>1482</v>
      </c>
      <c r="CL136">
        <v>1513</v>
      </c>
      <c r="CM136">
        <v>1539</v>
      </c>
      <c r="CN136">
        <v>1574</v>
      </c>
      <c r="CO136">
        <v>1602</v>
      </c>
      <c r="CP136">
        <v>1631</v>
      </c>
      <c r="CQ136">
        <v>1677</v>
      </c>
      <c r="CR136">
        <v>1708</v>
      </c>
      <c r="CS136">
        <v>1763</v>
      </c>
      <c r="CT136">
        <v>1820</v>
      </c>
      <c r="CU136" s="1">
        <v>1847</v>
      </c>
      <c r="CV136" s="1">
        <v>1928</v>
      </c>
      <c r="CW136" s="1">
        <v>2003</v>
      </c>
      <c r="CX136" s="1">
        <v>2085</v>
      </c>
      <c r="CY136" s="1">
        <v>2153</v>
      </c>
      <c r="CZ136" s="1">
        <v>2219</v>
      </c>
      <c r="DA136" s="1">
        <v>2296</v>
      </c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</row>
    <row r="137" spans="1:198" x14ac:dyDescent="0.4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  <c r="BS137">
        <v>2910</v>
      </c>
      <c r="BT137">
        <v>3235</v>
      </c>
      <c r="BU137">
        <v>3447</v>
      </c>
      <c r="BV137">
        <v>3849</v>
      </c>
      <c r="BW137">
        <v>4273</v>
      </c>
      <c r="BX137">
        <v>4604</v>
      </c>
      <c r="BY137">
        <v>4994</v>
      </c>
      <c r="BZ137">
        <v>5364</v>
      </c>
      <c r="CA137">
        <v>5709</v>
      </c>
      <c r="CB137">
        <v>6074</v>
      </c>
      <c r="CC137">
        <v>6574</v>
      </c>
      <c r="CD137">
        <v>8089</v>
      </c>
      <c r="CE137">
        <v>8928</v>
      </c>
      <c r="CF137">
        <v>9655</v>
      </c>
      <c r="CG137">
        <v>10647</v>
      </c>
      <c r="CH137">
        <v>11479</v>
      </c>
      <c r="CI137">
        <v>12547</v>
      </c>
      <c r="CJ137">
        <v>13271</v>
      </c>
      <c r="CK137">
        <v>13980</v>
      </c>
      <c r="CL137">
        <v>14758</v>
      </c>
      <c r="CM137">
        <v>15251</v>
      </c>
      <c r="CN137">
        <v>15652</v>
      </c>
      <c r="CO137">
        <v>16040</v>
      </c>
      <c r="CP137">
        <v>16671</v>
      </c>
      <c r="CQ137">
        <v>17607</v>
      </c>
      <c r="CR137">
        <v>18184</v>
      </c>
      <c r="CS137">
        <v>18561</v>
      </c>
      <c r="CT137">
        <v>19262</v>
      </c>
      <c r="CU137" s="1">
        <v>19648</v>
      </c>
      <c r="CV137" s="1">
        <v>19877</v>
      </c>
      <c r="CW137" s="1">
        <v>20253</v>
      </c>
      <c r="CX137" s="1">
        <v>20612</v>
      </c>
      <c r="CY137" s="1">
        <v>20833</v>
      </c>
      <c r="CZ137" s="1">
        <v>21176</v>
      </c>
      <c r="DA137" s="1">
        <v>21506</v>
      </c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</row>
    <row r="138" spans="1:198" x14ac:dyDescent="0.4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  <c r="BS138">
        <v>4695</v>
      </c>
      <c r="BT138">
        <v>5358</v>
      </c>
      <c r="BU138">
        <v>6092</v>
      </c>
      <c r="BV138">
        <v>6857</v>
      </c>
      <c r="BW138">
        <v>7428</v>
      </c>
      <c r="BX138">
        <v>7851</v>
      </c>
      <c r="BY138">
        <v>8430</v>
      </c>
      <c r="BZ138">
        <v>8904</v>
      </c>
      <c r="CA138">
        <v>9248</v>
      </c>
      <c r="CB138">
        <v>9404</v>
      </c>
      <c r="CC138">
        <v>9968</v>
      </c>
      <c r="CD138">
        <v>10408</v>
      </c>
      <c r="CE138">
        <v>10743</v>
      </c>
      <c r="CF138">
        <v>11145</v>
      </c>
      <c r="CG138">
        <v>11586</v>
      </c>
      <c r="CH138">
        <v>12046</v>
      </c>
      <c r="CI138">
        <v>12501</v>
      </c>
      <c r="CJ138">
        <v>12758</v>
      </c>
      <c r="CK138">
        <v>12982</v>
      </c>
      <c r="CL138">
        <v>13265</v>
      </c>
      <c r="CM138">
        <v>13491</v>
      </c>
      <c r="CN138">
        <v>13713</v>
      </c>
      <c r="CO138">
        <v>13942</v>
      </c>
      <c r="CP138">
        <v>14498</v>
      </c>
      <c r="CQ138">
        <v>14803</v>
      </c>
      <c r="CR138">
        <v>15058</v>
      </c>
      <c r="CS138">
        <v>15298</v>
      </c>
      <c r="CT138">
        <v>15443</v>
      </c>
      <c r="CU138" s="1">
        <v>15555</v>
      </c>
      <c r="CV138" s="1">
        <v>15728</v>
      </c>
      <c r="CW138" s="1">
        <v>15834</v>
      </c>
      <c r="CX138" s="1">
        <v>15946</v>
      </c>
      <c r="CY138" s="1">
        <v>16101</v>
      </c>
      <c r="CZ138" s="1">
        <v>16185</v>
      </c>
      <c r="DA138" s="1">
        <v>16208</v>
      </c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</row>
    <row r="139" spans="1:198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  <c r="BS139">
        <v>101739</v>
      </c>
      <c r="BT139">
        <v>105792</v>
      </c>
      <c r="BU139">
        <v>110574</v>
      </c>
      <c r="BV139">
        <v>115242</v>
      </c>
      <c r="BW139">
        <v>119827</v>
      </c>
      <c r="BX139">
        <v>124632</v>
      </c>
      <c r="BY139">
        <v>128948</v>
      </c>
      <c r="BZ139">
        <v>132547</v>
      </c>
      <c r="CA139">
        <v>135586</v>
      </c>
      <c r="CB139">
        <v>139422</v>
      </c>
      <c r="CC139">
        <v>143626</v>
      </c>
      <c r="CD139">
        <v>147577</v>
      </c>
      <c r="CE139">
        <v>152271</v>
      </c>
      <c r="CF139">
        <v>156363</v>
      </c>
      <c r="CG139">
        <v>159516</v>
      </c>
      <c r="CH139">
        <v>162488</v>
      </c>
      <c r="CI139">
        <v>165155</v>
      </c>
      <c r="CJ139">
        <v>168941</v>
      </c>
      <c r="CK139">
        <v>172434</v>
      </c>
      <c r="CL139">
        <v>175925</v>
      </c>
      <c r="CM139">
        <v>178972</v>
      </c>
      <c r="CN139">
        <v>181228</v>
      </c>
      <c r="CO139">
        <v>183957</v>
      </c>
      <c r="CP139">
        <v>187327</v>
      </c>
      <c r="CQ139">
        <v>189973</v>
      </c>
      <c r="CR139">
        <v>192994</v>
      </c>
      <c r="CS139">
        <v>195351</v>
      </c>
      <c r="CT139">
        <v>197675</v>
      </c>
      <c r="CU139" s="1">
        <v>199414</v>
      </c>
      <c r="CV139" s="1">
        <v>201505</v>
      </c>
      <c r="CW139" s="1">
        <v>203591</v>
      </c>
      <c r="CX139" s="1">
        <v>205463</v>
      </c>
      <c r="CY139" s="1">
        <v>207428</v>
      </c>
      <c r="CZ139" s="1">
        <v>209328</v>
      </c>
      <c r="DA139" s="1">
        <v>210717</v>
      </c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</row>
    <row r="140" spans="1:198" x14ac:dyDescent="0.4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  <c r="BS140">
        <v>36</v>
      </c>
      <c r="BT140">
        <v>36</v>
      </c>
      <c r="BU140">
        <v>44</v>
      </c>
      <c r="BV140">
        <v>47</v>
      </c>
      <c r="BW140">
        <v>47</v>
      </c>
      <c r="BX140">
        <v>53</v>
      </c>
      <c r="BY140">
        <v>58</v>
      </c>
      <c r="BZ140">
        <v>58</v>
      </c>
      <c r="CA140">
        <v>63</v>
      </c>
      <c r="CB140">
        <v>63</v>
      </c>
      <c r="CC140">
        <v>63</v>
      </c>
      <c r="CD140">
        <v>63</v>
      </c>
      <c r="CE140">
        <v>65</v>
      </c>
      <c r="CF140">
        <v>69</v>
      </c>
      <c r="CG140">
        <v>73</v>
      </c>
      <c r="CH140">
        <v>73</v>
      </c>
      <c r="CI140">
        <v>125</v>
      </c>
      <c r="CJ140">
        <v>143</v>
      </c>
      <c r="CK140">
        <v>143</v>
      </c>
      <c r="CL140">
        <v>163</v>
      </c>
      <c r="CM140">
        <v>173</v>
      </c>
      <c r="CN140">
        <v>223</v>
      </c>
      <c r="CO140">
        <v>223</v>
      </c>
      <c r="CP140">
        <v>233</v>
      </c>
      <c r="CQ140">
        <v>257</v>
      </c>
      <c r="CR140">
        <v>288</v>
      </c>
      <c r="CS140">
        <v>305</v>
      </c>
      <c r="CT140">
        <v>350</v>
      </c>
      <c r="CU140" s="1">
        <v>364</v>
      </c>
      <c r="CV140" s="1">
        <v>364</v>
      </c>
      <c r="CW140" s="1">
        <v>396</v>
      </c>
      <c r="CX140" s="1">
        <v>422</v>
      </c>
      <c r="CY140" s="1">
        <v>432</v>
      </c>
      <c r="CZ140" s="1">
        <v>463</v>
      </c>
      <c r="DA140" s="1">
        <v>469</v>
      </c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</row>
    <row r="141" spans="1:198" x14ac:dyDescent="0.4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  <c r="BS141">
        <v>1866</v>
      </c>
      <c r="BT141">
        <v>1953</v>
      </c>
      <c r="BU141">
        <v>2178</v>
      </c>
      <c r="BV141">
        <v>2495</v>
      </c>
      <c r="BW141">
        <v>2617</v>
      </c>
      <c r="BX141">
        <v>3139</v>
      </c>
      <c r="BY141">
        <v>3139</v>
      </c>
      <c r="BZ141">
        <v>3654</v>
      </c>
      <c r="CA141">
        <v>3906</v>
      </c>
      <c r="CB141">
        <v>4257</v>
      </c>
      <c r="CC141">
        <v>4667</v>
      </c>
      <c r="CD141">
        <v>5530</v>
      </c>
      <c r="CE141">
        <v>6005</v>
      </c>
      <c r="CF141">
        <v>6748</v>
      </c>
      <c r="CG141">
        <v>7370</v>
      </c>
      <c r="CH141">
        <v>7645</v>
      </c>
      <c r="CI141">
        <v>8100</v>
      </c>
      <c r="CJ141">
        <v>8626</v>
      </c>
      <c r="CK141">
        <v>9787</v>
      </c>
      <c r="CL141">
        <v>10296</v>
      </c>
      <c r="CM141">
        <v>10797</v>
      </c>
      <c r="CN141">
        <v>10797</v>
      </c>
      <c r="CO141">
        <v>11135</v>
      </c>
      <c r="CP141">
        <v>11512</v>
      </c>
      <c r="CQ141">
        <v>12368</v>
      </c>
      <c r="CR141">
        <v>12829</v>
      </c>
      <c r="CS141">
        <v>13231</v>
      </c>
      <c r="CT141">
        <v>13441</v>
      </c>
      <c r="CU141" s="1">
        <v>14153</v>
      </c>
      <c r="CV141" s="1">
        <v>13736</v>
      </c>
      <c r="CW141" s="1">
        <v>13895</v>
      </c>
      <c r="CX141" s="1">
        <v>14088</v>
      </c>
      <c r="CY141" s="1">
        <v>14305</v>
      </c>
      <c r="CZ141" s="1">
        <v>14571</v>
      </c>
      <c r="DA141" s="1">
        <v>14877</v>
      </c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</row>
    <row r="142" spans="1:198" x14ac:dyDescent="0.4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  <c r="BS142">
        <v>268</v>
      </c>
      <c r="BT142">
        <v>274</v>
      </c>
      <c r="BU142">
        <v>278</v>
      </c>
      <c r="BV142">
        <v>299</v>
      </c>
      <c r="BW142">
        <v>310</v>
      </c>
      <c r="BX142">
        <v>323</v>
      </c>
      <c r="BY142">
        <v>345</v>
      </c>
      <c r="BZ142">
        <v>349</v>
      </c>
      <c r="CA142">
        <v>353</v>
      </c>
      <c r="CB142">
        <v>358</v>
      </c>
      <c r="CC142">
        <v>372</v>
      </c>
      <c r="CD142">
        <v>372</v>
      </c>
      <c r="CE142">
        <v>381</v>
      </c>
      <c r="CF142">
        <v>389</v>
      </c>
      <c r="CG142">
        <v>391</v>
      </c>
      <c r="CH142">
        <v>397</v>
      </c>
      <c r="CI142">
        <v>401</v>
      </c>
      <c r="CJ142">
        <v>402</v>
      </c>
      <c r="CK142">
        <v>407</v>
      </c>
      <c r="CL142">
        <v>413</v>
      </c>
      <c r="CM142">
        <v>417</v>
      </c>
      <c r="CN142">
        <v>425</v>
      </c>
      <c r="CO142">
        <v>428</v>
      </c>
      <c r="CP142">
        <v>435</v>
      </c>
      <c r="CQ142">
        <v>437</v>
      </c>
      <c r="CR142">
        <v>441</v>
      </c>
      <c r="CS142">
        <v>444</v>
      </c>
      <c r="CT142">
        <v>447</v>
      </c>
      <c r="CU142" s="1">
        <v>449</v>
      </c>
      <c r="CV142" s="1">
        <v>449</v>
      </c>
      <c r="CW142" s="1">
        <v>451</v>
      </c>
      <c r="CX142" s="1">
        <v>453</v>
      </c>
      <c r="CY142" s="1">
        <v>459</v>
      </c>
      <c r="CZ142" s="1">
        <v>460</v>
      </c>
      <c r="DA142" s="1">
        <v>461</v>
      </c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</row>
    <row r="143" spans="1:198" x14ac:dyDescent="0.4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  <c r="BS143">
        <v>302</v>
      </c>
      <c r="BT143">
        <v>343</v>
      </c>
      <c r="BU143">
        <v>380</v>
      </c>
      <c r="BV143">
        <v>435</v>
      </c>
      <c r="BW143">
        <v>464</v>
      </c>
      <c r="BX143">
        <v>531</v>
      </c>
      <c r="BY143">
        <v>584</v>
      </c>
      <c r="BZ143">
        <v>662</v>
      </c>
      <c r="CA143">
        <v>697</v>
      </c>
      <c r="CB143">
        <v>727</v>
      </c>
      <c r="CC143">
        <v>781</v>
      </c>
      <c r="CD143">
        <v>812</v>
      </c>
      <c r="CE143">
        <v>865</v>
      </c>
      <c r="CF143">
        <v>951</v>
      </c>
      <c r="CG143">
        <v>1091</v>
      </c>
      <c r="CH143">
        <v>1232</v>
      </c>
      <c r="CI143">
        <v>1295</v>
      </c>
      <c r="CJ143">
        <v>1402</v>
      </c>
      <c r="CK143">
        <v>1546</v>
      </c>
      <c r="CL143">
        <v>1615</v>
      </c>
      <c r="CM143">
        <v>1676</v>
      </c>
      <c r="CN143">
        <v>1852</v>
      </c>
      <c r="CO143">
        <v>1995</v>
      </c>
      <c r="CP143">
        <v>2135</v>
      </c>
      <c r="CQ143">
        <v>2289</v>
      </c>
      <c r="CR143">
        <v>2482</v>
      </c>
      <c r="CS143">
        <v>2601</v>
      </c>
      <c r="CT143">
        <v>2717</v>
      </c>
      <c r="CU143" s="1">
        <v>2835</v>
      </c>
      <c r="CV143" s="1">
        <v>3027</v>
      </c>
      <c r="CW143" s="1">
        <v>3138</v>
      </c>
      <c r="CX143" s="1">
        <v>3402</v>
      </c>
      <c r="CY143" s="1">
        <v>3597</v>
      </c>
      <c r="CZ143" s="1">
        <v>3857</v>
      </c>
      <c r="DA143" s="1">
        <v>3920</v>
      </c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</row>
    <row r="144" spans="1:198" x14ac:dyDescent="0.4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  <c r="BS144">
        <v>50</v>
      </c>
      <c r="BT144">
        <v>59</v>
      </c>
      <c r="BU144">
        <v>81</v>
      </c>
      <c r="BV144">
        <v>110</v>
      </c>
      <c r="BW144">
        <v>122</v>
      </c>
      <c r="BX144">
        <v>126</v>
      </c>
      <c r="BY144">
        <v>142</v>
      </c>
      <c r="BZ144">
        <v>158</v>
      </c>
      <c r="CA144">
        <v>172</v>
      </c>
      <c r="CB144">
        <v>179</v>
      </c>
      <c r="CC144">
        <v>184</v>
      </c>
      <c r="CD144">
        <v>189</v>
      </c>
      <c r="CE144">
        <v>191</v>
      </c>
      <c r="CF144">
        <v>197</v>
      </c>
      <c r="CG144">
        <v>208</v>
      </c>
      <c r="CH144">
        <v>216</v>
      </c>
      <c r="CI144">
        <v>225</v>
      </c>
      <c r="CJ144">
        <v>234</v>
      </c>
      <c r="CK144">
        <v>246</v>
      </c>
      <c r="CL144">
        <v>262</v>
      </c>
      <c r="CM144">
        <v>270</v>
      </c>
      <c r="CN144">
        <v>281</v>
      </c>
      <c r="CO144">
        <v>296</v>
      </c>
      <c r="CP144">
        <v>303</v>
      </c>
      <c r="CQ144">
        <v>320</v>
      </c>
      <c r="CR144">
        <v>336</v>
      </c>
      <c r="CS144">
        <v>343</v>
      </c>
      <c r="CT144">
        <v>355</v>
      </c>
      <c r="CU144" s="1">
        <v>363</v>
      </c>
      <c r="CV144" s="1">
        <v>374</v>
      </c>
      <c r="CW144" s="1">
        <v>384</v>
      </c>
      <c r="CX144" s="1">
        <v>396</v>
      </c>
      <c r="CY144" s="1">
        <v>411</v>
      </c>
      <c r="CZ144" s="1">
        <v>435</v>
      </c>
      <c r="DA144" s="1">
        <v>465</v>
      </c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</row>
    <row r="145" spans="1:198" x14ac:dyDescent="0.4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  <c r="BS145">
        <v>9661</v>
      </c>
      <c r="BT145">
        <v>9786</v>
      </c>
      <c r="BU145">
        <v>9887</v>
      </c>
      <c r="BV145">
        <v>9976</v>
      </c>
      <c r="BW145">
        <v>10062</v>
      </c>
      <c r="BX145">
        <v>10156</v>
      </c>
      <c r="BY145">
        <v>10237</v>
      </c>
      <c r="BZ145">
        <v>10284</v>
      </c>
      <c r="CA145">
        <v>10331</v>
      </c>
      <c r="CB145">
        <v>10384</v>
      </c>
      <c r="CC145">
        <v>10423</v>
      </c>
      <c r="CD145">
        <v>10450</v>
      </c>
      <c r="CE145">
        <v>10480</v>
      </c>
      <c r="CF145">
        <v>10512</v>
      </c>
      <c r="CG145">
        <v>10537</v>
      </c>
      <c r="CH145">
        <v>10564</v>
      </c>
      <c r="CI145">
        <v>10591</v>
      </c>
      <c r="CJ145">
        <v>10613</v>
      </c>
      <c r="CK145">
        <v>10635</v>
      </c>
      <c r="CL145">
        <v>10653</v>
      </c>
      <c r="CM145">
        <v>10661</v>
      </c>
      <c r="CN145">
        <v>10674</v>
      </c>
      <c r="CO145">
        <v>10683</v>
      </c>
      <c r="CP145">
        <v>10694</v>
      </c>
      <c r="CQ145">
        <v>10708</v>
      </c>
      <c r="CR145">
        <v>10718</v>
      </c>
      <c r="CS145">
        <v>10728</v>
      </c>
      <c r="CT145">
        <v>10738</v>
      </c>
      <c r="CU145" s="1">
        <v>10752</v>
      </c>
      <c r="CV145" s="1">
        <v>10761</v>
      </c>
      <c r="CW145" s="1">
        <v>10765</v>
      </c>
      <c r="CX145" s="1">
        <v>10774</v>
      </c>
      <c r="CY145" s="1">
        <v>10780</v>
      </c>
      <c r="CZ145" s="1">
        <v>10793</v>
      </c>
      <c r="DA145" s="1">
        <v>10801</v>
      </c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</row>
    <row r="146" spans="1:198" x14ac:dyDescent="0.4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  <c r="BS146">
        <v>266</v>
      </c>
      <c r="BT146">
        <v>289</v>
      </c>
      <c r="BU146">
        <v>317</v>
      </c>
      <c r="BV146">
        <v>342</v>
      </c>
      <c r="BW146">
        <v>417</v>
      </c>
      <c r="BX146">
        <v>479</v>
      </c>
      <c r="BY146">
        <v>556</v>
      </c>
      <c r="BZ146">
        <v>665</v>
      </c>
      <c r="CA146">
        <v>743</v>
      </c>
      <c r="CB146">
        <v>855</v>
      </c>
      <c r="CC146">
        <v>910</v>
      </c>
      <c r="CD146">
        <v>993</v>
      </c>
      <c r="CE146">
        <v>1154</v>
      </c>
      <c r="CF146">
        <v>1234</v>
      </c>
      <c r="CG146">
        <v>1300</v>
      </c>
      <c r="CH146">
        <v>1355</v>
      </c>
      <c r="CI146">
        <v>1405</v>
      </c>
      <c r="CJ146">
        <v>1524</v>
      </c>
      <c r="CK146">
        <v>1658</v>
      </c>
      <c r="CL146">
        <v>1751</v>
      </c>
      <c r="CM146">
        <v>1915</v>
      </c>
      <c r="CN146">
        <v>1995</v>
      </c>
      <c r="CO146">
        <v>2080</v>
      </c>
      <c r="CP146">
        <v>2248</v>
      </c>
      <c r="CQ146">
        <v>2399</v>
      </c>
      <c r="CR146">
        <v>2614</v>
      </c>
      <c r="CS146">
        <v>2892</v>
      </c>
      <c r="CT146">
        <v>3075</v>
      </c>
      <c r="CU146" s="1">
        <v>3288</v>
      </c>
      <c r="CV146" s="1">
        <v>3440</v>
      </c>
      <c r="CW146" s="1">
        <v>3740</v>
      </c>
      <c r="CX146" s="1">
        <v>4024</v>
      </c>
      <c r="CY146" s="1">
        <v>4377</v>
      </c>
      <c r="CZ146" s="1">
        <v>4619</v>
      </c>
      <c r="DA146" s="1">
        <v>4983</v>
      </c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</row>
    <row r="147" spans="1:198" x14ac:dyDescent="0.4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  <c r="BS147">
        <v>94</v>
      </c>
      <c r="BT147">
        <v>107</v>
      </c>
      <c r="BU147">
        <v>111</v>
      </c>
      <c r="BV147">
        <v>116</v>
      </c>
      <c r="BW147">
        <v>130</v>
      </c>
      <c r="BX147">
        <v>144</v>
      </c>
      <c r="BY147">
        <v>147</v>
      </c>
      <c r="BZ147">
        <v>216</v>
      </c>
      <c r="CA147">
        <v>228</v>
      </c>
      <c r="CB147">
        <v>270</v>
      </c>
      <c r="CC147">
        <v>280</v>
      </c>
      <c r="CD147">
        <v>298</v>
      </c>
      <c r="CE147">
        <v>339</v>
      </c>
      <c r="CF147">
        <v>377</v>
      </c>
      <c r="CG147">
        <v>419</v>
      </c>
      <c r="CH147">
        <v>430</v>
      </c>
      <c r="CI147">
        <v>449</v>
      </c>
      <c r="CJ147">
        <v>466</v>
      </c>
      <c r="CK147">
        <v>489</v>
      </c>
      <c r="CL147">
        <v>506</v>
      </c>
      <c r="CM147">
        <v>554</v>
      </c>
      <c r="CN147">
        <v>568</v>
      </c>
      <c r="CO147">
        <v>590</v>
      </c>
      <c r="CP147">
        <v>612</v>
      </c>
      <c r="CQ147">
        <v>631</v>
      </c>
      <c r="CR147">
        <v>665</v>
      </c>
      <c r="CS147">
        <v>665</v>
      </c>
      <c r="CT147">
        <v>682</v>
      </c>
      <c r="CU147" s="1">
        <v>695</v>
      </c>
      <c r="CV147" s="1">
        <v>708</v>
      </c>
      <c r="CW147" s="1">
        <v>729</v>
      </c>
      <c r="CX147" s="1">
        <v>746</v>
      </c>
      <c r="CY147" s="1">
        <v>756</v>
      </c>
      <c r="CZ147" s="1">
        <v>769</v>
      </c>
      <c r="DA147" s="1">
        <v>795</v>
      </c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</row>
    <row r="148" spans="1:198" x14ac:dyDescent="0.4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  <c r="BS148">
        <v>376</v>
      </c>
      <c r="BT148">
        <v>398</v>
      </c>
      <c r="BU148">
        <v>446</v>
      </c>
      <c r="BV148">
        <v>458</v>
      </c>
      <c r="BW148">
        <v>493</v>
      </c>
      <c r="BX148">
        <v>509</v>
      </c>
      <c r="BY148">
        <v>533</v>
      </c>
      <c r="BZ148">
        <v>542</v>
      </c>
      <c r="CA148">
        <v>548</v>
      </c>
      <c r="CB148">
        <v>577</v>
      </c>
      <c r="CC148">
        <v>589</v>
      </c>
      <c r="CD148">
        <v>612</v>
      </c>
      <c r="CE148">
        <v>630</v>
      </c>
      <c r="CF148">
        <v>651</v>
      </c>
      <c r="CG148">
        <v>655</v>
      </c>
      <c r="CH148">
        <v>657</v>
      </c>
      <c r="CI148">
        <v>666</v>
      </c>
      <c r="CJ148">
        <v>675</v>
      </c>
      <c r="CK148">
        <v>682</v>
      </c>
      <c r="CL148">
        <v>712</v>
      </c>
      <c r="CM148">
        <v>727</v>
      </c>
      <c r="CN148">
        <v>739</v>
      </c>
      <c r="CO148">
        <v>748</v>
      </c>
      <c r="CP148">
        <v>761</v>
      </c>
      <c r="CQ148">
        <v>778</v>
      </c>
      <c r="CR148">
        <v>784</v>
      </c>
      <c r="CS148">
        <v>804</v>
      </c>
      <c r="CT148">
        <v>812</v>
      </c>
      <c r="CU148" s="1">
        <v>818</v>
      </c>
      <c r="CV148" s="1">
        <v>836</v>
      </c>
      <c r="CW148" s="1">
        <v>849</v>
      </c>
      <c r="CX148" s="1">
        <v>858</v>
      </c>
      <c r="CY148" s="1">
        <v>870</v>
      </c>
      <c r="CZ148" s="1">
        <v>871</v>
      </c>
      <c r="DA148" s="1">
        <v>879</v>
      </c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</row>
    <row r="149" spans="1:198" x14ac:dyDescent="0.4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  <c r="BS149">
        <v>446</v>
      </c>
      <c r="BT149">
        <v>470</v>
      </c>
      <c r="BU149">
        <v>479</v>
      </c>
      <c r="BV149">
        <v>494</v>
      </c>
      <c r="BW149">
        <v>508</v>
      </c>
      <c r="BX149">
        <v>520</v>
      </c>
      <c r="BY149">
        <v>527</v>
      </c>
      <c r="BZ149">
        <v>541</v>
      </c>
      <c r="CA149">
        <v>548</v>
      </c>
      <c r="CB149">
        <v>576</v>
      </c>
      <c r="CC149">
        <v>582</v>
      </c>
      <c r="CD149">
        <v>609</v>
      </c>
      <c r="CE149">
        <v>619</v>
      </c>
      <c r="CF149">
        <v>630</v>
      </c>
      <c r="CG149">
        <v>632</v>
      </c>
      <c r="CH149">
        <v>641</v>
      </c>
      <c r="CI149">
        <v>658</v>
      </c>
      <c r="CJ149">
        <v>663</v>
      </c>
      <c r="CK149">
        <v>668</v>
      </c>
      <c r="CL149">
        <v>672</v>
      </c>
      <c r="CM149">
        <v>673</v>
      </c>
      <c r="CN149">
        <v>677</v>
      </c>
      <c r="CO149">
        <v>677</v>
      </c>
      <c r="CP149">
        <v>682</v>
      </c>
      <c r="CQ149">
        <v>688</v>
      </c>
      <c r="CR149">
        <v>696</v>
      </c>
      <c r="CS149">
        <v>704</v>
      </c>
      <c r="CT149">
        <v>707</v>
      </c>
      <c r="CU149" s="1">
        <v>710</v>
      </c>
      <c r="CV149" s="1">
        <v>717</v>
      </c>
      <c r="CW149" s="1">
        <v>721</v>
      </c>
      <c r="CX149" s="1">
        <v>725</v>
      </c>
      <c r="CY149" s="1">
        <v>729</v>
      </c>
      <c r="CZ149" s="1">
        <v>733</v>
      </c>
      <c r="DA149" s="1">
        <v>737</v>
      </c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</row>
    <row r="150" spans="1:198" x14ac:dyDescent="0.4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6</v>
      </c>
      <c r="BV150">
        <v>6</v>
      </c>
      <c r="BW150">
        <v>7</v>
      </c>
      <c r="BX150">
        <v>10</v>
      </c>
      <c r="BY150">
        <v>13</v>
      </c>
      <c r="BZ150">
        <v>14</v>
      </c>
      <c r="CA150">
        <v>14</v>
      </c>
      <c r="CB150">
        <v>31</v>
      </c>
      <c r="CC150">
        <v>31</v>
      </c>
      <c r="CD150">
        <v>37</v>
      </c>
      <c r="CE150">
        <v>48</v>
      </c>
      <c r="CF150">
        <v>50</v>
      </c>
      <c r="CG150">
        <v>59</v>
      </c>
      <c r="CH150">
        <v>59</v>
      </c>
      <c r="CI150">
        <v>59</v>
      </c>
      <c r="CJ150">
        <v>59</v>
      </c>
      <c r="CK150">
        <v>76</v>
      </c>
      <c r="CL150">
        <v>76</v>
      </c>
      <c r="CM150">
        <v>91</v>
      </c>
      <c r="CN150">
        <v>99</v>
      </c>
      <c r="CO150">
        <v>101</v>
      </c>
      <c r="CP150">
        <v>101</v>
      </c>
      <c r="CQ150">
        <v>101</v>
      </c>
      <c r="CR150">
        <v>117</v>
      </c>
      <c r="CS150">
        <v>120</v>
      </c>
      <c r="CT150">
        <v>124</v>
      </c>
      <c r="CU150" s="1">
        <v>124</v>
      </c>
      <c r="CV150" s="1">
        <v>141</v>
      </c>
      <c r="CW150" s="1">
        <v>141</v>
      </c>
      <c r="CX150" s="1">
        <v>141</v>
      </c>
      <c r="CY150" s="1">
        <v>152</v>
      </c>
      <c r="CZ150" s="1">
        <v>154</v>
      </c>
      <c r="DA150" s="1">
        <v>158</v>
      </c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</row>
    <row r="151" spans="1:198" x14ac:dyDescent="0.4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  <c r="BS151">
        <v>62</v>
      </c>
      <c r="BT151">
        <v>68</v>
      </c>
      <c r="BU151">
        <v>68</v>
      </c>
      <c r="BV151">
        <v>75</v>
      </c>
      <c r="BW151">
        <v>75</v>
      </c>
      <c r="BX151">
        <v>77</v>
      </c>
      <c r="BY151">
        <v>77</v>
      </c>
      <c r="BZ151">
        <v>77</v>
      </c>
      <c r="CA151">
        <v>78</v>
      </c>
      <c r="CB151">
        <v>78</v>
      </c>
      <c r="CC151">
        <v>78</v>
      </c>
      <c r="CD151">
        <v>79</v>
      </c>
      <c r="CE151">
        <v>79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  <c r="CM151">
        <v>81</v>
      </c>
      <c r="CN151">
        <v>81</v>
      </c>
      <c r="CO151">
        <v>81</v>
      </c>
      <c r="CP151">
        <v>81</v>
      </c>
      <c r="CQ151">
        <v>81</v>
      </c>
      <c r="CR151">
        <v>81</v>
      </c>
      <c r="CS151">
        <v>81</v>
      </c>
      <c r="CT151">
        <v>82</v>
      </c>
      <c r="CU151" s="1">
        <v>82</v>
      </c>
      <c r="CV151" s="1">
        <v>82</v>
      </c>
      <c r="CW151" s="1">
        <v>82</v>
      </c>
      <c r="CX151" s="1">
        <v>82</v>
      </c>
      <c r="CY151" s="1">
        <v>82</v>
      </c>
      <c r="CZ151" s="1">
        <v>82</v>
      </c>
      <c r="DA151" s="1">
        <v>82</v>
      </c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</row>
    <row r="152" spans="1:198" x14ac:dyDescent="0.4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  <c r="BS152">
        <v>491</v>
      </c>
      <c r="BT152">
        <v>537</v>
      </c>
      <c r="BU152">
        <v>581</v>
      </c>
      <c r="BV152">
        <v>649</v>
      </c>
      <c r="BW152">
        <v>696</v>
      </c>
      <c r="BX152">
        <v>771</v>
      </c>
      <c r="BY152">
        <v>811</v>
      </c>
      <c r="BZ152">
        <v>843</v>
      </c>
      <c r="CA152">
        <v>880</v>
      </c>
      <c r="CB152">
        <v>912</v>
      </c>
      <c r="CC152">
        <v>955</v>
      </c>
      <c r="CD152">
        <v>999</v>
      </c>
      <c r="CE152">
        <v>1026</v>
      </c>
      <c r="CF152">
        <v>1053</v>
      </c>
      <c r="CG152">
        <v>1062</v>
      </c>
      <c r="CH152">
        <v>1070</v>
      </c>
      <c r="CI152">
        <v>1091</v>
      </c>
      <c r="CJ152">
        <v>1128</v>
      </c>
      <c r="CK152">
        <v>1149</v>
      </c>
      <c r="CL152">
        <v>1239</v>
      </c>
      <c r="CM152">
        <v>1298</v>
      </c>
      <c r="CN152">
        <v>1326</v>
      </c>
      <c r="CO152">
        <v>1350</v>
      </c>
      <c r="CP152">
        <v>1370</v>
      </c>
      <c r="CQ152">
        <v>1398</v>
      </c>
      <c r="CR152">
        <v>1410</v>
      </c>
      <c r="CS152">
        <v>1426</v>
      </c>
      <c r="CT152">
        <v>1438</v>
      </c>
      <c r="CU152" s="1">
        <v>1449</v>
      </c>
      <c r="CV152" s="1">
        <v>1344</v>
      </c>
      <c r="CW152" s="1">
        <v>1375</v>
      </c>
      <c r="CX152" s="1">
        <v>1385</v>
      </c>
      <c r="CY152" s="1">
        <v>1399</v>
      </c>
      <c r="CZ152" s="1">
        <v>1406</v>
      </c>
      <c r="DA152" s="1">
        <v>1410</v>
      </c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</row>
    <row r="153" spans="1:198" x14ac:dyDescent="0.4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  <c r="BS153">
        <v>1988</v>
      </c>
      <c r="BT153">
        <v>2178</v>
      </c>
      <c r="BU153">
        <v>2319</v>
      </c>
      <c r="BV153">
        <v>2487</v>
      </c>
      <c r="BW153">
        <v>2612</v>
      </c>
      <c r="BX153">
        <v>2729</v>
      </c>
      <c r="BY153">
        <v>2804</v>
      </c>
      <c r="BZ153">
        <v>2843</v>
      </c>
      <c r="CA153">
        <v>2970</v>
      </c>
      <c r="CB153">
        <v>3034</v>
      </c>
      <c r="CC153">
        <v>3115</v>
      </c>
      <c r="CD153">
        <v>3223</v>
      </c>
      <c r="CE153">
        <v>3270</v>
      </c>
      <c r="CF153">
        <v>3281</v>
      </c>
      <c r="CG153">
        <v>3292</v>
      </c>
      <c r="CH153">
        <v>3307</v>
      </c>
      <c r="CI153">
        <v>3373</v>
      </c>
      <c r="CJ153">
        <v>3444</v>
      </c>
      <c r="CK153">
        <v>3480</v>
      </c>
      <c r="CL153">
        <v>3537</v>
      </c>
      <c r="CM153">
        <v>3550</v>
      </c>
      <c r="CN153">
        <v>3558</v>
      </c>
      <c r="CO153">
        <v>3618</v>
      </c>
      <c r="CP153">
        <v>3654</v>
      </c>
      <c r="CQ153">
        <v>3665</v>
      </c>
      <c r="CR153">
        <v>3695</v>
      </c>
      <c r="CS153">
        <v>3711</v>
      </c>
      <c r="CT153">
        <v>3723</v>
      </c>
      <c r="CU153" s="1">
        <v>3729</v>
      </c>
      <c r="CV153" s="1">
        <v>3741</v>
      </c>
      <c r="CW153" s="1">
        <v>3769</v>
      </c>
      <c r="CX153" s="1">
        <v>3784</v>
      </c>
      <c r="CY153" s="1">
        <v>3802</v>
      </c>
      <c r="CZ153" s="1">
        <v>3812</v>
      </c>
      <c r="DA153" s="1">
        <v>3824</v>
      </c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</row>
    <row r="154" spans="1:198" x14ac:dyDescent="0.4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  <c r="BS154">
        <v>43</v>
      </c>
      <c r="BT154">
        <v>57</v>
      </c>
      <c r="BU154">
        <v>57</v>
      </c>
      <c r="BV154">
        <v>59</v>
      </c>
      <c r="BW154">
        <v>70</v>
      </c>
      <c r="BX154">
        <v>70</v>
      </c>
      <c r="BY154">
        <v>72</v>
      </c>
      <c r="BZ154">
        <v>82</v>
      </c>
      <c r="CA154">
        <v>88</v>
      </c>
      <c r="CB154">
        <v>93</v>
      </c>
      <c r="CC154">
        <v>93</v>
      </c>
      <c r="CD154">
        <v>93</v>
      </c>
      <c r="CE154">
        <v>102</v>
      </c>
      <c r="CF154">
        <v>106</v>
      </c>
      <c r="CG154">
        <v>106</v>
      </c>
      <c r="CH154">
        <v>108</v>
      </c>
      <c r="CI154">
        <v>110</v>
      </c>
      <c r="CJ154">
        <v>111</v>
      </c>
      <c r="CK154">
        <v>117</v>
      </c>
      <c r="CL154">
        <v>120</v>
      </c>
      <c r="CM154">
        <v>121</v>
      </c>
      <c r="CN154">
        <v>121</v>
      </c>
      <c r="CO154">
        <v>121</v>
      </c>
      <c r="CP154">
        <v>121</v>
      </c>
      <c r="CQ154">
        <v>121</v>
      </c>
      <c r="CR154">
        <v>122</v>
      </c>
      <c r="CS154">
        <v>123</v>
      </c>
      <c r="CT154">
        <v>124</v>
      </c>
      <c r="CU154" s="1">
        <v>128</v>
      </c>
      <c r="CV154" s="1">
        <v>128</v>
      </c>
      <c r="CW154" s="1">
        <v>128</v>
      </c>
      <c r="CX154" s="1">
        <v>128</v>
      </c>
      <c r="CY154" s="1">
        <v>132</v>
      </c>
      <c r="CZ154" s="1">
        <v>135</v>
      </c>
      <c r="DA154" s="1">
        <v>149</v>
      </c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</row>
    <row r="155" spans="1:198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  <c r="BS155">
        <v>2626</v>
      </c>
      <c r="BT155">
        <v>2766</v>
      </c>
      <c r="BU155">
        <v>2908</v>
      </c>
      <c r="BV155">
        <v>3116</v>
      </c>
      <c r="BW155">
        <v>3333</v>
      </c>
      <c r="BX155">
        <v>3483</v>
      </c>
      <c r="BY155">
        <v>3662</v>
      </c>
      <c r="BZ155">
        <v>3793</v>
      </c>
      <c r="CA155">
        <v>3963</v>
      </c>
      <c r="CB155">
        <v>4119</v>
      </c>
      <c r="CC155">
        <v>4228</v>
      </c>
      <c r="CD155">
        <v>4346</v>
      </c>
      <c r="CE155">
        <v>4530</v>
      </c>
      <c r="CF155">
        <v>4683</v>
      </c>
      <c r="CG155">
        <v>4817</v>
      </c>
      <c r="CH155">
        <v>4987</v>
      </c>
      <c r="CI155">
        <v>5072</v>
      </c>
      <c r="CJ155">
        <v>5182</v>
      </c>
      <c r="CK155">
        <v>5251</v>
      </c>
      <c r="CL155">
        <v>5305</v>
      </c>
      <c r="CM155">
        <v>5389</v>
      </c>
      <c r="CN155">
        <v>5425</v>
      </c>
      <c r="CO155">
        <v>5482</v>
      </c>
      <c r="CP155">
        <v>5532</v>
      </c>
      <c r="CQ155">
        <v>5603</v>
      </c>
      <c r="CR155">
        <v>5691</v>
      </c>
      <c r="CS155">
        <v>5742</v>
      </c>
      <c r="CT155">
        <v>5780</v>
      </c>
      <c r="CU155" s="1">
        <v>5820</v>
      </c>
      <c r="CV155" s="1">
        <v>5851</v>
      </c>
      <c r="CW155" s="1">
        <v>5945</v>
      </c>
      <c r="CX155" s="1">
        <v>6002</v>
      </c>
      <c r="CY155" s="1">
        <v>6071</v>
      </c>
      <c r="CZ155" s="1">
        <v>6176</v>
      </c>
      <c r="DA155" s="1">
        <v>6298</v>
      </c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</row>
    <row r="156" spans="1:198" x14ac:dyDescent="0.4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  <c r="BS156">
        <v>17</v>
      </c>
      <c r="BT156">
        <v>18</v>
      </c>
      <c r="BU156">
        <v>19</v>
      </c>
      <c r="BV156">
        <v>19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20</v>
      </c>
      <c r="CG156">
        <v>20</v>
      </c>
      <c r="CH156">
        <v>20</v>
      </c>
      <c r="CI156">
        <v>22</v>
      </c>
      <c r="CJ156">
        <v>25</v>
      </c>
      <c r="CK156">
        <v>28</v>
      </c>
      <c r="CL156">
        <v>35</v>
      </c>
      <c r="CM156">
        <v>52</v>
      </c>
      <c r="CN156">
        <v>69</v>
      </c>
      <c r="CO156">
        <v>83</v>
      </c>
      <c r="CP156">
        <v>86</v>
      </c>
      <c r="CQ156">
        <v>108</v>
      </c>
      <c r="CR156">
        <v>129</v>
      </c>
      <c r="CS156">
        <v>177</v>
      </c>
      <c r="CT156">
        <v>214</v>
      </c>
      <c r="CU156" s="1">
        <v>226</v>
      </c>
      <c r="CV156" s="1">
        <v>250</v>
      </c>
      <c r="CW156" s="1">
        <v>278</v>
      </c>
      <c r="CX156" s="1">
        <v>468</v>
      </c>
      <c r="CY156" s="1">
        <v>491</v>
      </c>
      <c r="CZ156" s="1">
        <v>519</v>
      </c>
      <c r="DA156" s="1">
        <v>527</v>
      </c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</row>
    <row r="157" spans="1:198" x14ac:dyDescent="0.4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  <c r="BS157">
        <v>156</v>
      </c>
      <c r="BT157">
        <v>169</v>
      </c>
      <c r="BU157">
        <v>188</v>
      </c>
      <c r="BV157">
        <v>196</v>
      </c>
      <c r="BW157">
        <v>202</v>
      </c>
      <c r="BX157">
        <v>213</v>
      </c>
      <c r="BY157">
        <v>227</v>
      </c>
      <c r="BZ157">
        <v>241</v>
      </c>
      <c r="CA157">
        <v>293</v>
      </c>
      <c r="CB157">
        <v>299</v>
      </c>
      <c r="CC157">
        <v>337</v>
      </c>
      <c r="CD157">
        <v>350</v>
      </c>
      <c r="CE157">
        <v>370</v>
      </c>
      <c r="CF157">
        <v>378</v>
      </c>
      <c r="CG157">
        <v>384</v>
      </c>
      <c r="CH157">
        <v>393</v>
      </c>
      <c r="CI157">
        <v>399</v>
      </c>
      <c r="CJ157">
        <v>412</v>
      </c>
      <c r="CK157">
        <v>422</v>
      </c>
      <c r="CL157">
        <v>426</v>
      </c>
      <c r="CM157">
        <v>427</v>
      </c>
      <c r="CN157">
        <v>431</v>
      </c>
      <c r="CO157">
        <v>443</v>
      </c>
      <c r="CP157">
        <v>444</v>
      </c>
      <c r="CQ157">
        <v>445</v>
      </c>
      <c r="CR157">
        <v>447</v>
      </c>
      <c r="CS157">
        <v>448</v>
      </c>
      <c r="CT157">
        <v>448</v>
      </c>
      <c r="CU157" s="1">
        <v>450</v>
      </c>
      <c r="CV157" s="1">
        <v>458</v>
      </c>
      <c r="CW157" s="1">
        <v>463</v>
      </c>
      <c r="CX157" s="1">
        <v>465</v>
      </c>
      <c r="CY157" s="1">
        <v>467</v>
      </c>
      <c r="CZ157" s="1">
        <v>468</v>
      </c>
      <c r="DA157" s="1">
        <v>477</v>
      </c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</row>
    <row r="158" spans="1:198" x14ac:dyDescent="0.4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  <c r="BS158">
        <v>5</v>
      </c>
      <c r="BT158">
        <v>6</v>
      </c>
      <c r="BU158">
        <v>6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7</v>
      </c>
      <c r="CD158">
        <v>7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  <c r="CN158">
        <v>7</v>
      </c>
      <c r="CO158">
        <v>7</v>
      </c>
      <c r="CP158">
        <v>7</v>
      </c>
      <c r="CQ158">
        <v>7</v>
      </c>
      <c r="CR158">
        <v>7</v>
      </c>
      <c r="CS158">
        <v>7</v>
      </c>
      <c r="CT158">
        <v>7</v>
      </c>
      <c r="CU158" s="1">
        <v>7</v>
      </c>
      <c r="CV158" s="1">
        <v>7</v>
      </c>
      <c r="CW158" s="1">
        <v>8</v>
      </c>
      <c r="CX158" s="1">
        <v>8</v>
      </c>
      <c r="CY158" s="1">
        <v>8</v>
      </c>
      <c r="CZ158" s="1">
        <v>8</v>
      </c>
      <c r="DA158" s="1">
        <v>8</v>
      </c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</row>
    <row r="159" spans="1:198" x14ac:dyDescent="0.4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  <c r="BS159">
        <v>128</v>
      </c>
      <c r="BT159">
        <v>143</v>
      </c>
      <c r="BU159">
        <v>161</v>
      </c>
      <c r="BV159">
        <v>169</v>
      </c>
      <c r="BW159">
        <v>186</v>
      </c>
      <c r="BX159">
        <v>196</v>
      </c>
      <c r="BY159">
        <v>227</v>
      </c>
      <c r="BZ159">
        <v>244</v>
      </c>
      <c r="CA159">
        <v>268</v>
      </c>
      <c r="CB159">
        <v>273</v>
      </c>
      <c r="CC159">
        <v>314</v>
      </c>
      <c r="CD159">
        <v>318</v>
      </c>
      <c r="CE159">
        <v>319</v>
      </c>
      <c r="CF159">
        <v>324</v>
      </c>
      <c r="CG159">
        <v>324</v>
      </c>
      <c r="CH159">
        <v>324</v>
      </c>
      <c r="CI159">
        <v>324</v>
      </c>
      <c r="CJ159">
        <v>324</v>
      </c>
      <c r="CK159">
        <v>324</v>
      </c>
      <c r="CL159">
        <v>325</v>
      </c>
      <c r="CM159">
        <v>328</v>
      </c>
      <c r="CN159">
        <v>328</v>
      </c>
      <c r="CO159">
        <v>328</v>
      </c>
      <c r="CP159">
        <v>329</v>
      </c>
      <c r="CQ159">
        <v>331</v>
      </c>
      <c r="CR159">
        <v>331</v>
      </c>
      <c r="CS159">
        <v>331</v>
      </c>
      <c r="CT159">
        <v>332</v>
      </c>
      <c r="CU159" s="1">
        <v>334</v>
      </c>
      <c r="CV159" s="1">
        <v>334</v>
      </c>
      <c r="CW159" s="1">
        <v>332</v>
      </c>
      <c r="CX159" s="1">
        <v>332</v>
      </c>
      <c r="CY159" s="1">
        <v>332</v>
      </c>
      <c r="CZ159" s="1">
        <v>332</v>
      </c>
      <c r="DA159" s="1">
        <v>332</v>
      </c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</row>
    <row r="160" spans="1:198" x14ac:dyDescent="0.4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26</v>
      </c>
      <c r="BC160">
        <v>41</v>
      </c>
      <c r="BD160">
        <v>53</v>
      </c>
      <c r="BE160">
        <v>82</v>
      </c>
      <c r="BF160">
        <v>93</v>
      </c>
      <c r="BG160">
        <v>118</v>
      </c>
      <c r="BH160">
        <v>164</v>
      </c>
      <c r="BI160">
        <v>203</v>
      </c>
      <c r="BJ160">
        <v>251</v>
      </c>
      <c r="BK160">
        <v>316</v>
      </c>
      <c r="BL160">
        <v>367</v>
      </c>
      <c r="BM160">
        <v>405</v>
      </c>
      <c r="BN160">
        <v>475</v>
      </c>
      <c r="BO160">
        <v>585</v>
      </c>
      <c r="BP160">
        <v>717</v>
      </c>
      <c r="BQ160">
        <v>848</v>
      </c>
      <c r="BR160">
        <v>993</v>
      </c>
      <c r="BS160">
        <v>1094</v>
      </c>
      <c r="BT160">
        <v>1215</v>
      </c>
      <c r="BU160">
        <v>1378</v>
      </c>
      <c r="BV160">
        <v>1510</v>
      </c>
      <c r="BW160">
        <v>1688</v>
      </c>
      <c r="BX160">
        <v>1890</v>
      </c>
      <c r="BY160">
        <v>2143</v>
      </c>
      <c r="BZ160">
        <v>2439</v>
      </c>
      <c r="CA160">
        <v>2785</v>
      </c>
      <c r="CB160">
        <v>3181</v>
      </c>
      <c r="CC160">
        <v>3441</v>
      </c>
      <c r="CD160">
        <v>3844</v>
      </c>
      <c r="CE160">
        <v>4219</v>
      </c>
      <c r="CF160">
        <v>4661</v>
      </c>
      <c r="CG160">
        <v>5014</v>
      </c>
      <c r="CH160">
        <v>5399</v>
      </c>
      <c r="CI160">
        <v>5847</v>
      </c>
      <c r="CJ160">
        <v>6297</v>
      </c>
      <c r="CK160">
        <v>6875</v>
      </c>
      <c r="CL160">
        <v>7497</v>
      </c>
      <c r="CM160">
        <v>8261</v>
      </c>
      <c r="CN160">
        <v>8772</v>
      </c>
      <c r="CO160">
        <v>9501</v>
      </c>
      <c r="CP160">
        <v>10544</v>
      </c>
      <c r="CQ160">
        <v>11633</v>
      </c>
      <c r="CR160">
        <v>12872</v>
      </c>
      <c r="CS160">
        <v>13842</v>
      </c>
      <c r="CT160">
        <v>14677</v>
      </c>
      <c r="CU160" s="1">
        <v>15529</v>
      </c>
      <c r="CV160" s="1">
        <v>16752</v>
      </c>
      <c r="CW160" s="1">
        <v>17799</v>
      </c>
      <c r="CX160" s="1">
        <v>19224</v>
      </c>
      <c r="CY160" s="1">
        <v>20739</v>
      </c>
      <c r="CZ160" s="1">
        <v>22088</v>
      </c>
      <c r="DA160" s="1">
        <v>23471</v>
      </c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</row>
    <row r="161" spans="1:198" x14ac:dyDescent="0.4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  <c r="BS161">
        <v>298</v>
      </c>
      <c r="BT161">
        <v>353</v>
      </c>
      <c r="BU161">
        <v>423</v>
      </c>
      <c r="BV161">
        <v>505</v>
      </c>
      <c r="BW161">
        <v>591</v>
      </c>
      <c r="BX161">
        <v>752</v>
      </c>
      <c r="BY161">
        <v>864</v>
      </c>
      <c r="BZ161">
        <v>965</v>
      </c>
      <c r="CA161">
        <v>1056</v>
      </c>
      <c r="CB161">
        <v>1174</v>
      </c>
      <c r="CC161">
        <v>1289</v>
      </c>
      <c r="CD161">
        <v>1438</v>
      </c>
      <c r="CE161">
        <v>1560</v>
      </c>
      <c r="CF161">
        <v>1662</v>
      </c>
      <c r="CG161">
        <v>1712</v>
      </c>
      <c r="CH161">
        <v>1934</v>
      </c>
      <c r="CI161">
        <v>2049</v>
      </c>
      <c r="CJ161">
        <v>2154</v>
      </c>
      <c r="CK161">
        <v>2264</v>
      </c>
      <c r="CL161">
        <v>2378</v>
      </c>
      <c r="CM161">
        <v>2472</v>
      </c>
      <c r="CN161">
        <v>2548</v>
      </c>
      <c r="CO161">
        <v>2614</v>
      </c>
      <c r="CP161">
        <v>2778</v>
      </c>
      <c r="CQ161">
        <v>2926</v>
      </c>
      <c r="CR161">
        <v>3110</v>
      </c>
      <c r="CS161">
        <v>3304</v>
      </c>
      <c r="CT161">
        <v>3408</v>
      </c>
      <c r="CU161" s="1">
        <v>3481</v>
      </c>
      <c r="CV161" s="1">
        <v>3638</v>
      </c>
      <c r="CW161" s="1">
        <v>3771</v>
      </c>
      <c r="CX161" s="1">
        <v>3897</v>
      </c>
      <c r="CY161" s="1">
        <v>3980</v>
      </c>
      <c r="CZ161" s="1">
        <v>4052</v>
      </c>
      <c r="DA161" s="1">
        <v>4121</v>
      </c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</row>
    <row r="162" spans="1:198" x14ac:dyDescent="0.4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  <c r="BS162">
        <v>49</v>
      </c>
      <c r="BT162">
        <v>52</v>
      </c>
      <c r="BU162">
        <v>55</v>
      </c>
      <c r="BV162">
        <v>60</v>
      </c>
      <c r="BW162">
        <v>64</v>
      </c>
      <c r="BX162">
        <v>66</v>
      </c>
      <c r="BY162">
        <v>73</v>
      </c>
      <c r="BZ162">
        <v>77</v>
      </c>
      <c r="CA162">
        <v>79</v>
      </c>
      <c r="CB162">
        <v>81</v>
      </c>
      <c r="CC162">
        <v>84</v>
      </c>
      <c r="CD162">
        <v>90</v>
      </c>
      <c r="CE162">
        <v>92</v>
      </c>
      <c r="CF162">
        <v>93</v>
      </c>
      <c r="CG162">
        <v>93</v>
      </c>
      <c r="CH162">
        <v>93</v>
      </c>
      <c r="CI162">
        <v>93</v>
      </c>
      <c r="CJ162">
        <v>93</v>
      </c>
      <c r="CK162">
        <v>94</v>
      </c>
      <c r="CL162">
        <v>94</v>
      </c>
      <c r="CM162">
        <v>94</v>
      </c>
      <c r="CN162">
        <v>94</v>
      </c>
      <c r="CO162">
        <v>94</v>
      </c>
      <c r="CP162">
        <v>94</v>
      </c>
      <c r="CQ162">
        <v>94</v>
      </c>
      <c r="CR162">
        <v>94</v>
      </c>
      <c r="CS162">
        <v>94</v>
      </c>
      <c r="CT162">
        <v>94</v>
      </c>
      <c r="CU162" s="1">
        <v>95</v>
      </c>
      <c r="CV162" s="1">
        <v>95</v>
      </c>
      <c r="CW162" s="1">
        <v>95</v>
      </c>
      <c r="CX162" s="1">
        <v>95</v>
      </c>
      <c r="CY162" s="1">
        <v>95</v>
      </c>
      <c r="CZ162" s="1">
        <v>95</v>
      </c>
      <c r="DA162" s="1">
        <v>95</v>
      </c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</row>
    <row r="163" spans="1:198" x14ac:dyDescent="0.4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  <c r="BS163">
        <v>12</v>
      </c>
      <c r="BT163">
        <v>12</v>
      </c>
      <c r="BU163">
        <v>14</v>
      </c>
      <c r="BV163">
        <v>14</v>
      </c>
      <c r="BW163">
        <v>14</v>
      </c>
      <c r="BX163">
        <v>14</v>
      </c>
      <c r="BY163">
        <v>14</v>
      </c>
      <c r="BZ163">
        <v>15</v>
      </c>
      <c r="CA163">
        <v>15</v>
      </c>
      <c r="CB163">
        <v>16</v>
      </c>
      <c r="CC163">
        <v>16</v>
      </c>
      <c r="CD163">
        <v>16</v>
      </c>
      <c r="CE163">
        <v>16</v>
      </c>
      <c r="CF163">
        <v>16</v>
      </c>
      <c r="CG163">
        <v>17</v>
      </c>
      <c r="CH163">
        <v>30</v>
      </c>
      <c r="CI163">
        <v>30</v>
      </c>
      <c r="CJ163">
        <v>31</v>
      </c>
      <c r="CK163">
        <v>31</v>
      </c>
      <c r="CL163">
        <v>31</v>
      </c>
      <c r="CM163">
        <v>32</v>
      </c>
      <c r="CN163">
        <v>33</v>
      </c>
      <c r="CO163">
        <v>34</v>
      </c>
      <c r="CP163">
        <v>35</v>
      </c>
      <c r="CQ163">
        <v>36</v>
      </c>
      <c r="CR163">
        <v>37</v>
      </c>
      <c r="CS163">
        <v>37</v>
      </c>
      <c r="CT163">
        <v>38</v>
      </c>
      <c r="CU163" s="1">
        <v>38</v>
      </c>
      <c r="CV163" s="1">
        <v>38</v>
      </c>
      <c r="CW163" s="1">
        <v>38</v>
      </c>
      <c r="CX163" s="1">
        <v>38</v>
      </c>
      <c r="CY163" s="1">
        <v>38</v>
      </c>
      <c r="CZ163" s="1">
        <v>39</v>
      </c>
      <c r="DA163" s="1">
        <v>39</v>
      </c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</row>
    <row r="164" spans="1:198" x14ac:dyDescent="0.4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  <c r="BS164">
        <v>91</v>
      </c>
      <c r="BT164">
        <v>109</v>
      </c>
      <c r="BU164">
        <v>123</v>
      </c>
      <c r="BV164">
        <v>144</v>
      </c>
      <c r="BW164">
        <v>174</v>
      </c>
      <c r="BX164">
        <v>201</v>
      </c>
      <c r="BY164">
        <v>214</v>
      </c>
      <c r="BZ164">
        <v>233</v>
      </c>
      <c r="CA164">
        <v>241</v>
      </c>
      <c r="CB164">
        <v>248</v>
      </c>
      <c r="CC164">
        <v>252</v>
      </c>
      <c r="CD164">
        <v>255</v>
      </c>
      <c r="CE164">
        <v>263</v>
      </c>
      <c r="CF164">
        <v>272</v>
      </c>
      <c r="CG164">
        <v>274</v>
      </c>
      <c r="CH164">
        <v>283</v>
      </c>
      <c r="CI164">
        <v>288</v>
      </c>
      <c r="CJ164">
        <v>303</v>
      </c>
      <c r="CK164">
        <v>303</v>
      </c>
      <c r="CL164">
        <v>307</v>
      </c>
      <c r="CM164">
        <v>308</v>
      </c>
      <c r="CN164">
        <v>312</v>
      </c>
      <c r="CO164">
        <v>313</v>
      </c>
      <c r="CP164">
        <v>315</v>
      </c>
      <c r="CQ164">
        <v>316</v>
      </c>
      <c r="CR164">
        <v>319</v>
      </c>
      <c r="CS164">
        <v>320</v>
      </c>
      <c r="CT164">
        <v>321</v>
      </c>
      <c r="CU164" s="1">
        <v>321</v>
      </c>
      <c r="CV164" s="1">
        <v>321</v>
      </c>
      <c r="CW164" s="1">
        <v>322</v>
      </c>
      <c r="CX164" s="1">
        <v>322</v>
      </c>
      <c r="CY164" s="1">
        <v>322</v>
      </c>
      <c r="CZ164" s="1">
        <v>322</v>
      </c>
      <c r="DA164" s="1">
        <v>322</v>
      </c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</row>
    <row r="165" spans="1:198" x14ac:dyDescent="0.4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  <c r="BS165">
        <v>556</v>
      </c>
      <c r="BT165">
        <v>617</v>
      </c>
      <c r="BU165">
        <v>654</v>
      </c>
      <c r="BV165">
        <v>708</v>
      </c>
      <c r="BW165">
        <v>791</v>
      </c>
      <c r="BX165">
        <v>919</v>
      </c>
      <c r="BY165">
        <v>1021</v>
      </c>
      <c r="BZ165">
        <v>1120</v>
      </c>
      <c r="CA165">
        <v>1184</v>
      </c>
      <c r="CB165">
        <v>1275</v>
      </c>
      <c r="CC165">
        <v>1374</v>
      </c>
      <c r="CD165">
        <v>1448</v>
      </c>
      <c r="CE165">
        <v>1545</v>
      </c>
      <c r="CF165">
        <v>1661</v>
      </c>
      <c r="CG165">
        <v>1763</v>
      </c>
      <c r="CH165">
        <v>1888</v>
      </c>
      <c r="CI165">
        <v>2024</v>
      </c>
      <c r="CJ165">
        <v>2283</v>
      </c>
      <c r="CK165">
        <v>2564</v>
      </c>
      <c r="CL165">
        <v>2685</v>
      </c>
      <c r="CM165">
        <v>2855</v>
      </c>
      <c r="CN165">
        <v>3046</v>
      </c>
      <c r="CO165">
        <v>3209</v>
      </c>
      <c r="CP165">
        <v>3446</v>
      </c>
      <c r="CQ165">
        <v>3568</v>
      </c>
      <c r="CR165">
        <v>3758</v>
      </c>
      <c r="CS165">
        <v>3897</v>
      </c>
      <c r="CT165">
        <v>4065</v>
      </c>
      <c r="CU165" s="1">
        <v>4120</v>
      </c>
      <c r="CV165" s="1">
        <v>4252</v>
      </c>
      <c r="CW165" s="1">
        <v>4321</v>
      </c>
      <c r="CX165" s="1">
        <v>4423</v>
      </c>
      <c r="CY165" s="1">
        <v>4569</v>
      </c>
      <c r="CZ165" s="1">
        <v>4729</v>
      </c>
      <c r="DA165" s="1">
        <v>4903</v>
      </c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</row>
    <row r="166" spans="1:198" x14ac:dyDescent="0.4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  <c r="BS166">
        <v>11</v>
      </c>
      <c r="BT166">
        <v>11</v>
      </c>
      <c r="BU166">
        <v>14</v>
      </c>
      <c r="BV166">
        <v>14</v>
      </c>
      <c r="BW166">
        <v>14</v>
      </c>
      <c r="BX166">
        <v>14</v>
      </c>
      <c r="BY166">
        <v>16</v>
      </c>
      <c r="BZ166">
        <v>16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  <c r="CM166">
        <v>16</v>
      </c>
      <c r="CN166">
        <v>16</v>
      </c>
      <c r="CO166">
        <v>16</v>
      </c>
      <c r="CP166">
        <v>16</v>
      </c>
      <c r="CQ166">
        <v>16</v>
      </c>
      <c r="CR166">
        <v>16</v>
      </c>
      <c r="CS166">
        <v>16</v>
      </c>
      <c r="CT166">
        <v>16</v>
      </c>
      <c r="CU166" s="1">
        <v>16</v>
      </c>
      <c r="CV166" s="1">
        <v>16</v>
      </c>
      <c r="CW166" s="1">
        <v>16</v>
      </c>
      <c r="CX166" s="1">
        <v>16</v>
      </c>
      <c r="CY166" s="1">
        <v>16</v>
      </c>
      <c r="CZ166" s="1">
        <v>16</v>
      </c>
      <c r="DA166" s="1">
        <v>16</v>
      </c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</row>
    <row r="167" spans="1:198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  <c r="BS167">
        <v>5</v>
      </c>
      <c r="BT167">
        <v>5</v>
      </c>
      <c r="BU167">
        <v>5</v>
      </c>
      <c r="BV167">
        <v>6</v>
      </c>
      <c r="BW167">
        <v>6</v>
      </c>
      <c r="BX167">
        <v>9</v>
      </c>
      <c r="BY167">
        <v>9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12</v>
      </c>
      <c r="CG167">
        <v>14</v>
      </c>
      <c r="CH167">
        <v>16</v>
      </c>
      <c r="CI167">
        <v>16</v>
      </c>
      <c r="CJ167">
        <v>16</v>
      </c>
      <c r="CK167">
        <v>30</v>
      </c>
      <c r="CL167">
        <v>31</v>
      </c>
      <c r="CM167">
        <v>31</v>
      </c>
      <c r="CN167">
        <v>31</v>
      </c>
      <c r="CO167">
        <v>43</v>
      </c>
      <c r="CP167">
        <v>45</v>
      </c>
      <c r="CQ167">
        <v>48</v>
      </c>
      <c r="CR167">
        <v>49</v>
      </c>
      <c r="CS167">
        <v>49</v>
      </c>
      <c r="CT167">
        <v>52</v>
      </c>
      <c r="CU167" s="1">
        <v>52</v>
      </c>
      <c r="CV167" s="1">
        <v>54</v>
      </c>
      <c r="CW167" s="1">
        <v>57</v>
      </c>
      <c r="CX167" s="1">
        <v>57</v>
      </c>
      <c r="CY167" s="1">
        <v>59</v>
      </c>
      <c r="CZ167" s="1">
        <v>59</v>
      </c>
      <c r="DA167" s="1">
        <v>75</v>
      </c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</row>
    <row r="168" spans="1:198" x14ac:dyDescent="0.4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  <c r="BS168">
        <v>50</v>
      </c>
      <c r="BT168">
        <v>55</v>
      </c>
      <c r="BU168">
        <v>55</v>
      </c>
      <c r="BV168">
        <v>60</v>
      </c>
      <c r="BW168">
        <v>62</v>
      </c>
      <c r="BX168">
        <v>64</v>
      </c>
      <c r="BY168">
        <v>64</v>
      </c>
      <c r="BZ168">
        <v>71</v>
      </c>
      <c r="CA168">
        <v>74</v>
      </c>
      <c r="CB168">
        <v>77</v>
      </c>
      <c r="CC168">
        <v>82</v>
      </c>
      <c r="CD168">
        <v>86</v>
      </c>
      <c r="CE168">
        <v>92</v>
      </c>
      <c r="CF168">
        <v>92</v>
      </c>
      <c r="CG168">
        <v>92</v>
      </c>
      <c r="CH168">
        <v>92</v>
      </c>
      <c r="CI168">
        <v>93</v>
      </c>
      <c r="CJ168">
        <v>95</v>
      </c>
      <c r="CK168">
        <v>96</v>
      </c>
      <c r="CL168">
        <v>96</v>
      </c>
      <c r="CM168">
        <v>97</v>
      </c>
      <c r="CN168">
        <v>97</v>
      </c>
      <c r="CO168">
        <v>97</v>
      </c>
      <c r="CP168">
        <v>100</v>
      </c>
      <c r="CQ168">
        <v>100</v>
      </c>
      <c r="CR168">
        <v>100</v>
      </c>
      <c r="CS168">
        <v>100</v>
      </c>
      <c r="CT168">
        <v>100</v>
      </c>
      <c r="CU168" s="1">
        <v>100</v>
      </c>
      <c r="CV168" s="1">
        <v>100</v>
      </c>
      <c r="CW168" s="1">
        <v>100</v>
      </c>
      <c r="CX168" s="1">
        <v>100</v>
      </c>
      <c r="CY168" s="1">
        <v>100</v>
      </c>
      <c r="CZ168" s="1">
        <v>100</v>
      </c>
      <c r="DA168" s="1">
        <v>100</v>
      </c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</row>
    <row r="169" spans="1:198" x14ac:dyDescent="0.4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  <c r="BS169">
        <v>11</v>
      </c>
      <c r="BT169">
        <v>11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13</v>
      </c>
      <c r="CA169">
        <v>13</v>
      </c>
      <c r="CB169">
        <v>14</v>
      </c>
      <c r="CC169">
        <v>14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  <c r="CN169">
        <v>14</v>
      </c>
      <c r="CO169">
        <v>14</v>
      </c>
      <c r="CP169">
        <v>14</v>
      </c>
      <c r="CQ169">
        <v>14</v>
      </c>
      <c r="CR169">
        <v>16</v>
      </c>
      <c r="CS169">
        <v>16</v>
      </c>
      <c r="CT169">
        <v>16</v>
      </c>
      <c r="CU169" s="1">
        <v>16</v>
      </c>
      <c r="CV169" s="1">
        <v>16</v>
      </c>
      <c r="CW169" s="1">
        <v>16</v>
      </c>
      <c r="CX169" s="1">
        <v>16</v>
      </c>
      <c r="CY169" s="1">
        <v>16</v>
      </c>
      <c r="CZ169" s="1">
        <v>16</v>
      </c>
      <c r="DA169" s="1">
        <v>16</v>
      </c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</row>
    <row r="170" spans="1:198" x14ac:dyDescent="0.4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  <c r="BS170">
        <v>6</v>
      </c>
      <c r="BT170">
        <v>6</v>
      </c>
      <c r="BU170">
        <v>16</v>
      </c>
      <c r="BV170">
        <v>18</v>
      </c>
      <c r="BW170">
        <v>23</v>
      </c>
      <c r="BX170">
        <v>23</v>
      </c>
      <c r="BY170">
        <v>25</v>
      </c>
      <c r="BZ170">
        <v>37</v>
      </c>
      <c r="CA170">
        <v>40</v>
      </c>
      <c r="CB170">
        <v>40</v>
      </c>
      <c r="CC170">
        <v>43</v>
      </c>
      <c r="CD170">
        <v>50</v>
      </c>
      <c r="CE170">
        <v>50</v>
      </c>
      <c r="CF170">
        <v>50</v>
      </c>
      <c r="CG170">
        <v>50</v>
      </c>
      <c r="CH170">
        <v>52</v>
      </c>
      <c r="CI170">
        <v>53</v>
      </c>
      <c r="CJ170">
        <v>57</v>
      </c>
      <c r="CK170">
        <v>57</v>
      </c>
      <c r="CL170">
        <v>64</v>
      </c>
      <c r="CM170">
        <v>67</v>
      </c>
      <c r="CN170">
        <v>67</v>
      </c>
      <c r="CO170">
        <v>67</v>
      </c>
      <c r="CP170">
        <v>71</v>
      </c>
      <c r="CQ170">
        <v>73</v>
      </c>
      <c r="CR170">
        <v>73</v>
      </c>
      <c r="CS170">
        <v>73</v>
      </c>
      <c r="CT170">
        <v>74</v>
      </c>
      <c r="CU170" s="1">
        <v>74</v>
      </c>
      <c r="CV170" s="1">
        <v>75</v>
      </c>
      <c r="CW170" s="1">
        <v>75</v>
      </c>
      <c r="CX170" s="1">
        <v>75</v>
      </c>
      <c r="CY170" s="1">
        <v>76</v>
      </c>
      <c r="CZ170" s="1">
        <v>76</v>
      </c>
      <c r="DA170" s="1">
        <v>76</v>
      </c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</row>
    <row r="171" spans="1:198" x14ac:dyDescent="0.4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  <c r="BS171">
        <v>11750</v>
      </c>
      <c r="BT171">
        <v>12595</v>
      </c>
      <c r="BU171">
        <v>13614</v>
      </c>
      <c r="BV171">
        <v>14697</v>
      </c>
      <c r="BW171">
        <v>15723</v>
      </c>
      <c r="BX171">
        <v>16627</v>
      </c>
      <c r="BY171">
        <v>17851</v>
      </c>
      <c r="BZ171">
        <v>18803</v>
      </c>
      <c r="CA171">
        <v>19580</v>
      </c>
      <c r="CB171">
        <v>20549</v>
      </c>
      <c r="CC171">
        <v>21762</v>
      </c>
      <c r="CD171">
        <v>23097</v>
      </c>
      <c r="CE171">
        <v>24413</v>
      </c>
      <c r="CF171">
        <v>25587</v>
      </c>
      <c r="CG171">
        <v>26551</v>
      </c>
      <c r="CH171">
        <v>27419</v>
      </c>
      <c r="CI171">
        <v>28153</v>
      </c>
      <c r="CJ171">
        <v>29214</v>
      </c>
      <c r="CK171">
        <v>30449</v>
      </c>
      <c r="CL171">
        <v>31589</v>
      </c>
      <c r="CM171">
        <v>32655</v>
      </c>
      <c r="CN171">
        <v>33405</v>
      </c>
      <c r="CO171">
        <v>34134</v>
      </c>
      <c r="CP171">
        <v>34842</v>
      </c>
      <c r="CQ171">
        <v>35729</v>
      </c>
      <c r="CR171">
        <v>36535</v>
      </c>
      <c r="CS171">
        <v>37190</v>
      </c>
      <c r="CT171">
        <v>37845</v>
      </c>
      <c r="CU171" s="1">
        <v>38245</v>
      </c>
      <c r="CV171" s="1">
        <v>38416</v>
      </c>
      <c r="CW171" s="1">
        <v>38802</v>
      </c>
      <c r="CX171" s="1">
        <v>39316</v>
      </c>
      <c r="CY171" s="1">
        <v>39791</v>
      </c>
      <c r="CZ171" s="1">
        <v>40236</v>
      </c>
      <c r="DA171" s="1">
        <v>40571</v>
      </c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</row>
    <row r="172" spans="1:198" x14ac:dyDescent="0.4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  <c r="BS172">
        <v>589</v>
      </c>
      <c r="BT172">
        <v>647</v>
      </c>
      <c r="BU172">
        <v>708</v>
      </c>
      <c r="BV172">
        <v>797</v>
      </c>
      <c r="BW172">
        <v>868</v>
      </c>
      <c r="BX172">
        <v>950</v>
      </c>
      <c r="BY172">
        <v>1039</v>
      </c>
      <c r="BZ172">
        <v>1106</v>
      </c>
      <c r="CA172">
        <v>1160</v>
      </c>
      <c r="CB172">
        <v>1210</v>
      </c>
      <c r="CC172">
        <v>1239</v>
      </c>
      <c r="CD172">
        <v>1283</v>
      </c>
      <c r="CE172">
        <v>1312</v>
      </c>
      <c r="CF172">
        <v>1330</v>
      </c>
      <c r="CG172">
        <v>1349</v>
      </c>
      <c r="CH172">
        <v>1366</v>
      </c>
      <c r="CI172">
        <v>1386</v>
      </c>
      <c r="CJ172">
        <v>1401</v>
      </c>
      <c r="CK172">
        <v>1409</v>
      </c>
      <c r="CL172">
        <v>1422</v>
      </c>
      <c r="CM172">
        <v>1431</v>
      </c>
      <c r="CN172">
        <v>1440</v>
      </c>
      <c r="CO172">
        <v>1445</v>
      </c>
      <c r="CP172">
        <v>1451</v>
      </c>
      <c r="CQ172">
        <v>1456</v>
      </c>
      <c r="CR172">
        <v>1461</v>
      </c>
      <c r="CS172">
        <v>1470</v>
      </c>
      <c r="CT172">
        <v>1469</v>
      </c>
      <c r="CU172" s="1">
        <v>1472</v>
      </c>
      <c r="CV172" s="1">
        <v>1474</v>
      </c>
      <c r="CW172" s="1">
        <v>1476</v>
      </c>
      <c r="CX172" s="1">
        <v>1479</v>
      </c>
      <c r="CY172" s="1">
        <v>1485</v>
      </c>
      <c r="CZ172" s="1">
        <v>1487</v>
      </c>
      <c r="DA172" s="1">
        <v>1487</v>
      </c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</row>
    <row r="173" spans="1:198" x14ac:dyDescent="0.4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  <c r="BS173">
        <v>4</v>
      </c>
      <c r="BT173">
        <v>5</v>
      </c>
      <c r="BU173">
        <v>5</v>
      </c>
      <c r="BV173">
        <v>5</v>
      </c>
      <c r="BW173">
        <v>5</v>
      </c>
      <c r="BX173">
        <v>5</v>
      </c>
      <c r="BY173">
        <v>6</v>
      </c>
      <c r="BZ173">
        <v>6</v>
      </c>
      <c r="CA173">
        <v>6</v>
      </c>
      <c r="CB173">
        <v>6</v>
      </c>
      <c r="CC173">
        <v>7</v>
      </c>
      <c r="CD173">
        <v>7</v>
      </c>
      <c r="CE173">
        <v>8</v>
      </c>
      <c r="CF173">
        <v>9</v>
      </c>
      <c r="CG173">
        <v>9</v>
      </c>
      <c r="CH173">
        <v>9</v>
      </c>
      <c r="CI173">
        <v>9</v>
      </c>
      <c r="CJ173">
        <v>9</v>
      </c>
      <c r="CK173">
        <v>9</v>
      </c>
      <c r="CL173">
        <v>9</v>
      </c>
      <c r="CM173">
        <v>10</v>
      </c>
      <c r="CN173">
        <v>10</v>
      </c>
      <c r="CO173">
        <v>10</v>
      </c>
      <c r="CP173">
        <v>10</v>
      </c>
      <c r="CQ173">
        <v>11</v>
      </c>
      <c r="CR173">
        <v>11</v>
      </c>
      <c r="CS173">
        <v>12</v>
      </c>
      <c r="CT173">
        <v>13</v>
      </c>
      <c r="CU173" s="1">
        <v>13</v>
      </c>
      <c r="CV173" s="1">
        <v>13</v>
      </c>
      <c r="CW173" s="1">
        <v>13</v>
      </c>
      <c r="CX173" s="1">
        <v>14</v>
      </c>
      <c r="CY173" s="1">
        <v>14</v>
      </c>
      <c r="CZ173" s="1">
        <v>14</v>
      </c>
      <c r="DA173" s="1">
        <v>15</v>
      </c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</row>
    <row r="174" spans="1:198" x14ac:dyDescent="0.4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  <c r="BS174">
        <v>27</v>
      </c>
      <c r="BT174">
        <v>27</v>
      </c>
      <c r="BU174">
        <v>74</v>
      </c>
      <c r="BV174">
        <v>98</v>
      </c>
      <c r="BW174">
        <v>120</v>
      </c>
      <c r="BX174">
        <v>144</v>
      </c>
      <c r="BY174">
        <v>184</v>
      </c>
      <c r="BZ174">
        <v>253</v>
      </c>
      <c r="CA174">
        <v>278</v>
      </c>
      <c r="CB174">
        <v>342</v>
      </c>
      <c r="CC174">
        <v>410</v>
      </c>
      <c r="CD174">
        <v>438</v>
      </c>
      <c r="CE174">
        <v>491</v>
      </c>
      <c r="CF174">
        <v>529</v>
      </c>
      <c r="CG174">
        <v>529</v>
      </c>
      <c r="CH174">
        <v>570</v>
      </c>
      <c r="CI174">
        <v>584</v>
      </c>
      <c r="CJ174">
        <v>584</v>
      </c>
      <c r="CK174">
        <v>627</v>
      </c>
      <c r="CL174">
        <v>639</v>
      </c>
      <c r="CM174">
        <v>648</v>
      </c>
      <c r="CN174">
        <v>648</v>
      </c>
      <c r="CO174">
        <v>657</v>
      </c>
      <c r="CP174">
        <v>662</v>
      </c>
      <c r="CQ174">
        <v>671</v>
      </c>
      <c r="CR174">
        <v>681</v>
      </c>
      <c r="CS174">
        <v>684</v>
      </c>
      <c r="CT174">
        <v>696</v>
      </c>
      <c r="CU174" s="1">
        <v>701</v>
      </c>
      <c r="CV174" s="1">
        <v>709</v>
      </c>
      <c r="CW174" s="1">
        <v>713</v>
      </c>
      <c r="CX174" s="1">
        <v>719</v>
      </c>
      <c r="CY174" s="1">
        <v>728</v>
      </c>
      <c r="CZ174" s="1">
        <v>736</v>
      </c>
      <c r="DA174" s="1">
        <v>750</v>
      </c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</row>
    <row r="175" spans="1:198" x14ac:dyDescent="0.4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  <c r="BS175">
        <v>131</v>
      </c>
      <c r="BT175">
        <v>135</v>
      </c>
      <c r="BU175">
        <v>174</v>
      </c>
      <c r="BV175">
        <v>184</v>
      </c>
      <c r="BW175">
        <v>210</v>
      </c>
      <c r="BX175">
        <v>214</v>
      </c>
      <c r="BY175">
        <v>232</v>
      </c>
      <c r="BZ175">
        <v>238</v>
      </c>
      <c r="CA175">
        <v>254</v>
      </c>
      <c r="CB175">
        <v>276</v>
      </c>
      <c r="CC175">
        <v>288</v>
      </c>
      <c r="CD175">
        <v>305</v>
      </c>
      <c r="CE175">
        <v>318</v>
      </c>
      <c r="CF175">
        <v>323</v>
      </c>
      <c r="CG175">
        <v>343</v>
      </c>
      <c r="CH175">
        <v>373</v>
      </c>
      <c r="CI175">
        <v>407</v>
      </c>
      <c r="CJ175">
        <v>442</v>
      </c>
      <c r="CK175">
        <v>493</v>
      </c>
      <c r="CL175">
        <v>542</v>
      </c>
      <c r="CM175">
        <v>627</v>
      </c>
      <c r="CN175">
        <v>665</v>
      </c>
      <c r="CO175">
        <v>665</v>
      </c>
      <c r="CP175">
        <v>873</v>
      </c>
      <c r="CQ175">
        <v>981</v>
      </c>
      <c r="CR175">
        <v>1095</v>
      </c>
      <c r="CS175">
        <v>1182</v>
      </c>
      <c r="CT175">
        <v>1273</v>
      </c>
      <c r="CU175" s="1">
        <v>1337</v>
      </c>
      <c r="CV175" s="1">
        <v>1532</v>
      </c>
      <c r="CW175" s="1">
        <v>1728</v>
      </c>
      <c r="CX175" s="1">
        <v>1932</v>
      </c>
      <c r="CY175" s="1">
        <v>2170</v>
      </c>
      <c r="CZ175" s="1">
        <v>2388</v>
      </c>
      <c r="DA175" s="1">
        <v>2558</v>
      </c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</row>
    <row r="176" spans="1:198" x14ac:dyDescent="0.4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  <c r="BS176">
        <v>285</v>
      </c>
      <c r="BT176">
        <v>329</v>
      </c>
      <c r="BU176">
        <v>354</v>
      </c>
      <c r="BV176">
        <v>384</v>
      </c>
      <c r="BW176">
        <v>430</v>
      </c>
      <c r="BX176">
        <v>483</v>
      </c>
      <c r="BY176">
        <v>555</v>
      </c>
      <c r="BZ176">
        <v>570</v>
      </c>
      <c r="CA176">
        <v>599</v>
      </c>
      <c r="CB176">
        <v>617</v>
      </c>
      <c r="CC176">
        <v>663</v>
      </c>
      <c r="CD176">
        <v>711</v>
      </c>
      <c r="CE176">
        <v>760</v>
      </c>
      <c r="CF176">
        <v>828</v>
      </c>
      <c r="CG176">
        <v>854</v>
      </c>
      <c r="CH176">
        <v>908</v>
      </c>
      <c r="CI176">
        <v>974</v>
      </c>
      <c r="CJ176">
        <v>1081</v>
      </c>
      <c r="CK176">
        <v>1117</v>
      </c>
      <c r="CL176">
        <v>1170</v>
      </c>
      <c r="CM176">
        <v>1207</v>
      </c>
      <c r="CN176">
        <v>1225</v>
      </c>
      <c r="CO176">
        <v>1231</v>
      </c>
      <c r="CP176">
        <v>1259</v>
      </c>
      <c r="CQ176">
        <v>1300</v>
      </c>
      <c r="CR176">
        <v>1326</v>
      </c>
      <c r="CS176">
        <v>1367</v>
      </c>
      <c r="CT176">
        <v>1386</v>
      </c>
      <c r="CU176" s="1">
        <v>1399</v>
      </c>
      <c r="CV176" s="1">
        <v>1421</v>
      </c>
      <c r="CW176" s="1">
        <v>1442</v>
      </c>
      <c r="CX176" s="1">
        <v>1465</v>
      </c>
      <c r="CY176" s="1">
        <v>1494</v>
      </c>
      <c r="CZ176" s="1">
        <v>1506</v>
      </c>
      <c r="DA176" s="1">
        <v>1511</v>
      </c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</row>
    <row r="177" spans="1:198" x14ac:dyDescent="0.4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  <c r="BS177">
        <v>4445</v>
      </c>
      <c r="BT177">
        <v>4641</v>
      </c>
      <c r="BU177">
        <v>4863</v>
      </c>
      <c r="BV177">
        <v>5147</v>
      </c>
      <c r="BW177">
        <v>5370</v>
      </c>
      <c r="BX177">
        <v>5550</v>
      </c>
      <c r="BY177">
        <v>5687</v>
      </c>
      <c r="BZ177">
        <v>5865</v>
      </c>
      <c r="CA177">
        <v>6086</v>
      </c>
      <c r="CB177">
        <v>6086</v>
      </c>
      <c r="CC177">
        <v>6211</v>
      </c>
      <c r="CD177">
        <v>6314</v>
      </c>
      <c r="CE177">
        <v>6409</v>
      </c>
      <c r="CF177">
        <v>6525</v>
      </c>
      <c r="CG177">
        <v>6603</v>
      </c>
      <c r="CH177">
        <v>6623</v>
      </c>
      <c r="CI177">
        <v>6740</v>
      </c>
      <c r="CJ177">
        <v>6896</v>
      </c>
      <c r="CK177">
        <v>6937</v>
      </c>
      <c r="CL177">
        <v>7036</v>
      </c>
      <c r="CM177">
        <v>7078</v>
      </c>
      <c r="CN177">
        <v>7156</v>
      </c>
      <c r="CO177">
        <v>7191</v>
      </c>
      <c r="CP177">
        <v>7338</v>
      </c>
      <c r="CQ177">
        <v>7401</v>
      </c>
      <c r="CR177">
        <v>7463</v>
      </c>
      <c r="CS177">
        <v>7499</v>
      </c>
      <c r="CT177">
        <v>7527</v>
      </c>
      <c r="CU177" s="1">
        <v>7599</v>
      </c>
      <c r="CV177" s="1">
        <v>7660</v>
      </c>
      <c r="CW177" s="1">
        <v>7710</v>
      </c>
      <c r="CX177" s="1">
        <v>7738</v>
      </c>
      <c r="CY177" s="1">
        <v>7783</v>
      </c>
      <c r="CZ177" s="1">
        <v>7809</v>
      </c>
      <c r="DA177" s="1">
        <v>7847</v>
      </c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</row>
    <row r="178" spans="1:198" x14ac:dyDescent="0.4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  <c r="BS178">
        <v>179</v>
      </c>
      <c r="BT178">
        <v>192</v>
      </c>
      <c r="BU178">
        <v>210</v>
      </c>
      <c r="BV178">
        <v>231</v>
      </c>
      <c r="BW178">
        <v>252</v>
      </c>
      <c r="BX178">
        <v>277</v>
      </c>
      <c r="BY178">
        <v>298</v>
      </c>
      <c r="BZ178">
        <v>331</v>
      </c>
      <c r="CA178">
        <v>371</v>
      </c>
      <c r="CB178">
        <v>419</v>
      </c>
      <c r="CC178">
        <v>457</v>
      </c>
      <c r="CD178">
        <v>484</v>
      </c>
      <c r="CE178">
        <v>546</v>
      </c>
      <c r="CF178">
        <v>599</v>
      </c>
      <c r="CG178">
        <v>727</v>
      </c>
      <c r="CH178">
        <v>813</v>
      </c>
      <c r="CI178">
        <v>910</v>
      </c>
      <c r="CJ178">
        <v>1019</v>
      </c>
      <c r="CK178">
        <v>1069</v>
      </c>
      <c r="CL178">
        <v>1180</v>
      </c>
      <c r="CM178">
        <v>1266</v>
      </c>
      <c r="CN178">
        <v>1410</v>
      </c>
      <c r="CO178">
        <v>1508</v>
      </c>
      <c r="CP178">
        <v>1614</v>
      </c>
      <c r="CQ178">
        <v>1716</v>
      </c>
      <c r="CR178">
        <v>1790</v>
      </c>
      <c r="CS178">
        <v>1905</v>
      </c>
      <c r="CT178">
        <v>1998</v>
      </c>
      <c r="CU178" s="1">
        <v>2049</v>
      </c>
      <c r="CV178" s="1">
        <v>2131</v>
      </c>
      <c r="CW178" s="1">
        <v>2274</v>
      </c>
      <c r="CX178" s="1">
        <v>2348</v>
      </c>
      <c r="CY178" s="1">
        <v>2447</v>
      </c>
      <c r="CZ178" s="1">
        <v>2483</v>
      </c>
      <c r="DA178" s="1">
        <v>2568</v>
      </c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</row>
    <row r="179" spans="1:198" x14ac:dyDescent="0.4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  <c r="BS179">
        <v>1717</v>
      </c>
      <c r="BT179">
        <v>1938</v>
      </c>
      <c r="BU179">
        <v>2118</v>
      </c>
      <c r="BV179">
        <v>2421</v>
      </c>
      <c r="BW179">
        <v>2686</v>
      </c>
      <c r="BX179">
        <v>2818</v>
      </c>
      <c r="BY179">
        <v>3157</v>
      </c>
      <c r="BZ179">
        <v>3766</v>
      </c>
      <c r="CA179">
        <v>4035</v>
      </c>
      <c r="CB179">
        <v>4263</v>
      </c>
      <c r="CC179">
        <v>4489</v>
      </c>
      <c r="CD179">
        <v>4695</v>
      </c>
      <c r="CE179">
        <v>5011</v>
      </c>
      <c r="CF179">
        <v>5230</v>
      </c>
      <c r="CG179">
        <v>5496</v>
      </c>
      <c r="CH179">
        <v>5837</v>
      </c>
      <c r="CI179">
        <v>6383</v>
      </c>
      <c r="CJ179">
        <v>6919</v>
      </c>
      <c r="CK179">
        <v>7025</v>
      </c>
      <c r="CL179">
        <v>7638</v>
      </c>
      <c r="CM179">
        <v>8348</v>
      </c>
      <c r="CN179">
        <v>8418</v>
      </c>
      <c r="CO179">
        <v>9565</v>
      </c>
      <c r="CP179">
        <v>10076</v>
      </c>
      <c r="CQ179">
        <v>11155</v>
      </c>
      <c r="CR179">
        <v>11940</v>
      </c>
      <c r="CS179">
        <v>12723</v>
      </c>
      <c r="CT179">
        <v>13328</v>
      </c>
      <c r="CU179" s="1">
        <v>13915</v>
      </c>
      <c r="CV179" s="1">
        <v>14612</v>
      </c>
      <c r="CW179" s="1">
        <v>15525</v>
      </c>
      <c r="CX179" s="1">
        <v>16817</v>
      </c>
      <c r="CY179" s="1">
        <v>18114</v>
      </c>
      <c r="CZ179" s="1">
        <v>19103</v>
      </c>
      <c r="DA179" s="1">
        <v>20084</v>
      </c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</row>
    <row r="180" spans="1:198" x14ac:dyDescent="0.4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  <c r="BS180">
        <v>989</v>
      </c>
      <c r="BT180">
        <v>1181</v>
      </c>
      <c r="BU180">
        <v>1181</v>
      </c>
      <c r="BV180">
        <v>1317</v>
      </c>
      <c r="BW180">
        <v>1475</v>
      </c>
      <c r="BX180">
        <v>1673</v>
      </c>
      <c r="BY180">
        <v>1801</v>
      </c>
      <c r="BZ180">
        <v>1988</v>
      </c>
      <c r="CA180">
        <v>2100</v>
      </c>
      <c r="CB180">
        <v>2249</v>
      </c>
      <c r="CC180">
        <v>2528</v>
      </c>
      <c r="CD180">
        <v>2752</v>
      </c>
      <c r="CE180">
        <v>2974</v>
      </c>
      <c r="CF180">
        <v>3234</v>
      </c>
      <c r="CG180">
        <v>3400</v>
      </c>
      <c r="CH180">
        <v>3472</v>
      </c>
      <c r="CI180">
        <v>3574</v>
      </c>
      <c r="CJ180">
        <v>3751</v>
      </c>
      <c r="CK180">
        <v>4016</v>
      </c>
      <c r="CL180">
        <v>4210</v>
      </c>
      <c r="CM180">
        <v>4273</v>
      </c>
      <c r="CN180">
        <v>4467</v>
      </c>
      <c r="CO180">
        <v>4658</v>
      </c>
      <c r="CP180">
        <v>4821</v>
      </c>
      <c r="CQ180">
        <v>5166</v>
      </c>
      <c r="CR180">
        <v>5338</v>
      </c>
      <c r="CS180">
        <v>5538</v>
      </c>
      <c r="CT180">
        <v>5779</v>
      </c>
      <c r="CU180" s="1">
        <v>6021</v>
      </c>
      <c r="CV180" s="1">
        <v>6021</v>
      </c>
      <c r="CW180" s="1">
        <v>6378</v>
      </c>
      <c r="CX180" s="1">
        <v>6532</v>
      </c>
      <c r="CY180" s="1">
        <v>6720</v>
      </c>
      <c r="CZ180" s="1">
        <v>7090</v>
      </c>
      <c r="DA180" s="1">
        <v>7090</v>
      </c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</row>
    <row r="181" spans="1:198" x14ac:dyDescent="0.4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7</v>
      </c>
      <c r="CK181">
        <v>7</v>
      </c>
      <c r="CL181">
        <v>7</v>
      </c>
      <c r="CM181">
        <v>7</v>
      </c>
      <c r="CN181">
        <v>7</v>
      </c>
      <c r="CO181">
        <v>7</v>
      </c>
      <c r="CP181">
        <v>8</v>
      </c>
      <c r="CQ181">
        <v>8</v>
      </c>
      <c r="CR181">
        <v>8</v>
      </c>
      <c r="CS181">
        <v>8</v>
      </c>
      <c r="CT181">
        <v>8</v>
      </c>
      <c r="CU181" s="1">
        <v>8</v>
      </c>
      <c r="CV181" s="1">
        <v>8</v>
      </c>
      <c r="CW181" s="1">
        <v>8</v>
      </c>
      <c r="CX181" s="1">
        <v>8</v>
      </c>
      <c r="CY181" s="1">
        <v>8</v>
      </c>
      <c r="CZ181" s="1">
        <v>8</v>
      </c>
      <c r="DA181" s="1">
        <v>8</v>
      </c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</row>
    <row r="182" spans="1:198" x14ac:dyDescent="0.4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  <c r="BS182">
        <v>64</v>
      </c>
      <c r="BT182">
        <v>65</v>
      </c>
      <c r="BU182">
        <v>69</v>
      </c>
      <c r="BV182">
        <v>77</v>
      </c>
      <c r="BW182">
        <v>92</v>
      </c>
      <c r="BX182">
        <v>96</v>
      </c>
      <c r="BY182">
        <v>104</v>
      </c>
      <c r="BZ182">
        <v>113</v>
      </c>
      <c r="CA182">
        <v>115</v>
      </c>
      <c r="CB182">
        <v>119</v>
      </c>
      <c r="CC182">
        <v>124</v>
      </c>
      <c r="CD182">
        <v>129</v>
      </c>
      <c r="CE182">
        <v>133</v>
      </c>
      <c r="CF182">
        <v>134</v>
      </c>
      <c r="CG182">
        <v>147</v>
      </c>
      <c r="CH182">
        <v>159</v>
      </c>
      <c r="CI182">
        <v>161</v>
      </c>
      <c r="CJ182">
        <v>174</v>
      </c>
      <c r="CK182">
        <v>199</v>
      </c>
      <c r="CL182">
        <v>202</v>
      </c>
      <c r="CM182">
        <v>206</v>
      </c>
      <c r="CN182">
        <v>208</v>
      </c>
      <c r="CO182">
        <v>208</v>
      </c>
      <c r="CP182">
        <v>213</v>
      </c>
      <c r="CQ182">
        <v>213</v>
      </c>
      <c r="CR182">
        <v>223</v>
      </c>
      <c r="CS182">
        <v>228</v>
      </c>
      <c r="CT182">
        <v>228</v>
      </c>
      <c r="CU182" s="1">
        <v>228</v>
      </c>
      <c r="CV182" s="1">
        <v>239</v>
      </c>
      <c r="CW182" s="1">
        <v>239</v>
      </c>
      <c r="CX182" s="1">
        <v>266</v>
      </c>
      <c r="CY182" s="1">
        <v>333</v>
      </c>
      <c r="CZ182" s="1">
        <v>370</v>
      </c>
      <c r="DA182" s="1">
        <v>396</v>
      </c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</row>
    <row r="183" spans="1:198" x14ac:dyDescent="0.4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  <c r="BS183">
        <v>950</v>
      </c>
      <c r="BT183">
        <v>1065</v>
      </c>
      <c r="BU183">
        <v>1323</v>
      </c>
      <c r="BV183">
        <v>1414</v>
      </c>
      <c r="BW183">
        <v>1595</v>
      </c>
      <c r="BX183">
        <v>1746</v>
      </c>
      <c r="BY183">
        <v>2281</v>
      </c>
      <c r="BZ183">
        <v>2561</v>
      </c>
      <c r="CA183">
        <v>2954</v>
      </c>
      <c r="CB183">
        <v>4342</v>
      </c>
      <c r="CC183">
        <v>5256</v>
      </c>
      <c r="CD183">
        <v>5897</v>
      </c>
      <c r="CE183">
        <v>6848</v>
      </c>
      <c r="CF183">
        <v>7519</v>
      </c>
      <c r="CG183">
        <v>9784</v>
      </c>
      <c r="CH183">
        <v>10303</v>
      </c>
      <c r="CI183">
        <v>11475</v>
      </c>
      <c r="CJ183">
        <v>12491</v>
      </c>
      <c r="CK183">
        <v>13489</v>
      </c>
      <c r="CL183">
        <v>14420</v>
      </c>
      <c r="CM183">
        <v>15628</v>
      </c>
      <c r="CN183">
        <v>16325</v>
      </c>
      <c r="CO183">
        <v>17837</v>
      </c>
      <c r="CP183">
        <v>19250</v>
      </c>
      <c r="CQ183">
        <v>20914</v>
      </c>
      <c r="CR183">
        <v>21648</v>
      </c>
      <c r="CS183">
        <v>25331</v>
      </c>
      <c r="CT183">
        <v>27517</v>
      </c>
      <c r="CU183" s="1">
        <v>28699</v>
      </c>
      <c r="CV183" s="1">
        <v>31190</v>
      </c>
      <c r="CW183" s="1">
        <v>33931</v>
      </c>
      <c r="CX183" s="1">
        <v>36976</v>
      </c>
      <c r="CY183" s="1">
        <v>40459</v>
      </c>
      <c r="CZ183" s="1">
        <v>42534</v>
      </c>
      <c r="DA183" s="1">
        <v>45928</v>
      </c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</row>
    <row r="184" spans="1:198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  <c r="BS184">
        <v>1546</v>
      </c>
      <c r="BT184">
        <v>2084</v>
      </c>
      <c r="BU184">
        <v>2311</v>
      </c>
      <c r="BV184">
        <v>2633</v>
      </c>
      <c r="BW184">
        <v>3018</v>
      </c>
      <c r="BX184">
        <v>3094</v>
      </c>
      <c r="BY184">
        <v>3246</v>
      </c>
      <c r="BZ184">
        <v>3660</v>
      </c>
      <c r="CA184">
        <v>3764</v>
      </c>
      <c r="CB184">
        <v>3870</v>
      </c>
      <c r="CC184">
        <v>4076</v>
      </c>
      <c r="CD184">
        <v>4195</v>
      </c>
      <c r="CE184">
        <v>4428</v>
      </c>
      <c r="CF184">
        <v>4648</v>
      </c>
      <c r="CG184">
        <v>4932</v>
      </c>
      <c r="CH184">
        <v>5223</v>
      </c>
      <c r="CI184">
        <v>5453</v>
      </c>
      <c r="CJ184">
        <v>5660</v>
      </c>
      <c r="CK184">
        <v>5878</v>
      </c>
      <c r="CL184">
        <v>6087</v>
      </c>
      <c r="CM184">
        <v>6259</v>
      </c>
      <c r="CN184">
        <v>6459</v>
      </c>
      <c r="CO184">
        <v>6599</v>
      </c>
      <c r="CP184">
        <v>6710</v>
      </c>
      <c r="CQ184">
        <v>6981</v>
      </c>
      <c r="CR184">
        <v>7192</v>
      </c>
      <c r="CS184">
        <v>7294</v>
      </c>
      <c r="CT184">
        <v>7579</v>
      </c>
      <c r="CU184" s="1">
        <v>7777</v>
      </c>
      <c r="CV184" s="1">
        <v>7958</v>
      </c>
      <c r="CW184" s="1">
        <v>8212</v>
      </c>
      <c r="CX184" s="1">
        <v>8488</v>
      </c>
      <c r="CY184" s="1">
        <v>8772</v>
      </c>
      <c r="CZ184" s="1">
        <v>8928</v>
      </c>
      <c r="DA184" s="1">
        <v>9223</v>
      </c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</row>
    <row r="185" spans="1:198" x14ac:dyDescent="0.4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  <c r="BS185">
        <v>2055</v>
      </c>
      <c r="BT185">
        <v>2311</v>
      </c>
      <c r="BU185">
        <v>2554</v>
      </c>
      <c r="BV185">
        <v>2946</v>
      </c>
      <c r="BW185">
        <v>3383</v>
      </c>
      <c r="BX185">
        <v>3627</v>
      </c>
      <c r="BY185">
        <v>4102</v>
      </c>
      <c r="BZ185">
        <v>4413</v>
      </c>
      <c r="CA185">
        <v>4848</v>
      </c>
      <c r="CB185">
        <v>5205</v>
      </c>
      <c r="CC185">
        <v>5575</v>
      </c>
      <c r="CD185">
        <v>5955</v>
      </c>
      <c r="CE185">
        <v>6356</v>
      </c>
      <c r="CF185">
        <v>6674</v>
      </c>
      <c r="CG185">
        <v>6934</v>
      </c>
      <c r="CH185">
        <v>7202</v>
      </c>
      <c r="CI185">
        <v>7582</v>
      </c>
      <c r="CJ185">
        <v>7918</v>
      </c>
      <c r="CK185">
        <v>8379</v>
      </c>
      <c r="CL185">
        <v>8742</v>
      </c>
      <c r="CM185">
        <v>9287</v>
      </c>
      <c r="CN185">
        <v>9593</v>
      </c>
      <c r="CO185">
        <v>9856</v>
      </c>
      <c r="CP185">
        <v>10169</v>
      </c>
      <c r="CQ185">
        <v>10511</v>
      </c>
      <c r="CR185">
        <v>10892</v>
      </c>
      <c r="CS185">
        <v>11273</v>
      </c>
      <c r="CT185">
        <v>11617</v>
      </c>
      <c r="CU185" s="1">
        <v>11902</v>
      </c>
      <c r="CV185" s="1">
        <v>12218</v>
      </c>
      <c r="CW185" s="1">
        <v>12640</v>
      </c>
      <c r="CX185" s="1">
        <v>12877</v>
      </c>
      <c r="CY185" s="1">
        <v>13105</v>
      </c>
      <c r="CZ185" s="1">
        <v>13375</v>
      </c>
      <c r="DA185" s="1">
        <v>13693</v>
      </c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</row>
    <row r="186" spans="1:198" x14ac:dyDescent="0.4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  <c r="BS186">
        <v>6408</v>
      </c>
      <c r="BT186">
        <v>7443</v>
      </c>
      <c r="BU186">
        <v>8251</v>
      </c>
      <c r="BV186">
        <v>9034</v>
      </c>
      <c r="BW186">
        <v>9886</v>
      </c>
      <c r="BX186">
        <v>10524</v>
      </c>
      <c r="BY186">
        <v>11278</v>
      </c>
      <c r="BZ186">
        <v>11730</v>
      </c>
      <c r="CA186">
        <v>12442</v>
      </c>
      <c r="CB186">
        <v>13141</v>
      </c>
      <c r="CC186">
        <v>13956</v>
      </c>
      <c r="CD186">
        <v>15472</v>
      </c>
      <c r="CE186">
        <v>15987</v>
      </c>
      <c r="CF186">
        <v>16585</v>
      </c>
      <c r="CG186">
        <v>16934</v>
      </c>
      <c r="CH186">
        <v>17448</v>
      </c>
      <c r="CI186">
        <v>18091</v>
      </c>
      <c r="CJ186">
        <v>18841</v>
      </c>
      <c r="CK186">
        <v>19022</v>
      </c>
      <c r="CL186">
        <v>19685</v>
      </c>
      <c r="CM186">
        <v>20206</v>
      </c>
      <c r="CN186">
        <v>20863</v>
      </c>
      <c r="CO186">
        <v>21379</v>
      </c>
      <c r="CP186">
        <v>21982</v>
      </c>
      <c r="CQ186">
        <v>22353</v>
      </c>
      <c r="CR186">
        <v>22797</v>
      </c>
      <c r="CS186">
        <v>23392</v>
      </c>
      <c r="CT186">
        <v>23864</v>
      </c>
      <c r="CU186" s="1">
        <v>24027</v>
      </c>
      <c r="CV186" s="1">
        <v>24322</v>
      </c>
      <c r="CW186" s="1">
        <v>24505</v>
      </c>
      <c r="CX186" s="1">
        <v>25045</v>
      </c>
      <c r="CY186" s="1">
        <v>25351</v>
      </c>
      <c r="CZ186" s="1">
        <v>25190</v>
      </c>
      <c r="DA186" s="1">
        <v>25282</v>
      </c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</row>
    <row r="187" spans="1:198" x14ac:dyDescent="0.4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  <c r="BS187">
        <v>693</v>
      </c>
      <c r="BT187">
        <v>781</v>
      </c>
      <c r="BU187">
        <v>835</v>
      </c>
      <c r="BV187">
        <v>949</v>
      </c>
      <c r="BW187">
        <v>1075</v>
      </c>
      <c r="BX187">
        <v>1325</v>
      </c>
      <c r="BY187">
        <v>1604</v>
      </c>
      <c r="BZ187">
        <v>1832</v>
      </c>
      <c r="CA187">
        <v>2057</v>
      </c>
      <c r="CB187">
        <v>2210</v>
      </c>
      <c r="CC187">
        <v>2376</v>
      </c>
      <c r="CD187">
        <v>2512</v>
      </c>
      <c r="CE187">
        <v>2728</v>
      </c>
      <c r="CF187">
        <v>2979</v>
      </c>
      <c r="CG187">
        <v>3231</v>
      </c>
      <c r="CH187">
        <v>3428</v>
      </c>
      <c r="CI187">
        <v>3711</v>
      </c>
      <c r="CJ187">
        <v>4103</v>
      </c>
      <c r="CK187">
        <v>4663</v>
      </c>
      <c r="CL187">
        <v>5008</v>
      </c>
      <c r="CM187">
        <v>5448</v>
      </c>
      <c r="CN187">
        <v>6015</v>
      </c>
      <c r="CO187">
        <v>6533</v>
      </c>
      <c r="CP187">
        <v>7141</v>
      </c>
      <c r="CQ187">
        <v>7764</v>
      </c>
      <c r="CR187">
        <v>8525</v>
      </c>
      <c r="CS187">
        <v>9358</v>
      </c>
      <c r="CT187">
        <v>10287</v>
      </c>
      <c r="CU187" s="1">
        <v>11244</v>
      </c>
      <c r="CV187" s="1">
        <v>11921</v>
      </c>
      <c r="CW187" s="1">
        <v>12564</v>
      </c>
      <c r="CX187" s="1">
        <v>13409</v>
      </c>
      <c r="CY187" s="1">
        <v>14096</v>
      </c>
      <c r="CZ187" s="1">
        <v>14872</v>
      </c>
      <c r="DA187" s="1">
        <v>15551</v>
      </c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</row>
    <row r="188" spans="1:198" x14ac:dyDescent="0.4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  <c r="BS188">
        <v>2109</v>
      </c>
      <c r="BT188">
        <v>2245</v>
      </c>
      <c r="BU188">
        <v>2460</v>
      </c>
      <c r="BV188">
        <v>2738</v>
      </c>
      <c r="BW188">
        <v>3183</v>
      </c>
      <c r="BX188">
        <v>3613</v>
      </c>
      <c r="BY188">
        <v>3864</v>
      </c>
      <c r="BZ188">
        <v>4057</v>
      </c>
      <c r="CA188">
        <v>4417</v>
      </c>
      <c r="CB188">
        <v>4761</v>
      </c>
      <c r="CC188">
        <v>5202</v>
      </c>
      <c r="CD188">
        <v>5467</v>
      </c>
      <c r="CE188">
        <v>5990</v>
      </c>
      <c r="CF188">
        <v>6300</v>
      </c>
      <c r="CG188">
        <v>6633</v>
      </c>
      <c r="CH188">
        <v>6879</v>
      </c>
      <c r="CI188">
        <v>7216</v>
      </c>
      <c r="CJ188">
        <v>7707</v>
      </c>
      <c r="CK188">
        <v>8067</v>
      </c>
      <c r="CL188">
        <v>8418</v>
      </c>
      <c r="CM188">
        <v>8746</v>
      </c>
      <c r="CN188">
        <v>8936</v>
      </c>
      <c r="CO188">
        <v>9242</v>
      </c>
      <c r="CP188">
        <v>9710</v>
      </c>
      <c r="CQ188">
        <v>10096</v>
      </c>
      <c r="CR188">
        <v>10417</v>
      </c>
      <c r="CS188">
        <v>10635</v>
      </c>
      <c r="CT188">
        <v>11036</v>
      </c>
      <c r="CU188" s="1">
        <v>11339</v>
      </c>
      <c r="CV188" s="1">
        <v>11616</v>
      </c>
      <c r="CW188" s="1">
        <v>11978</v>
      </c>
      <c r="CX188" s="1">
        <v>12240</v>
      </c>
      <c r="CY188" s="1">
        <v>12567</v>
      </c>
      <c r="CZ188" s="1">
        <v>12732</v>
      </c>
      <c r="DA188" s="1">
        <v>13163</v>
      </c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</row>
    <row r="189" spans="1:198" x14ac:dyDescent="0.4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  <c r="BS189">
        <v>1836</v>
      </c>
      <c r="BT189">
        <v>2337</v>
      </c>
      <c r="BU189">
        <v>2777</v>
      </c>
      <c r="BV189">
        <v>3548</v>
      </c>
      <c r="BW189">
        <v>4149</v>
      </c>
      <c r="BX189">
        <v>4731</v>
      </c>
      <c r="BY189">
        <v>5389</v>
      </c>
      <c r="BZ189">
        <v>6343</v>
      </c>
      <c r="CA189">
        <v>7497</v>
      </c>
      <c r="CB189">
        <v>8672</v>
      </c>
      <c r="CC189">
        <v>10131</v>
      </c>
      <c r="CD189">
        <v>11917</v>
      </c>
      <c r="CE189">
        <v>13584</v>
      </c>
      <c r="CF189">
        <v>15770</v>
      </c>
      <c r="CG189">
        <v>18328</v>
      </c>
      <c r="CH189">
        <v>21102</v>
      </c>
      <c r="CI189">
        <v>24490</v>
      </c>
      <c r="CJ189">
        <v>27938</v>
      </c>
      <c r="CK189">
        <v>32008</v>
      </c>
      <c r="CL189">
        <v>36793</v>
      </c>
      <c r="CM189">
        <v>42853</v>
      </c>
      <c r="CN189">
        <v>47121</v>
      </c>
      <c r="CO189">
        <v>52763</v>
      </c>
      <c r="CP189">
        <v>57999</v>
      </c>
      <c r="CQ189">
        <v>62773</v>
      </c>
      <c r="CR189">
        <v>68622</v>
      </c>
      <c r="CS189">
        <v>74588</v>
      </c>
      <c r="CT189">
        <v>80949</v>
      </c>
      <c r="CU189" s="1">
        <v>87147</v>
      </c>
      <c r="CV189" s="1">
        <v>93558</v>
      </c>
      <c r="CW189" s="1">
        <v>99399</v>
      </c>
      <c r="CX189" s="1">
        <v>106498</v>
      </c>
      <c r="CY189" s="1">
        <v>114431</v>
      </c>
      <c r="CZ189" s="1">
        <v>124054</v>
      </c>
      <c r="DA189" s="1">
        <v>134687</v>
      </c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</row>
    <row r="190" spans="1:198" x14ac:dyDescent="0.4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  <c r="BS190">
        <v>70</v>
      </c>
      <c r="BT190">
        <v>75</v>
      </c>
      <c r="BU190">
        <v>82</v>
      </c>
      <c r="BV190">
        <v>84</v>
      </c>
      <c r="BW190">
        <v>89</v>
      </c>
      <c r="BX190">
        <v>102</v>
      </c>
      <c r="BY190">
        <v>104</v>
      </c>
      <c r="BZ190">
        <v>105</v>
      </c>
      <c r="CA190">
        <v>105</v>
      </c>
      <c r="CB190">
        <v>110</v>
      </c>
      <c r="CC190">
        <v>110</v>
      </c>
      <c r="CD190">
        <v>118</v>
      </c>
      <c r="CE190">
        <v>120</v>
      </c>
      <c r="CF190">
        <v>126</v>
      </c>
      <c r="CG190">
        <v>127</v>
      </c>
      <c r="CH190">
        <v>134</v>
      </c>
      <c r="CI190">
        <v>136</v>
      </c>
      <c r="CJ190">
        <v>138</v>
      </c>
      <c r="CK190">
        <v>143</v>
      </c>
      <c r="CL190">
        <v>144</v>
      </c>
      <c r="CM190">
        <v>147</v>
      </c>
      <c r="CN190">
        <v>147</v>
      </c>
      <c r="CO190">
        <v>150</v>
      </c>
      <c r="CP190">
        <v>153</v>
      </c>
      <c r="CQ190">
        <v>154</v>
      </c>
      <c r="CR190">
        <v>176</v>
      </c>
      <c r="CS190">
        <v>183</v>
      </c>
      <c r="CT190">
        <v>191</v>
      </c>
      <c r="CU190" s="1">
        <v>207</v>
      </c>
      <c r="CV190" s="1">
        <v>212</v>
      </c>
      <c r="CW190" s="1">
        <v>225</v>
      </c>
      <c r="CX190" s="1">
        <v>243</v>
      </c>
      <c r="CY190" s="1">
        <v>249</v>
      </c>
      <c r="CZ190" s="1">
        <v>255</v>
      </c>
      <c r="DA190" s="1">
        <v>259</v>
      </c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</row>
    <row r="191" spans="1:198" x14ac:dyDescent="0.4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  <c r="BS191">
        <v>9</v>
      </c>
      <c r="BT191">
        <v>13</v>
      </c>
      <c r="BU191">
        <v>13</v>
      </c>
      <c r="BV191">
        <v>13</v>
      </c>
      <c r="BW191">
        <v>13</v>
      </c>
      <c r="BX191">
        <v>14</v>
      </c>
      <c r="BY191">
        <v>14</v>
      </c>
      <c r="BZ191">
        <v>14</v>
      </c>
      <c r="CA191">
        <v>14</v>
      </c>
      <c r="CB191">
        <v>14</v>
      </c>
      <c r="CC191">
        <v>14</v>
      </c>
      <c r="CD191">
        <v>15</v>
      </c>
      <c r="CE191">
        <v>15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  <c r="CM191">
        <v>15</v>
      </c>
      <c r="CN191">
        <v>15</v>
      </c>
      <c r="CO191">
        <v>15</v>
      </c>
      <c r="CP191">
        <v>15</v>
      </c>
      <c r="CQ191">
        <v>15</v>
      </c>
      <c r="CR191">
        <v>15</v>
      </c>
      <c r="CS191">
        <v>15</v>
      </c>
      <c r="CT191">
        <v>15</v>
      </c>
      <c r="CU191" s="1">
        <v>15</v>
      </c>
      <c r="CV191" s="1">
        <v>15</v>
      </c>
      <c r="CW191" s="1">
        <v>17</v>
      </c>
      <c r="CX191" s="1">
        <v>17</v>
      </c>
      <c r="CY191" s="1">
        <v>17</v>
      </c>
      <c r="CZ191" s="1">
        <v>17</v>
      </c>
      <c r="DA191" s="1">
        <v>18</v>
      </c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</row>
    <row r="192" spans="1:198" x14ac:dyDescent="0.4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2</v>
      </c>
      <c r="BW192">
        <v>3</v>
      </c>
      <c r="BX192">
        <v>7</v>
      </c>
      <c r="BY192">
        <v>7</v>
      </c>
      <c r="BZ192">
        <v>7</v>
      </c>
      <c r="CA192">
        <v>8</v>
      </c>
      <c r="CB192">
        <v>8</v>
      </c>
      <c r="CC192">
        <v>12</v>
      </c>
      <c r="CD192">
        <v>12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  <c r="CM192">
        <v>12</v>
      </c>
      <c r="CN192">
        <v>12</v>
      </c>
      <c r="CO192">
        <v>12</v>
      </c>
      <c r="CP192">
        <v>13</v>
      </c>
      <c r="CQ192">
        <v>13</v>
      </c>
      <c r="CR192">
        <v>14</v>
      </c>
      <c r="CS192">
        <v>14</v>
      </c>
      <c r="CT192">
        <v>14</v>
      </c>
      <c r="CU192" s="1">
        <v>15</v>
      </c>
      <c r="CV192" s="1">
        <v>15</v>
      </c>
      <c r="CW192" s="1">
        <v>16</v>
      </c>
      <c r="CX192" s="1">
        <v>16</v>
      </c>
      <c r="CY192" s="1">
        <v>16</v>
      </c>
      <c r="CZ192" s="1">
        <v>16</v>
      </c>
      <c r="DA192" s="1">
        <v>16</v>
      </c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</row>
    <row r="193" spans="1:198" x14ac:dyDescent="0.4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  <c r="BS193">
        <v>230</v>
      </c>
      <c r="BT193">
        <v>236</v>
      </c>
      <c r="BU193">
        <v>236</v>
      </c>
      <c r="BV193">
        <v>245</v>
      </c>
      <c r="BW193">
        <v>245</v>
      </c>
      <c r="BX193">
        <v>259</v>
      </c>
      <c r="BY193">
        <v>266</v>
      </c>
      <c r="BZ193">
        <v>266</v>
      </c>
      <c r="CA193">
        <v>279</v>
      </c>
      <c r="CB193">
        <v>279</v>
      </c>
      <c r="CC193">
        <v>333</v>
      </c>
      <c r="CD193">
        <v>344</v>
      </c>
      <c r="CE193">
        <v>356</v>
      </c>
      <c r="CF193">
        <v>356</v>
      </c>
      <c r="CG193">
        <v>356</v>
      </c>
      <c r="CH193">
        <v>371</v>
      </c>
      <c r="CI193">
        <v>372</v>
      </c>
      <c r="CJ193">
        <v>426</v>
      </c>
      <c r="CK193">
        <v>435</v>
      </c>
      <c r="CL193">
        <v>455</v>
      </c>
      <c r="CM193">
        <v>461</v>
      </c>
      <c r="CN193">
        <v>462</v>
      </c>
      <c r="CO193">
        <v>476</v>
      </c>
      <c r="CP193">
        <v>488</v>
      </c>
      <c r="CQ193">
        <v>501</v>
      </c>
      <c r="CR193">
        <v>513</v>
      </c>
      <c r="CS193">
        <v>513</v>
      </c>
      <c r="CT193">
        <v>538</v>
      </c>
      <c r="CU193" s="1">
        <v>538</v>
      </c>
      <c r="CV193" s="1">
        <v>553</v>
      </c>
      <c r="CW193" s="1">
        <v>563</v>
      </c>
      <c r="CX193" s="1">
        <v>569</v>
      </c>
      <c r="CY193" s="1">
        <v>580</v>
      </c>
      <c r="CZ193" s="1">
        <v>580</v>
      </c>
      <c r="DA193" s="1">
        <v>582</v>
      </c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</row>
    <row r="194" spans="1:198" x14ac:dyDescent="0.4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  <c r="BS194">
        <v>1453</v>
      </c>
      <c r="BT194">
        <v>1563</v>
      </c>
      <c r="BU194">
        <v>1720</v>
      </c>
      <c r="BV194">
        <v>1885</v>
      </c>
      <c r="BW194">
        <v>2039</v>
      </c>
      <c r="BX194">
        <v>2179</v>
      </c>
      <c r="BY194">
        <v>2402</v>
      </c>
      <c r="BZ194">
        <v>2605</v>
      </c>
      <c r="CA194">
        <v>2795</v>
      </c>
      <c r="CB194">
        <v>2932</v>
      </c>
      <c r="CC194">
        <v>3287</v>
      </c>
      <c r="CD194">
        <v>3651</v>
      </c>
      <c r="CE194">
        <v>4033</v>
      </c>
      <c r="CF194">
        <v>4462</v>
      </c>
      <c r="CG194">
        <v>4934</v>
      </c>
      <c r="CH194">
        <v>5369</v>
      </c>
      <c r="CI194">
        <v>5862</v>
      </c>
      <c r="CJ194">
        <v>6380</v>
      </c>
      <c r="CK194">
        <v>7142</v>
      </c>
      <c r="CL194">
        <v>8274</v>
      </c>
      <c r="CM194">
        <v>9362</v>
      </c>
      <c r="CN194">
        <v>10484</v>
      </c>
      <c r="CO194">
        <v>11631</v>
      </c>
      <c r="CP194">
        <v>12772</v>
      </c>
      <c r="CQ194">
        <v>13930</v>
      </c>
      <c r="CR194">
        <v>15102</v>
      </c>
      <c r="CS194">
        <v>16299</v>
      </c>
      <c r="CT194">
        <v>17522</v>
      </c>
      <c r="CU194" s="1">
        <v>18811</v>
      </c>
      <c r="CV194" s="1">
        <v>20077</v>
      </c>
      <c r="CW194" s="1">
        <v>21402</v>
      </c>
      <c r="CX194" s="1">
        <v>22753</v>
      </c>
      <c r="CY194" s="1">
        <v>24097</v>
      </c>
      <c r="CZ194" s="1">
        <v>25459</v>
      </c>
      <c r="DA194" s="1">
        <v>27011</v>
      </c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</row>
    <row r="195" spans="1:198" x14ac:dyDescent="0.4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  <c r="BS195">
        <v>162</v>
      </c>
      <c r="BT195">
        <v>175</v>
      </c>
      <c r="BU195">
        <v>190</v>
      </c>
      <c r="BV195">
        <v>195</v>
      </c>
      <c r="BW195">
        <v>207</v>
      </c>
      <c r="BX195">
        <v>219</v>
      </c>
      <c r="BY195">
        <v>222</v>
      </c>
      <c r="BZ195">
        <v>226</v>
      </c>
      <c r="CA195">
        <v>237</v>
      </c>
      <c r="CB195">
        <v>244</v>
      </c>
      <c r="CC195">
        <v>250</v>
      </c>
      <c r="CD195">
        <v>265</v>
      </c>
      <c r="CE195">
        <v>278</v>
      </c>
      <c r="CF195">
        <v>280</v>
      </c>
      <c r="CG195">
        <v>291</v>
      </c>
      <c r="CH195">
        <v>299</v>
      </c>
      <c r="CI195">
        <v>314</v>
      </c>
      <c r="CJ195">
        <v>335</v>
      </c>
      <c r="CK195">
        <v>342</v>
      </c>
      <c r="CL195">
        <v>350</v>
      </c>
      <c r="CM195">
        <v>367</v>
      </c>
      <c r="CN195">
        <v>377</v>
      </c>
      <c r="CO195">
        <v>412</v>
      </c>
      <c r="CP195">
        <v>442</v>
      </c>
      <c r="CQ195">
        <v>479</v>
      </c>
      <c r="CR195">
        <v>545</v>
      </c>
      <c r="CS195">
        <v>614</v>
      </c>
      <c r="CT195">
        <v>671</v>
      </c>
      <c r="CU195" s="1">
        <v>736</v>
      </c>
      <c r="CV195" s="1">
        <v>823</v>
      </c>
      <c r="CW195" s="1">
        <v>882</v>
      </c>
      <c r="CX195" s="1">
        <v>933</v>
      </c>
      <c r="CY195" s="1">
        <v>1024</v>
      </c>
      <c r="CZ195" s="1">
        <v>1115</v>
      </c>
      <c r="DA195" s="1">
        <v>1182</v>
      </c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</row>
    <row r="196" spans="1:198" x14ac:dyDescent="0.4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  <c r="BS196">
        <v>785</v>
      </c>
      <c r="BT196">
        <v>900</v>
      </c>
      <c r="BU196">
        <v>1060</v>
      </c>
      <c r="BV196">
        <v>1171</v>
      </c>
      <c r="BW196">
        <v>1476</v>
      </c>
      <c r="BX196">
        <v>1624</v>
      </c>
      <c r="BY196">
        <v>1908</v>
      </c>
      <c r="BZ196">
        <v>2200</v>
      </c>
      <c r="CA196">
        <v>2447</v>
      </c>
      <c r="CB196">
        <v>2666</v>
      </c>
      <c r="CC196">
        <v>2867</v>
      </c>
      <c r="CD196">
        <v>3105</v>
      </c>
      <c r="CE196">
        <v>3380</v>
      </c>
      <c r="CF196">
        <v>3630</v>
      </c>
      <c r="CG196">
        <v>4054</v>
      </c>
      <c r="CH196">
        <v>4465</v>
      </c>
      <c r="CI196">
        <v>4873</v>
      </c>
      <c r="CJ196">
        <v>5318</v>
      </c>
      <c r="CK196">
        <v>5690</v>
      </c>
      <c r="CL196">
        <v>5994</v>
      </c>
      <c r="CM196">
        <v>6318</v>
      </c>
      <c r="CN196">
        <v>6630</v>
      </c>
      <c r="CO196">
        <v>6890</v>
      </c>
      <c r="CP196">
        <v>7144</v>
      </c>
      <c r="CQ196">
        <v>7276</v>
      </c>
      <c r="CR196">
        <v>7483</v>
      </c>
      <c r="CS196">
        <v>7779</v>
      </c>
      <c r="CT196">
        <v>8042</v>
      </c>
      <c r="CU196" s="1">
        <v>8275</v>
      </c>
      <c r="CV196" s="1">
        <v>8497</v>
      </c>
      <c r="CW196" s="1">
        <v>8724</v>
      </c>
      <c r="CX196" s="1">
        <v>9009</v>
      </c>
      <c r="CY196" s="1">
        <v>9009</v>
      </c>
      <c r="CZ196" s="1">
        <v>9362</v>
      </c>
      <c r="DA196" s="1">
        <v>9464</v>
      </c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</row>
    <row r="197" spans="1:198" x14ac:dyDescent="0.4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  <c r="BS197">
        <v>8</v>
      </c>
      <c r="BT197">
        <v>10</v>
      </c>
      <c r="BU197">
        <v>10</v>
      </c>
      <c r="BV197">
        <v>10</v>
      </c>
      <c r="BW197">
        <v>10</v>
      </c>
      <c r="BX197">
        <v>10</v>
      </c>
      <c r="BY197">
        <v>10</v>
      </c>
      <c r="BZ197">
        <v>11</v>
      </c>
      <c r="CA197">
        <v>11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  <c r="CM197">
        <v>11</v>
      </c>
      <c r="CN197">
        <v>11</v>
      </c>
      <c r="CO197">
        <v>11</v>
      </c>
      <c r="CP197">
        <v>11</v>
      </c>
      <c r="CQ197">
        <v>11</v>
      </c>
      <c r="CR197">
        <v>11</v>
      </c>
      <c r="CS197">
        <v>11</v>
      </c>
      <c r="CT197">
        <v>11</v>
      </c>
      <c r="CU197" s="1">
        <v>11</v>
      </c>
      <c r="CV197" s="1">
        <v>11</v>
      </c>
      <c r="CW197" s="1">
        <v>11</v>
      </c>
      <c r="CX197" s="1">
        <v>11</v>
      </c>
      <c r="CY197" s="1">
        <v>11</v>
      </c>
      <c r="CZ197" s="1">
        <v>11</v>
      </c>
      <c r="DA197" s="1">
        <v>11</v>
      </c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</row>
    <row r="198" spans="1:198" x14ac:dyDescent="0.4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  <c r="BS198">
        <v>879</v>
      </c>
      <c r="BT198">
        <v>926</v>
      </c>
      <c r="BU198">
        <v>1000</v>
      </c>
      <c r="BV198">
        <v>1049</v>
      </c>
      <c r="BW198">
        <v>1114</v>
      </c>
      <c r="BX198">
        <v>1189</v>
      </c>
      <c r="BY198">
        <v>1309</v>
      </c>
      <c r="BZ198">
        <v>1375</v>
      </c>
      <c r="CA198">
        <v>1481</v>
      </c>
      <c r="CB198">
        <v>1623</v>
      </c>
      <c r="CC198">
        <v>1910</v>
      </c>
      <c r="CD198">
        <v>2108</v>
      </c>
      <c r="CE198">
        <v>2299</v>
      </c>
      <c r="CF198">
        <v>2532</v>
      </c>
      <c r="CG198">
        <v>2918</v>
      </c>
      <c r="CH198">
        <v>3252</v>
      </c>
      <c r="CI198">
        <v>3699</v>
      </c>
      <c r="CJ198">
        <v>4427</v>
      </c>
      <c r="CK198">
        <v>5050</v>
      </c>
      <c r="CL198">
        <v>5992</v>
      </c>
      <c r="CM198">
        <v>6588</v>
      </c>
      <c r="CN198">
        <v>8014</v>
      </c>
      <c r="CO198">
        <v>9125</v>
      </c>
      <c r="CP198">
        <v>10141</v>
      </c>
      <c r="CQ198">
        <v>11178</v>
      </c>
      <c r="CR198">
        <v>12075</v>
      </c>
      <c r="CS198">
        <v>12693</v>
      </c>
      <c r="CT198">
        <v>13624</v>
      </c>
      <c r="CU198" s="1">
        <v>14423</v>
      </c>
      <c r="CV198" s="1">
        <v>14951</v>
      </c>
      <c r="CW198" s="1">
        <v>15641</v>
      </c>
      <c r="CX198" s="1">
        <v>16169</v>
      </c>
      <c r="CY198" s="1">
        <v>17101</v>
      </c>
      <c r="CZ198" s="1">
        <v>17548</v>
      </c>
      <c r="DA198" s="1">
        <v>18205</v>
      </c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</row>
    <row r="199" spans="1:198" x14ac:dyDescent="0.4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  <c r="BS199">
        <v>336</v>
      </c>
      <c r="BT199">
        <v>363</v>
      </c>
      <c r="BU199">
        <v>400</v>
      </c>
      <c r="BV199">
        <v>426</v>
      </c>
      <c r="BW199">
        <v>450</v>
      </c>
      <c r="BX199">
        <v>471</v>
      </c>
      <c r="BY199">
        <v>485</v>
      </c>
      <c r="BZ199">
        <v>534</v>
      </c>
      <c r="CA199">
        <v>581</v>
      </c>
      <c r="CB199">
        <v>682</v>
      </c>
      <c r="CC199">
        <v>701</v>
      </c>
      <c r="CD199">
        <v>715</v>
      </c>
      <c r="CE199">
        <v>728</v>
      </c>
      <c r="CF199">
        <v>742</v>
      </c>
      <c r="CG199">
        <v>769</v>
      </c>
      <c r="CH199">
        <v>835</v>
      </c>
      <c r="CI199">
        <v>863</v>
      </c>
      <c r="CJ199">
        <v>977</v>
      </c>
      <c r="CK199">
        <v>1049</v>
      </c>
      <c r="CL199">
        <v>1089</v>
      </c>
      <c r="CM199">
        <v>1161</v>
      </c>
      <c r="CN199">
        <v>1173</v>
      </c>
      <c r="CO199">
        <v>1199</v>
      </c>
      <c r="CP199">
        <v>1244</v>
      </c>
      <c r="CQ199">
        <v>1325</v>
      </c>
      <c r="CR199">
        <v>1360</v>
      </c>
      <c r="CS199">
        <v>1373</v>
      </c>
      <c r="CT199">
        <v>1379</v>
      </c>
      <c r="CU199" s="1">
        <v>1381</v>
      </c>
      <c r="CV199" s="1">
        <v>1384</v>
      </c>
      <c r="CW199" s="1">
        <v>1391</v>
      </c>
      <c r="CX199" s="1">
        <v>1396</v>
      </c>
      <c r="CY199" s="1">
        <v>1403</v>
      </c>
      <c r="CZ199" s="1">
        <v>1407</v>
      </c>
      <c r="DA199" s="1">
        <v>1408</v>
      </c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</row>
    <row r="200" spans="1:198" x14ac:dyDescent="0.4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  <c r="BS200">
        <v>756</v>
      </c>
      <c r="BT200">
        <v>802</v>
      </c>
      <c r="BU200">
        <v>841</v>
      </c>
      <c r="BV200">
        <v>897</v>
      </c>
      <c r="BW200">
        <v>934</v>
      </c>
      <c r="BX200">
        <v>977</v>
      </c>
      <c r="BY200">
        <v>997</v>
      </c>
      <c r="BZ200">
        <v>1021</v>
      </c>
      <c r="CA200">
        <v>1059</v>
      </c>
      <c r="CB200">
        <v>1091</v>
      </c>
      <c r="CC200">
        <v>1124</v>
      </c>
      <c r="CD200">
        <v>1160</v>
      </c>
      <c r="CE200">
        <v>1188</v>
      </c>
      <c r="CF200">
        <v>1205</v>
      </c>
      <c r="CG200">
        <v>1212</v>
      </c>
      <c r="CH200">
        <v>1220</v>
      </c>
      <c r="CI200">
        <v>1248</v>
      </c>
      <c r="CJ200">
        <v>1268</v>
      </c>
      <c r="CK200">
        <v>1304</v>
      </c>
      <c r="CL200">
        <v>1317</v>
      </c>
      <c r="CM200">
        <v>1330</v>
      </c>
      <c r="CN200">
        <v>1335</v>
      </c>
      <c r="CO200">
        <v>1344</v>
      </c>
      <c r="CP200">
        <v>1353</v>
      </c>
      <c r="CQ200">
        <v>1366</v>
      </c>
      <c r="CR200">
        <v>1373</v>
      </c>
      <c r="CS200">
        <v>1388</v>
      </c>
      <c r="CT200">
        <v>1396</v>
      </c>
      <c r="CU200" s="1">
        <v>1402</v>
      </c>
      <c r="CV200" s="1">
        <v>1408</v>
      </c>
      <c r="CW200" s="1">
        <v>1418</v>
      </c>
      <c r="CX200" s="1">
        <v>1429</v>
      </c>
      <c r="CY200" s="1">
        <v>1434</v>
      </c>
      <c r="CZ200" s="1">
        <v>1439</v>
      </c>
      <c r="DA200" s="1">
        <v>1439</v>
      </c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</row>
    <row r="201" spans="1:198" x14ac:dyDescent="0.4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  <c r="BS201">
        <v>3</v>
      </c>
      <c r="BT201">
        <v>5</v>
      </c>
      <c r="BU201">
        <v>5</v>
      </c>
      <c r="BV201">
        <v>5</v>
      </c>
      <c r="BW201">
        <v>7</v>
      </c>
      <c r="BX201">
        <v>7</v>
      </c>
      <c r="BY201">
        <v>7</v>
      </c>
      <c r="BZ201">
        <v>7</v>
      </c>
      <c r="CA201">
        <v>8</v>
      </c>
      <c r="CB201">
        <v>12</v>
      </c>
      <c r="CC201">
        <v>12</v>
      </c>
      <c r="CD201">
        <v>21</v>
      </c>
      <c r="CE201">
        <v>21</v>
      </c>
      <c r="CF201">
        <v>25</v>
      </c>
      <c r="CG201">
        <v>60</v>
      </c>
      <c r="CH201">
        <v>60</v>
      </c>
      <c r="CI201">
        <v>80</v>
      </c>
      <c r="CJ201">
        <v>80</v>
      </c>
      <c r="CK201">
        <v>116</v>
      </c>
      <c r="CL201">
        <v>135</v>
      </c>
      <c r="CM201">
        <v>164</v>
      </c>
      <c r="CN201">
        <v>237</v>
      </c>
      <c r="CO201">
        <v>286</v>
      </c>
      <c r="CP201">
        <v>286</v>
      </c>
      <c r="CQ201">
        <v>328</v>
      </c>
      <c r="CR201">
        <v>328</v>
      </c>
      <c r="CS201">
        <v>390</v>
      </c>
      <c r="CT201">
        <v>436</v>
      </c>
      <c r="CU201" s="1">
        <v>480</v>
      </c>
      <c r="CV201" s="1">
        <v>528</v>
      </c>
      <c r="CW201" s="1">
        <v>582</v>
      </c>
      <c r="CX201" s="1">
        <v>601</v>
      </c>
      <c r="CY201" s="1">
        <v>601</v>
      </c>
      <c r="CZ201" s="1">
        <v>671</v>
      </c>
      <c r="DA201" s="1">
        <v>722</v>
      </c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</row>
    <row r="202" spans="1:198" x14ac:dyDescent="0.4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  <c r="BS202">
        <v>1326</v>
      </c>
      <c r="BT202">
        <v>1353</v>
      </c>
      <c r="BU202">
        <v>1380</v>
      </c>
      <c r="BV202">
        <v>1462</v>
      </c>
      <c r="BW202">
        <v>1505</v>
      </c>
      <c r="BX202">
        <v>1585</v>
      </c>
      <c r="BY202">
        <v>1655</v>
      </c>
      <c r="BZ202">
        <v>1686</v>
      </c>
      <c r="CA202">
        <v>1749</v>
      </c>
      <c r="CB202">
        <v>1845</v>
      </c>
      <c r="CC202">
        <v>1934</v>
      </c>
      <c r="CD202">
        <v>2003</v>
      </c>
      <c r="CE202">
        <v>2028</v>
      </c>
      <c r="CF202">
        <v>2173</v>
      </c>
      <c r="CG202">
        <v>2272</v>
      </c>
      <c r="CH202">
        <v>2415</v>
      </c>
      <c r="CI202">
        <v>2506</v>
      </c>
      <c r="CJ202">
        <v>2605</v>
      </c>
      <c r="CK202">
        <v>2783</v>
      </c>
      <c r="CL202">
        <v>3034</v>
      </c>
      <c r="CM202">
        <v>3158</v>
      </c>
      <c r="CN202">
        <v>3300</v>
      </c>
      <c r="CO202">
        <v>3465</v>
      </c>
      <c r="CP202">
        <v>3635</v>
      </c>
      <c r="CQ202">
        <v>3953</v>
      </c>
      <c r="CR202">
        <v>4220</v>
      </c>
      <c r="CS202">
        <v>4361</v>
      </c>
      <c r="CT202">
        <v>4546</v>
      </c>
      <c r="CU202" s="1">
        <v>4793</v>
      </c>
      <c r="CV202" s="1">
        <v>4996</v>
      </c>
      <c r="CW202" s="1">
        <v>5350</v>
      </c>
      <c r="CX202" s="1">
        <v>5647</v>
      </c>
      <c r="CY202" s="1">
        <v>5951</v>
      </c>
      <c r="CZ202" s="1">
        <v>6336</v>
      </c>
      <c r="DA202" s="1">
        <v>6783</v>
      </c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</row>
    <row r="203" spans="1:198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  <c r="BS203">
        <v>87956</v>
      </c>
      <c r="BT203">
        <v>95923</v>
      </c>
      <c r="BU203">
        <v>104118</v>
      </c>
      <c r="BV203">
        <v>112065</v>
      </c>
      <c r="BW203">
        <v>119199</v>
      </c>
      <c r="BX203">
        <v>126168</v>
      </c>
      <c r="BY203">
        <v>131646</v>
      </c>
      <c r="BZ203">
        <v>136675</v>
      </c>
      <c r="CA203">
        <v>141942</v>
      </c>
      <c r="CB203">
        <v>148220</v>
      </c>
      <c r="CC203">
        <v>153222</v>
      </c>
      <c r="CD203">
        <v>158273</v>
      </c>
      <c r="CE203">
        <v>163027</v>
      </c>
      <c r="CF203">
        <v>166831</v>
      </c>
      <c r="CG203">
        <v>170099</v>
      </c>
      <c r="CH203">
        <v>172541</v>
      </c>
      <c r="CI203">
        <v>177644</v>
      </c>
      <c r="CJ203">
        <v>184948</v>
      </c>
      <c r="CK203">
        <v>190839</v>
      </c>
      <c r="CL203">
        <v>191726</v>
      </c>
      <c r="CM203">
        <v>198674</v>
      </c>
      <c r="CN203">
        <v>200210</v>
      </c>
      <c r="CO203">
        <v>204178</v>
      </c>
      <c r="CP203">
        <v>208389</v>
      </c>
      <c r="CQ203">
        <v>213024</v>
      </c>
      <c r="CR203">
        <v>202990</v>
      </c>
      <c r="CS203">
        <v>205905</v>
      </c>
      <c r="CT203">
        <v>207634</v>
      </c>
      <c r="CU203" s="1">
        <v>209465</v>
      </c>
      <c r="CV203" s="1">
        <v>210773</v>
      </c>
      <c r="CW203" s="1">
        <v>212917</v>
      </c>
      <c r="CX203" s="1">
        <v>213435</v>
      </c>
      <c r="CY203" s="1">
        <v>213435</v>
      </c>
      <c r="CZ203" s="1">
        <v>216582</v>
      </c>
      <c r="DA203" s="1">
        <v>217466</v>
      </c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</row>
    <row r="204" spans="1:198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  <c r="BS204">
        <v>122</v>
      </c>
      <c r="BT204">
        <v>143</v>
      </c>
      <c r="BU204">
        <v>146</v>
      </c>
      <c r="BV204">
        <v>151</v>
      </c>
      <c r="BW204">
        <v>159</v>
      </c>
      <c r="BX204">
        <v>166</v>
      </c>
      <c r="BY204">
        <v>176</v>
      </c>
      <c r="BZ204">
        <v>178</v>
      </c>
      <c r="CA204">
        <v>185</v>
      </c>
      <c r="CB204">
        <v>189</v>
      </c>
      <c r="CC204">
        <v>190</v>
      </c>
      <c r="CD204">
        <v>190</v>
      </c>
      <c r="CE204">
        <v>198</v>
      </c>
      <c r="CF204">
        <v>210</v>
      </c>
      <c r="CG204">
        <v>217</v>
      </c>
      <c r="CH204">
        <v>233</v>
      </c>
      <c r="CI204">
        <v>238</v>
      </c>
      <c r="CJ204">
        <v>238</v>
      </c>
      <c r="CK204">
        <v>244</v>
      </c>
      <c r="CL204">
        <v>254</v>
      </c>
      <c r="CM204">
        <v>271</v>
      </c>
      <c r="CN204">
        <v>304</v>
      </c>
      <c r="CO204">
        <v>310</v>
      </c>
      <c r="CP204">
        <v>330</v>
      </c>
      <c r="CQ204">
        <v>368</v>
      </c>
      <c r="CR204">
        <v>420</v>
      </c>
      <c r="CS204">
        <v>460</v>
      </c>
      <c r="CT204">
        <v>523</v>
      </c>
      <c r="CU204" s="1">
        <v>588</v>
      </c>
      <c r="CV204" s="1">
        <v>619</v>
      </c>
      <c r="CW204" s="1">
        <v>649</v>
      </c>
      <c r="CX204" s="1">
        <v>663</v>
      </c>
      <c r="CY204" s="1">
        <v>690</v>
      </c>
      <c r="CZ204" s="1">
        <v>705</v>
      </c>
      <c r="DA204" s="1">
        <v>718</v>
      </c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</row>
    <row r="205" spans="1:198" x14ac:dyDescent="0.4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  <c r="BS205">
        <v>6</v>
      </c>
      <c r="BT205">
        <v>7</v>
      </c>
      <c r="BU205">
        <v>7</v>
      </c>
      <c r="BV205">
        <v>8</v>
      </c>
      <c r="BW205">
        <v>10</v>
      </c>
      <c r="BX205">
        <v>10</v>
      </c>
      <c r="BY205">
        <v>12</v>
      </c>
      <c r="BZ205">
        <v>12</v>
      </c>
      <c r="CA205">
        <v>14</v>
      </c>
      <c r="CB205">
        <v>14</v>
      </c>
      <c r="CC205">
        <v>15</v>
      </c>
      <c r="CD205">
        <v>17</v>
      </c>
      <c r="CE205">
        <v>19</v>
      </c>
      <c r="CF205">
        <v>19</v>
      </c>
      <c r="CG205">
        <v>29</v>
      </c>
      <c r="CH205">
        <v>32</v>
      </c>
      <c r="CI205">
        <v>32</v>
      </c>
      <c r="CJ205">
        <v>32</v>
      </c>
      <c r="CK205">
        <v>33</v>
      </c>
      <c r="CL205">
        <v>66</v>
      </c>
      <c r="CM205">
        <v>66</v>
      </c>
      <c r="CN205">
        <v>107</v>
      </c>
      <c r="CO205">
        <v>107</v>
      </c>
      <c r="CP205">
        <v>140</v>
      </c>
      <c r="CQ205">
        <v>174</v>
      </c>
      <c r="CR205">
        <v>174</v>
      </c>
      <c r="CS205">
        <v>213</v>
      </c>
      <c r="CT205">
        <v>237</v>
      </c>
      <c r="CU205" s="1">
        <v>275</v>
      </c>
      <c r="CV205" s="1">
        <v>318</v>
      </c>
      <c r="CW205" s="1">
        <v>375</v>
      </c>
      <c r="CX205" s="1">
        <v>442</v>
      </c>
      <c r="CY205" s="1">
        <v>533</v>
      </c>
      <c r="CZ205" s="1">
        <v>592</v>
      </c>
      <c r="DA205" s="1">
        <v>592</v>
      </c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</row>
    <row r="206" spans="1:198" x14ac:dyDescent="0.4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  <c r="BS206">
        <v>8</v>
      </c>
      <c r="BT206">
        <v>9</v>
      </c>
      <c r="BU206">
        <v>10</v>
      </c>
      <c r="BV206">
        <v>10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  <c r="CM206">
        <v>10</v>
      </c>
      <c r="CN206">
        <v>10</v>
      </c>
      <c r="CO206">
        <v>10</v>
      </c>
      <c r="CP206">
        <v>10</v>
      </c>
      <c r="CQ206">
        <v>10</v>
      </c>
      <c r="CR206">
        <v>10</v>
      </c>
      <c r="CS206">
        <v>10</v>
      </c>
      <c r="CT206">
        <v>10</v>
      </c>
      <c r="CU206" s="1">
        <v>10</v>
      </c>
      <c r="CV206" s="1">
        <v>10</v>
      </c>
      <c r="CW206" s="1">
        <v>10</v>
      </c>
      <c r="CX206" s="1">
        <v>10</v>
      </c>
      <c r="CY206" s="1">
        <v>10</v>
      </c>
      <c r="CZ206" s="1">
        <v>10</v>
      </c>
      <c r="DA206" s="1">
        <v>10</v>
      </c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</row>
    <row r="207" spans="1:198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  <c r="BS207">
        <v>4028</v>
      </c>
      <c r="BT207">
        <v>4435</v>
      </c>
      <c r="BU207">
        <v>4947</v>
      </c>
      <c r="BV207">
        <v>5568</v>
      </c>
      <c r="BW207">
        <v>6131</v>
      </c>
      <c r="BX207">
        <v>6443</v>
      </c>
      <c r="BY207">
        <v>6830</v>
      </c>
      <c r="BZ207">
        <v>7206</v>
      </c>
      <c r="CA207">
        <v>7693</v>
      </c>
      <c r="CB207">
        <v>8419</v>
      </c>
      <c r="CC207">
        <v>9141</v>
      </c>
      <c r="CD207">
        <v>9685</v>
      </c>
      <c r="CE207">
        <v>10151</v>
      </c>
      <c r="CF207">
        <v>10483</v>
      </c>
      <c r="CG207">
        <v>10948</v>
      </c>
      <c r="CH207">
        <v>11445</v>
      </c>
      <c r="CI207">
        <v>11927</v>
      </c>
      <c r="CJ207">
        <v>12540</v>
      </c>
      <c r="CK207">
        <v>13216</v>
      </c>
      <c r="CL207">
        <v>13822</v>
      </c>
      <c r="CM207">
        <v>14385</v>
      </c>
      <c r="CN207">
        <v>14777</v>
      </c>
      <c r="CO207">
        <v>15322</v>
      </c>
      <c r="CP207">
        <v>16004</v>
      </c>
      <c r="CQ207">
        <v>16755</v>
      </c>
      <c r="CR207">
        <v>17567</v>
      </c>
      <c r="CS207">
        <v>18177</v>
      </c>
      <c r="CT207">
        <v>18640</v>
      </c>
      <c r="CU207" s="1">
        <v>18926</v>
      </c>
      <c r="CV207" s="1">
        <v>19621</v>
      </c>
      <c r="CW207" s="1">
        <v>20302</v>
      </c>
      <c r="CX207" s="1">
        <v>21092</v>
      </c>
      <c r="CY207" s="1">
        <v>21520</v>
      </c>
      <c r="CZ207" s="1">
        <v>22082</v>
      </c>
      <c r="DA207" s="1">
        <v>22317</v>
      </c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</row>
    <row r="208" spans="1:198" x14ac:dyDescent="0.4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  <c r="BS208">
        <v>15922</v>
      </c>
      <c r="BT208">
        <v>16605</v>
      </c>
      <c r="BU208">
        <v>17768</v>
      </c>
      <c r="BV208">
        <v>18827</v>
      </c>
      <c r="BW208">
        <v>19606</v>
      </c>
      <c r="BX208">
        <v>20505</v>
      </c>
      <c r="BY208">
        <v>21100</v>
      </c>
      <c r="BZ208">
        <v>21657</v>
      </c>
      <c r="CA208">
        <v>22253</v>
      </c>
      <c r="CB208">
        <v>23280</v>
      </c>
      <c r="CC208">
        <v>24051</v>
      </c>
      <c r="CD208">
        <v>24551</v>
      </c>
      <c r="CE208">
        <v>25107</v>
      </c>
      <c r="CF208">
        <v>25415</v>
      </c>
      <c r="CG208">
        <v>25688</v>
      </c>
      <c r="CH208">
        <v>25936</v>
      </c>
      <c r="CI208">
        <v>26336</v>
      </c>
      <c r="CJ208">
        <v>26732</v>
      </c>
      <c r="CK208">
        <v>27078</v>
      </c>
      <c r="CL208">
        <v>27404</v>
      </c>
      <c r="CM208">
        <v>27740</v>
      </c>
      <c r="CN208">
        <v>27944</v>
      </c>
      <c r="CO208">
        <v>28063</v>
      </c>
      <c r="CP208">
        <v>28268</v>
      </c>
      <c r="CQ208">
        <v>28496</v>
      </c>
      <c r="CR208">
        <v>28677</v>
      </c>
      <c r="CS208">
        <v>28894</v>
      </c>
      <c r="CT208">
        <v>29061</v>
      </c>
      <c r="CU208" s="1">
        <v>29164</v>
      </c>
      <c r="CV208" s="1">
        <v>29264</v>
      </c>
      <c r="CW208" s="1">
        <v>29407</v>
      </c>
      <c r="CX208" s="1">
        <v>29586</v>
      </c>
      <c r="CY208" s="1">
        <v>29705</v>
      </c>
      <c r="CZ208" s="1">
        <v>29817</v>
      </c>
      <c r="DA208" s="1">
        <v>29905</v>
      </c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</row>
    <row r="209" spans="1:198" x14ac:dyDescent="0.4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  <c r="BS209">
        <v>306</v>
      </c>
      <c r="BT209">
        <v>322</v>
      </c>
      <c r="BU209">
        <v>329</v>
      </c>
      <c r="BV209">
        <v>339</v>
      </c>
      <c r="BW209">
        <v>348</v>
      </c>
      <c r="BX209">
        <v>355</v>
      </c>
      <c r="BY209">
        <v>363</v>
      </c>
      <c r="BZ209">
        <v>373</v>
      </c>
      <c r="CA209">
        <v>376</v>
      </c>
      <c r="CB209">
        <v>379</v>
      </c>
      <c r="CC209">
        <v>380</v>
      </c>
      <c r="CD209">
        <v>382</v>
      </c>
      <c r="CE209">
        <v>385</v>
      </c>
      <c r="CF209">
        <v>388</v>
      </c>
      <c r="CG209">
        <v>393</v>
      </c>
      <c r="CH209">
        <v>393</v>
      </c>
      <c r="CI209">
        <v>395</v>
      </c>
      <c r="CJ209">
        <v>395</v>
      </c>
      <c r="CK209">
        <v>395</v>
      </c>
      <c r="CL209">
        <v>398</v>
      </c>
      <c r="CM209">
        <v>420</v>
      </c>
      <c r="CN209">
        <v>422</v>
      </c>
      <c r="CO209">
        <v>425</v>
      </c>
      <c r="CP209">
        <v>426</v>
      </c>
      <c r="CQ209">
        <v>427</v>
      </c>
      <c r="CR209">
        <v>428</v>
      </c>
      <c r="CS209">
        <v>429</v>
      </c>
      <c r="CT209">
        <v>429</v>
      </c>
      <c r="CU209" s="1">
        <v>429</v>
      </c>
      <c r="CV209" s="1">
        <v>429</v>
      </c>
      <c r="CW209" s="1">
        <v>429</v>
      </c>
      <c r="CX209" s="1">
        <v>429</v>
      </c>
      <c r="CY209" s="1">
        <v>429</v>
      </c>
      <c r="CZ209" s="1">
        <v>432</v>
      </c>
      <c r="DA209" s="1">
        <v>436</v>
      </c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</row>
    <row r="210" spans="1:198" x14ac:dyDescent="0.4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  <c r="BS210">
        <v>19</v>
      </c>
      <c r="BT210">
        <v>19</v>
      </c>
      <c r="BU210">
        <v>20</v>
      </c>
      <c r="BV210">
        <v>20</v>
      </c>
      <c r="BW210">
        <v>20</v>
      </c>
      <c r="BX210">
        <v>20</v>
      </c>
      <c r="BY210">
        <v>22</v>
      </c>
      <c r="BZ210">
        <v>24</v>
      </c>
      <c r="CA210">
        <v>24</v>
      </c>
      <c r="CB210">
        <v>25</v>
      </c>
      <c r="CC210">
        <v>25</v>
      </c>
      <c r="CD210">
        <v>32</v>
      </c>
      <c r="CE210">
        <v>32</v>
      </c>
      <c r="CF210">
        <v>32</v>
      </c>
      <c r="CG210">
        <v>49</v>
      </c>
      <c r="CH210">
        <v>53</v>
      </c>
      <c r="CI210">
        <v>88</v>
      </c>
      <c r="CJ210">
        <v>94</v>
      </c>
      <c r="CK210">
        <v>147</v>
      </c>
      <c r="CL210">
        <v>147</v>
      </c>
      <c r="CM210">
        <v>170</v>
      </c>
      <c r="CN210">
        <v>254</v>
      </c>
      <c r="CO210">
        <v>254</v>
      </c>
      <c r="CP210">
        <v>284</v>
      </c>
      <c r="CQ210">
        <v>284</v>
      </c>
      <c r="CR210">
        <v>299</v>
      </c>
      <c r="CS210">
        <v>299</v>
      </c>
      <c r="CT210">
        <v>299</v>
      </c>
      <c r="CU210" s="1">
        <v>299</v>
      </c>
      <c r="CV210" s="1">
        <v>299</v>
      </c>
      <c r="CW210" s="1">
        <v>480</v>
      </c>
      <c r="CX210" s="1">
        <v>480</v>
      </c>
      <c r="CY210" s="1">
        <v>480</v>
      </c>
      <c r="CZ210" s="1">
        <v>480</v>
      </c>
      <c r="DA210" s="1">
        <v>480</v>
      </c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</row>
    <row r="211" spans="1:198" x14ac:dyDescent="0.4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  <c r="BS211">
        <v>1524</v>
      </c>
      <c r="BT211">
        <v>1651</v>
      </c>
      <c r="BU211">
        <v>1771</v>
      </c>
      <c r="BV211">
        <v>1875</v>
      </c>
      <c r="BW211">
        <v>1978</v>
      </c>
      <c r="BX211">
        <v>2067</v>
      </c>
      <c r="BY211">
        <v>2169</v>
      </c>
      <c r="BZ211">
        <v>2220</v>
      </c>
      <c r="CA211">
        <v>2258</v>
      </c>
      <c r="CB211">
        <v>2369</v>
      </c>
      <c r="CC211">
        <v>2423</v>
      </c>
      <c r="CD211">
        <v>2473</v>
      </c>
      <c r="CE211">
        <v>2518</v>
      </c>
      <c r="CF211">
        <v>2551</v>
      </c>
      <c r="CG211">
        <v>2579</v>
      </c>
      <c r="CH211">
        <v>2613</v>
      </c>
      <c r="CI211">
        <v>2643</v>
      </c>
      <c r="CJ211">
        <v>2672</v>
      </c>
      <c r="CK211">
        <v>2700</v>
      </c>
      <c r="CL211">
        <v>2733</v>
      </c>
      <c r="CM211">
        <v>2765</v>
      </c>
      <c r="CN211">
        <v>2792</v>
      </c>
      <c r="CO211">
        <v>2811</v>
      </c>
      <c r="CP211">
        <v>2826</v>
      </c>
      <c r="CQ211">
        <v>2839</v>
      </c>
      <c r="CR211">
        <v>2907</v>
      </c>
      <c r="CS211">
        <v>2907</v>
      </c>
      <c r="CT211">
        <v>2922</v>
      </c>
      <c r="CU211" s="1">
        <v>2931</v>
      </c>
      <c r="CV211" s="1">
        <v>2938</v>
      </c>
      <c r="CW211" s="1">
        <v>2947</v>
      </c>
      <c r="CX211" s="1">
        <v>2954</v>
      </c>
      <c r="CY211" s="1">
        <v>2960</v>
      </c>
      <c r="CZ211" s="1">
        <v>2966</v>
      </c>
      <c r="DA211" s="1">
        <v>2969</v>
      </c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</row>
    <row r="212" spans="1:198" x14ac:dyDescent="0.4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  <c r="BS212">
        <v>30</v>
      </c>
      <c r="BT212">
        <v>34</v>
      </c>
      <c r="BU212">
        <v>36</v>
      </c>
      <c r="BV212">
        <v>39</v>
      </c>
      <c r="BW212">
        <v>40</v>
      </c>
      <c r="BX212">
        <v>41</v>
      </c>
      <c r="BY212">
        <v>44</v>
      </c>
      <c r="BZ212">
        <v>58</v>
      </c>
      <c r="CA212">
        <v>65</v>
      </c>
      <c r="CB212">
        <v>70</v>
      </c>
      <c r="CC212">
        <v>73</v>
      </c>
      <c r="CD212">
        <v>76</v>
      </c>
      <c r="CE212">
        <v>76</v>
      </c>
      <c r="CF212">
        <v>76</v>
      </c>
      <c r="CG212">
        <v>77</v>
      </c>
      <c r="CH212">
        <v>77</v>
      </c>
      <c r="CI212">
        <v>81</v>
      </c>
      <c r="CJ212">
        <v>81</v>
      </c>
      <c r="CK212">
        <v>83</v>
      </c>
      <c r="CL212">
        <v>84</v>
      </c>
      <c r="CM212">
        <v>84</v>
      </c>
      <c r="CN212">
        <v>84</v>
      </c>
      <c r="CO212">
        <v>86</v>
      </c>
      <c r="CP212">
        <v>88</v>
      </c>
      <c r="CQ212">
        <v>88</v>
      </c>
      <c r="CR212">
        <v>90</v>
      </c>
      <c r="CS212">
        <v>96</v>
      </c>
      <c r="CT212">
        <v>98</v>
      </c>
      <c r="CU212" s="1">
        <v>98</v>
      </c>
      <c r="CV212" s="1">
        <v>99</v>
      </c>
      <c r="CW212" s="1">
        <v>109</v>
      </c>
      <c r="CX212" s="1">
        <v>116</v>
      </c>
      <c r="CY212" s="1">
        <v>123</v>
      </c>
      <c r="CZ212" s="1">
        <v>123</v>
      </c>
      <c r="DA212" s="1">
        <v>124</v>
      </c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</row>
    <row r="213" spans="1:198" x14ac:dyDescent="0.4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  <c r="BS213">
        <v>82</v>
      </c>
      <c r="BT213">
        <v>87</v>
      </c>
      <c r="BU213">
        <v>90</v>
      </c>
      <c r="BV213">
        <v>94</v>
      </c>
      <c r="BW213">
        <v>98</v>
      </c>
      <c r="BX213">
        <v>103</v>
      </c>
      <c r="BY213">
        <v>104</v>
      </c>
      <c r="BZ213">
        <v>105</v>
      </c>
      <c r="CA213">
        <v>107</v>
      </c>
      <c r="CB213">
        <v>107</v>
      </c>
      <c r="CC213">
        <v>109</v>
      </c>
      <c r="CD213">
        <v>109</v>
      </c>
      <c r="CE213">
        <v>112</v>
      </c>
      <c r="CF213">
        <v>113</v>
      </c>
      <c r="CG213">
        <v>113</v>
      </c>
      <c r="CH213">
        <v>113</v>
      </c>
      <c r="CI213">
        <v>114</v>
      </c>
      <c r="CJ213">
        <v>114</v>
      </c>
      <c r="CK213">
        <v>114</v>
      </c>
      <c r="CL213">
        <v>114</v>
      </c>
      <c r="CM213">
        <v>114</v>
      </c>
      <c r="CN213">
        <v>114</v>
      </c>
      <c r="CO213">
        <v>115</v>
      </c>
      <c r="CP213">
        <v>115</v>
      </c>
      <c r="CQ213">
        <v>115</v>
      </c>
      <c r="CR213">
        <v>115</v>
      </c>
      <c r="CS213">
        <v>115</v>
      </c>
      <c r="CT213">
        <v>115</v>
      </c>
      <c r="CU213" s="1">
        <v>116</v>
      </c>
      <c r="CV213" s="1">
        <v>116</v>
      </c>
      <c r="CW213" s="1">
        <v>116</v>
      </c>
      <c r="CX213" s="1">
        <v>116</v>
      </c>
      <c r="CY213" s="1">
        <v>116</v>
      </c>
      <c r="CZ213" s="1">
        <v>116</v>
      </c>
      <c r="DA213" s="1">
        <v>116</v>
      </c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</row>
    <row r="214" spans="1:198" x14ac:dyDescent="0.4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  <c r="BS214">
        <v>312</v>
      </c>
      <c r="BT214">
        <v>394</v>
      </c>
      <c r="BU214">
        <v>423</v>
      </c>
      <c r="BV214">
        <v>455</v>
      </c>
      <c r="BW214">
        <v>495</v>
      </c>
      <c r="BX214">
        <v>553</v>
      </c>
      <c r="BY214">
        <v>574</v>
      </c>
      <c r="BZ214">
        <v>596</v>
      </c>
      <c r="CA214">
        <v>623</v>
      </c>
      <c r="CB214">
        <v>628</v>
      </c>
      <c r="CC214">
        <v>643</v>
      </c>
      <c r="CD214">
        <v>671</v>
      </c>
      <c r="CE214">
        <v>685</v>
      </c>
      <c r="CF214">
        <v>707</v>
      </c>
      <c r="CG214">
        <v>726</v>
      </c>
      <c r="CH214">
        <v>747</v>
      </c>
      <c r="CI214">
        <v>780</v>
      </c>
      <c r="CJ214">
        <v>822</v>
      </c>
      <c r="CK214">
        <v>864</v>
      </c>
      <c r="CL214">
        <v>864</v>
      </c>
      <c r="CM214">
        <v>879</v>
      </c>
      <c r="CN214">
        <v>884</v>
      </c>
      <c r="CO214">
        <v>884</v>
      </c>
      <c r="CP214">
        <v>909</v>
      </c>
      <c r="CQ214">
        <v>918</v>
      </c>
      <c r="CR214">
        <v>922</v>
      </c>
      <c r="CS214">
        <v>939</v>
      </c>
      <c r="CT214">
        <v>949</v>
      </c>
      <c r="CU214" s="1">
        <v>967</v>
      </c>
      <c r="CV214" s="1">
        <v>975</v>
      </c>
      <c r="CW214" s="1">
        <v>980</v>
      </c>
      <c r="CX214" s="1">
        <v>994</v>
      </c>
      <c r="CY214" s="1">
        <v>998</v>
      </c>
      <c r="CZ214" s="1">
        <v>1009</v>
      </c>
      <c r="DA214" s="1">
        <v>1013</v>
      </c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</row>
    <row r="215" spans="1:198" x14ac:dyDescent="0.4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  <c r="BS215">
        <v>10827</v>
      </c>
      <c r="BT215">
        <v>13531</v>
      </c>
      <c r="BU215">
        <v>15679</v>
      </c>
      <c r="BV215">
        <v>18135</v>
      </c>
      <c r="BW215">
        <v>20921</v>
      </c>
      <c r="BX215">
        <v>23934</v>
      </c>
      <c r="BY215">
        <v>27069</v>
      </c>
      <c r="BZ215">
        <v>30217</v>
      </c>
      <c r="CA215">
        <v>34109</v>
      </c>
      <c r="CB215">
        <v>38226</v>
      </c>
      <c r="CC215">
        <v>42282</v>
      </c>
      <c r="CD215">
        <v>47029</v>
      </c>
      <c r="CE215">
        <v>52167</v>
      </c>
      <c r="CF215">
        <v>56956</v>
      </c>
      <c r="CG215">
        <v>61049</v>
      </c>
      <c r="CH215">
        <v>65111</v>
      </c>
      <c r="CI215">
        <v>69392</v>
      </c>
      <c r="CJ215">
        <v>74193</v>
      </c>
      <c r="CK215">
        <v>78546</v>
      </c>
      <c r="CL215">
        <v>82329</v>
      </c>
      <c r="CM215">
        <v>86306</v>
      </c>
      <c r="CN215">
        <v>90980</v>
      </c>
      <c r="CO215">
        <v>95591</v>
      </c>
      <c r="CP215">
        <v>98674</v>
      </c>
      <c r="CQ215">
        <v>101790</v>
      </c>
      <c r="CR215">
        <v>104912</v>
      </c>
      <c r="CS215">
        <v>107773</v>
      </c>
      <c r="CT215">
        <v>110130</v>
      </c>
      <c r="CU215" s="1">
        <v>112261</v>
      </c>
      <c r="CV215" s="1">
        <v>114653</v>
      </c>
      <c r="CW215" s="1">
        <v>117589</v>
      </c>
      <c r="CX215" s="1">
        <v>120204</v>
      </c>
      <c r="CY215" s="1">
        <v>122392</v>
      </c>
      <c r="CZ215" s="1">
        <v>124375</v>
      </c>
      <c r="DA215" s="1">
        <v>126045</v>
      </c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</row>
    <row r="216" spans="1:198" x14ac:dyDescent="0.4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  <c r="BS216">
        <v>33</v>
      </c>
      <c r="BT216">
        <v>44</v>
      </c>
      <c r="BU216">
        <v>44</v>
      </c>
      <c r="BV216">
        <v>45</v>
      </c>
      <c r="BW216">
        <v>48</v>
      </c>
      <c r="BX216">
        <v>48</v>
      </c>
      <c r="BY216">
        <v>52</v>
      </c>
      <c r="BZ216">
        <v>52</v>
      </c>
      <c r="CA216">
        <v>52</v>
      </c>
      <c r="CB216">
        <v>53</v>
      </c>
      <c r="CC216">
        <v>53</v>
      </c>
      <c r="CD216">
        <v>53</v>
      </c>
      <c r="CE216">
        <v>53</v>
      </c>
      <c r="CF216">
        <v>54</v>
      </c>
      <c r="CG216">
        <v>54</v>
      </c>
      <c r="CH216">
        <v>55</v>
      </c>
      <c r="CI216">
        <v>55</v>
      </c>
      <c r="CJ216">
        <v>55</v>
      </c>
      <c r="CK216">
        <v>56</v>
      </c>
      <c r="CL216">
        <v>55</v>
      </c>
      <c r="CM216">
        <v>55</v>
      </c>
      <c r="CN216">
        <v>56</v>
      </c>
      <c r="CO216">
        <v>61</v>
      </c>
      <c r="CP216">
        <v>63</v>
      </c>
      <c r="CQ216">
        <v>74</v>
      </c>
      <c r="CR216">
        <v>75</v>
      </c>
      <c r="CS216">
        <v>75</v>
      </c>
      <c r="CT216">
        <v>79</v>
      </c>
      <c r="CU216" s="1">
        <v>79</v>
      </c>
      <c r="CV216" s="1">
        <v>79</v>
      </c>
      <c r="CW216" s="1">
        <v>81</v>
      </c>
      <c r="CX216" s="1">
        <v>83</v>
      </c>
      <c r="CY216" s="1">
        <v>85</v>
      </c>
      <c r="CZ216" s="1">
        <v>88</v>
      </c>
      <c r="DA216" s="1">
        <v>89</v>
      </c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</row>
    <row r="217" spans="1:198" x14ac:dyDescent="0.4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  <c r="BS217">
        <v>548</v>
      </c>
      <c r="BT217">
        <v>645</v>
      </c>
      <c r="BU217">
        <v>794</v>
      </c>
      <c r="BV217">
        <v>897</v>
      </c>
      <c r="BW217">
        <v>1072</v>
      </c>
      <c r="BX217">
        <v>1225</v>
      </c>
      <c r="BY217">
        <v>1308</v>
      </c>
      <c r="BZ217">
        <v>1319</v>
      </c>
      <c r="CA217">
        <v>1462</v>
      </c>
      <c r="CB217">
        <v>1668</v>
      </c>
      <c r="CC217">
        <v>1892</v>
      </c>
      <c r="CD217">
        <v>2203</v>
      </c>
      <c r="CE217">
        <v>2511</v>
      </c>
      <c r="CF217">
        <v>2777</v>
      </c>
      <c r="CG217">
        <v>3102</v>
      </c>
      <c r="CH217">
        <v>3372</v>
      </c>
      <c r="CI217">
        <v>3764</v>
      </c>
      <c r="CJ217">
        <v>4161</v>
      </c>
      <c r="CK217">
        <v>4662</v>
      </c>
      <c r="CL217">
        <v>5106</v>
      </c>
      <c r="CM217">
        <v>5449</v>
      </c>
      <c r="CN217">
        <v>5710</v>
      </c>
      <c r="CO217">
        <v>6125</v>
      </c>
      <c r="CP217">
        <v>6592</v>
      </c>
      <c r="CQ217">
        <v>7170</v>
      </c>
      <c r="CR217">
        <v>7647</v>
      </c>
      <c r="CS217">
        <v>8125</v>
      </c>
      <c r="CT217">
        <v>8617</v>
      </c>
      <c r="CU217" s="1">
        <v>9009</v>
      </c>
      <c r="CV217" s="1">
        <v>9410</v>
      </c>
      <c r="CW217" s="1">
        <v>9866</v>
      </c>
      <c r="CX217" s="1">
        <v>10406</v>
      </c>
      <c r="CY217" s="1">
        <v>10861</v>
      </c>
      <c r="CZ217" s="1">
        <v>11411</v>
      </c>
      <c r="DA217" s="1">
        <v>11913</v>
      </c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</row>
    <row r="218" spans="1:198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  <c r="BS218">
        <v>611</v>
      </c>
      <c r="BT218">
        <v>664</v>
      </c>
      <c r="BU218">
        <v>814</v>
      </c>
      <c r="BV218">
        <v>1024</v>
      </c>
      <c r="BW218">
        <v>1264</v>
      </c>
      <c r="BX218">
        <v>1505</v>
      </c>
      <c r="BY218">
        <v>1799</v>
      </c>
      <c r="BZ218">
        <v>2076</v>
      </c>
      <c r="CA218">
        <v>2359</v>
      </c>
      <c r="CB218">
        <v>2659</v>
      </c>
      <c r="CC218">
        <v>2990</v>
      </c>
      <c r="CD218">
        <v>3360</v>
      </c>
      <c r="CE218">
        <v>3736</v>
      </c>
      <c r="CF218">
        <v>4123</v>
      </c>
      <c r="CG218">
        <v>4521</v>
      </c>
      <c r="CH218">
        <v>4933</v>
      </c>
      <c r="CI218">
        <v>5365</v>
      </c>
      <c r="CJ218">
        <v>5825</v>
      </c>
      <c r="CK218">
        <v>6302</v>
      </c>
      <c r="CL218">
        <v>6302</v>
      </c>
      <c r="CM218">
        <v>6781</v>
      </c>
      <c r="CN218">
        <v>7265</v>
      </c>
      <c r="CO218">
        <v>7755</v>
      </c>
      <c r="CP218">
        <v>8238</v>
      </c>
      <c r="CQ218">
        <v>8756</v>
      </c>
      <c r="CR218">
        <v>9281</v>
      </c>
      <c r="CS218">
        <v>9813</v>
      </c>
      <c r="CT218">
        <v>10349</v>
      </c>
      <c r="CU218" s="1">
        <v>10839</v>
      </c>
      <c r="CV218" s="1">
        <v>11380</v>
      </c>
      <c r="CW218" s="1">
        <v>11929</v>
      </c>
      <c r="CX218" s="1">
        <v>12481</v>
      </c>
      <c r="CY218" s="1">
        <v>13038</v>
      </c>
      <c r="CZ218" s="1">
        <v>13599</v>
      </c>
      <c r="DA218" s="1">
        <v>14163</v>
      </c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</row>
    <row r="219" spans="1:198" x14ac:dyDescent="0.4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  <c r="BS219">
        <v>27</v>
      </c>
      <c r="BT219">
        <v>32</v>
      </c>
      <c r="BU219">
        <v>32</v>
      </c>
      <c r="BV219">
        <v>35</v>
      </c>
      <c r="BW219">
        <v>35</v>
      </c>
      <c r="BX219">
        <v>35</v>
      </c>
      <c r="BY219">
        <v>37</v>
      </c>
      <c r="BZ219">
        <v>39</v>
      </c>
      <c r="CA219">
        <v>39</v>
      </c>
      <c r="CB219">
        <v>39</v>
      </c>
      <c r="CC219">
        <v>48</v>
      </c>
      <c r="CD219">
        <v>48</v>
      </c>
      <c r="CE219">
        <v>48</v>
      </c>
      <c r="CF219">
        <v>57</v>
      </c>
      <c r="CG219">
        <v>57</v>
      </c>
      <c r="CH219">
        <v>57</v>
      </c>
      <c r="CI219">
        <v>81</v>
      </c>
      <c r="CJ219">
        <v>81</v>
      </c>
      <c r="CK219">
        <v>83</v>
      </c>
      <c r="CL219">
        <v>83</v>
      </c>
      <c r="CM219">
        <v>86</v>
      </c>
      <c r="CN219">
        <v>86</v>
      </c>
      <c r="CO219">
        <v>86</v>
      </c>
      <c r="CP219">
        <v>99</v>
      </c>
      <c r="CQ219">
        <v>99</v>
      </c>
      <c r="CR219">
        <v>99</v>
      </c>
      <c r="CS219">
        <v>109</v>
      </c>
      <c r="CT219">
        <v>109</v>
      </c>
      <c r="CU219" s="1">
        <v>110</v>
      </c>
      <c r="CV219" s="1">
        <v>110</v>
      </c>
      <c r="CW219" s="1">
        <v>111</v>
      </c>
      <c r="CX219" s="1">
        <v>114</v>
      </c>
      <c r="CY219" s="1">
        <v>114</v>
      </c>
      <c r="CZ219" s="1">
        <v>114</v>
      </c>
      <c r="DA219" s="1">
        <v>115</v>
      </c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</row>
    <row r="220" spans="1:198" x14ac:dyDescent="0.4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  <c r="BS220">
        <v>12</v>
      </c>
      <c r="BT220">
        <v>14</v>
      </c>
      <c r="BU220">
        <v>22</v>
      </c>
      <c r="BV220">
        <v>28</v>
      </c>
      <c r="BW220">
        <v>28</v>
      </c>
      <c r="BX220">
        <v>35</v>
      </c>
      <c r="BY220">
        <v>35</v>
      </c>
      <c r="BZ220">
        <v>39</v>
      </c>
      <c r="CA220">
        <v>45</v>
      </c>
      <c r="CB220">
        <v>45</v>
      </c>
      <c r="CC220">
        <v>45</v>
      </c>
      <c r="CD220">
        <v>45</v>
      </c>
      <c r="CE220">
        <v>45</v>
      </c>
      <c r="CF220">
        <v>53</v>
      </c>
      <c r="CG220">
        <v>53</v>
      </c>
      <c r="CH220">
        <v>54</v>
      </c>
      <c r="CI220">
        <v>54</v>
      </c>
      <c r="CJ220">
        <v>60</v>
      </c>
      <c r="CK220">
        <v>61</v>
      </c>
      <c r="CL220">
        <v>61</v>
      </c>
      <c r="CM220">
        <v>61</v>
      </c>
      <c r="CN220">
        <v>66</v>
      </c>
      <c r="CO220">
        <v>66</v>
      </c>
      <c r="CP220">
        <v>66</v>
      </c>
      <c r="CQ220">
        <v>66</v>
      </c>
      <c r="CR220">
        <v>70</v>
      </c>
      <c r="CS220">
        <v>70</v>
      </c>
      <c r="CT220">
        <v>70</v>
      </c>
      <c r="CU220" s="1">
        <v>70</v>
      </c>
      <c r="CV220" s="1">
        <v>70</v>
      </c>
      <c r="CW220" s="1">
        <v>73</v>
      </c>
      <c r="CX220" s="1">
        <v>73</v>
      </c>
      <c r="CY220" s="1">
        <v>74</v>
      </c>
      <c r="CZ220" s="1">
        <v>74</v>
      </c>
      <c r="DA220" s="1">
        <v>74</v>
      </c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</row>
    <row r="221" spans="1:198" x14ac:dyDescent="0.4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  <c r="BS221">
        <v>141</v>
      </c>
      <c r="BT221">
        <v>141</v>
      </c>
      <c r="BU221">
        <v>172</v>
      </c>
      <c r="BV221">
        <v>193</v>
      </c>
      <c r="BW221">
        <v>232</v>
      </c>
      <c r="BX221">
        <v>262</v>
      </c>
      <c r="BY221">
        <v>309</v>
      </c>
      <c r="BZ221">
        <v>323</v>
      </c>
      <c r="CA221">
        <v>335</v>
      </c>
      <c r="CB221">
        <v>351</v>
      </c>
      <c r="CC221">
        <v>361</v>
      </c>
      <c r="CD221">
        <v>398</v>
      </c>
      <c r="CE221">
        <v>407</v>
      </c>
      <c r="CF221">
        <v>431</v>
      </c>
      <c r="CG221">
        <v>436</v>
      </c>
      <c r="CH221">
        <v>440</v>
      </c>
      <c r="CI221">
        <v>447</v>
      </c>
      <c r="CJ221">
        <v>457</v>
      </c>
      <c r="CK221">
        <v>470</v>
      </c>
      <c r="CL221">
        <v>484</v>
      </c>
      <c r="CM221">
        <v>488</v>
      </c>
      <c r="CN221">
        <v>488</v>
      </c>
      <c r="CO221">
        <v>496</v>
      </c>
      <c r="CP221">
        <v>498</v>
      </c>
      <c r="CQ221">
        <v>521</v>
      </c>
      <c r="CR221">
        <v>523</v>
      </c>
      <c r="CS221">
        <v>525</v>
      </c>
      <c r="CT221">
        <v>525</v>
      </c>
      <c r="CU221" s="1">
        <v>525</v>
      </c>
      <c r="CV221" s="1">
        <v>530</v>
      </c>
      <c r="CW221" s="1">
        <v>537</v>
      </c>
      <c r="CX221" s="1">
        <v>537</v>
      </c>
      <c r="CY221" s="1">
        <v>538</v>
      </c>
      <c r="CZ221" s="1">
        <v>543</v>
      </c>
      <c r="DA221" s="1">
        <v>544</v>
      </c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</row>
    <row r="222" spans="1:198" x14ac:dyDescent="0.4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  <c r="BS222">
        <v>69</v>
      </c>
      <c r="BT222">
        <v>69</v>
      </c>
      <c r="BU222">
        <v>81</v>
      </c>
      <c r="BV222">
        <v>88</v>
      </c>
      <c r="BW222">
        <v>95</v>
      </c>
      <c r="BX222">
        <v>98</v>
      </c>
      <c r="BY222">
        <v>103</v>
      </c>
      <c r="BZ222">
        <v>109</v>
      </c>
      <c r="CA222">
        <v>113</v>
      </c>
      <c r="CB222">
        <v>120</v>
      </c>
      <c r="CC222">
        <v>123</v>
      </c>
      <c r="CD222">
        <v>127</v>
      </c>
      <c r="CE222">
        <v>129</v>
      </c>
      <c r="CF222">
        <v>129</v>
      </c>
      <c r="CG222">
        <v>129</v>
      </c>
      <c r="CH222">
        <v>129</v>
      </c>
      <c r="CI222">
        <v>131</v>
      </c>
      <c r="CJ222">
        <v>131</v>
      </c>
      <c r="CK222">
        <v>132</v>
      </c>
      <c r="CL222">
        <v>132</v>
      </c>
      <c r="CM222">
        <v>132</v>
      </c>
      <c r="CN222">
        <v>132</v>
      </c>
      <c r="CO222">
        <v>132</v>
      </c>
      <c r="CP222">
        <v>132</v>
      </c>
      <c r="CQ222">
        <v>133</v>
      </c>
      <c r="CR222">
        <v>133</v>
      </c>
      <c r="CS222">
        <v>136</v>
      </c>
      <c r="CT222">
        <v>141</v>
      </c>
      <c r="CU222" s="1">
        <v>141</v>
      </c>
      <c r="CV222" s="1">
        <v>141</v>
      </c>
      <c r="CW222" s="1">
        <v>141</v>
      </c>
      <c r="CX222" s="1">
        <v>144</v>
      </c>
      <c r="CY222" s="1">
        <v>144</v>
      </c>
      <c r="CZ222" s="1">
        <v>144</v>
      </c>
      <c r="DA222" s="1">
        <v>144</v>
      </c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</row>
    <row r="223" spans="1:198" x14ac:dyDescent="0.4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  <c r="BS223">
        <v>49</v>
      </c>
      <c r="BT223">
        <v>60</v>
      </c>
      <c r="BU223">
        <v>68</v>
      </c>
      <c r="BV223">
        <v>95</v>
      </c>
      <c r="BW223">
        <v>114</v>
      </c>
      <c r="BX223">
        <v>126</v>
      </c>
      <c r="BY223">
        <v>127</v>
      </c>
      <c r="BZ223">
        <v>139</v>
      </c>
      <c r="CA223">
        <v>150</v>
      </c>
      <c r="CB223">
        <v>158</v>
      </c>
      <c r="CC223">
        <v>190</v>
      </c>
      <c r="CD223">
        <v>201</v>
      </c>
      <c r="CE223">
        <v>226</v>
      </c>
      <c r="CF223">
        <v>228</v>
      </c>
      <c r="CG223">
        <v>242</v>
      </c>
      <c r="CH223">
        <v>254</v>
      </c>
      <c r="CI223">
        <v>256</v>
      </c>
      <c r="CJ223">
        <v>284</v>
      </c>
      <c r="CK223">
        <v>291</v>
      </c>
      <c r="CL223">
        <v>297</v>
      </c>
      <c r="CM223">
        <v>298</v>
      </c>
      <c r="CN223">
        <v>300</v>
      </c>
      <c r="CO223">
        <v>307</v>
      </c>
      <c r="CP223">
        <v>307</v>
      </c>
      <c r="CQ223">
        <v>307</v>
      </c>
      <c r="CR223">
        <v>308</v>
      </c>
      <c r="CS223">
        <v>308</v>
      </c>
      <c r="CT223">
        <v>308</v>
      </c>
      <c r="CU223" s="1">
        <v>308</v>
      </c>
      <c r="CV223" s="1">
        <v>309</v>
      </c>
      <c r="CW223" s="1">
        <v>313</v>
      </c>
      <c r="CX223" s="1">
        <v>315</v>
      </c>
      <c r="CY223" s="1">
        <v>316</v>
      </c>
      <c r="CZ223" s="1">
        <v>320</v>
      </c>
      <c r="DA223" s="1">
        <v>321</v>
      </c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</row>
    <row r="224" spans="1:198" x14ac:dyDescent="0.4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6</v>
      </c>
      <c r="BX224">
        <v>6</v>
      </c>
      <c r="BY224">
        <v>6</v>
      </c>
      <c r="BZ224">
        <v>6</v>
      </c>
      <c r="CA224">
        <v>9</v>
      </c>
      <c r="CB224">
        <v>9</v>
      </c>
      <c r="CC224">
        <v>9</v>
      </c>
      <c r="CD224">
        <v>9</v>
      </c>
      <c r="CE224">
        <v>9</v>
      </c>
      <c r="CF224">
        <v>9</v>
      </c>
      <c r="CG224">
        <v>11</v>
      </c>
      <c r="CH224">
        <v>11</v>
      </c>
      <c r="CI224">
        <v>11</v>
      </c>
      <c r="CJ224">
        <v>11</v>
      </c>
      <c r="CK224">
        <v>11</v>
      </c>
      <c r="CL224">
        <v>11</v>
      </c>
      <c r="CM224">
        <v>11</v>
      </c>
      <c r="CN224">
        <v>11</v>
      </c>
      <c r="CO224">
        <v>11</v>
      </c>
      <c r="CP224">
        <v>11</v>
      </c>
      <c r="CQ224">
        <v>11</v>
      </c>
      <c r="CR224">
        <v>11</v>
      </c>
      <c r="CS224">
        <v>11</v>
      </c>
      <c r="CT224">
        <v>11</v>
      </c>
      <c r="CU224" s="1">
        <v>11</v>
      </c>
      <c r="CV224" s="1">
        <v>11</v>
      </c>
      <c r="CW224" s="1">
        <v>11</v>
      </c>
      <c r="CX224" s="1">
        <v>11</v>
      </c>
      <c r="CY224" s="1">
        <v>11</v>
      </c>
      <c r="CZ224" s="1">
        <v>11</v>
      </c>
      <c r="DA224" s="1">
        <v>11</v>
      </c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</row>
    <row r="225" spans="1:198" x14ac:dyDescent="0.4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  <c r="BS225">
        <v>22141</v>
      </c>
      <c r="BT225">
        <v>25150</v>
      </c>
      <c r="BU225">
        <v>29474</v>
      </c>
      <c r="BV225">
        <v>33718</v>
      </c>
      <c r="BW225">
        <v>38168</v>
      </c>
      <c r="BX225">
        <v>41903</v>
      </c>
      <c r="BY225">
        <v>47806</v>
      </c>
      <c r="BZ225">
        <v>51608</v>
      </c>
      <c r="CA225">
        <v>55242</v>
      </c>
      <c r="CB225">
        <v>60733</v>
      </c>
      <c r="CC225">
        <v>65077</v>
      </c>
      <c r="CD225">
        <v>73758</v>
      </c>
      <c r="CE225">
        <v>78991</v>
      </c>
      <c r="CF225">
        <v>84279</v>
      </c>
      <c r="CG225">
        <v>88621</v>
      </c>
      <c r="CH225">
        <v>93873</v>
      </c>
      <c r="CI225">
        <v>98476</v>
      </c>
      <c r="CJ225">
        <v>103093</v>
      </c>
      <c r="CK225">
        <v>108692</v>
      </c>
      <c r="CL225">
        <v>114217</v>
      </c>
      <c r="CM225">
        <v>120067</v>
      </c>
      <c r="CN225">
        <v>124743</v>
      </c>
      <c r="CO225">
        <v>129044</v>
      </c>
      <c r="CP225">
        <v>133495</v>
      </c>
      <c r="CQ225">
        <v>138078</v>
      </c>
      <c r="CR225">
        <v>143464</v>
      </c>
      <c r="CS225">
        <v>148377</v>
      </c>
      <c r="CT225">
        <v>152840</v>
      </c>
      <c r="CU225" s="1">
        <v>157149</v>
      </c>
      <c r="CV225" s="1">
        <v>161145</v>
      </c>
      <c r="CW225" s="1">
        <v>165221</v>
      </c>
      <c r="CX225" s="1">
        <v>171253</v>
      </c>
      <c r="CY225" s="1">
        <v>177454</v>
      </c>
      <c r="CZ225" s="1">
        <v>182260</v>
      </c>
      <c r="DA225" s="1">
        <v>186599</v>
      </c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</row>
    <row r="226" spans="1:198" x14ac:dyDescent="0.4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  <c r="BS226">
        <v>310</v>
      </c>
      <c r="BT226">
        <v>338</v>
      </c>
      <c r="BU226">
        <v>338</v>
      </c>
      <c r="BV226">
        <v>350</v>
      </c>
      <c r="BW226">
        <v>369</v>
      </c>
      <c r="BX226">
        <v>400</v>
      </c>
      <c r="BY226">
        <v>400</v>
      </c>
      <c r="BZ226">
        <v>406</v>
      </c>
      <c r="CA226">
        <v>424</v>
      </c>
      <c r="CB226">
        <v>424</v>
      </c>
      <c r="CC226">
        <v>456</v>
      </c>
      <c r="CD226">
        <v>473</v>
      </c>
      <c r="CE226">
        <v>494</v>
      </c>
      <c r="CF226">
        <v>480</v>
      </c>
      <c r="CG226">
        <v>480</v>
      </c>
      <c r="CH226">
        <v>483</v>
      </c>
      <c r="CI226">
        <v>492</v>
      </c>
      <c r="CJ226">
        <v>502</v>
      </c>
      <c r="CK226">
        <v>502</v>
      </c>
      <c r="CL226">
        <v>508</v>
      </c>
      <c r="CM226">
        <v>517</v>
      </c>
      <c r="CN226">
        <v>535</v>
      </c>
      <c r="CO226">
        <v>535</v>
      </c>
      <c r="CP226">
        <v>543</v>
      </c>
      <c r="CQ226">
        <v>557</v>
      </c>
      <c r="CR226">
        <v>563</v>
      </c>
      <c r="CS226">
        <v>596</v>
      </c>
      <c r="CT226">
        <v>606</v>
      </c>
      <c r="CU226" s="1">
        <v>620</v>
      </c>
      <c r="CV226" s="1">
        <v>625</v>
      </c>
      <c r="CW226" s="1">
        <v>630</v>
      </c>
      <c r="CX226" s="1">
        <v>643</v>
      </c>
      <c r="CY226" s="1">
        <v>648</v>
      </c>
      <c r="CZ226" s="1">
        <v>652</v>
      </c>
      <c r="DA226" s="1">
        <v>655</v>
      </c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</row>
    <row r="227" spans="1:198" x14ac:dyDescent="0.4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13747</v>
      </c>
      <c r="BI227">
        <v>19273</v>
      </c>
      <c r="BJ227">
        <v>25600</v>
      </c>
      <c r="BK227">
        <v>33276</v>
      </c>
      <c r="BL227">
        <v>43843</v>
      </c>
      <c r="BM227">
        <v>53736</v>
      </c>
      <c r="BN227">
        <v>65778</v>
      </c>
      <c r="BO227">
        <v>83836</v>
      </c>
      <c r="BP227">
        <v>101657</v>
      </c>
      <c r="BQ227">
        <v>121465</v>
      </c>
      <c r="BR227">
        <v>140909</v>
      </c>
      <c r="BS227">
        <v>161831</v>
      </c>
      <c r="BT227">
        <v>188172</v>
      </c>
      <c r="BU227">
        <v>213242</v>
      </c>
      <c r="BV227">
        <v>243622</v>
      </c>
      <c r="BW227">
        <v>275367</v>
      </c>
      <c r="BX227">
        <v>308650</v>
      </c>
      <c r="BY227">
        <v>336802</v>
      </c>
      <c r="BZ227">
        <v>366317</v>
      </c>
      <c r="CA227">
        <v>397121</v>
      </c>
      <c r="CB227">
        <v>428654</v>
      </c>
      <c r="CC227">
        <v>462780</v>
      </c>
      <c r="CD227">
        <v>496535</v>
      </c>
      <c r="CE227">
        <v>526396</v>
      </c>
      <c r="CF227">
        <v>555313</v>
      </c>
      <c r="CG227">
        <v>580619</v>
      </c>
      <c r="CH227">
        <v>607670</v>
      </c>
      <c r="CI227">
        <v>636350</v>
      </c>
      <c r="CJ227">
        <v>667592</v>
      </c>
      <c r="CK227">
        <v>699706</v>
      </c>
      <c r="CL227">
        <v>732197</v>
      </c>
      <c r="CM227">
        <v>758809</v>
      </c>
      <c r="CN227">
        <v>784326</v>
      </c>
      <c r="CO227">
        <v>811865</v>
      </c>
      <c r="CP227">
        <v>840351</v>
      </c>
      <c r="CQ227">
        <v>869170</v>
      </c>
      <c r="CR227">
        <v>905358</v>
      </c>
      <c r="CS227">
        <v>938154</v>
      </c>
      <c r="CT227">
        <v>965785</v>
      </c>
      <c r="CU227" s="1">
        <v>988197</v>
      </c>
      <c r="CV227" s="1">
        <v>1012582</v>
      </c>
      <c r="CW227" s="1">
        <v>1039909</v>
      </c>
      <c r="CX227" s="1">
        <v>1069424</v>
      </c>
      <c r="CY227" s="1">
        <v>1103461</v>
      </c>
      <c r="CZ227" s="1">
        <v>1132539</v>
      </c>
      <c r="DA227" s="1">
        <v>1158040</v>
      </c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</row>
    <row r="228" spans="1:198" x14ac:dyDescent="0.4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  <c r="BS228">
        <v>149</v>
      </c>
      <c r="BT228">
        <v>172</v>
      </c>
      <c r="BU228">
        <v>181</v>
      </c>
      <c r="BV228">
        <v>205</v>
      </c>
      <c r="BW228">
        <v>227</v>
      </c>
      <c r="BX228">
        <v>266</v>
      </c>
      <c r="BY228">
        <v>342</v>
      </c>
      <c r="BZ228">
        <v>457</v>
      </c>
      <c r="CA228">
        <v>520</v>
      </c>
      <c r="CB228">
        <v>545</v>
      </c>
      <c r="CC228">
        <v>582</v>
      </c>
      <c r="CD228">
        <v>624</v>
      </c>
      <c r="CE228">
        <v>767</v>
      </c>
      <c r="CF228">
        <v>865</v>
      </c>
      <c r="CG228">
        <v>998</v>
      </c>
      <c r="CH228">
        <v>1165</v>
      </c>
      <c r="CI228">
        <v>1302</v>
      </c>
      <c r="CJ228">
        <v>1349</v>
      </c>
      <c r="CK228">
        <v>1405</v>
      </c>
      <c r="CL228">
        <v>1490</v>
      </c>
      <c r="CM228">
        <v>1565</v>
      </c>
      <c r="CN228">
        <v>1627</v>
      </c>
      <c r="CO228">
        <v>1678</v>
      </c>
      <c r="CP228">
        <v>1716</v>
      </c>
      <c r="CQ228">
        <v>1758</v>
      </c>
      <c r="CR228">
        <v>1804</v>
      </c>
      <c r="CS228">
        <v>1862</v>
      </c>
      <c r="CT228">
        <v>1869</v>
      </c>
      <c r="CU228" s="1">
        <v>1904</v>
      </c>
      <c r="CV228" s="1">
        <v>1939</v>
      </c>
      <c r="CW228" s="1">
        <v>2002</v>
      </c>
      <c r="CX228" s="1">
        <v>2039</v>
      </c>
      <c r="CY228" s="1">
        <v>2086</v>
      </c>
      <c r="CZ228" s="1">
        <v>2118</v>
      </c>
      <c r="DA228" s="1">
        <v>2149</v>
      </c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</row>
    <row r="229" spans="1:198" x14ac:dyDescent="0.4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  <c r="BS229">
        <v>135</v>
      </c>
      <c r="BT229">
        <v>135</v>
      </c>
      <c r="BU229">
        <v>143</v>
      </c>
      <c r="BV229">
        <v>146</v>
      </c>
      <c r="BW229">
        <v>153</v>
      </c>
      <c r="BX229">
        <v>155</v>
      </c>
      <c r="BY229">
        <v>159</v>
      </c>
      <c r="BZ229">
        <v>165</v>
      </c>
      <c r="CA229">
        <v>165</v>
      </c>
      <c r="CB229">
        <v>167</v>
      </c>
      <c r="CC229">
        <v>171</v>
      </c>
      <c r="CD229">
        <v>171</v>
      </c>
      <c r="CE229">
        <v>175</v>
      </c>
      <c r="CF229">
        <v>181</v>
      </c>
      <c r="CG229">
        <v>189</v>
      </c>
      <c r="CH229">
        <v>189</v>
      </c>
      <c r="CI229">
        <v>197</v>
      </c>
      <c r="CJ229">
        <v>204</v>
      </c>
      <c r="CK229">
        <v>204</v>
      </c>
      <c r="CL229">
        <v>227</v>
      </c>
      <c r="CM229">
        <v>256</v>
      </c>
      <c r="CN229">
        <v>256</v>
      </c>
      <c r="CO229">
        <v>285</v>
      </c>
      <c r="CP229">
        <v>288</v>
      </c>
      <c r="CQ229">
        <v>311</v>
      </c>
      <c r="CR229">
        <v>318</v>
      </c>
      <c r="CS229">
        <v>323</v>
      </c>
      <c r="CT229">
        <v>325</v>
      </c>
      <c r="CU229" s="1">
        <v>329</v>
      </c>
      <c r="CV229" s="1">
        <v>329</v>
      </c>
      <c r="CW229" s="1">
        <v>331</v>
      </c>
      <c r="CX229" s="1">
        <v>333</v>
      </c>
      <c r="CY229" s="1">
        <v>335</v>
      </c>
      <c r="CZ229" s="1">
        <v>345</v>
      </c>
      <c r="DA229" s="1">
        <v>357</v>
      </c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</row>
    <row r="230" spans="1:198" x14ac:dyDescent="0.4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  <c r="BS230">
        <v>203</v>
      </c>
      <c r="BT230">
        <v>212</v>
      </c>
      <c r="BU230">
        <v>218</v>
      </c>
      <c r="BV230">
        <v>233</v>
      </c>
      <c r="BW230">
        <v>237</v>
      </c>
      <c r="BX230">
        <v>240</v>
      </c>
      <c r="BY230">
        <v>241</v>
      </c>
      <c r="BZ230">
        <v>245</v>
      </c>
      <c r="CA230">
        <v>249</v>
      </c>
      <c r="CB230">
        <v>251</v>
      </c>
      <c r="CC230">
        <v>255</v>
      </c>
      <c r="CD230">
        <v>257</v>
      </c>
      <c r="CE230">
        <v>258</v>
      </c>
      <c r="CF230">
        <v>262</v>
      </c>
      <c r="CG230">
        <v>265</v>
      </c>
      <c r="CH230">
        <v>266</v>
      </c>
      <c r="CI230">
        <v>267</v>
      </c>
      <c r="CJ230">
        <v>268</v>
      </c>
      <c r="CK230">
        <v>268</v>
      </c>
      <c r="CL230">
        <v>268</v>
      </c>
      <c r="CM230">
        <v>268</v>
      </c>
      <c r="CN230">
        <v>268</v>
      </c>
      <c r="CO230">
        <v>268</v>
      </c>
      <c r="CP230">
        <v>268</v>
      </c>
      <c r="CQ230">
        <v>268</v>
      </c>
      <c r="CR230">
        <v>270</v>
      </c>
      <c r="CS230">
        <v>270</v>
      </c>
      <c r="CT230">
        <v>270</v>
      </c>
      <c r="CU230" s="1">
        <v>270</v>
      </c>
      <c r="CV230" s="1">
        <v>270</v>
      </c>
      <c r="CW230" s="1">
        <v>270</v>
      </c>
      <c r="CX230" s="1">
        <v>270</v>
      </c>
      <c r="CY230" s="1">
        <v>270</v>
      </c>
      <c r="CZ230" s="1">
        <v>270</v>
      </c>
      <c r="DA230" s="1">
        <v>271</v>
      </c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</row>
    <row r="231" spans="1:198" x14ac:dyDescent="0.4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  <c r="BS231">
        <v>35</v>
      </c>
      <c r="BT231">
        <v>35</v>
      </c>
      <c r="BU231">
        <v>36</v>
      </c>
      <c r="BV231">
        <v>39</v>
      </c>
      <c r="BW231">
        <v>39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40</v>
      </c>
      <c r="CE231">
        <v>40</v>
      </c>
      <c r="CF231">
        <v>43</v>
      </c>
      <c r="CG231">
        <v>45</v>
      </c>
      <c r="CH231">
        <v>45</v>
      </c>
      <c r="CI231">
        <v>48</v>
      </c>
      <c r="CJ231">
        <v>48</v>
      </c>
      <c r="CK231">
        <v>52</v>
      </c>
      <c r="CL231">
        <v>57</v>
      </c>
      <c r="CM231">
        <v>61</v>
      </c>
      <c r="CN231">
        <v>65</v>
      </c>
      <c r="CO231">
        <v>70</v>
      </c>
      <c r="CP231">
        <v>74</v>
      </c>
      <c r="CQ231">
        <v>76</v>
      </c>
      <c r="CR231">
        <v>84</v>
      </c>
      <c r="CS231">
        <v>84</v>
      </c>
      <c r="CT231">
        <v>88</v>
      </c>
      <c r="CU231" s="1">
        <v>88</v>
      </c>
      <c r="CV231" s="1">
        <v>95</v>
      </c>
      <c r="CW231" s="1">
        <v>97</v>
      </c>
      <c r="CX231" s="1">
        <v>106</v>
      </c>
      <c r="CY231" s="1">
        <v>109</v>
      </c>
      <c r="CZ231" s="1">
        <v>119</v>
      </c>
      <c r="DA231" s="1">
        <v>124</v>
      </c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</row>
    <row r="232" spans="1:198" x14ac:dyDescent="0.4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  <c r="BS232">
        <v>7</v>
      </c>
      <c r="BT232">
        <v>8</v>
      </c>
      <c r="BU232">
        <v>8</v>
      </c>
      <c r="BV232">
        <v>9</v>
      </c>
      <c r="BW232">
        <v>9</v>
      </c>
      <c r="BX232">
        <v>9</v>
      </c>
      <c r="BY232">
        <v>9</v>
      </c>
      <c r="BZ232">
        <v>10</v>
      </c>
      <c r="CA232">
        <v>11</v>
      </c>
      <c r="CB232">
        <v>11</v>
      </c>
      <c r="CC232">
        <v>11</v>
      </c>
      <c r="CD232">
        <v>13</v>
      </c>
      <c r="CE232">
        <v>14</v>
      </c>
      <c r="CF232">
        <v>14</v>
      </c>
      <c r="CG232">
        <v>17</v>
      </c>
      <c r="CH232">
        <v>17</v>
      </c>
      <c r="CI232">
        <v>23</v>
      </c>
      <c r="CJ232">
        <v>23</v>
      </c>
      <c r="CK232">
        <v>24</v>
      </c>
      <c r="CL232">
        <v>25</v>
      </c>
      <c r="CM232">
        <v>25</v>
      </c>
      <c r="CN232">
        <v>25</v>
      </c>
      <c r="CO232">
        <v>28</v>
      </c>
      <c r="CP232">
        <v>28</v>
      </c>
      <c r="CQ232">
        <v>28</v>
      </c>
      <c r="CR232">
        <v>29</v>
      </c>
      <c r="CS232">
        <v>31</v>
      </c>
      <c r="CT232">
        <v>31</v>
      </c>
      <c r="CU232" s="1">
        <v>32</v>
      </c>
      <c r="CV232" s="1">
        <v>32</v>
      </c>
      <c r="CW232" s="1">
        <v>32</v>
      </c>
      <c r="CX232" s="1">
        <v>40</v>
      </c>
      <c r="CY232" s="1">
        <v>40</v>
      </c>
      <c r="CZ232" s="1">
        <v>34</v>
      </c>
      <c r="DA232" s="1">
        <v>34</v>
      </c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</row>
    <row r="233" spans="1:198" x14ac:dyDescent="0.4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 s="1">
        <v>0</v>
      </c>
      <c r="CV233" s="1">
        <v>0</v>
      </c>
      <c r="CW233" s="1">
        <v>0</v>
      </c>
      <c r="CX233" s="1">
        <v>0</v>
      </c>
      <c r="CY233" s="1">
        <v>1</v>
      </c>
      <c r="CZ233" s="1">
        <v>1</v>
      </c>
      <c r="DA233" s="1">
        <v>1</v>
      </c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</row>
    <row r="234" spans="1:198" x14ac:dyDescent="0.4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  <c r="BS234">
        <v>11</v>
      </c>
      <c r="BT234">
        <v>12</v>
      </c>
      <c r="BU234">
        <v>12</v>
      </c>
      <c r="BV234">
        <v>12</v>
      </c>
      <c r="BW234">
        <v>12</v>
      </c>
      <c r="BX234">
        <v>14</v>
      </c>
      <c r="BY234">
        <v>14</v>
      </c>
      <c r="BZ234">
        <v>15</v>
      </c>
      <c r="CA234">
        <v>15</v>
      </c>
      <c r="CB234">
        <v>15</v>
      </c>
      <c r="CC234">
        <v>15</v>
      </c>
      <c r="CD234">
        <v>16</v>
      </c>
      <c r="CE234">
        <v>16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  <c r="CM234">
        <v>16</v>
      </c>
      <c r="CN234">
        <v>16</v>
      </c>
      <c r="CO234">
        <v>16</v>
      </c>
      <c r="CP234">
        <v>16</v>
      </c>
      <c r="CQ234">
        <v>16</v>
      </c>
      <c r="CR234">
        <v>16</v>
      </c>
      <c r="CS234">
        <v>16</v>
      </c>
      <c r="CT234">
        <v>16</v>
      </c>
      <c r="CU234" s="1">
        <v>16</v>
      </c>
      <c r="CV234" s="1">
        <v>16</v>
      </c>
      <c r="CW234" s="1">
        <v>16</v>
      </c>
      <c r="CX234" s="1">
        <v>16</v>
      </c>
      <c r="CY234" s="1">
        <v>16</v>
      </c>
      <c r="CZ234" s="1">
        <v>16</v>
      </c>
      <c r="DA234" s="1">
        <v>16</v>
      </c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</row>
    <row r="235" spans="1:198" x14ac:dyDescent="0.4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  <c r="BS235">
        <v>9</v>
      </c>
      <c r="BT235">
        <v>9</v>
      </c>
      <c r="BU235">
        <v>9</v>
      </c>
      <c r="BV235">
        <v>10</v>
      </c>
      <c r="BW235">
        <v>12</v>
      </c>
      <c r="BX235">
        <v>12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14</v>
      </c>
      <c r="CE235">
        <v>14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  <c r="CM235">
        <v>14</v>
      </c>
      <c r="CN235">
        <v>14</v>
      </c>
      <c r="CO235">
        <v>14</v>
      </c>
      <c r="CP235">
        <v>15</v>
      </c>
      <c r="CQ235">
        <v>15</v>
      </c>
      <c r="CR235">
        <v>15</v>
      </c>
      <c r="CS235">
        <v>18</v>
      </c>
      <c r="CT235">
        <v>18</v>
      </c>
      <c r="CU235" s="1">
        <v>18</v>
      </c>
      <c r="CV235" s="1">
        <v>19</v>
      </c>
      <c r="CW235" s="1">
        <v>20</v>
      </c>
      <c r="CX235" s="1">
        <v>20</v>
      </c>
      <c r="CY235" s="1">
        <v>20</v>
      </c>
      <c r="CZ235" s="1">
        <v>21</v>
      </c>
      <c r="DA235" s="1">
        <v>21</v>
      </c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</row>
    <row r="236" spans="1:198" x14ac:dyDescent="0.4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  <c r="BS236">
        <v>8</v>
      </c>
      <c r="BT236">
        <v>8</v>
      </c>
      <c r="BU236">
        <v>10</v>
      </c>
      <c r="BV236">
        <v>10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17</v>
      </c>
      <c r="CC236">
        <v>17</v>
      </c>
      <c r="CD236">
        <v>20</v>
      </c>
      <c r="CE236">
        <v>20</v>
      </c>
      <c r="CF236">
        <v>21</v>
      </c>
      <c r="CG236">
        <v>21</v>
      </c>
      <c r="CH236">
        <v>28</v>
      </c>
      <c r="CI236">
        <v>29</v>
      </c>
      <c r="CJ236">
        <v>31</v>
      </c>
      <c r="CK236">
        <v>34</v>
      </c>
      <c r="CL236">
        <v>35</v>
      </c>
      <c r="CM236">
        <v>39</v>
      </c>
      <c r="CN236">
        <v>39</v>
      </c>
      <c r="CO236">
        <v>39</v>
      </c>
      <c r="CP236">
        <v>41</v>
      </c>
      <c r="CQ236">
        <v>46</v>
      </c>
      <c r="CR236">
        <v>65</v>
      </c>
      <c r="CS236">
        <v>70</v>
      </c>
      <c r="CT236">
        <v>76</v>
      </c>
      <c r="CU236" s="1">
        <v>76</v>
      </c>
      <c r="CV236" s="1">
        <v>76</v>
      </c>
      <c r="CW236" s="1">
        <v>76</v>
      </c>
      <c r="CX236" s="1">
        <v>76</v>
      </c>
      <c r="CY236" s="1">
        <v>79</v>
      </c>
      <c r="CZ236" s="1">
        <v>79</v>
      </c>
      <c r="DA236" s="1">
        <v>80</v>
      </c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</row>
    <row r="237" spans="1:198" x14ac:dyDescent="0.4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  <c r="BS237">
        <v>10</v>
      </c>
      <c r="BT237">
        <v>10</v>
      </c>
      <c r="BU237">
        <v>10</v>
      </c>
      <c r="BV237">
        <v>16</v>
      </c>
      <c r="BW237">
        <v>16</v>
      </c>
      <c r="BX237">
        <v>16</v>
      </c>
      <c r="BY237">
        <v>19</v>
      </c>
      <c r="BZ237">
        <v>19</v>
      </c>
      <c r="CA237">
        <v>19</v>
      </c>
      <c r="CB237">
        <v>19</v>
      </c>
      <c r="CC237">
        <v>19</v>
      </c>
      <c r="CD237">
        <v>19</v>
      </c>
      <c r="CE237">
        <v>25</v>
      </c>
      <c r="CF237">
        <v>25</v>
      </c>
      <c r="CG237">
        <v>25</v>
      </c>
      <c r="CH237">
        <v>29</v>
      </c>
      <c r="CI237">
        <v>33</v>
      </c>
      <c r="CJ237">
        <v>33</v>
      </c>
      <c r="CK237">
        <v>38</v>
      </c>
      <c r="CL237">
        <v>38</v>
      </c>
      <c r="CM237">
        <v>39</v>
      </c>
      <c r="CN237">
        <v>39</v>
      </c>
      <c r="CO237">
        <v>42</v>
      </c>
      <c r="CP237">
        <v>42</v>
      </c>
      <c r="CQ237">
        <v>42</v>
      </c>
      <c r="CR237">
        <v>42</v>
      </c>
      <c r="CS237">
        <v>42</v>
      </c>
      <c r="CT237">
        <v>43</v>
      </c>
      <c r="CU237" s="1">
        <v>43</v>
      </c>
      <c r="CV237" s="1">
        <v>43</v>
      </c>
      <c r="CW237" s="1">
        <v>43</v>
      </c>
      <c r="CX237" s="1">
        <v>43</v>
      </c>
      <c r="CY237" s="1">
        <v>44</v>
      </c>
      <c r="CZ237" s="1">
        <v>44</v>
      </c>
      <c r="DA237" s="1">
        <v>44</v>
      </c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</row>
    <row r="238" spans="1:198" x14ac:dyDescent="0.4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2</v>
      </c>
      <c r="CE238">
        <v>2</v>
      </c>
      <c r="CF238">
        <v>2</v>
      </c>
      <c r="CG238">
        <v>4</v>
      </c>
      <c r="CH238">
        <v>6</v>
      </c>
      <c r="CI238">
        <v>8</v>
      </c>
      <c r="CJ238">
        <v>18</v>
      </c>
      <c r="CK238">
        <v>18</v>
      </c>
      <c r="CL238">
        <v>18</v>
      </c>
      <c r="CM238">
        <v>19</v>
      </c>
      <c r="CN238">
        <v>22</v>
      </c>
      <c r="CO238">
        <v>23</v>
      </c>
      <c r="CP238">
        <v>23</v>
      </c>
      <c r="CQ238">
        <v>23</v>
      </c>
      <c r="CR238">
        <v>24</v>
      </c>
      <c r="CS238">
        <v>24</v>
      </c>
      <c r="CT238">
        <v>24</v>
      </c>
      <c r="CU238" s="1">
        <v>24</v>
      </c>
      <c r="CV238" s="1">
        <v>24</v>
      </c>
      <c r="CW238" s="1">
        <v>24</v>
      </c>
      <c r="CX238" s="1">
        <v>24</v>
      </c>
      <c r="CY238" s="1">
        <v>24</v>
      </c>
      <c r="CZ238" s="1">
        <v>24</v>
      </c>
      <c r="DA238" s="1">
        <v>24</v>
      </c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</row>
    <row r="239" spans="1:198" x14ac:dyDescent="0.45">
      <c r="A239" s="1" t="s">
        <v>2</v>
      </c>
      <c r="B239" s="1" t="s">
        <v>248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  <c r="BS239">
        <v>3</v>
      </c>
      <c r="BT239">
        <v>3</v>
      </c>
      <c r="BU239">
        <v>3</v>
      </c>
      <c r="BV239">
        <v>3</v>
      </c>
      <c r="BW239">
        <v>4</v>
      </c>
      <c r="BX239">
        <v>4</v>
      </c>
      <c r="BY239">
        <v>5</v>
      </c>
      <c r="BZ239">
        <v>7</v>
      </c>
      <c r="CA239">
        <v>7</v>
      </c>
      <c r="CB239">
        <v>8</v>
      </c>
      <c r="CC239">
        <v>9</v>
      </c>
      <c r="CD239">
        <v>10</v>
      </c>
      <c r="CE239">
        <v>13</v>
      </c>
      <c r="CF239">
        <v>14</v>
      </c>
      <c r="CG239">
        <v>18</v>
      </c>
      <c r="CH239">
        <v>18</v>
      </c>
      <c r="CI239">
        <v>18</v>
      </c>
      <c r="CJ239">
        <v>18</v>
      </c>
      <c r="CK239">
        <v>18</v>
      </c>
      <c r="CL239">
        <v>18</v>
      </c>
      <c r="CM239">
        <v>18</v>
      </c>
      <c r="CN239">
        <v>18</v>
      </c>
      <c r="CO239">
        <v>18</v>
      </c>
      <c r="CP239">
        <v>18</v>
      </c>
      <c r="CQ239">
        <v>18</v>
      </c>
      <c r="CR239">
        <v>18</v>
      </c>
      <c r="CS239">
        <v>18</v>
      </c>
      <c r="CT239">
        <v>18</v>
      </c>
      <c r="CU239" s="1">
        <v>18</v>
      </c>
      <c r="CV239" s="1">
        <v>18</v>
      </c>
      <c r="CW239" s="1">
        <v>18</v>
      </c>
      <c r="CX239" s="1">
        <v>18</v>
      </c>
      <c r="CY239" s="1">
        <v>18</v>
      </c>
      <c r="CZ239" s="1">
        <v>18</v>
      </c>
      <c r="DA239" s="1">
        <v>18</v>
      </c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</row>
    <row r="240" spans="1:198" x14ac:dyDescent="0.4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 s="1">
        <v>0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A240" s="1">
        <v>0</v>
      </c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</row>
    <row r="241" spans="1:198" x14ac:dyDescent="0.45">
      <c r="A241" s="1" t="s">
        <v>2</v>
      </c>
      <c r="B241" s="1" t="s">
        <v>249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  <c r="BS241">
        <v>8</v>
      </c>
      <c r="BT241">
        <v>9</v>
      </c>
      <c r="BU241">
        <v>10</v>
      </c>
      <c r="BV241">
        <v>10</v>
      </c>
      <c r="BW241">
        <v>10</v>
      </c>
      <c r="BX241">
        <v>10</v>
      </c>
      <c r="BY241">
        <v>11</v>
      </c>
      <c r="BZ241">
        <v>12</v>
      </c>
      <c r="CA241">
        <v>14</v>
      </c>
      <c r="CB241">
        <v>15</v>
      </c>
      <c r="CC241">
        <v>16</v>
      </c>
      <c r="CD241">
        <v>16</v>
      </c>
      <c r="CE241">
        <v>18</v>
      </c>
      <c r="CF241">
        <v>19</v>
      </c>
      <c r="CG241">
        <v>19</v>
      </c>
      <c r="CH241">
        <v>19</v>
      </c>
      <c r="CI241">
        <v>19</v>
      </c>
      <c r="CJ241">
        <v>19</v>
      </c>
      <c r="CK241">
        <v>19</v>
      </c>
      <c r="CL241">
        <v>19</v>
      </c>
      <c r="CM241">
        <v>19</v>
      </c>
      <c r="CN241">
        <v>19</v>
      </c>
      <c r="CO241">
        <v>19</v>
      </c>
      <c r="CP241">
        <v>19</v>
      </c>
      <c r="CQ241">
        <v>19</v>
      </c>
      <c r="CR241">
        <v>19</v>
      </c>
      <c r="CS241">
        <v>19</v>
      </c>
      <c r="CT241">
        <v>19</v>
      </c>
      <c r="CU241" s="1">
        <v>19</v>
      </c>
      <c r="CV241" s="1">
        <v>19</v>
      </c>
      <c r="CW241" s="1">
        <v>19</v>
      </c>
      <c r="CX241" s="1">
        <v>19</v>
      </c>
      <c r="CY241" s="1">
        <v>19</v>
      </c>
      <c r="CZ241" s="1">
        <v>19</v>
      </c>
      <c r="DA241" s="1">
        <v>19</v>
      </c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</row>
    <row r="242" spans="1:198" x14ac:dyDescent="0.45">
      <c r="A242" s="1" t="s">
        <v>2</v>
      </c>
      <c r="B242" s="1" t="s">
        <v>250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  <c r="BS242">
        <v>8</v>
      </c>
      <c r="BT242">
        <v>10</v>
      </c>
      <c r="BU242">
        <v>10</v>
      </c>
      <c r="BV242">
        <v>11</v>
      </c>
      <c r="BW242">
        <v>11</v>
      </c>
      <c r="BX242">
        <v>18</v>
      </c>
      <c r="BY242">
        <v>18</v>
      </c>
      <c r="BZ242">
        <v>19</v>
      </c>
      <c r="CA242">
        <v>20</v>
      </c>
      <c r="CB242">
        <v>21</v>
      </c>
      <c r="CC242">
        <v>24</v>
      </c>
      <c r="CD242">
        <v>24</v>
      </c>
      <c r="CE242">
        <v>24</v>
      </c>
      <c r="CF242">
        <v>25</v>
      </c>
      <c r="CG242">
        <v>26</v>
      </c>
      <c r="CH242">
        <v>35</v>
      </c>
      <c r="CI242">
        <v>48</v>
      </c>
      <c r="CJ242">
        <v>49</v>
      </c>
      <c r="CK242">
        <v>49</v>
      </c>
      <c r="CL242">
        <v>49</v>
      </c>
      <c r="CM242">
        <v>51</v>
      </c>
      <c r="CN242">
        <v>51</v>
      </c>
      <c r="CO242">
        <v>51</v>
      </c>
      <c r="CP242">
        <v>59</v>
      </c>
      <c r="CQ242">
        <v>60</v>
      </c>
      <c r="CR242">
        <v>61</v>
      </c>
      <c r="CS242">
        <v>61</v>
      </c>
      <c r="CT242">
        <v>61</v>
      </c>
      <c r="CU242" s="1">
        <v>61</v>
      </c>
      <c r="CV242" s="1">
        <v>61</v>
      </c>
      <c r="CW242" s="1">
        <v>61</v>
      </c>
      <c r="CX242" s="1">
        <v>61</v>
      </c>
      <c r="CY242" s="1">
        <v>63</v>
      </c>
      <c r="CZ242" s="1">
        <v>63</v>
      </c>
      <c r="DA242" s="1">
        <v>63</v>
      </c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</row>
    <row r="243" spans="1:198" x14ac:dyDescent="0.45">
      <c r="A243" s="1" t="s">
        <v>2</v>
      </c>
      <c r="B243" s="1" t="s">
        <v>251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  <c r="BS243">
        <v>116</v>
      </c>
      <c r="BT243">
        <v>119</v>
      </c>
      <c r="BU243">
        <v>134</v>
      </c>
      <c r="BV243">
        <v>161</v>
      </c>
      <c r="BW243">
        <v>194</v>
      </c>
      <c r="BX243">
        <v>217</v>
      </c>
      <c r="BY243">
        <v>237</v>
      </c>
      <c r="BZ243">
        <v>254</v>
      </c>
      <c r="CA243">
        <v>261</v>
      </c>
      <c r="CB243">
        <v>263</v>
      </c>
      <c r="CC243">
        <v>263</v>
      </c>
      <c r="CD243">
        <v>267</v>
      </c>
      <c r="CE243">
        <v>268</v>
      </c>
      <c r="CF243">
        <v>290</v>
      </c>
      <c r="CG243">
        <v>308</v>
      </c>
      <c r="CH243">
        <v>308</v>
      </c>
      <c r="CI243">
        <v>374</v>
      </c>
      <c r="CJ243">
        <v>374</v>
      </c>
      <c r="CK243">
        <v>402</v>
      </c>
      <c r="CL243">
        <v>418</v>
      </c>
      <c r="CM243">
        <v>437</v>
      </c>
      <c r="CN243">
        <v>449</v>
      </c>
      <c r="CO243">
        <v>466</v>
      </c>
      <c r="CP243">
        <v>474</v>
      </c>
      <c r="CQ243">
        <v>480</v>
      </c>
      <c r="CR243">
        <v>484</v>
      </c>
      <c r="CS243">
        <v>342</v>
      </c>
      <c r="CT243">
        <v>342</v>
      </c>
      <c r="CU243" s="1">
        <v>342</v>
      </c>
      <c r="CV243" s="1">
        <v>343</v>
      </c>
      <c r="CW243" s="1">
        <v>344</v>
      </c>
      <c r="CX243" s="1">
        <v>344</v>
      </c>
      <c r="CY243" s="1">
        <v>353</v>
      </c>
      <c r="CZ243" s="1">
        <v>353</v>
      </c>
      <c r="DA243" s="1">
        <v>353</v>
      </c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</row>
    <row r="244" spans="1:198" x14ac:dyDescent="0.45">
      <c r="A244" s="1" t="s">
        <v>2</v>
      </c>
      <c r="B244" s="1" t="s">
        <v>252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  <c r="BS244">
        <v>8</v>
      </c>
      <c r="BT244">
        <v>8</v>
      </c>
      <c r="BU244">
        <v>9</v>
      </c>
      <c r="BV244">
        <v>9</v>
      </c>
      <c r="BW244">
        <v>15</v>
      </c>
      <c r="BX244">
        <v>18</v>
      </c>
      <c r="BY244">
        <v>18</v>
      </c>
      <c r="BZ244">
        <v>18</v>
      </c>
      <c r="CA244">
        <v>33</v>
      </c>
      <c r="CB244">
        <v>33</v>
      </c>
      <c r="CC244">
        <v>36</v>
      </c>
      <c r="CD244">
        <v>36</v>
      </c>
      <c r="CE244">
        <v>38</v>
      </c>
      <c r="CF244">
        <v>38</v>
      </c>
      <c r="CG244">
        <v>38</v>
      </c>
      <c r="CH244">
        <v>38</v>
      </c>
      <c r="CI244">
        <v>43</v>
      </c>
      <c r="CJ244">
        <v>43</v>
      </c>
      <c r="CK244">
        <v>43</v>
      </c>
      <c r="CL244">
        <v>46</v>
      </c>
      <c r="CM244">
        <v>50</v>
      </c>
      <c r="CN244">
        <v>50</v>
      </c>
      <c r="CO244">
        <v>50</v>
      </c>
      <c r="CP244">
        <v>50</v>
      </c>
      <c r="CQ244">
        <v>50</v>
      </c>
      <c r="CR244">
        <v>52</v>
      </c>
      <c r="CS244">
        <v>52</v>
      </c>
      <c r="CT244">
        <v>53</v>
      </c>
      <c r="CU244" s="1">
        <v>73</v>
      </c>
      <c r="CV244" s="1">
        <v>73</v>
      </c>
      <c r="CW244" s="1">
        <v>205</v>
      </c>
      <c r="CX244" s="1">
        <v>205</v>
      </c>
      <c r="CY244" s="1">
        <v>257</v>
      </c>
      <c r="CZ244" s="1">
        <v>257</v>
      </c>
      <c r="DA244" s="1">
        <v>257</v>
      </c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</row>
    <row r="245" spans="1:198" x14ac:dyDescent="0.45">
      <c r="A245" s="1" t="s">
        <v>2</v>
      </c>
      <c r="B245" s="1" t="s">
        <v>253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  <c r="BS245">
        <v>25</v>
      </c>
      <c r="BT245">
        <v>28</v>
      </c>
      <c r="BU245">
        <v>31</v>
      </c>
      <c r="BV245">
        <v>36</v>
      </c>
      <c r="BW245">
        <v>39</v>
      </c>
      <c r="BX245">
        <v>41</v>
      </c>
      <c r="BY245">
        <v>45</v>
      </c>
      <c r="BZ245">
        <v>47</v>
      </c>
      <c r="CA245">
        <v>56</v>
      </c>
      <c r="CB245">
        <v>59</v>
      </c>
      <c r="CC245">
        <v>74</v>
      </c>
      <c r="CD245">
        <v>87</v>
      </c>
      <c r="CE245">
        <v>87</v>
      </c>
      <c r="CF245">
        <v>105</v>
      </c>
      <c r="CG245">
        <v>123</v>
      </c>
      <c r="CH245">
        <v>144</v>
      </c>
      <c r="CI245">
        <v>148</v>
      </c>
      <c r="CJ245">
        <v>171</v>
      </c>
      <c r="CK245">
        <v>171</v>
      </c>
      <c r="CL245">
        <v>216</v>
      </c>
      <c r="CM245">
        <v>224</v>
      </c>
      <c r="CN245">
        <v>246</v>
      </c>
      <c r="CO245">
        <v>258</v>
      </c>
      <c r="CP245">
        <v>293</v>
      </c>
      <c r="CQ245">
        <v>309</v>
      </c>
      <c r="CR245">
        <v>325</v>
      </c>
      <c r="CS245">
        <v>370</v>
      </c>
      <c r="CT245">
        <v>389</v>
      </c>
      <c r="CU245" s="1">
        <v>408</v>
      </c>
      <c r="CV245" s="1">
        <v>424</v>
      </c>
      <c r="CW245" s="1">
        <v>482</v>
      </c>
      <c r="CX245" s="1">
        <v>490</v>
      </c>
      <c r="CY245" s="1">
        <v>508</v>
      </c>
      <c r="CZ245" s="1">
        <v>544</v>
      </c>
      <c r="DA245" s="1">
        <v>563</v>
      </c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</row>
    <row r="246" spans="1:198" x14ac:dyDescent="0.45">
      <c r="A246" s="1" t="s">
        <v>2</v>
      </c>
      <c r="B246" s="1" t="s">
        <v>254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  <c r="BS246">
        <v>7</v>
      </c>
      <c r="BT246">
        <v>8</v>
      </c>
      <c r="BU246">
        <v>8</v>
      </c>
      <c r="BV246">
        <v>9</v>
      </c>
      <c r="BW246">
        <v>9</v>
      </c>
      <c r="BX246">
        <v>9</v>
      </c>
      <c r="BY246">
        <v>10</v>
      </c>
      <c r="BZ246">
        <v>10</v>
      </c>
      <c r="CA246">
        <v>11</v>
      </c>
      <c r="CB246">
        <v>11</v>
      </c>
      <c r="CC246">
        <v>11</v>
      </c>
      <c r="CD246">
        <v>12</v>
      </c>
      <c r="CE246">
        <v>12</v>
      </c>
      <c r="CF246">
        <v>12</v>
      </c>
      <c r="CG246">
        <v>12</v>
      </c>
      <c r="CH246">
        <v>14</v>
      </c>
      <c r="CI246">
        <v>14</v>
      </c>
      <c r="CJ246">
        <v>14</v>
      </c>
      <c r="CK246">
        <v>14</v>
      </c>
      <c r="CL246">
        <v>14</v>
      </c>
      <c r="CM246">
        <v>14</v>
      </c>
      <c r="CN246">
        <v>15</v>
      </c>
      <c r="CO246">
        <v>15</v>
      </c>
      <c r="CP246">
        <v>15</v>
      </c>
      <c r="CQ246">
        <v>15</v>
      </c>
      <c r="CR246">
        <v>15</v>
      </c>
      <c r="CS246">
        <v>15</v>
      </c>
      <c r="CT246">
        <v>15</v>
      </c>
      <c r="CU246" s="1">
        <v>15</v>
      </c>
      <c r="CV246" s="1">
        <v>15</v>
      </c>
      <c r="CW246" s="1">
        <v>15</v>
      </c>
      <c r="CX246" s="1">
        <v>15</v>
      </c>
      <c r="CY246" s="1">
        <v>15</v>
      </c>
      <c r="CZ246" s="1">
        <v>15</v>
      </c>
      <c r="DA246" s="1">
        <v>15</v>
      </c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</row>
    <row r="247" spans="1:198" x14ac:dyDescent="0.45">
      <c r="A247" s="1" t="s">
        <v>356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  <c r="BS247">
        <v>1</v>
      </c>
      <c r="BT247">
        <v>1</v>
      </c>
      <c r="BU247">
        <v>2</v>
      </c>
      <c r="BV247">
        <v>2</v>
      </c>
      <c r="BW247">
        <v>2</v>
      </c>
      <c r="BX247">
        <v>4</v>
      </c>
      <c r="BY247">
        <v>4</v>
      </c>
      <c r="BZ247">
        <v>5</v>
      </c>
      <c r="CA247">
        <v>5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  <c r="CM247">
        <v>5</v>
      </c>
      <c r="CN247">
        <v>5</v>
      </c>
      <c r="CO247">
        <v>5</v>
      </c>
      <c r="CP247">
        <v>5</v>
      </c>
      <c r="CQ247">
        <v>5</v>
      </c>
      <c r="CR247">
        <v>5</v>
      </c>
      <c r="CS247">
        <v>5</v>
      </c>
      <c r="CT247">
        <v>5</v>
      </c>
      <c r="CU247" s="1">
        <v>5</v>
      </c>
      <c r="CV247" s="1">
        <v>5</v>
      </c>
      <c r="CW247" s="1">
        <v>5</v>
      </c>
      <c r="CX247" s="1">
        <v>5</v>
      </c>
      <c r="CY247" s="1">
        <v>5</v>
      </c>
      <c r="CZ247" s="1">
        <v>5</v>
      </c>
      <c r="DA247" s="1">
        <v>5</v>
      </c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</row>
    <row r="248" spans="1:198" x14ac:dyDescent="0.45">
      <c r="A248" s="1" t="s">
        <v>357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  <c r="BS248">
        <v>4</v>
      </c>
      <c r="BT248">
        <v>5</v>
      </c>
      <c r="BU248">
        <v>5</v>
      </c>
      <c r="BV248">
        <v>6</v>
      </c>
      <c r="BW248">
        <v>6</v>
      </c>
      <c r="BX248">
        <v>6</v>
      </c>
      <c r="BY248">
        <v>6</v>
      </c>
      <c r="BZ248">
        <v>6</v>
      </c>
      <c r="CA248">
        <v>7</v>
      </c>
      <c r="CB248">
        <v>7</v>
      </c>
      <c r="CC248">
        <v>7</v>
      </c>
      <c r="CD248">
        <v>8</v>
      </c>
      <c r="CE248">
        <v>8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9</v>
      </c>
      <c r="CM248">
        <v>9</v>
      </c>
      <c r="CN248">
        <v>11</v>
      </c>
      <c r="CO248">
        <v>11</v>
      </c>
      <c r="CP248">
        <v>11</v>
      </c>
      <c r="CQ248">
        <v>11</v>
      </c>
      <c r="CR248">
        <v>11</v>
      </c>
      <c r="CS248">
        <v>11</v>
      </c>
      <c r="CT248">
        <v>11</v>
      </c>
      <c r="CU248" s="1">
        <v>11</v>
      </c>
      <c r="CV248" s="1">
        <v>11</v>
      </c>
      <c r="CW248" s="1">
        <v>11</v>
      </c>
      <c r="CX248" s="1">
        <v>11</v>
      </c>
      <c r="CY248" s="1">
        <v>11</v>
      </c>
      <c r="CZ248" s="1">
        <v>11</v>
      </c>
      <c r="DA248" s="1">
        <v>11</v>
      </c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</row>
    <row r="249" spans="1:198" x14ac:dyDescent="0.4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  <c r="BS249">
        <v>94</v>
      </c>
      <c r="BT249">
        <v>112</v>
      </c>
      <c r="BU249">
        <v>125</v>
      </c>
      <c r="BV249">
        <v>125</v>
      </c>
      <c r="BW249">
        <v>126</v>
      </c>
      <c r="BX249">
        <v>135</v>
      </c>
      <c r="BY249">
        <v>145</v>
      </c>
      <c r="BZ249">
        <v>145</v>
      </c>
      <c r="CA249">
        <v>170</v>
      </c>
      <c r="CB249">
        <v>184</v>
      </c>
      <c r="CC249">
        <v>184</v>
      </c>
      <c r="CD249">
        <v>250</v>
      </c>
      <c r="CE249">
        <v>283</v>
      </c>
      <c r="CF249">
        <v>283</v>
      </c>
      <c r="CG249">
        <v>283</v>
      </c>
      <c r="CH249">
        <v>387</v>
      </c>
      <c r="CI249">
        <v>387</v>
      </c>
      <c r="CJ249">
        <v>449</v>
      </c>
      <c r="CK249">
        <v>480</v>
      </c>
      <c r="CL249">
        <v>510</v>
      </c>
      <c r="CM249">
        <v>561</v>
      </c>
      <c r="CN249">
        <v>598</v>
      </c>
      <c r="CO249">
        <v>604</v>
      </c>
      <c r="CP249">
        <v>630</v>
      </c>
      <c r="CQ249">
        <v>669</v>
      </c>
      <c r="CR249">
        <v>703</v>
      </c>
      <c r="CS249">
        <v>731</v>
      </c>
      <c r="CT249">
        <v>763</v>
      </c>
      <c r="CU249" s="1">
        <v>780</v>
      </c>
      <c r="CV249" s="1">
        <v>790</v>
      </c>
      <c r="CW249" s="1">
        <v>799</v>
      </c>
      <c r="CX249" s="1">
        <v>806</v>
      </c>
      <c r="CY249" s="1">
        <v>806</v>
      </c>
      <c r="CZ249" s="1">
        <v>823</v>
      </c>
      <c r="DA249" s="1">
        <v>851</v>
      </c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</row>
    <row r="250" spans="1:198" x14ac:dyDescent="0.45">
      <c r="A250" s="1" t="s">
        <v>2</v>
      </c>
      <c r="B250" s="1" t="s">
        <v>359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  <c r="BS250">
        <v>14</v>
      </c>
      <c r="BT250">
        <v>15</v>
      </c>
      <c r="BU250">
        <v>15</v>
      </c>
      <c r="BV250">
        <v>20</v>
      </c>
      <c r="BW250">
        <v>20</v>
      </c>
      <c r="BX250">
        <v>21</v>
      </c>
      <c r="BY250">
        <v>21</v>
      </c>
      <c r="BZ250">
        <v>22</v>
      </c>
      <c r="CA250">
        <v>22</v>
      </c>
      <c r="CB250">
        <v>22</v>
      </c>
      <c r="CC250">
        <v>23</v>
      </c>
      <c r="CD250">
        <v>27</v>
      </c>
      <c r="CE250">
        <v>38</v>
      </c>
      <c r="CF250">
        <v>41</v>
      </c>
      <c r="CG250">
        <v>62</v>
      </c>
      <c r="CH250">
        <v>63</v>
      </c>
      <c r="CI250">
        <v>74</v>
      </c>
      <c r="CJ250">
        <v>85</v>
      </c>
      <c r="CK250">
        <v>88</v>
      </c>
      <c r="CL250">
        <v>98</v>
      </c>
      <c r="CM250">
        <v>111</v>
      </c>
      <c r="CN250">
        <v>119</v>
      </c>
      <c r="CO250">
        <v>121</v>
      </c>
      <c r="CP250">
        <v>123</v>
      </c>
      <c r="CQ250">
        <v>139</v>
      </c>
      <c r="CR250">
        <v>144</v>
      </c>
      <c r="CS250">
        <v>146</v>
      </c>
      <c r="CT250">
        <v>146</v>
      </c>
      <c r="CU250" s="1">
        <v>146</v>
      </c>
      <c r="CV250" s="1">
        <v>150</v>
      </c>
      <c r="CW250" s="1">
        <v>150</v>
      </c>
      <c r="CX250" s="1">
        <v>151</v>
      </c>
      <c r="CY250" s="1">
        <v>151</v>
      </c>
      <c r="CZ250" s="1">
        <v>151</v>
      </c>
      <c r="DA250" s="1">
        <v>155</v>
      </c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</row>
    <row r="251" spans="1:198" x14ac:dyDescent="0.45">
      <c r="A251" s="1" t="s">
        <v>360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  <c r="BS251">
        <v>2</v>
      </c>
      <c r="BT251">
        <v>2</v>
      </c>
      <c r="BU251">
        <v>2</v>
      </c>
      <c r="BV251">
        <v>3</v>
      </c>
      <c r="BW251">
        <v>3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  <c r="CM251">
        <v>3</v>
      </c>
      <c r="CN251">
        <v>3</v>
      </c>
      <c r="CO251">
        <v>3</v>
      </c>
      <c r="CP251">
        <v>3</v>
      </c>
      <c r="CQ251">
        <v>3</v>
      </c>
      <c r="CR251">
        <v>3</v>
      </c>
      <c r="CS251">
        <v>3</v>
      </c>
      <c r="CT251">
        <v>3</v>
      </c>
      <c r="CU251" s="1">
        <v>3</v>
      </c>
      <c r="CV251" s="1">
        <v>3</v>
      </c>
      <c r="CW251" s="1">
        <v>3</v>
      </c>
      <c r="CX251" s="1">
        <v>3</v>
      </c>
      <c r="CY251" s="1">
        <v>3</v>
      </c>
      <c r="CZ251" s="1">
        <v>3</v>
      </c>
      <c r="DA251" s="1">
        <v>3</v>
      </c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</row>
    <row r="252" spans="1:198" x14ac:dyDescent="0.45">
      <c r="A252" s="1" t="s">
        <v>361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  <c r="BS252">
        <v>2</v>
      </c>
      <c r="BT252">
        <v>3</v>
      </c>
      <c r="BU252">
        <v>3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4</v>
      </c>
      <c r="CL252">
        <v>4</v>
      </c>
      <c r="CM252">
        <v>4</v>
      </c>
      <c r="CN252">
        <v>5</v>
      </c>
      <c r="CO252">
        <v>5</v>
      </c>
      <c r="CP252">
        <v>5</v>
      </c>
      <c r="CQ252">
        <v>5</v>
      </c>
      <c r="CR252">
        <v>5</v>
      </c>
      <c r="CS252">
        <v>6</v>
      </c>
      <c r="CT252">
        <v>6</v>
      </c>
      <c r="CU252" s="1">
        <v>6</v>
      </c>
      <c r="CV252" s="1">
        <v>6</v>
      </c>
      <c r="CW252" s="1">
        <v>6</v>
      </c>
      <c r="CX252" s="1">
        <v>6</v>
      </c>
      <c r="CY252" s="1">
        <v>6</v>
      </c>
      <c r="CZ252" s="1">
        <v>6</v>
      </c>
      <c r="DA252" s="1">
        <v>6</v>
      </c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</row>
    <row r="253" spans="1:198" x14ac:dyDescent="0.45">
      <c r="A253" s="1" t="s">
        <v>362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  <c r="BS253">
        <v>5</v>
      </c>
      <c r="BT253">
        <v>5</v>
      </c>
      <c r="BU253">
        <v>6</v>
      </c>
      <c r="BV253">
        <v>5</v>
      </c>
      <c r="BW253">
        <v>5</v>
      </c>
      <c r="BX253">
        <v>5</v>
      </c>
      <c r="BY253">
        <v>5</v>
      </c>
      <c r="BZ253">
        <v>8</v>
      </c>
      <c r="CA253">
        <v>8</v>
      </c>
      <c r="CB253">
        <v>8</v>
      </c>
      <c r="CC253">
        <v>8</v>
      </c>
      <c r="CD253">
        <v>8</v>
      </c>
      <c r="CE253">
        <v>8</v>
      </c>
      <c r="CF253">
        <v>9</v>
      </c>
      <c r="CG253">
        <v>10</v>
      </c>
      <c r="CH253">
        <v>10</v>
      </c>
      <c r="CI253">
        <v>10</v>
      </c>
      <c r="CJ253">
        <v>11</v>
      </c>
      <c r="CK253">
        <v>11</v>
      </c>
      <c r="CL253">
        <v>11</v>
      </c>
      <c r="CM253">
        <v>11</v>
      </c>
      <c r="CN253">
        <v>11</v>
      </c>
      <c r="CO253">
        <v>11</v>
      </c>
      <c r="CP253">
        <v>11</v>
      </c>
      <c r="CQ253">
        <v>11</v>
      </c>
      <c r="CR253">
        <v>11</v>
      </c>
      <c r="CS253">
        <v>11</v>
      </c>
      <c r="CT253">
        <v>11</v>
      </c>
      <c r="CU253" s="1">
        <v>12</v>
      </c>
      <c r="CV253" s="1">
        <v>12</v>
      </c>
      <c r="CW253" s="1">
        <v>12</v>
      </c>
      <c r="CX253" s="1">
        <v>12</v>
      </c>
      <c r="CY253" s="1">
        <v>12</v>
      </c>
      <c r="CZ253" s="1">
        <v>12</v>
      </c>
      <c r="DA253" s="1">
        <v>12</v>
      </c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</row>
    <row r="254" spans="1:198" x14ac:dyDescent="0.45">
      <c r="A254" s="1" t="s">
        <v>2</v>
      </c>
      <c r="B254" s="1" t="s">
        <v>363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  <c r="BS254">
        <v>2</v>
      </c>
      <c r="BT254">
        <v>2</v>
      </c>
      <c r="BU254">
        <v>9</v>
      </c>
      <c r="BV254">
        <v>9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  <c r="CM254">
        <v>9</v>
      </c>
      <c r="CN254">
        <v>9</v>
      </c>
      <c r="CO254">
        <v>9</v>
      </c>
      <c r="CP254">
        <v>9</v>
      </c>
      <c r="CQ254">
        <v>9</v>
      </c>
      <c r="CR254">
        <v>9</v>
      </c>
      <c r="CS254">
        <v>9</v>
      </c>
      <c r="CT254">
        <v>9</v>
      </c>
      <c r="CU254" s="1">
        <v>9</v>
      </c>
      <c r="CV254" s="1">
        <v>9</v>
      </c>
      <c r="CW254" s="1">
        <v>9</v>
      </c>
      <c r="CX254" s="1">
        <v>9</v>
      </c>
      <c r="CY254" s="1">
        <v>9</v>
      </c>
      <c r="CZ254" s="1">
        <v>9</v>
      </c>
      <c r="DA254" s="1">
        <v>9</v>
      </c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</row>
    <row r="255" spans="1:198" x14ac:dyDescent="0.45">
      <c r="A255" s="1" t="s">
        <v>2</v>
      </c>
      <c r="B255" s="1" t="s">
        <v>365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3</v>
      </c>
      <c r="BT255">
        <v>4</v>
      </c>
      <c r="BU255">
        <v>4</v>
      </c>
      <c r="BV255">
        <v>4</v>
      </c>
      <c r="BW255">
        <v>4</v>
      </c>
      <c r="BX255">
        <v>4</v>
      </c>
      <c r="BY255">
        <v>6</v>
      </c>
      <c r="BZ255">
        <v>6</v>
      </c>
      <c r="CA255">
        <v>6</v>
      </c>
      <c r="CB255">
        <v>6</v>
      </c>
      <c r="CC255">
        <v>13</v>
      </c>
      <c r="CD255">
        <v>13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15</v>
      </c>
      <c r="CK255">
        <v>15</v>
      </c>
      <c r="CL255">
        <v>15</v>
      </c>
      <c r="CM255">
        <v>20</v>
      </c>
      <c r="CN255">
        <v>20</v>
      </c>
      <c r="CO255">
        <v>20</v>
      </c>
      <c r="CP255">
        <v>22</v>
      </c>
      <c r="CQ255">
        <v>22</v>
      </c>
      <c r="CR255">
        <v>22</v>
      </c>
      <c r="CS255">
        <v>22</v>
      </c>
      <c r="CT255">
        <v>22</v>
      </c>
      <c r="CU255" s="1">
        <v>22</v>
      </c>
      <c r="CV255" s="1">
        <v>23</v>
      </c>
      <c r="CW255" s="1">
        <v>23</v>
      </c>
      <c r="CX255" s="1">
        <v>23</v>
      </c>
      <c r="CY255" s="1">
        <v>23</v>
      </c>
      <c r="CZ255" s="1">
        <v>23</v>
      </c>
      <c r="DA255" s="1">
        <v>23</v>
      </c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</row>
    <row r="256" spans="1:198" x14ac:dyDescent="0.45">
      <c r="A256" s="1" t="s">
        <v>2</v>
      </c>
      <c r="B256" s="1" t="s">
        <v>367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2</v>
      </c>
      <c r="BU256">
        <v>2</v>
      </c>
      <c r="BV256">
        <v>3</v>
      </c>
      <c r="BW256">
        <v>3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5</v>
      </c>
      <c r="CF256">
        <v>5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  <c r="CM256">
        <v>5</v>
      </c>
      <c r="CN256">
        <v>5</v>
      </c>
      <c r="CO256">
        <v>5</v>
      </c>
      <c r="CP256">
        <v>11</v>
      </c>
      <c r="CQ256">
        <v>11</v>
      </c>
      <c r="CR256">
        <v>11</v>
      </c>
      <c r="CS256">
        <v>11</v>
      </c>
      <c r="CT256">
        <v>11</v>
      </c>
      <c r="CU256" s="1">
        <v>11</v>
      </c>
      <c r="CV256" s="1">
        <v>11</v>
      </c>
      <c r="CW256" s="1">
        <v>11</v>
      </c>
      <c r="CX256" s="1">
        <v>11</v>
      </c>
      <c r="CY256" s="1">
        <v>11</v>
      </c>
      <c r="CZ256" s="1">
        <v>15</v>
      </c>
      <c r="DA256" s="1">
        <v>15</v>
      </c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</row>
    <row r="257" spans="1:198" x14ac:dyDescent="0.45">
      <c r="A257" s="1" t="s">
        <v>2</v>
      </c>
      <c r="B257" s="1" t="s">
        <v>368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1</v>
      </c>
      <c r="BU257">
        <v>2</v>
      </c>
      <c r="BV257">
        <v>2</v>
      </c>
      <c r="BW257">
        <v>2</v>
      </c>
      <c r="BX257">
        <v>4</v>
      </c>
      <c r="BY257">
        <v>6</v>
      </c>
      <c r="BZ257">
        <v>6</v>
      </c>
      <c r="CA257">
        <v>6</v>
      </c>
      <c r="CB257">
        <v>7</v>
      </c>
      <c r="CC257">
        <v>7</v>
      </c>
      <c r="CD257">
        <v>8</v>
      </c>
      <c r="CE257">
        <v>8</v>
      </c>
      <c r="CF257">
        <v>10</v>
      </c>
      <c r="CG257">
        <v>10</v>
      </c>
      <c r="CH257">
        <v>11</v>
      </c>
      <c r="CI257">
        <v>13</v>
      </c>
      <c r="CJ257">
        <v>15</v>
      </c>
      <c r="CK257">
        <v>26</v>
      </c>
      <c r="CL257">
        <v>30</v>
      </c>
      <c r="CM257">
        <v>35</v>
      </c>
      <c r="CN257">
        <v>43</v>
      </c>
      <c r="CO257">
        <v>50</v>
      </c>
      <c r="CP257">
        <v>61</v>
      </c>
      <c r="CQ257">
        <v>64</v>
      </c>
      <c r="CR257">
        <v>82</v>
      </c>
      <c r="CS257">
        <v>82</v>
      </c>
      <c r="CT257">
        <v>93</v>
      </c>
      <c r="CU257" s="1">
        <v>93</v>
      </c>
      <c r="CV257" s="1">
        <v>104</v>
      </c>
      <c r="CW257" s="1">
        <v>104</v>
      </c>
      <c r="CX257" s="1">
        <v>124</v>
      </c>
      <c r="CY257" s="1">
        <v>136</v>
      </c>
      <c r="CZ257" s="1">
        <v>155</v>
      </c>
      <c r="DA257" s="1">
        <v>166</v>
      </c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</row>
    <row r="258" spans="1:198" x14ac:dyDescent="0.45">
      <c r="A258" s="1" t="s">
        <v>369</v>
      </c>
      <c r="B258" s="1" t="s">
        <v>199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2</v>
      </c>
      <c r="BW258">
        <v>2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3</v>
      </c>
      <c r="CG258">
        <v>3</v>
      </c>
      <c r="CH258">
        <v>3</v>
      </c>
      <c r="CI258">
        <v>3</v>
      </c>
      <c r="CJ258">
        <v>3</v>
      </c>
      <c r="CK258">
        <v>3</v>
      </c>
      <c r="CL258">
        <v>3</v>
      </c>
      <c r="CM258">
        <v>5</v>
      </c>
      <c r="CN258">
        <v>5</v>
      </c>
      <c r="CO258">
        <v>5</v>
      </c>
      <c r="CP258">
        <v>5</v>
      </c>
      <c r="CQ258">
        <v>5</v>
      </c>
      <c r="CR258">
        <v>5</v>
      </c>
      <c r="CS258">
        <v>5</v>
      </c>
      <c r="CT258">
        <v>5</v>
      </c>
      <c r="CU258" s="1">
        <v>5</v>
      </c>
      <c r="CV258" s="1">
        <v>5</v>
      </c>
      <c r="CW258" s="1">
        <v>5</v>
      </c>
      <c r="CX258" s="1">
        <v>5</v>
      </c>
      <c r="CY258" s="1">
        <v>6</v>
      </c>
      <c r="CZ258" s="1">
        <v>6</v>
      </c>
      <c r="DA258" s="1">
        <v>6</v>
      </c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</row>
    <row r="259" spans="1:198" x14ac:dyDescent="0.45">
      <c r="A259" s="1" t="s">
        <v>2</v>
      </c>
      <c r="B259" s="1" t="s">
        <v>370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3</v>
      </c>
      <c r="BW259">
        <v>3</v>
      </c>
      <c r="BX259">
        <v>4</v>
      </c>
      <c r="BY259">
        <v>4</v>
      </c>
      <c r="BZ259">
        <v>5</v>
      </c>
      <c r="CA259">
        <v>8</v>
      </c>
      <c r="CB259">
        <v>8</v>
      </c>
      <c r="CC259">
        <v>8</v>
      </c>
      <c r="CD259">
        <v>9</v>
      </c>
      <c r="CE259">
        <v>12</v>
      </c>
      <c r="CF259">
        <v>13</v>
      </c>
      <c r="CG259">
        <v>16</v>
      </c>
      <c r="CH259">
        <v>16</v>
      </c>
      <c r="CI259">
        <v>16</v>
      </c>
      <c r="CJ259">
        <v>16</v>
      </c>
      <c r="CK259">
        <v>17</v>
      </c>
      <c r="CL259">
        <v>17</v>
      </c>
      <c r="CM259">
        <v>17</v>
      </c>
      <c r="CN259">
        <v>17</v>
      </c>
      <c r="CO259">
        <v>18</v>
      </c>
      <c r="CP259">
        <v>23</v>
      </c>
      <c r="CQ259">
        <v>33</v>
      </c>
      <c r="CR259">
        <v>33</v>
      </c>
      <c r="CS259">
        <v>33</v>
      </c>
      <c r="CT259">
        <v>34</v>
      </c>
      <c r="CU259" s="1">
        <v>36</v>
      </c>
      <c r="CV259" s="1">
        <v>36</v>
      </c>
      <c r="CW259" s="1">
        <v>36</v>
      </c>
      <c r="CX259" s="1">
        <v>37</v>
      </c>
      <c r="CY259" s="1">
        <v>37</v>
      </c>
      <c r="CZ259" s="1">
        <v>38</v>
      </c>
      <c r="DA259" s="1">
        <v>39</v>
      </c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</row>
    <row r="260" spans="1:198" x14ac:dyDescent="0.45">
      <c r="A260" s="1" t="s">
        <v>374</v>
      </c>
      <c r="B260" s="1" t="s">
        <v>155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1</v>
      </c>
      <c r="BY260">
        <v>2</v>
      </c>
      <c r="BZ260">
        <v>2</v>
      </c>
      <c r="CA260">
        <v>2</v>
      </c>
      <c r="CB260">
        <v>5</v>
      </c>
      <c r="CC260">
        <v>5</v>
      </c>
      <c r="CD260">
        <v>5</v>
      </c>
      <c r="CE260">
        <v>5</v>
      </c>
      <c r="CF260">
        <v>5</v>
      </c>
      <c r="CG260">
        <v>5</v>
      </c>
      <c r="CH260">
        <v>11</v>
      </c>
      <c r="CI260">
        <v>11</v>
      </c>
      <c r="CJ260">
        <v>11</v>
      </c>
      <c r="CK260">
        <v>11</v>
      </c>
      <c r="CL260">
        <v>11</v>
      </c>
      <c r="CM260">
        <v>11</v>
      </c>
      <c r="CN260">
        <v>11</v>
      </c>
      <c r="CO260">
        <v>11</v>
      </c>
      <c r="CP260">
        <v>11</v>
      </c>
      <c r="CQ260">
        <v>12</v>
      </c>
      <c r="CR260">
        <v>13</v>
      </c>
      <c r="CS260">
        <v>13</v>
      </c>
      <c r="CT260">
        <v>13</v>
      </c>
      <c r="CU260" s="1">
        <v>13</v>
      </c>
      <c r="CV260" s="1">
        <v>13</v>
      </c>
      <c r="CW260" s="1">
        <v>13</v>
      </c>
      <c r="CX260" s="1">
        <v>13</v>
      </c>
      <c r="CY260" s="1">
        <v>13</v>
      </c>
      <c r="CZ260" s="1">
        <v>13</v>
      </c>
      <c r="DA260" s="1">
        <v>13</v>
      </c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</row>
    <row r="261" spans="1:198" x14ac:dyDescent="0.45">
      <c r="A261" s="1" t="s">
        <v>371</v>
      </c>
      <c r="B261" s="1" t="s">
        <v>112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1</v>
      </c>
      <c r="BZ261">
        <v>1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  <c r="CN261">
        <v>1</v>
      </c>
      <c r="CO261">
        <v>1</v>
      </c>
      <c r="CP261">
        <v>1</v>
      </c>
      <c r="CQ261">
        <v>1</v>
      </c>
      <c r="CR261">
        <v>1</v>
      </c>
      <c r="CS261">
        <v>1</v>
      </c>
      <c r="CT261">
        <v>1</v>
      </c>
      <c r="CU261" s="1">
        <v>1</v>
      </c>
      <c r="CV261" s="1">
        <v>1</v>
      </c>
      <c r="CW261" s="1">
        <v>1</v>
      </c>
      <c r="CX261" s="1">
        <v>1</v>
      </c>
      <c r="CY261" s="1">
        <v>1</v>
      </c>
      <c r="CZ261" s="1">
        <v>1</v>
      </c>
      <c r="DA261" s="1">
        <v>1</v>
      </c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</row>
    <row r="262" spans="1:198" x14ac:dyDescent="0.45">
      <c r="A262" s="1" t="s">
        <v>2</v>
      </c>
      <c r="B262" s="1" t="s">
        <v>372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1</v>
      </c>
      <c r="BZ262">
        <v>1</v>
      </c>
      <c r="CA262">
        <v>2</v>
      </c>
      <c r="CB262">
        <v>2</v>
      </c>
      <c r="CC262">
        <v>3</v>
      </c>
      <c r="CD262">
        <v>4</v>
      </c>
      <c r="CE262">
        <v>4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  <c r="CM262">
        <v>4</v>
      </c>
      <c r="CN262">
        <v>4</v>
      </c>
      <c r="CO262">
        <v>4</v>
      </c>
      <c r="CP262">
        <v>4</v>
      </c>
      <c r="CQ262">
        <v>5</v>
      </c>
      <c r="CR262">
        <v>5</v>
      </c>
      <c r="CS262">
        <v>5</v>
      </c>
      <c r="CT262">
        <v>6</v>
      </c>
      <c r="CU262" s="1">
        <v>6</v>
      </c>
      <c r="CV262" s="1">
        <v>34</v>
      </c>
      <c r="CW262" s="1">
        <v>34</v>
      </c>
      <c r="CX262" s="1">
        <v>35</v>
      </c>
      <c r="CY262" s="1">
        <v>45</v>
      </c>
      <c r="CZ262" s="1">
        <v>45</v>
      </c>
      <c r="DA262" s="1">
        <v>46</v>
      </c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</row>
    <row r="263" spans="1:198" x14ac:dyDescent="0.45">
      <c r="A263" s="1" t="s">
        <v>2</v>
      </c>
      <c r="B263" s="1" t="s">
        <v>373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4</v>
      </c>
      <c r="BZ263">
        <v>4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6</v>
      </c>
      <c r="CG263">
        <v>6</v>
      </c>
      <c r="CH263">
        <v>6</v>
      </c>
      <c r="CI263">
        <v>6</v>
      </c>
      <c r="CJ263">
        <v>6</v>
      </c>
      <c r="CK263">
        <v>6</v>
      </c>
      <c r="CL263">
        <v>6</v>
      </c>
      <c r="CM263">
        <v>6</v>
      </c>
      <c r="CN263">
        <v>6</v>
      </c>
      <c r="CO263">
        <v>6</v>
      </c>
      <c r="CP263">
        <v>6</v>
      </c>
      <c r="CQ263">
        <v>6</v>
      </c>
      <c r="CR263">
        <v>6</v>
      </c>
      <c r="CS263">
        <v>6</v>
      </c>
      <c r="CT263">
        <v>6</v>
      </c>
      <c r="CU263" s="1">
        <v>6</v>
      </c>
      <c r="CV263" s="1">
        <v>6</v>
      </c>
      <c r="CW263" s="1">
        <v>6</v>
      </c>
      <c r="CX263" s="1">
        <v>6</v>
      </c>
      <c r="CY263" s="1">
        <v>6</v>
      </c>
      <c r="CZ263" s="1">
        <v>6</v>
      </c>
      <c r="DA263" s="1">
        <v>6</v>
      </c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</row>
    <row r="264" spans="1:198" x14ac:dyDescent="0.45">
      <c r="A264" s="1" t="s">
        <v>2</v>
      </c>
      <c r="B264" s="1" t="s">
        <v>375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4</v>
      </c>
      <c r="CA264">
        <v>4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  <c r="CM264">
        <v>4</v>
      </c>
      <c r="CN264">
        <v>4</v>
      </c>
      <c r="CO264">
        <v>4</v>
      </c>
      <c r="CP264">
        <v>4</v>
      </c>
      <c r="CQ264">
        <v>4</v>
      </c>
      <c r="CR264">
        <v>4</v>
      </c>
      <c r="CS264">
        <v>4</v>
      </c>
      <c r="CT264">
        <v>4</v>
      </c>
      <c r="CU264" s="1">
        <v>4</v>
      </c>
      <c r="CV264" s="1">
        <v>8</v>
      </c>
      <c r="CW264" s="1">
        <v>8</v>
      </c>
      <c r="CX264" s="1">
        <v>14</v>
      </c>
      <c r="CY264" s="1">
        <v>16</v>
      </c>
      <c r="CZ264" s="1">
        <v>16</v>
      </c>
      <c r="DA264" s="1">
        <v>16</v>
      </c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</row>
    <row r="265" spans="1:198" x14ac:dyDescent="0.45">
      <c r="A265" s="1" t="s">
        <v>2</v>
      </c>
      <c r="B265" s="1" t="s">
        <v>376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1</v>
      </c>
      <c r="CE265">
        <v>1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  <c r="CN265">
        <v>1</v>
      </c>
      <c r="CO265">
        <v>1</v>
      </c>
      <c r="CP265">
        <v>1</v>
      </c>
      <c r="CQ265">
        <v>1</v>
      </c>
      <c r="CR265">
        <v>1</v>
      </c>
      <c r="CS265">
        <v>1</v>
      </c>
      <c r="CT265">
        <v>1</v>
      </c>
      <c r="CU265" s="1">
        <v>1</v>
      </c>
      <c r="CV265" s="1">
        <v>1</v>
      </c>
      <c r="CW265" s="1">
        <v>6</v>
      </c>
      <c r="CX265" s="1">
        <v>6</v>
      </c>
      <c r="CY265" s="1">
        <v>7</v>
      </c>
      <c r="CZ265" s="1">
        <v>10</v>
      </c>
      <c r="DA265" s="1">
        <v>10</v>
      </c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</row>
    <row r="266" spans="1:198" x14ac:dyDescent="0.45">
      <c r="A266" s="1" t="s">
        <v>2</v>
      </c>
      <c r="B266" s="1" t="s">
        <v>380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 s="1">
        <v>0</v>
      </c>
      <c r="CV266" s="1">
        <v>0</v>
      </c>
      <c r="CW266" s="1">
        <v>0</v>
      </c>
      <c r="CX266" s="1">
        <v>1</v>
      </c>
      <c r="CY266" s="1">
        <v>1</v>
      </c>
      <c r="CZ266" s="1">
        <v>3</v>
      </c>
      <c r="DA266" s="1">
        <v>3</v>
      </c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</row>
    <row r="267" spans="1:198" x14ac:dyDescent="0.45">
      <c r="A267" s="1" t="s">
        <v>2</v>
      </c>
      <c r="B267" s="1" t="s">
        <v>381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 s="1">
        <v>0</v>
      </c>
      <c r="CV267" s="1">
        <v>0</v>
      </c>
      <c r="CW267" s="1">
        <v>0</v>
      </c>
      <c r="CX267" s="1">
        <v>15</v>
      </c>
      <c r="CY267" s="1">
        <v>15</v>
      </c>
      <c r="CZ267" s="1">
        <v>76</v>
      </c>
      <c r="DA267" s="1">
        <v>128</v>
      </c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GP267"/>
  <sheetViews>
    <sheetView workbookViewId="0">
      <selection sqref="A1:GP267"/>
    </sheetView>
  </sheetViews>
  <sheetFormatPr baseColWidth="10" defaultRowHeight="14.25" x14ac:dyDescent="0.45"/>
  <cols>
    <col min="1" max="1" width="27.3984375" bestFit="1" customWidth="1"/>
    <col min="2" max="2" width="28.73046875" bestFit="1" customWidth="1"/>
    <col min="3" max="7" width="10.46484375" bestFit="1" customWidth="1"/>
    <col min="8" max="97" width="11.3984375" bestFit="1" customWidth="1"/>
    <col min="98" max="98" width="12.33203125" bestFit="1" customWidth="1"/>
    <col min="99" max="198" width="12.33203125" customWidth="1"/>
    <col min="199" max="199" width="23.265625" bestFit="1" customWidth="1"/>
    <col min="200" max="200" width="27" bestFit="1" customWidth="1"/>
    <col min="201" max="210" width="9.59765625" bestFit="1" customWidth="1"/>
    <col min="211" max="219" width="8.59765625" bestFit="1" customWidth="1"/>
    <col min="220" max="239" width="9.59765625" bestFit="1" customWidth="1"/>
    <col min="240" max="248" width="8.59765625" bestFit="1" customWidth="1"/>
    <col min="249" max="264" width="9.59765625" bestFit="1" customWidth="1"/>
  </cols>
  <sheetData>
    <row r="1" spans="1:198" x14ac:dyDescent="0.45">
      <c r="A1" t="s">
        <v>255</v>
      </c>
      <c r="B1" t="s">
        <v>256</v>
      </c>
      <c r="C1" t="s">
        <v>257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267</v>
      </c>
      <c r="N1" t="s">
        <v>268</v>
      </c>
      <c r="O1" t="s">
        <v>269</v>
      </c>
      <c r="P1" t="s">
        <v>270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284</v>
      </c>
      <c r="AE1" t="s">
        <v>285</v>
      </c>
      <c r="AF1" t="s">
        <v>286</v>
      </c>
      <c r="AG1" t="s">
        <v>287</v>
      </c>
      <c r="AH1" t="s">
        <v>288</v>
      </c>
      <c r="AI1" t="s">
        <v>289</v>
      </c>
      <c r="AJ1" t="s">
        <v>290</v>
      </c>
      <c r="AK1" t="s">
        <v>291</v>
      </c>
      <c r="AL1" t="s">
        <v>292</v>
      </c>
      <c r="AM1" t="s">
        <v>293</v>
      </c>
      <c r="AN1" t="s">
        <v>294</v>
      </c>
      <c r="AO1" t="s">
        <v>295</v>
      </c>
      <c r="AP1" t="s">
        <v>296</v>
      </c>
      <c r="AQ1" t="s">
        <v>297</v>
      </c>
      <c r="AR1" t="s">
        <v>298</v>
      </c>
      <c r="AS1" t="s">
        <v>299</v>
      </c>
      <c r="AT1" t="s">
        <v>300</v>
      </c>
      <c r="AU1" t="s">
        <v>301</v>
      </c>
      <c r="AV1" t="s">
        <v>302</v>
      </c>
      <c r="AW1" t="s">
        <v>303</v>
      </c>
      <c r="AX1" t="s">
        <v>304</v>
      </c>
      <c r="AY1" t="s">
        <v>305</v>
      </c>
      <c r="AZ1" t="s">
        <v>306</v>
      </c>
      <c r="BA1" t="s">
        <v>307</v>
      </c>
      <c r="BB1" t="s">
        <v>308</v>
      </c>
      <c r="BC1" t="s">
        <v>309</v>
      </c>
      <c r="BD1" t="s">
        <v>310</v>
      </c>
      <c r="BE1" t="s">
        <v>311</v>
      </c>
      <c r="BF1" t="s">
        <v>312</v>
      </c>
      <c r="BG1" t="s">
        <v>313</v>
      </c>
      <c r="BH1" t="s">
        <v>314</v>
      </c>
      <c r="BI1" t="s">
        <v>315</v>
      </c>
      <c r="BJ1" t="s">
        <v>316</v>
      </c>
      <c r="BK1" t="s">
        <v>317</v>
      </c>
      <c r="BL1" t="s">
        <v>318</v>
      </c>
      <c r="BM1" t="s">
        <v>319</v>
      </c>
      <c r="BN1" t="s">
        <v>320</v>
      </c>
      <c r="BO1" t="s">
        <v>321</v>
      </c>
      <c r="BP1" t="s">
        <v>322</v>
      </c>
      <c r="BQ1" t="s">
        <v>323</v>
      </c>
      <c r="BR1" t="s">
        <v>324</v>
      </c>
      <c r="BS1" t="s">
        <v>325</v>
      </c>
      <c r="BT1" t="s">
        <v>326</v>
      </c>
      <c r="BU1" t="s">
        <v>327</v>
      </c>
      <c r="BV1" t="s">
        <v>328</v>
      </c>
      <c r="BW1" t="s">
        <v>329</v>
      </c>
      <c r="BX1" t="s">
        <v>330</v>
      </c>
      <c r="BY1" t="s">
        <v>331</v>
      </c>
      <c r="BZ1" t="s">
        <v>332</v>
      </c>
      <c r="CA1" t="s">
        <v>333</v>
      </c>
      <c r="CB1" t="s">
        <v>334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342</v>
      </c>
      <c r="CK1" t="s">
        <v>343</v>
      </c>
      <c r="CL1" t="s">
        <v>344</v>
      </c>
      <c r="CM1" t="s">
        <v>345</v>
      </c>
      <c r="CN1" t="s">
        <v>346</v>
      </c>
      <c r="CO1" t="s">
        <v>347</v>
      </c>
      <c r="CP1" t="s">
        <v>348</v>
      </c>
      <c r="CQ1" t="s">
        <v>349</v>
      </c>
      <c r="CR1" t="s">
        <v>350</v>
      </c>
      <c r="CS1" t="s">
        <v>351</v>
      </c>
      <c r="CT1" t="s">
        <v>352</v>
      </c>
      <c r="CU1" t="s">
        <v>382</v>
      </c>
      <c r="CV1" t="s">
        <v>383</v>
      </c>
      <c r="CW1" t="s">
        <v>384</v>
      </c>
      <c r="CX1" t="s">
        <v>385</v>
      </c>
      <c r="CY1" t="s">
        <v>386</v>
      </c>
      <c r="CZ1" t="s">
        <v>387</v>
      </c>
      <c r="DA1" t="s">
        <v>388</v>
      </c>
      <c r="DB1" t="s">
        <v>389</v>
      </c>
      <c r="DC1" t="s">
        <v>390</v>
      </c>
      <c r="DD1" t="s">
        <v>391</v>
      </c>
      <c r="DE1" t="s">
        <v>392</v>
      </c>
      <c r="DF1" t="s">
        <v>393</v>
      </c>
      <c r="DG1" t="s">
        <v>394</v>
      </c>
      <c r="DH1" t="s">
        <v>395</v>
      </c>
      <c r="DI1" t="s">
        <v>396</v>
      </c>
      <c r="DJ1" t="s">
        <v>397</v>
      </c>
      <c r="DK1" t="s">
        <v>398</v>
      </c>
      <c r="DL1" t="s">
        <v>399</v>
      </c>
      <c r="DM1" t="s">
        <v>400</v>
      </c>
      <c r="DN1" t="s">
        <v>401</v>
      </c>
      <c r="DO1" t="s">
        <v>402</v>
      </c>
      <c r="DP1" t="s">
        <v>403</v>
      </c>
      <c r="DQ1" t="s">
        <v>404</v>
      </c>
      <c r="DR1" t="s">
        <v>405</v>
      </c>
      <c r="DS1" t="s">
        <v>406</v>
      </c>
      <c r="DT1" t="s">
        <v>407</v>
      </c>
      <c r="DU1" t="s">
        <v>408</v>
      </c>
      <c r="DV1" t="s">
        <v>409</v>
      </c>
      <c r="DW1" t="s">
        <v>410</v>
      </c>
      <c r="DX1" t="s">
        <v>411</v>
      </c>
      <c r="DY1" t="s">
        <v>412</v>
      </c>
      <c r="DZ1" t="s">
        <v>413</v>
      </c>
      <c r="EA1" t="s">
        <v>414</v>
      </c>
      <c r="EB1" t="s">
        <v>415</v>
      </c>
      <c r="EC1" t="s">
        <v>416</v>
      </c>
      <c r="ED1" t="s">
        <v>417</v>
      </c>
      <c r="EE1" t="s">
        <v>418</v>
      </c>
      <c r="EF1" t="s">
        <v>419</v>
      </c>
      <c r="EG1" t="s">
        <v>420</v>
      </c>
      <c r="EH1" t="s">
        <v>421</v>
      </c>
      <c r="EI1" t="s">
        <v>422</v>
      </c>
      <c r="EJ1" t="s">
        <v>423</v>
      </c>
      <c r="EK1" t="s">
        <v>424</v>
      </c>
      <c r="EL1" t="s">
        <v>425</v>
      </c>
      <c r="EM1" t="s">
        <v>426</v>
      </c>
      <c r="EN1" t="s">
        <v>427</v>
      </c>
      <c r="EO1" t="s">
        <v>428</v>
      </c>
      <c r="EP1" t="s">
        <v>429</v>
      </c>
      <c r="EQ1" t="s">
        <v>430</v>
      </c>
      <c r="ER1" t="s">
        <v>431</v>
      </c>
      <c r="ES1" t="s">
        <v>432</v>
      </c>
      <c r="ET1" t="s">
        <v>433</v>
      </c>
      <c r="EU1" t="s">
        <v>434</v>
      </c>
      <c r="EV1" t="s">
        <v>435</v>
      </c>
      <c r="EW1" t="s">
        <v>436</v>
      </c>
      <c r="EX1" t="s">
        <v>437</v>
      </c>
      <c r="EY1" t="s">
        <v>438</v>
      </c>
      <c r="EZ1" t="s">
        <v>439</v>
      </c>
      <c r="FA1" t="s">
        <v>440</v>
      </c>
      <c r="FB1" t="s">
        <v>441</v>
      </c>
      <c r="FC1" t="s">
        <v>442</v>
      </c>
      <c r="FD1" t="s">
        <v>443</v>
      </c>
      <c r="FE1" t="s">
        <v>444</v>
      </c>
      <c r="FF1" t="s">
        <v>445</v>
      </c>
      <c r="FG1" t="s">
        <v>446</v>
      </c>
      <c r="FH1" t="s">
        <v>447</v>
      </c>
      <c r="FI1" t="s">
        <v>448</v>
      </c>
      <c r="FJ1" t="s">
        <v>449</v>
      </c>
      <c r="FK1" t="s">
        <v>450</v>
      </c>
      <c r="FL1" t="s">
        <v>451</v>
      </c>
      <c r="FM1" t="s">
        <v>452</v>
      </c>
      <c r="FN1" t="s">
        <v>453</v>
      </c>
      <c r="FO1" t="s">
        <v>454</v>
      </c>
      <c r="FP1" t="s">
        <v>455</v>
      </c>
      <c r="FQ1" t="s">
        <v>456</v>
      </c>
      <c r="FR1" t="s">
        <v>457</v>
      </c>
      <c r="FS1" t="s">
        <v>458</v>
      </c>
      <c r="FT1" t="s">
        <v>459</v>
      </c>
      <c r="FU1" t="s">
        <v>460</v>
      </c>
      <c r="FV1" t="s">
        <v>461</v>
      </c>
      <c r="FW1" t="s">
        <v>462</v>
      </c>
      <c r="FX1" t="s">
        <v>463</v>
      </c>
      <c r="FY1" t="s">
        <v>464</v>
      </c>
      <c r="FZ1" t="s">
        <v>465</v>
      </c>
      <c r="GA1" t="s">
        <v>466</v>
      </c>
      <c r="GB1" t="s">
        <v>467</v>
      </c>
      <c r="GC1" t="s">
        <v>468</v>
      </c>
      <c r="GD1" t="s">
        <v>469</v>
      </c>
      <c r="GE1" t="s">
        <v>470</v>
      </c>
      <c r="GF1" t="s">
        <v>471</v>
      </c>
      <c r="GG1" t="s">
        <v>472</v>
      </c>
      <c r="GH1" t="s">
        <v>473</v>
      </c>
      <c r="GI1" t="s">
        <v>474</v>
      </c>
      <c r="GJ1" t="s">
        <v>475</v>
      </c>
      <c r="GK1" t="s">
        <v>476</v>
      </c>
      <c r="GL1" t="s">
        <v>477</v>
      </c>
      <c r="GM1" t="s">
        <v>478</v>
      </c>
      <c r="GN1" t="s">
        <v>479</v>
      </c>
      <c r="GO1" t="s">
        <v>480</v>
      </c>
      <c r="GP1" t="s">
        <v>481</v>
      </c>
    </row>
    <row r="2" spans="1:198" x14ac:dyDescent="0.4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  <c r="BS2">
        <v>4</v>
      </c>
      <c r="BT2">
        <v>4</v>
      </c>
      <c r="BU2">
        <v>4</v>
      </c>
      <c r="BV2">
        <v>6</v>
      </c>
      <c r="BW2">
        <v>6</v>
      </c>
      <c r="BX2">
        <v>7</v>
      </c>
      <c r="BY2">
        <v>7</v>
      </c>
      <c r="BZ2">
        <v>11</v>
      </c>
      <c r="CA2">
        <v>14</v>
      </c>
      <c r="CB2">
        <v>14</v>
      </c>
      <c r="CC2">
        <v>15</v>
      </c>
      <c r="CD2">
        <v>15</v>
      </c>
      <c r="CE2">
        <v>18</v>
      </c>
      <c r="CF2">
        <v>18</v>
      </c>
      <c r="CG2">
        <v>21</v>
      </c>
      <c r="CH2">
        <v>23</v>
      </c>
      <c r="CI2">
        <v>25</v>
      </c>
      <c r="CJ2">
        <v>30</v>
      </c>
      <c r="CK2">
        <v>30</v>
      </c>
      <c r="CL2">
        <v>30</v>
      </c>
      <c r="CM2">
        <v>33</v>
      </c>
      <c r="CN2">
        <v>36</v>
      </c>
      <c r="CO2">
        <v>36</v>
      </c>
      <c r="CP2">
        <v>40</v>
      </c>
      <c r="CQ2">
        <v>42</v>
      </c>
      <c r="CR2">
        <v>43</v>
      </c>
      <c r="CS2">
        <v>47</v>
      </c>
      <c r="CT2">
        <v>50</v>
      </c>
      <c r="CU2" s="1">
        <v>57</v>
      </c>
      <c r="CV2" s="1">
        <v>58</v>
      </c>
      <c r="CW2" s="1">
        <v>60</v>
      </c>
      <c r="CX2" s="1">
        <v>64</v>
      </c>
      <c r="CY2" s="1">
        <v>68</v>
      </c>
      <c r="CZ2" s="1">
        <v>72</v>
      </c>
      <c r="DA2" s="1">
        <v>85</v>
      </c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</row>
    <row r="3" spans="1:198" x14ac:dyDescent="0.4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  <c r="BS3">
        <v>11</v>
      </c>
      <c r="BT3">
        <v>15</v>
      </c>
      <c r="BU3">
        <v>15</v>
      </c>
      <c r="BV3">
        <v>16</v>
      </c>
      <c r="BW3">
        <v>17</v>
      </c>
      <c r="BX3">
        <v>20</v>
      </c>
      <c r="BY3">
        <v>20</v>
      </c>
      <c r="BZ3">
        <v>21</v>
      </c>
      <c r="CA3">
        <v>22</v>
      </c>
      <c r="CB3">
        <v>22</v>
      </c>
      <c r="CC3">
        <v>23</v>
      </c>
      <c r="CD3">
        <v>23</v>
      </c>
      <c r="CE3">
        <v>23</v>
      </c>
      <c r="CF3">
        <v>23</v>
      </c>
      <c r="CG3">
        <v>23</v>
      </c>
      <c r="CH3">
        <v>24</v>
      </c>
      <c r="CI3">
        <v>25</v>
      </c>
      <c r="CJ3">
        <v>26</v>
      </c>
      <c r="CK3">
        <v>26</v>
      </c>
      <c r="CL3">
        <v>26</v>
      </c>
      <c r="CM3">
        <v>26</v>
      </c>
      <c r="CN3">
        <v>26</v>
      </c>
      <c r="CO3">
        <v>26</v>
      </c>
      <c r="CP3">
        <v>27</v>
      </c>
      <c r="CQ3">
        <v>27</v>
      </c>
      <c r="CR3">
        <v>27</v>
      </c>
      <c r="CS3">
        <v>27</v>
      </c>
      <c r="CT3">
        <v>28</v>
      </c>
      <c r="CU3" s="1">
        <v>28</v>
      </c>
      <c r="CV3" s="1">
        <v>30</v>
      </c>
      <c r="CW3" s="1">
        <v>30</v>
      </c>
      <c r="CX3" s="1">
        <v>31</v>
      </c>
      <c r="CY3" s="1">
        <v>31</v>
      </c>
      <c r="CZ3" s="1">
        <v>31</v>
      </c>
      <c r="DA3" s="1">
        <v>31</v>
      </c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</row>
    <row r="4" spans="1:198" x14ac:dyDescent="0.4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  <c r="BS4">
        <v>35</v>
      </c>
      <c r="BT4">
        <v>44</v>
      </c>
      <c r="BU4">
        <v>58</v>
      </c>
      <c r="BV4">
        <v>86</v>
      </c>
      <c r="BW4">
        <v>105</v>
      </c>
      <c r="BX4">
        <v>130</v>
      </c>
      <c r="BY4">
        <v>152</v>
      </c>
      <c r="BZ4">
        <v>173</v>
      </c>
      <c r="CA4">
        <v>193</v>
      </c>
      <c r="CB4">
        <v>205</v>
      </c>
      <c r="CC4">
        <v>235</v>
      </c>
      <c r="CD4">
        <v>256</v>
      </c>
      <c r="CE4">
        <v>275</v>
      </c>
      <c r="CF4">
        <v>293</v>
      </c>
      <c r="CG4">
        <v>313</v>
      </c>
      <c r="CH4">
        <v>326</v>
      </c>
      <c r="CI4">
        <v>336</v>
      </c>
      <c r="CJ4">
        <v>348</v>
      </c>
      <c r="CK4">
        <v>364</v>
      </c>
      <c r="CL4">
        <v>367</v>
      </c>
      <c r="CM4">
        <v>375</v>
      </c>
      <c r="CN4">
        <v>384</v>
      </c>
      <c r="CO4">
        <v>392</v>
      </c>
      <c r="CP4">
        <v>402</v>
      </c>
      <c r="CQ4">
        <v>407</v>
      </c>
      <c r="CR4">
        <v>415</v>
      </c>
      <c r="CS4">
        <v>419</v>
      </c>
      <c r="CT4">
        <v>425</v>
      </c>
      <c r="CU4" s="1">
        <v>432</v>
      </c>
      <c r="CV4" s="1">
        <v>437</v>
      </c>
      <c r="CW4" s="1">
        <v>444</v>
      </c>
      <c r="CX4" s="1">
        <v>450</v>
      </c>
      <c r="CY4" s="1">
        <v>453</v>
      </c>
      <c r="CZ4" s="1">
        <v>459</v>
      </c>
      <c r="DA4" s="1">
        <v>463</v>
      </c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</row>
    <row r="5" spans="1:198" x14ac:dyDescent="0.4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  <c r="BS5">
        <v>8</v>
      </c>
      <c r="BT5">
        <v>12</v>
      </c>
      <c r="BU5">
        <v>14</v>
      </c>
      <c r="BV5">
        <v>15</v>
      </c>
      <c r="BW5">
        <v>16</v>
      </c>
      <c r="BX5">
        <v>17</v>
      </c>
      <c r="BY5">
        <v>18</v>
      </c>
      <c r="BZ5">
        <v>21</v>
      </c>
      <c r="CA5">
        <v>22</v>
      </c>
      <c r="CB5">
        <v>23</v>
      </c>
      <c r="CC5">
        <v>25</v>
      </c>
      <c r="CD5">
        <v>26</v>
      </c>
      <c r="CE5">
        <v>26</v>
      </c>
      <c r="CF5">
        <v>29</v>
      </c>
      <c r="CG5">
        <v>29</v>
      </c>
      <c r="CH5">
        <v>31</v>
      </c>
      <c r="CI5">
        <v>33</v>
      </c>
      <c r="CJ5">
        <v>33</v>
      </c>
      <c r="CK5">
        <v>35</v>
      </c>
      <c r="CL5">
        <v>35</v>
      </c>
      <c r="CM5">
        <v>36</v>
      </c>
      <c r="CN5">
        <v>37</v>
      </c>
      <c r="CO5">
        <v>37</v>
      </c>
      <c r="CP5">
        <v>37</v>
      </c>
      <c r="CQ5">
        <v>37</v>
      </c>
      <c r="CR5">
        <v>40</v>
      </c>
      <c r="CS5">
        <v>40</v>
      </c>
      <c r="CT5">
        <v>40</v>
      </c>
      <c r="CU5" s="1">
        <v>40</v>
      </c>
      <c r="CV5" s="1">
        <v>41</v>
      </c>
      <c r="CW5" s="1">
        <v>42</v>
      </c>
      <c r="CX5" s="1">
        <v>42</v>
      </c>
      <c r="CY5" s="1">
        <v>43</v>
      </c>
      <c r="CZ5" s="1">
        <v>44</v>
      </c>
      <c r="DA5" s="1">
        <v>45</v>
      </c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</row>
    <row r="6" spans="1:198" x14ac:dyDescent="0.4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 s="1">
        <v>2</v>
      </c>
      <c r="CV6" s="1">
        <v>2</v>
      </c>
      <c r="CW6" s="1">
        <v>2</v>
      </c>
      <c r="CX6" s="1">
        <v>2</v>
      </c>
      <c r="CY6" s="1">
        <v>2</v>
      </c>
      <c r="CZ6" s="1">
        <v>2</v>
      </c>
      <c r="DA6" s="1">
        <v>2</v>
      </c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</row>
    <row r="7" spans="1:198" x14ac:dyDescent="0.4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1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3</v>
      </c>
      <c r="CK7">
        <v>3</v>
      </c>
      <c r="CL7">
        <v>3</v>
      </c>
      <c r="CM7">
        <v>3</v>
      </c>
      <c r="CN7">
        <v>3</v>
      </c>
      <c r="CO7">
        <v>3</v>
      </c>
      <c r="CP7">
        <v>3</v>
      </c>
      <c r="CQ7">
        <v>3</v>
      </c>
      <c r="CR7">
        <v>3</v>
      </c>
      <c r="CS7">
        <v>3</v>
      </c>
      <c r="CT7">
        <v>3</v>
      </c>
      <c r="CU7" s="1">
        <v>3</v>
      </c>
      <c r="CV7" s="1">
        <v>3</v>
      </c>
      <c r="CW7" s="1">
        <v>3</v>
      </c>
      <c r="CX7" s="1">
        <v>3</v>
      </c>
      <c r="CY7" s="1">
        <v>3</v>
      </c>
      <c r="CZ7" s="1">
        <v>3</v>
      </c>
      <c r="DA7" s="1">
        <v>3</v>
      </c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</row>
    <row r="8" spans="1:198" x14ac:dyDescent="0.4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  <c r="BS8">
        <v>23</v>
      </c>
      <c r="BT8">
        <v>27</v>
      </c>
      <c r="BU8">
        <v>28</v>
      </c>
      <c r="BV8">
        <v>36</v>
      </c>
      <c r="BW8">
        <v>39</v>
      </c>
      <c r="BX8">
        <v>43</v>
      </c>
      <c r="BY8">
        <v>44</v>
      </c>
      <c r="BZ8">
        <v>48</v>
      </c>
      <c r="CA8">
        <v>56</v>
      </c>
      <c r="CB8">
        <v>63</v>
      </c>
      <c r="CC8">
        <v>72</v>
      </c>
      <c r="CD8">
        <v>82</v>
      </c>
      <c r="CE8">
        <v>83</v>
      </c>
      <c r="CF8">
        <v>90</v>
      </c>
      <c r="CG8">
        <v>97</v>
      </c>
      <c r="CH8">
        <v>102</v>
      </c>
      <c r="CI8">
        <v>111</v>
      </c>
      <c r="CJ8">
        <v>115</v>
      </c>
      <c r="CK8">
        <v>123</v>
      </c>
      <c r="CL8">
        <v>129</v>
      </c>
      <c r="CM8">
        <v>132</v>
      </c>
      <c r="CN8">
        <v>136</v>
      </c>
      <c r="CO8">
        <v>147</v>
      </c>
      <c r="CP8">
        <v>152</v>
      </c>
      <c r="CQ8">
        <v>165</v>
      </c>
      <c r="CR8">
        <v>176</v>
      </c>
      <c r="CS8">
        <v>185</v>
      </c>
      <c r="CT8">
        <v>192</v>
      </c>
      <c r="CU8" s="1">
        <v>197</v>
      </c>
      <c r="CV8" s="1">
        <v>207</v>
      </c>
      <c r="CW8" s="1">
        <v>214</v>
      </c>
      <c r="CX8" s="1">
        <v>218</v>
      </c>
      <c r="CY8" s="1">
        <v>225</v>
      </c>
      <c r="CZ8" s="1">
        <v>237</v>
      </c>
      <c r="DA8" s="1">
        <v>246</v>
      </c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</row>
    <row r="9" spans="1:198" x14ac:dyDescent="0.4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  <c r="BS9">
        <v>3</v>
      </c>
      <c r="BT9">
        <v>3</v>
      </c>
      <c r="BU9">
        <v>4</v>
      </c>
      <c r="BV9">
        <v>7</v>
      </c>
      <c r="BW9">
        <v>7</v>
      </c>
      <c r="BX9">
        <v>7</v>
      </c>
      <c r="BY9">
        <v>7</v>
      </c>
      <c r="BZ9">
        <v>8</v>
      </c>
      <c r="CA9">
        <v>8</v>
      </c>
      <c r="CB9">
        <v>9</v>
      </c>
      <c r="CC9">
        <v>10</v>
      </c>
      <c r="CD9">
        <v>12</v>
      </c>
      <c r="CE9">
        <v>13</v>
      </c>
      <c r="CF9">
        <v>13</v>
      </c>
      <c r="CG9">
        <v>14</v>
      </c>
      <c r="CH9">
        <v>16</v>
      </c>
      <c r="CI9">
        <v>17</v>
      </c>
      <c r="CJ9">
        <v>18</v>
      </c>
      <c r="CK9">
        <v>19</v>
      </c>
      <c r="CL9">
        <v>20</v>
      </c>
      <c r="CM9">
        <v>20</v>
      </c>
      <c r="CN9">
        <v>22</v>
      </c>
      <c r="CO9">
        <v>24</v>
      </c>
      <c r="CP9">
        <v>24</v>
      </c>
      <c r="CQ9">
        <v>24</v>
      </c>
      <c r="CR9">
        <v>27</v>
      </c>
      <c r="CS9">
        <v>28</v>
      </c>
      <c r="CT9">
        <v>28</v>
      </c>
      <c r="CU9" s="1">
        <v>29</v>
      </c>
      <c r="CV9" s="1">
        <v>30</v>
      </c>
      <c r="CW9" s="1">
        <v>30</v>
      </c>
      <c r="CX9" s="1">
        <v>32</v>
      </c>
      <c r="CY9" s="1">
        <v>33</v>
      </c>
      <c r="CZ9" s="1">
        <v>33</v>
      </c>
      <c r="DA9" s="1">
        <v>35</v>
      </c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</row>
    <row r="10" spans="1:198" x14ac:dyDescent="0.4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2</v>
      </c>
      <c r="BY10">
        <v>2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3</v>
      </c>
      <c r="CJ10">
        <v>3</v>
      </c>
      <c r="CK10">
        <v>3</v>
      </c>
      <c r="CL10">
        <v>3</v>
      </c>
      <c r="CM10">
        <v>3</v>
      </c>
      <c r="CN10">
        <v>3</v>
      </c>
      <c r="CO10">
        <v>3</v>
      </c>
      <c r="CP10">
        <v>3</v>
      </c>
      <c r="CQ10">
        <v>3</v>
      </c>
      <c r="CR10">
        <v>3</v>
      </c>
      <c r="CS10">
        <v>3</v>
      </c>
      <c r="CT10">
        <v>3</v>
      </c>
      <c r="CU10" s="1">
        <v>3</v>
      </c>
      <c r="CV10" s="1">
        <v>3</v>
      </c>
      <c r="CW10" s="1">
        <v>3</v>
      </c>
      <c r="CX10" s="1">
        <v>3</v>
      </c>
      <c r="CY10" s="1">
        <v>3</v>
      </c>
      <c r="CZ10" s="1">
        <v>3</v>
      </c>
      <c r="DA10" s="1">
        <v>3</v>
      </c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</row>
    <row r="11" spans="1:1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  <c r="BS11">
        <v>8</v>
      </c>
      <c r="BT11">
        <v>8</v>
      </c>
      <c r="BU11">
        <v>9</v>
      </c>
      <c r="BV11">
        <v>10</v>
      </c>
      <c r="BW11">
        <v>12</v>
      </c>
      <c r="BX11">
        <v>12</v>
      </c>
      <c r="BY11">
        <v>16</v>
      </c>
      <c r="BZ11">
        <v>18</v>
      </c>
      <c r="CA11">
        <v>21</v>
      </c>
      <c r="CB11">
        <v>21</v>
      </c>
      <c r="CC11">
        <v>21</v>
      </c>
      <c r="CD11">
        <v>22</v>
      </c>
      <c r="CE11">
        <v>23</v>
      </c>
      <c r="CF11">
        <v>24</v>
      </c>
      <c r="CG11">
        <v>25</v>
      </c>
      <c r="CH11">
        <v>25</v>
      </c>
      <c r="CI11">
        <v>25</v>
      </c>
      <c r="CJ11">
        <v>25</v>
      </c>
      <c r="CK11">
        <v>26</v>
      </c>
      <c r="CL11">
        <v>26</v>
      </c>
      <c r="CM11">
        <v>26</v>
      </c>
      <c r="CN11">
        <v>26</v>
      </c>
      <c r="CO11">
        <v>26</v>
      </c>
      <c r="CP11">
        <v>26</v>
      </c>
      <c r="CQ11">
        <v>31</v>
      </c>
      <c r="CR11">
        <v>33</v>
      </c>
      <c r="CS11">
        <v>33</v>
      </c>
      <c r="CT11">
        <v>34</v>
      </c>
      <c r="CU11" s="1">
        <v>34</v>
      </c>
      <c r="CV11" s="1">
        <v>39</v>
      </c>
      <c r="CW11" s="1">
        <v>40</v>
      </c>
      <c r="CX11" s="1">
        <v>41</v>
      </c>
      <c r="CY11" s="1">
        <v>41</v>
      </c>
      <c r="CZ11" s="1">
        <v>42</v>
      </c>
      <c r="DA11" s="1">
        <v>42</v>
      </c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</row>
    <row r="12" spans="1:198" x14ac:dyDescent="0.4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</row>
    <row r="13" spans="1:1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  <c r="BS13">
        <v>2</v>
      </c>
      <c r="BT13">
        <v>2</v>
      </c>
      <c r="BU13">
        <v>2</v>
      </c>
      <c r="BV13">
        <v>4</v>
      </c>
      <c r="BW13">
        <v>4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5</v>
      </c>
      <c r="CF13">
        <v>5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6</v>
      </c>
      <c r="CM13">
        <v>6</v>
      </c>
      <c r="CN13">
        <v>6</v>
      </c>
      <c r="CO13">
        <v>6</v>
      </c>
      <c r="CP13">
        <v>6</v>
      </c>
      <c r="CQ13">
        <v>6</v>
      </c>
      <c r="CR13">
        <v>6</v>
      </c>
      <c r="CS13">
        <v>6</v>
      </c>
      <c r="CT13">
        <v>6</v>
      </c>
      <c r="CU13" s="1">
        <v>6</v>
      </c>
      <c r="CV13" s="1">
        <v>6</v>
      </c>
      <c r="CW13" s="1">
        <v>6</v>
      </c>
      <c r="CX13" s="1">
        <v>6</v>
      </c>
      <c r="CY13" s="1">
        <v>6</v>
      </c>
      <c r="CZ13" s="1">
        <v>6</v>
      </c>
      <c r="DA13" s="1">
        <v>6</v>
      </c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</row>
    <row r="14" spans="1:1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1</v>
      </c>
      <c r="CB14">
        <v>2</v>
      </c>
      <c r="CC14">
        <v>3</v>
      </c>
      <c r="CD14">
        <v>3</v>
      </c>
      <c r="CE14">
        <v>3</v>
      </c>
      <c r="CF14">
        <v>4</v>
      </c>
      <c r="CG14">
        <v>4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  <c r="CN14">
        <v>4</v>
      </c>
      <c r="CO14">
        <v>4</v>
      </c>
      <c r="CP14">
        <v>4</v>
      </c>
      <c r="CQ14">
        <v>4</v>
      </c>
      <c r="CR14">
        <v>4</v>
      </c>
      <c r="CS14">
        <v>4</v>
      </c>
      <c r="CT14">
        <v>4</v>
      </c>
      <c r="CU14" s="1">
        <v>4</v>
      </c>
      <c r="CV14" s="1">
        <v>4</v>
      </c>
      <c r="CW14" s="1">
        <v>4</v>
      </c>
      <c r="CX14" s="1">
        <v>4</v>
      </c>
      <c r="CY14" s="1">
        <v>4</v>
      </c>
      <c r="CZ14" s="1">
        <v>4</v>
      </c>
      <c r="DA14" s="1">
        <v>4</v>
      </c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</row>
    <row r="15" spans="1:198" x14ac:dyDescent="0.4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1</v>
      </c>
      <c r="BU15">
        <v>2</v>
      </c>
      <c r="BV15">
        <v>2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3</v>
      </c>
      <c r="CC15">
        <v>3</v>
      </c>
      <c r="CD15">
        <v>4</v>
      </c>
      <c r="CE15">
        <v>4</v>
      </c>
      <c r="CF15">
        <v>5</v>
      </c>
      <c r="CG15">
        <v>5</v>
      </c>
      <c r="CH15">
        <v>6</v>
      </c>
      <c r="CI15">
        <v>6</v>
      </c>
      <c r="CJ15">
        <v>6</v>
      </c>
      <c r="CK15">
        <v>7</v>
      </c>
      <c r="CL15">
        <v>7</v>
      </c>
      <c r="CM15">
        <v>7</v>
      </c>
      <c r="CN15">
        <v>7</v>
      </c>
      <c r="CO15">
        <v>7</v>
      </c>
      <c r="CP15">
        <v>7</v>
      </c>
      <c r="CQ15">
        <v>8</v>
      </c>
      <c r="CR15">
        <v>9</v>
      </c>
      <c r="CS15">
        <v>10</v>
      </c>
      <c r="CT15">
        <v>11</v>
      </c>
      <c r="CU15" s="1">
        <v>11</v>
      </c>
      <c r="CV15" s="1">
        <v>11</v>
      </c>
      <c r="CW15" s="1">
        <v>12</v>
      </c>
      <c r="CX15" s="1">
        <v>13</v>
      </c>
      <c r="CY15" s="1">
        <v>13</v>
      </c>
      <c r="CZ15" s="1">
        <v>13</v>
      </c>
      <c r="DA15" s="1">
        <v>13</v>
      </c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</row>
    <row r="16" spans="1:1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  <c r="BS16">
        <v>4</v>
      </c>
      <c r="BT16">
        <v>4</v>
      </c>
      <c r="BU16">
        <v>4</v>
      </c>
      <c r="BV16">
        <v>5</v>
      </c>
      <c r="BW16">
        <v>7</v>
      </c>
      <c r="BX16">
        <v>8</v>
      </c>
      <c r="BY16">
        <v>8</v>
      </c>
      <c r="BZ16">
        <v>10</v>
      </c>
      <c r="CA16">
        <v>11</v>
      </c>
      <c r="CB16">
        <v>12</v>
      </c>
      <c r="CC16">
        <v>12</v>
      </c>
      <c r="CD16">
        <v>13</v>
      </c>
      <c r="CE16">
        <v>14</v>
      </c>
      <c r="CF16">
        <v>14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  <c r="CQ16">
        <v>16</v>
      </c>
      <c r="CR16">
        <v>16</v>
      </c>
      <c r="CS16">
        <v>16</v>
      </c>
      <c r="CT16">
        <v>17</v>
      </c>
      <c r="CU16" s="1">
        <v>17</v>
      </c>
      <c r="CV16" s="1">
        <v>18</v>
      </c>
      <c r="CW16" s="1">
        <v>18</v>
      </c>
      <c r="CX16" s="1">
        <v>18</v>
      </c>
      <c r="CY16" s="1">
        <v>18</v>
      </c>
      <c r="CZ16" s="1">
        <v>18</v>
      </c>
      <c r="DA16" s="1">
        <v>18</v>
      </c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</row>
    <row r="17" spans="1:198" x14ac:dyDescent="0.4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3</v>
      </c>
      <c r="BZ17">
        <v>4</v>
      </c>
      <c r="CA17">
        <v>4</v>
      </c>
      <c r="CB17">
        <v>6</v>
      </c>
      <c r="CC17">
        <v>6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7</v>
      </c>
      <c r="CL17">
        <v>7</v>
      </c>
      <c r="CM17">
        <v>7</v>
      </c>
      <c r="CN17">
        <v>7</v>
      </c>
      <c r="CO17">
        <v>7</v>
      </c>
      <c r="CP17">
        <v>7</v>
      </c>
      <c r="CQ17">
        <v>7</v>
      </c>
      <c r="CR17">
        <v>8</v>
      </c>
      <c r="CS17">
        <v>8</v>
      </c>
      <c r="CT17">
        <v>8</v>
      </c>
      <c r="CU17" s="1">
        <v>8</v>
      </c>
      <c r="CV17" s="1">
        <v>8</v>
      </c>
      <c r="CW17" s="1">
        <v>8</v>
      </c>
      <c r="CX17" s="1">
        <v>8</v>
      </c>
      <c r="CY17" s="1">
        <v>8</v>
      </c>
      <c r="CZ17" s="1">
        <v>8</v>
      </c>
      <c r="DA17" s="1">
        <v>9</v>
      </c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</row>
    <row r="18" spans="1:198" x14ac:dyDescent="0.4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  <c r="BS18">
        <v>108</v>
      </c>
      <c r="BT18">
        <v>128</v>
      </c>
      <c r="BU18">
        <v>146</v>
      </c>
      <c r="BV18">
        <v>158</v>
      </c>
      <c r="BW18">
        <v>168</v>
      </c>
      <c r="BX18">
        <v>186</v>
      </c>
      <c r="BY18">
        <v>204</v>
      </c>
      <c r="BZ18">
        <v>220</v>
      </c>
      <c r="CA18">
        <v>243</v>
      </c>
      <c r="CB18">
        <v>273</v>
      </c>
      <c r="CC18">
        <v>295</v>
      </c>
      <c r="CD18">
        <v>319</v>
      </c>
      <c r="CE18">
        <v>337</v>
      </c>
      <c r="CF18">
        <v>350</v>
      </c>
      <c r="CG18">
        <v>368</v>
      </c>
      <c r="CH18">
        <v>384</v>
      </c>
      <c r="CI18">
        <v>393</v>
      </c>
      <c r="CJ18">
        <v>410</v>
      </c>
      <c r="CK18">
        <v>431</v>
      </c>
      <c r="CL18">
        <v>443</v>
      </c>
      <c r="CM18">
        <v>452</v>
      </c>
      <c r="CN18">
        <v>470</v>
      </c>
      <c r="CO18">
        <v>491</v>
      </c>
      <c r="CP18">
        <v>510</v>
      </c>
      <c r="CQ18">
        <v>522</v>
      </c>
      <c r="CR18">
        <v>530</v>
      </c>
      <c r="CS18">
        <v>536</v>
      </c>
      <c r="CT18">
        <v>542</v>
      </c>
      <c r="CU18" s="1">
        <v>549</v>
      </c>
      <c r="CV18" s="1">
        <v>569</v>
      </c>
      <c r="CW18" s="1">
        <v>580</v>
      </c>
      <c r="CX18" s="1">
        <v>584</v>
      </c>
      <c r="CY18" s="1">
        <v>589</v>
      </c>
      <c r="CZ18" s="1">
        <v>596</v>
      </c>
      <c r="DA18" s="1">
        <v>598</v>
      </c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</row>
    <row r="19" spans="1:198" x14ac:dyDescent="0.4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  <c r="BS19">
        <v>4</v>
      </c>
      <c r="BT19">
        <v>5</v>
      </c>
      <c r="BU19">
        <v>5</v>
      </c>
      <c r="BV19">
        <v>5</v>
      </c>
      <c r="BW19">
        <v>5</v>
      </c>
      <c r="BX19">
        <v>5</v>
      </c>
      <c r="BY19">
        <v>7</v>
      </c>
      <c r="BZ19">
        <v>7</v>
      </c>
      <c r="CA19">
        <v>8</v>
      </c>
      <c r="CB19">
        <v>8</v>
      </c>
      <c r="CC19">
        <v>9</v>
      </c>
      <c r="CD19">
        <v>10</v>
      </c>
      <c r="CE19">
        <v>11</v>
      </c>
      <c r="CF19">
        <v>11</v>
      </c>
      <c r="CG19">
        <v>12</v>
      </c>
      <c r="CH19">
        <v>13</v>
      </c>
      <c r="CI19">
        <v>13</v>
      </c>
      <c r="CJ19">
        <v>15</v>
      </c>
      <c r="CK19">
        <v>15</v>
      </c>
      <c r="CL19">
        <v>18</v>
      </c>
      <c r="CM19">
        <v>19</v>
      </c>
      <c r="CN19">
        <v>19</v>
      </c>
      <c r="CO19">
        <v>20</v>
      </c>
      <c r="CP19">
        <v>20</v>
      </c>
      <c r="CQ19">
        <v>20</v>
      </c>
      <c r="CR19">
        <v>21</v>
      </c>
      <c r="CS19">
        <v>21</v>
      </c>
      <c r="CT19">
        <v>21</v>
      </c>
      <c r="CU19" s="1">
        <v>22</v>
      </c>
      <c r="CV19" s="1">
        <v>22</v>
      </c>
      <c r="CW19" s="1">
        <v>23</v>
      </c>
      <c r="CX19" s="1">
        <v>24</v>
      </c>
      <c r="CY19" s="1">
        <v>25</v>
      </c>
      <c r="CZ19" s="1">
        <v>25</v>
      </c>
      <c r="DA19" s="1">
        <v>25</v>
      </c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</row>
    <row r="20" spans="1:198" x14ac:dyDescent="0.45">
      <c r="A20" s="1" t="s">
        <v>2</v>
      </c>
      <c r="B20" s="1" t="s">
        <v>246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1</v>
      </c>
      <c r="BV20">
        <v>1</v>
      </c>
      <c r="BW20">
        <v>1</v>
      </c>
      <c r="BX20">
        <v>4</v>
      </c>
      <c r="BY20">
        <v>4</v>
      </c>
      <c r="BZ20">
        <v>5</v>
      </c>
      <c r="CA20">
        <v>6</v>
      </c>
      <c r="CB20">
        <v>7</v>
      </c>
      <c r="CC20">
        <v>8</v>
      </c>
      <c r="CD20">
        <v>8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9</v>
      </c>
      <c r="CL20">
        <v>9</v>
      </c>
      <c r="CM20">
        <v>9</v>
      </c>
      <c r="CN20">
        <v>9</v>
      </c>
      <c r="CO20">
        <v>9</v>
      </c>
      <c r="CP20">
        <v>9</v>
      </c>
      <c r="CQ20">
        <v>11</v>
      </c>
      <c r="CR20">
        <v>11</v>
      </c>
      <c r="CS20">
        <v>11</v>
      </c>
      <c r="CT20">
        <v>11</v>
      </c>
      <c r="CU20" s="1">
        <v>11</v>
      </c>
      <c r="CV20" s="1">
        <v>11</v>
      </c>
      <c r="CW20" s="1">
        <v>11</v>
      </c>
      <c r="CX20" s="1">
        <v>11</v>
      </c>
      <c r="CY20" s="1">
        <v>11</v>
      </c>
      <c r="CZ20" s="1">
        <v>11</v>
      </c>
      <c r="DA20" s="1">
        <v>11</v>
      </c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</row>
    <row r="21" spans="1:198" x14ac:dyDescent="0.4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5</v>
      </c>
      <c r="CB21">
        <v>5</v>
      </c>
      <c r="CC21">
        <v>5</v>
      </c>
      <c r="CD21">
        <v>6</v>
      </c>
      <c r="CE21">
        <v>6</v>
      </c>
      <c r="CF21">
        <v>6</v>
      </c>
      <c r="CG21">
        <v>6</v>
      </c>
      <c r="CH21">
        <v>7</v>
      </c>
      <c r="CI21">
        <v>7</v>
      </c>
      <c r="CJ21">
        <v>7</v>
      </c>
      <c r="CK21">
        <v>7</v>
      </c>
      <c r="CL21">
        <v>7</v>
      </c>
      <c r="CM21">
        <v>7</v>
      </c>
      <c r="CN21">
        <v>7</v>
      </c>
      <c r="CO21">
        <v>7</v>
      </c>
      <c r="CP21">
        <v>7</v>
      </c>
      <c r="CQ21">
        <v>8</v>
      </c>
      <c r="CR21">
        <v>8</v>
      </c>
      <c r="CS21">
        <v>8</v>
      </c>
      <c r="CT21">
        <v>8</v>
      </c>
      <c r="CU21" s="1">
        <v>8</v>
      </c>
      <c r="CV21" s="1">
        <v>8</v>
      </c>
      <c r="CW21" s="1">
        <v>8</v>
      </c>
      <c r="CX21" s="1">
        <v>8</v>
      </c>
      <c r="CY21" s="1">
        <v>8</v>
      </c>
      <c r="CZ21" s="1">
        <v>8</v>
      </c>
      <c r="DA21" s="1">
        <v>8</v>
      </c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</row>
    <row r="22" spans="1:198" x14ac:dyDescent="0.4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6</v>
      </c>
      <c r="BV22">
        <v>6</v>
      </c>
      <c r="BW22">
        <v>6</v>
      </c>
      <c r="BX22">
        <v>8</v>
      </c>
      <c r="BY22">
        <v>9</v>
      </c>
      <c r="BZ22">
        <v>12</v>
      </c>
      <c r="CA22">
        <v>17</v>
      </c>
      <c r="CB22">
        <v>20</v>
      </c>
      <c r="CC22">
        <v>21</v>
      </c>
      <c r="CD22">
        <v>27</v>
      </c>
      <c r="CE22">
        <v>30</v>
      </c>
      <c r="CF22">
        <v>34</v>
      </c>
      <c r="CG22">
        <v>39</v>
      </c>
      <c r="CH22">
        <v>46</v>
      </c>
      <c r="CI22">
        <v>50</v>
      </c>
      <c r="CJ22">
        <v>60</v>
      </c>
      <c r="CK22">
        <v>75</v>
      </c>
      <c r="CL22">
        <v>84</v>
      </c>
      <c r="CM22">
        <v>91</v>
      </c>
      <c r="CN22">
        <v>101</v>
      </c>
      <c r="CO22">
        <v>110</v>
      </c>
      <c r="CP22">
        <v>120</v>
      </c>
      <c r="CQ22">
        <v>127</v>
      </c>
      <c r="CR22">
        <v>131</v>
      </c>
      <c r="CS22">
        <v>140</v>
      </c>
      <c r="CT22">
        <v>145</v>
      </c>
      <c r="CU22" s="1">
        <v>152</v>
      </c>
      <c r="CV22" s="1">
        <v>155</v>
      </c>
      <c r="CW22" s="1">
        <v>163</v>
      </c>
      <c r="CX22" s="1">
        <v>168</v>
      </c>
      <c r="CY22" s="1">
        <v>170</v>
      </c>
      <c r="CZ22" s="1">
        <v>175</v>
      </c>
      <c r="DA22" s="1">
        <v>177</v>
      </c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</row>
    <row r="23" spans="1:198" x14ac:dyDescent="0.4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1</v>
      </c>
      <c r="BZ23">
        <v>2</v>
      </c>
      <c r="CA23">
        <v>3</v>
      </c>
      <c r="CB23">
        <v>3</v>
      </c>
      <c r="CC23">
        <v>3</v>
      </c>
      <c r="CD23">
        <v>4</v>
      </c>
      <c r="CE23">
        <v>4</v>
      </c>
      <c r="CF23">
        <v>4</v>
      </c>
      <c r="CG23">
        <v>4</v>
      </c>
      <c r="CH23">
        <v>4</v>
      </c>
      <c r="CI23">
        <v>5</v>
      </c>
      <c r="CJ23">
        <v>5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  <c r="CQ23">
        <v>6</v>
      </c>
      <c r="CR23">
        <v>6</v>
      </c>
      <c r="CS23">
        <v>6</v>
      </c>
      <c r="CT23">
        <v>6</v>
      </c>
      <c r="CU23" s="1">
        <v>6</v>
      </c>
      <c r="CV23" s="1">
        <v>6</v>
      </c>
      <c r="CW23" s="1">
        <v>7</v>
      </c>
      <c r="CX23" s="1">
        <v>7</v>
      </c>
      <c r="CY23" s="1">
        <v>7</v>
      </c>
      <c r="CZ23" s="1">
        <v>7</v>
      </c>
      <c r="DA23" s="1">
        <v>7</v>
      </c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</row>
    <row r="24" spans="1:198" x14ac:dyDescent="0.4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1</v>
      </c>
      <c r="BU24">
        <v>2</v>
      </c>
      <c r="BV24">
        <v>4</v>
      </c>
      <c r="BW24">
        <v>4</v>
      </c>
      <c r="BX24">
        <v>5</v>
      </c>
      <c r="BY24">
        <v>8</v>
      </c>
      <c r="BZ24">
        <v>13</v>
      </c>
      <c r="CA24">
        <v>13</v>
      </c>
      <c r="CB24">
        <v>13</v>
      </c>
      <c r="CC24">
        <v>16</v>
      </c>
      <c r="CD24">
        <v>19</v>
      </c>
      <c r="CE24">
        <v>23</v>
      </c>
      <c r="CF24">
        <v>26</v>
      </c>
      <c r="CG24">
        <v>29</v>
      </c>
      <c r="CH24">
        <v>33</v>
      </c>
      <c r="CI24">
        <v>36</v>
      </c>
      <c r="CJ24">
        <v>40</v>
      </c>
      <c r="CK24">
        <v>42</v>
      </c>
      <c r="CL24">
        <v>45</v>
      </c>
      <c r="CM24">
        <v>47</v>
      </c>
      <c r="CN24">
        <v>51</v>
      </c>
      <c r="CO24">
        <v>55</v>
      </c>
      <c r="CP24">
        <v>58</v>
      </c>
      <c r="CQ24">
        <v>60</v>
      </c>
      <c r="CR24">
        <v>63</v>
      </c>
      <c r="CS24">
        <v>67</v>
      </c>
      <c r="CT24">
        <v>72</v>
      </c>
      <c r="CU24" s="1">
        <v>75</v>
      </c>
      <c r="CV24" s="1">
        <v>79</v>
      </c>
      <c r="CW24" s="1">
        <v>84</v>
      </c>
      <c r="CX24" s="1">
        <v>89</v>
      </c>
      <c r="CY24" s="1">
        <v>93</v>
      </c>
      <c r="CZ24" s="1">
        <v>97</v>
      </c>
      <c r="DA24" s="1">
        <v>99</v>
      </c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</row>
    <row r="25" spans="1:198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  <c r="BS25">
        <v>513</v>
      </c>
      <c r="BT25">
        <v>705</v>
      </c>
      <c r="BU25">
        <v>828</v>
      </c>
      <c r="BV25">
        <v>1011</v>
      </c>
      <c r="BW25">
        <v>1143</v>
      </c>
      <c r="BX25">
        <v>1283</v>
      </c>
      <c r="BY25">
        <v>1447</v>
      </c>
      <c r="BZ25">
        <v>1632</v>
      </c>
      <c r="CA25">
        <v>2035</v>
      </c>
      <c r="CB25">
        <v>2240</v>
      </c>
      <c r="CC25">
        <v>2523</v>
      </c>
      <c r="CD25">
        <v>3019</v>
      </c>
      <c r="CE25">
        <v>3346</v>
      </c>
      <c r="CF25">
        <v>3600</v>
      </c>
      <c r="CG25">
        <v>3903</v>
      </c>
      <c r="CH25">
        <v>4157</v>
      </c>
      <c r="CI25">
        <v>4440</v>
      </c>
      <c r="CJ25">
        <v>4857</v>
      </c>
      <c r="CK25">
        <v>5163</v>
      </c>
      <c r="CL25">
        <v>5453</v>
      </c>
      <c r="CM25">
        <v>5683</v>
      </c>
      <c r="CN25">
        <v>5828</v>
      </c>
      <c r="CO25">
        <v>5998</v>
      </c>
      <c r="CP25">
        <v>6262</v>
      </c>
      <c r="CQ25">
        <v>6490</v>
      </c>
      <c r="CR25">
        <v>6679</v>
      </c>
      <c r="CS25">
        <v>6917</v>
      </c>
      <c r="CT25">
        <v>7094</v>
      </c>
      <c r="CU25" s="1">
        <v>7207</v>
      </c>
      <c r="CV25" s="1">
        <v>7331</v>
      </c>
      <c r="CW25" s="1">
        <v>7501</v>
      </c>
      <c r="CX25" s="1">
        <v>7594</v>
      </c>
      <c r="CY25" s="1">
        <v>7703</v>
      </c>
      <c r="CZ25" s="1">
        <v>7765</v>
      </c>
      <c r="DA25" s="1">
        <v>7844</v>
      </c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</row>
    <row r="26" spans="1:198" x14ac:dyDescent="0.4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 s="1">
        <v>1</v>
      </c>
      <c r="CV26" s="1">
        <v>1</v>
      </c>
      <c r="CW26" s="1">
        <v>1</v>
      </c>
      <c r="CX26" s="1">
        <v>1</v>
      </c>
      <c r="CY26" s="1">
        <v>2</v>
      </c>
      <c r="CZ26" s="1">
        <v>2</v>
      </c>
      <c r="DA26" s="1">
        <v>2</v>
      </c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</row>
    <row r="27" spans="1:198" x14ac:dyDescent="0.4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</row>
    <row r="28" spans="1:198" x14ac:dyDescent="0.4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  <c r="BS28">
        <v>4</v>
      </c>
      <c r="BT28">
        <v>6</v>
      </c>
      <c r="BU28">
        <v>7</v>
      </c>
      <c r="BV28">
        <v>8</v>
      </c>
      <c r="BW28">
        <v>9</v>
      </c>
      <c r="BX28">
        <v>10</v>
      </c>
      <c r="BY28">
        <v>10</v>
      </c>
      <c r="BZ28">
        <v>11</v>
      </c>
      <c r="CA28">
        <v>14</v>
      </c>
      <c r="CB28">
        <v>15</v>
      </c>
      <c r="CC28">
        <v>18</v>
      </c>
      <c r="CD28">
        <v>19</v>
      </c>
      <c r="CE28">
        <v>20</v>
      </c>
      <c r="CF28">
        <v>24</v>
      </c>
      <c r="CG28">
        <v>27</v>
      </c>
      <c r="CH28">
        <v>28</v>
      </c>
      <c r="CI28">
        <v>28</v>
      </c>
      <c r="CJ28">
        <v>29</v>
      </c>
      <c r="CK28">
        <v>31</v>
      </c>
      <c r="CL28">
        <v>31</v>
      </c>
      <c r="CM28">
        <v>32</v>
      </c>
      <c r="CN28">
        <v>33</v>
      </c>
      <c r="CO28">
        <v>34</v>
      </c>
      <c r="CP28">
        <v>37</v>
      </c>
      <c r="CQ28">
        <v>43</v>
      </c>
      <c r="CR28">
        <v>44</v>
      </c>
      <c r="CS28">
        <v>46</v>
      </c>
      <c r="CT28">
        <v>50</v>
      </c>
      <c r="CU28" s="1">
        <v>53</v>
      </c>
      <c r="CV28" s="1">
        <v>53</v>
      </c>
      <c r="CW28" s="1">
        <v>59</v>
      </c>
      <c r="CX28" s="1">
        <v>59</v>
      </c>
      <c r="CY28" s="1">
        <v>66</v>
      </c>
      <c r="CZ28" s="1">
        <v>66</v>
      </c>
      <c r="DA28" s="1">
        <v>76</v>
      </c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</row>
    <row r="29" spans="1:198" x14ac:dyDescent="0.4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  <c r="BS29">
        <v>10</v>
      </c>
      <c r="BT29">
        <v>13</v>
      </c>
      <c r="BU29">
        <v>13</v>
      </c>
      <c r="BV29">
        <v>16</v>
      </c>
      <c r="BW29">
        <v>17</v>
      </c>
      <c r="BX29">
        <v>21</v>
      </c>
      <c r="BY29">
        <v>23</v>
      </c>
      <c r="BZ29">
        <v>29</v>
      </c>
      <c r="CA29">
        <v>33</v>
      </c>
      <c r="CB29">
        <v>34</v>
      </c>
      <c r="CC29">
        <v>35</v>
      </c>
      <c r="CD29">
        <v>36</v>
      </c>
      <c r="CE29">
        <v>37</v>
      </c>
      <c r="CF29">
        <v>39</v>
      </c>
      <c r="CG29">
        <v>39</v>
      </c>
      <c r="CH29">
        <v>40</v>
      </c>
      <c r="CI29">
        <v>41</v>
      </c>
      <c r="CJ29">
        <v>43</v>
      </c>
      <c r="CK29">
        <v>46</v>
      </c>
      <c r="CL29">
        <v>47</v>
      </c>
      <c r="CM29">
        <v>48</v>
      </c>
      <c r="CN29">
        <v>49</v>
      </c>
      <c r="CO29">
        <v>51</v>
      </c>
      <c r="CP29">
        <v>53</v>
      </c>
      <c r="CQ29">
        <v>54</v>
      </c>
      <c r="CR29">
        <v>55</v>
      </c>
      <c r="CS29">
        <v>57</v>
      </c>
      <c r="CT29">
        <v>59</v>
      </c>
      <c r="CU29" s="1">
        <v>60</v>
      </c>
      <c r="CV29" s="1">
        <v>63</v>
      </c>
      <c r="CW29" s="1">
        <v>65</v>
      </c>
      <c r="CX29" s="1">
        <v>69</v>
      </c>
      <c r="CY29" s="1">
        <v>70</v>
      </c>
      <c r="CZ29" s="1">
        <v>72</v>
      </c>
      <c r="DA29" s="1">
        <v>77</v>
      </c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</row>
    <row r="30" spans="1:198" x14ac:dyDescent="0.4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  <c r="BS30">
        <v>159</v>
      </c>
      <c r="BT30">
        <v>201</v>
      </c>
      <c r="BU30">
        <v>240</v>
      </c>
      <c r="BV30">
        <v>324</v>
      </c>
      <c r="BW30">
        <v>359</v>
      </c>
      <c r="BX30">
        <v>445</v>
      </c>
      <c r="BY30">
        <v>486</v>
      </c>
      <c r="BZ30">
        <v>564</v>
      </c>
      <c r="CA30">
        <v>686</v>
      </c>
      <c r="CB30">
        <v>819</v>
      </c>
      <c r="CC30">
        <v>950</v>
      </c>
      <c r="CD30">
        <v>1057</v>
      </c>
      <c r="CE30">
        <v>1124</v>
      </c>
      <c r="CF30">
        <v>1223</v>
      </c>
      <c r="CG30">
        <v>1328</v>
      </c>
      <c r="CH30">
        <v>1532</v>
      </c>
      <c r="CI30">
        <v>1736</v>
      </c>
      <c r="CJ30">
        <v>1924</v>
      </c>
      <c r="CK30">
        <v>2141</v>
      </c>
      <c r="CL30">
        <v>2354</v>
      </c>
      <c r="CM30">
        <v>2462</v>
      </c>
      <c r="CN30">
        <v>2587</v>
      </c>
      <c r="CO30">
        <v>2741</v>
      </c>
      <c r="CP30">
        <v>2906</v>
      </c>
      <c r="CQ30">
        <v>3331</v>
      </c>
      <c r="CR30">
        <v>3704</v>
      </c>
      <c r="CS30">
        <v>4057</v>
      </c>
      <c r="CT30">
        <v>4286</v>
      </c>
      <c r="CU30" s="1">
        <v>4603</v>
      </c>
      <c r="CV30" s="1">
        <v>5083</v>
      </c>
      <c r="CW30" s="1">
        <v>5513</v>
      </c>
      <c r="CX30" s="1">
        <v>6006</v>
      </c>
      <c r="CY30" s="1">
        <v>6412</v>
      </c>
      <c r="CZ30" s="1">
        <v>6761</v>
      </c>
      <c r="DA30" s="1">
        <v>7051</v>
      </c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</row>
    <row r="31" spans="1:198" x14ac:dyDescent="0.4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 s="1">
        <v>1</v>
      </c>
      <c r="CV31" s="1">
        <v>1</v>
      </c>
      <c r="CW31" s="1">
        <v>1</v>
      </c>
      <c r="CX31" s="1">
        <v>1</v>
      </c>
      <c r="CY31" s="1">
        <v>1</v>
      </c>
      <c r="CZ31" s="1">
        <v>1</v>
      </c>
      <c r="DA31" s="1">
        <v>1</v>
      </c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</row>
    <row r="32" spans="1:198" x14ac:dyDescent="0.4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  <c r="BS32">
        <v>8</v>
      </c>
      <c r="BT32">
        <v>8</v>
      </c>
      <c r="BU32">
        <v>10</v>
      </c>
      <c r="BV32">
        <v>10</v>
      </c>
      <c r="BW32">
        <v>14</v>
      </c>
      <c r="BX32">
        <v>17</v>
      </c>
      <c r="BY32">
        <v>20</v>
      </c>
      <c r="BZ32">
        <v>22</v>
      </c>
      <c r="CA32">
        <v>23</v>
      </c>
      <c r="CB32">
        <v>24</v>
      </c>
      <c r="CC32">
        <v>24</v>
      </c>
      <c r="CD32">
        <v>25</v>
      </c>
      <c r="CE32">
        <v>28</v>
      </c>
      <c r="CF32">
        <v>29</v>
      </c>
      <c r="CG32">
        <v>32</v>
      </c>
      <c r="CH32">
        <v>35</v>
      </c>
      <c r="CI32">
        <v>36</v>
      </c>
      <c r="CJ32">
        <v>38</v>
      </c>
      <c r="CK32">
        <v>41</v>
      </c>
      <c r="CL32">
        <v>41</v>
      </c>
      <c r="CM32">
        <v>42</v>
      </c>
      <c r="CN32">
        <v>43</v>
      </c>
      <c r="CO32">
        <v>45</v>
      </c>
      <c r="CP32">
        <v>49</v>
      </c>
      <c r="CQ32">
        <v>52</v>
      </c>
      <c r="CR32">
        <v>54</v>
      </c>
      <c r="CS32">
        <v>55</v>
      </c>
      <c r="CT32">
        <v>56</v>
      </c>
      <c r="CU32" s="1">
        <v>58</v>
      </c>
      <c r="CV32" s="1">
        <v>58</v>
      </c>
      <c r="CW32" s="1">
        <v>64</v>
      </c>
      <c r="CX32" s="1">
        <v>66</v>
      </c>
      <c r="CY32" s="1">
        <v>68</v>
      </c>
      <c r="CZ32" s="1">
        <v>72</v>
      </c>
      <c r="DA32" s="1">
        <v>73</v>
      </c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</row>
    <row r="33" spans="1:198" x14ac:dyDescent="0.4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  <c r="BS33">
        <v>12</v>
      </c>
      <c r="BT33">
        <v>14</v>
      </c>
      <c r="BU33">
        <v>16</v>
      </c>
      <c r="BV33">
        <v>16</v>
      </c>
      <c r="BW33">
        <v>16</v>
      </c>
      <c r="BX33">
        <v>16</v>
      </c>
      <c r="BY33">
        <v>17</v>
      </c>
      <c r="BZ33">
        <v>18</v>
      </c>
      <c r="CA33">
        <v>19</v>
      </c>
      <c r="CB33">
        <v>23</v>
      </c>
      <c r="CC33">
        <v>24</v>
      </c>
      <c r="CD33">
        <v>24</v>
      </c>
      <c r="CE33">
        <v>27</v>
      </c>
      <c r="CF33">
        <v>27</v>
      </c>
      <c r="CG33">
        <v>27</v>
      </c>
      <c r="CH33">
        <v>30</v>
      </c>
      <c r="CI33">
        <v>32</v>
      </c>
      <c r="CJ33">
        <v>32</v>
      </c>
      <c r="CK33">
        <v>35</v>
      </c>
      <c r="CL33">
        <v>36</v>
      </c>
      <c r="CM33">
        <v>36</v>
      </c>
      <c r="CN33">
        <v>38</v>
      </c>
      <c r="CO33">
        <v>38</v>
      </c>
      <c r="CP33">
        <v>39</v>
      </c>
      <c r="CQ33">
        <v>41</v>
      </c>
      <c r="CR33">
        <v>41</v>
      </c>
      <c r="CS33">
        <v>41</v>
      </c>
      <c r="CT33">
        <v>42</v>
      </c>
      <c r="CU33" s="1">
        <v>42</v>
      </c>
      <c r="CV33" s="1">
        <v>42</v>
      </c>
      <c r="CW33" s="1">
        <v>43</v>
      </c>
      <c r="CX33" s="1">
        <v>43</v>
      </c>
      <c r="CY33" s="1">
        <v>44</v>
      </c>
      <c r="CZ33" s="1">
        <v>44</v>
      </c>
      <c r="DA33" s="1">
        <v>45</v>
      </c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</row>
    <row r="34" spans="1:198" x14ac:dyDescent="0.4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 s="1">
        <v>1</v>
      </c>
      <c r="CV34" s="1">
        <v>1</v>
      </c>
      <c r="CW34" s="1">
        <v>1</v>
      </c>
      <c r="CX34" s="1">
        <v>1</v>
      </c>
      <c r="CY34" s="1">
        <v>1</v>
      </c>
      <c r="CZ34" s="1">
        <v>2</v>
      </c>
      <c r="DA34" s="1">
        <v>2</v>
      </c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</row>
    <row r="35" spans="1:198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</row>
    <row r="36" spans="1:198" x14ac:dyDescent="0.4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  <c r="BS36">
        <v>6</v>
      </c>
      <c r="BT36">
        <v>6</v>
      </c>
      <c r="BU36">
        <v>6</v>
      </c>
      <c r="BV36">
        <v>7</v>
      </c>
      <c r="BW36">
        <v>8</v>
      </c>
      <c r="BX36">
        <v>9</v>
      </c>
      <c r="BY36">
        <v>9</v>
      </c>
      <c r="BZ36">
        <v>9</v>
      </c>
      <c r="CA36">
        <v>9</v>
      </c>
      <c r="CB36">
        <v>10</v>
      </c>
      <c r="CC36">
        <v>10</v>
      </c>
      <c r="CD36">
        <v>12</v>
      </c>
      <c r="CE36">
        <v>12</v>
      </c>
      <c r="CF36">
        <v>12</v>
      </c>
      <c r="CG36">
        <v>12</v>
      </c>
      <c r="CH36">
        <v>14</v>
      </c>
      <c r="CI36">
        <v>17</v>
      </c>
      <c r="CJ36">
        <v>22</v>
      </c>
      <c r="CK36">
        <v>22</v>
      </c>
      <c r="CL36">
        <v>22</v>
      </c>
      <c r="CM36">
        <v>42</v>
      </c>
      <c r="CN36">
        <v>42</v>
      </c>
      <c r="CO36">
        <v>43</v>
      </c>
      <c r="CP36">
        <v>43</v>
      </c>
      <c r="CQ36">
        <v>43</v>
      </c>
      <c r="CR36">
        <v>43</v>
      </c>
      <c r="CS36">
        <v>53</v>
      </c>
      <c r="CT36">
        <v>56</v>
      </c>
      <c r="CU36" s="1">
        <v>58</v>
      </c>
      <c r="CV36" s="1">
        <v>58</v>
      </c>
      <c r="CW36" s="1">
        <v>61</v>
      </c>
      <c r="CX36" s="1">
        <v>61</v>
      </c>
      <c r="CY36" s="1">
        <v>61</v>
      </c>
      <c r="CZ36" s="1">
        <v>64</v>
      </c>
      <c r="DA36" s="1">
        <v>64</v>
      </c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</row>
    <row r="37" spans="1:198" x14ac:dyDescent="0.4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3</v>
      </c>
      <c r="BT37">
        <v>8</v>
      </c>
      <c r="BU37">
        <v>9</v>
      </c>
      <c r="BV37">
        <v>13</v>
      </c>
      <c r="BW37">
        <v>13</v>
      </c>
      <c r="BX37">
        <v>18</v>
      </c>
      <c r="BY37">
        <v>20</v>
      </c>
      <c r="BZ37">
        <v>23</v>
      </c>
      <c r="CA37">
        <v>24</v>
      </c>
      <c r="CB37">
        <v>26</v>
      </c>
      <c r="CC37">
        <v>29</v>
      </c>
      <c r="CD37">
        <v>32</v>
      </c>
      <c r="CE37">
        <v>40</v>
      </c>
      <c r="CF37">
        <v>40</v>
      </c>
      <c r="CG37">
        <v>46</v>
      </c>
      <c r="CH37">
        <v>48</v>
      </c>
      <c r="CI37">
        <v>48</v>
      </c>
      <c r="CJ37">
        <v>48</v>
      </c>
      <c r="CK37">
        <v>50</v>
      </c>
      <c r="CL37">
        <v>51</v>
      </c>
      <c r="CM37">
        <v>51</v>
      </c>
      <c r="CN37">
        <v>59</v>
      </c>
      <c r="CO37">
        <v>61</v>
      </c>
      <c r="CP37">
        <v>66</v>
      </c>
      <c r="CQ37">
        <v>68</v>
      </c>
      <c r="CR37">
        <v>72</v>
      </c>
      <c r="CS37">
        <v>73</v>
      </c>
      <c r="CT37">
        <v>73</v>
      </c>
      <c r="CU37" s="1">
        <v>75</v>
      </c>
      <c r="CV37" s="1">
        <v>80</v>
      </c>
      <c r="CW37" s="1">
        <v>87</v>
      </c>
      <c r="CX37" s="1">
        <v>90</v>
      </c>
      <c r="CY37" s="1">
        <v>92</v>
      </c>
      <c r="CZ37" s="1">
        <v>94</v>
      </c>
      <c r="DA37" s="1">
        <v>95</v>
      </c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</row>
    <row r="38" spans="1:198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  <c r="BS38">
        <v>19</v>
      </c>
      <c r="BT38">
        <v>24</v>
      </c>
      <c r="BU38">
        <v>24</v>
      </c>
      <c r="BV38">
        <v>31</v>
      </c>
      <c r="BW38">
        <v>31</v>
      </c>
      <c r="BX38">
        <v>38</v>
      </c>
      <c r="BY38">
        <v>38</v>
      </c>
      <c r="BZ38">
        <v>38</v>
      </c>
      <c r="CA38">
        <v>39</v>
      </c>
      <c r="CB38">
        <v>43</v>
      </c>
      <c r="CC38">
        <v>48</v>
      </c>
      <c r="CD38">
        <v>50</v>
      </c>
      <c r="CE38">
        <v>58</v>
      </c>
      <c r="CF38">
        <v>58</v>
      </c>
      <c r="CG38">
        <v>69</v>
      </c>
      <c r="CH38">
        <v>69</v>
      </c>
      <c r="CI38">
        <v>72</v>
      </c>
      <c r="CJ38">
        <v>75</v>
      </c>
      <c r="CK38">
        <v>77</v>
      </c>
      <c r="CL38">
        <v>78</v>
      </c>
      <c r="CM38">
        <v>81</v>
      </c>
      <c r="CN38">
        <v>82</v>
      </c>
      <c r="CO38">
        <v>87</v>
      </c>
      <c r="CP38">
        <v>90</v>
      </c>
      <c r="CQ38">
        <v>94</v>
      </c>
      <c r="CR38">
        <v>98</v>
      </c>
      <c r="CS38">
        <v>100</v>
      </c>
      <c r="CT38">
        <v>100</v>
      </c>
      <c r="CU38" s="1">
        <v>104</v>
      </c>
      <c r="CV38" s="1">
        <v>106</v>
      </c>
      <c r="CW38" s="1">
        <v>109</v>
      </c>
      <c r="CX38" s="1">
        <v>111</v>
      </c>
      <c r="CY38" s="1">
        <v>112</v>
      </c>
      <c r="CZ38" s="1">
        <v>114</v>
      </c>
      <c r="DA38" s="1">
        <v>114</v>
      </c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</row>
    <row r="39" spans="1:198" x14ac:dyDescent="0.4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</row>
    <row r="40" spans="1:198" x14ac:dyDescent="0.4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2</v>
      </c>
      <c r="BX40">
        <v>2</v>
      </c>
      <c r="BY40">
        <v>2</v>
      </c>
      <c r="BZ40">
        <v>2</v>
      </c>
      <c r="CA40">
        <v>3</v>
      </c>
      <c r="CB40">
        <v>3</v>
      </c>
      <c r="CC40">
        <v>3</v>
      </c>
      <c r="CD40">
        <v>3</v>
      </c>
      <c r="CE40">
        <v>4</v>
      </c>
      <c r="CF40">
        <v>4</v>
      </c>
      <c r="CG40">
        <v>4</v>
      </c>
      <c r="CH40">
        <v>4</v>
      </c>
      <c r="CI40">
        <v>5</v>
      </c>
      <c r="CJ40">
        <v>5</v>
      </c>
      <c r="CK40">
        <v>5</v>
      </c>
      <c r="CL40">
        <v>5</v>
      </c>
      <c r="CM40">
        <v>5</v>
      </c>
      <c r="CN40">
        <v>6</v>
      </c>
      <c r="CO40">
        <v>6</v>
      </c>
      <c r="CP40">
        <v>6</v>
      </c>
      <c r="CQ40">
        <v>6</v>
      </c>
      <c r="CR40">
        <v>6</v>
      </c>
      <c r="CS40">
        <v>6</v>
      </c>
      <c r="CT40">
        <v>6</v>
      </c>
      <c r="CU40" s="1">
        <v>6</v>
      </c>
      <c r="CV40" s="1">
        <v>6</v>
      </c>
      <c r="CW40" s="1">
        <v>6</v>
      </c>
      <c r="CX40" s="1">
        <v>6</v>
      </c>
      <c r="CY40" s="1">
        <v>6</v>
      </c>
      <c r="CZ40" s="1">
        <v>6</v>
      </c>
      <c r="DA40" s="1">
        <v>6</v>
      </c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</row>
    <row r="41" spans="1:198" x14ac:dyDescent="0.4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0</v>
      </c>
      <c r="DA41" s="1">
        <v>0</v>
      </c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</row>
    <row r="42" spans="1:198" x14ac:dyDescent="0.4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2</v>
      </c>
      <c r="CD42">
        <v>3</v>
      </c>
      <c r="CE42">
        <v>3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 s="1">
        <v>3</v>
      </c>
      <c r="CV42" s="1">
        <v>3</v>
      </c>
      <c r="CW42" s="1">
        <v>3</v>
      </c>
      <c r="CX42" s="1">
        <v>3</v>
      </c>
      <c r="CY42" s="1">
        <v>3</v>
      </c>
      <c r="CZ42" s="1">
        <v>3</v>
      </c>
      <c r="DA42" s="1">
        <v>3</v>
      </c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</row>
    <row r="43" spans="1:198" x14ac:dyDescent="0.4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1</v>
      </c>
      <c r="CB43">
        <v>1</v>
      </c>
      <c r="CC43">
        <v>1</v>
      </c>
      <c r="CD43">
        <v>2</v>
      </c>
      <c r="CE43">
        <v>2</v>
      </c>
      <c r="CF43">
        <v>2</v>
      </c>
      <c r="CG43">
        <v>3</v>
      </c>
      <c r="CH43">
        <v>3</v>
      </c>
      <c r="CI43">
        <v>3</v>
      </c>
      <c r="CJ43">
        <v>3</v>
      </c>
      <c r="CK43">
        <v>4</v>
      </c>
      <c r="CL43">
        <v>7</v>
      </c>
      <c r="CM43">
        <v>9</v>
      </c>
      <c r="CN43">
        <v>9</v>
      </c>
      <c r="CO43">
        <v>10</v>
      </c>
      <c r="CP43">
        <v>12</v>
      </c>
      <c r="CQ43">
        <v>16</v>
      </c>
      <c r="CR43">
        <v>16</v>
      </c>
      <c r="CS43">
        <v>22</v>
      </c>
      <c r="CT43">
        <v>24</v>
      </c>
      <c r="CU43" s="1">
        <v>24</v>
      </c>
      <c r="CV43" s="1">
        <v>27</v>
      </c>
      <c r="CW43" s="1">
        <v>28</v>
      </c>
      <c r="CX43" s="1">
        <v>28</v>
      </c>
      <c r="CY43" s="1">
        <v>29</v>
      </c>
      <c r="CZ43" s="1">
        <v>31</v>
      </c>
      <c r="DA43" s="1">
        <v>37</v>
      </c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</row>
    <row r="44" spans="1:198" x14ac:dyDescent="0.4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  <c r="BS44">
        <v>31</v>
      </c>
      <c r="BT44">
        <v>33</v>
      </c>
      <c r="BU44">
        <v>37</v>
      </c>
      <c r="BV44">
        <v>53</v>
      </c>
      <c r="BW44">
        <v>67</v>
      </c>
      <c r="BX44">
        <v>94</v>
      </c>
      <c r="BY44">
        <v>119</v>
      </c>
      <c r="BZ44">
        <v>150</v>
      </c>
      <c r="CA44">
        <v>153</v>
      </c>
      <c r="CB44">
        <v>153</v>
      </c>
      <c r="CC44">
        <v>200</v>
      </c>
      <c r="CD44">
        <v>222</v>
      </c>
      <c r="CE44">
        <v>253</v>
      </c>
      <c r="CF44">
        <v>274</v>
      </c>
      <c r="CG44">
        <v>291</v>
      </c>
      <c r="CH44">
        <v>334</v>
      </c>
      <c r="CI44">
        <v>385</v>
      </c>
      <c r="CJ44">
        <v>490</v>
      </c>
      <c r="CK44">
        <v>524</v>
      </c>
      <c r="CL44">
        <v>564</v>
      </c>
      <c r="CM44">
        <v>591</v>
      </c>
      <c r="CN44">
        <v>624</v>
      </c>
      <c r="CO44">
        <v>694</v>
      </c>
      <c r="CP44">
        <v>762</v>
      </c>
      <c r="CQ44">
        <v>806</v>
      </c>
      <c r="CR44">
        <v>862</v>
      </c>
      <c r="CS44">
        <v>916</v>
      </c>
      <c r="CT44">
        <v>960</v>
      </c>
      <c r="CU44" s="1">
        <v>1023</v>
      </c>
      <c r="CV44" s="1">
        <v>1072</v>
      </c>
      <c r="CW44" s="1">
        <v>1153</v>
      </c>
      <c r="CX44" s="1">
        <v>1205</v>
      </c>
      <c r="CY44" s="1">
        <v>1265</v>
      </c>
      <c r="CZ44" s="1">
        <v>1292</v>
      </c>
      <c r="DA44" s="1">
        <v>1326</v>
      </c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</row>
    <row r="45" spans="1:198" x14ac:dyDescent="0.4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1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</row>
    <row r="46" spans="1:198" x14ac:dyDescent="0.4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  <c r="BS46">
        <v>22</v>
      </c>
      <c r="BT46">
        <v>31</v>
      </c>
      <c r="BU46">
        <v>33</v>
      </c>
      <c r="BV46">
        <v>36</v>
      </c>
      <c r="BW46">
        <v>61</v>
      </c>
      <c r="BX46">
        <v>61</v>
      </c>
      <c r="BY46">
        <v>75</v>
      </c>
      <c r="BZ46">
        <v>121</v>
      </c>
      <c r="CA46">
        <v>150</v>
      </c>
      <c r="CB46">
        <v>175</v>
      </c>
      <c r="CC46">
        <v>216</v>
      </c>
      <c r="CD46">
        <v>241</v>
      </c>
      <c r="CE46">
        <v>289</v>
      </c>
      <c r="CF46">
        <v>328</v>
      </c>
      <c r="CG46">
        <v>360</v>
      </c>
      <c r="CH46">
        <v>435</v>
      </c>
      <c r="CI46">
        <v>487</v>
      </c>
      <c r="CJ46">
        <v>630</v>
      </c>
      <c r="CK46">
        <v>688</v>
      </c>
      <c r="CL46">
        <v>688</v>
      </c>
      <c r="CM46">
        <v>820</v>
      </c>
      <c r="CN46">
        <v>939</v>
      </c>
      <c r="CO46">
        <v>1044</v>
      </c>
      <c r="CP46">
        <v>1134</v>
      </c>
      <c r="CQ46">
        <v>1243</v>
      </c>
      <c r="CR46">
        <v>1340</v>
      </c>
      <c r="CS46">
        <v>1446</v>
      </c>
      <c r="CT46">
        <v>1516</v>
      </c>
      <c r="CU46" s="1">
        <v>1600</v>
      </c>
      <c r="CV46" s="1">
        <v>1683</v>
      </c>
      <c r="CW46" s="1">
        <v>1762</v>
      </c>
      <c r="CX46" s="1">
        <v>1859</v>
      </c>
      <c r="CY46" s="1">
        <v>2022</v>
      </c>
      <c r="CZ46" s="1">
        <v>2136</v>
      </c>
      <c r="DA46" s="1">
        <v>2206</v>
      </c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</row>
    <row r="47" spans="1:198" x14ac:dyDescent="0.4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2</v>
      </c>
      <c r="BT47">
        <v>2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4</v>
      </c>
      <c r="CF47">
        <v>4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  <c r="CM47">
        <v>4</v>
      </c>
      <c r="CN47">
        <v>4</v>
      </c>
      <c r="CO47">
        <v>4</v>
      </c>
      <c r="CP47">
        <v>4</v>
      </c>
      <c r="CQ47">
        <v>4</v>
      </c>
      <c r="CR47">
        <v>4</v>
      </c>
      <c r="CS47">
        <v>4</v>
      </c>
      <c r="CT47">
        <v>4</v>
      </c>
      <c r="CU47" s="1">
        <v>5</v>
      </c>
      <c r="CV47" s="1">
        <v>5</v>
      </c>
      <c r="CW47" s="1">
        <v>6</v>
      </c>
      <c r="CX47" s="1">
        <v>7</v>
      </c>
      <c r="CY47" s="1">
        <v>7</v>
      </c>
      <c r="CZ47" s="1">
        <v>7</v>
      </c>
      <c r="DA47" s="1">
        <v>7</v>
      </c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</row>
    <row r="48" spans="1:198" x14ac:dyDescent="0.4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 s="1">
        <v>0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</row>
    <row r="49" spans="1:198" x14ac:dyDescent="0.4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 s="1">
        <v>0</v>
      </c>
      <c r="CV49" s="1">
        <v>2</v>
      </c>
      <c r="CW49" s="1">
        <v>2</v>
      </c>
      <c r="CX49" s="1">
        <v>5</v>
      </c>
      <c r="CY49" s="1">
        <v>5</v>
      </c>
      <c r="CZ49" s="1">
        <v>10</v>
      </c>
      <c r="DA49" s="1">
        <v>10</v>
      </c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</row>
    <row r="50" spans="1:198" x14ac:dyDescent="0.4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  <c r="BS50">
        <v>8</v>
      </c>
      <c r="BT50">
        <v>12</v>
      </c>
      <c r="BU50">
        <v>16</v>
      </c>
      <c r="BV50">
        <v>18</v>
      </c>
      <c r="BW50">
        <v>22</v>
      </c>
      <c r="BX50">
        <v>27</v>
      </c>
      <c r="BY50">
        <v>34</v>
      </c>
      <c r="BZ50">
        <v>37</v>
      </c>
      <c r="CA50">
        <v>43</v>
      </c>
      <c r="CB50">
        <v>48</v>
      </c>
      <c r="CC50">
        <v>57</v>
      </c>
      <c r="CD50">
        <v>65</v>
      </c>
      <c r="CE50">
        <v>73</v>
      </c>
      <c r="CF50">
        <v>80</v>
      </c>
      <c r="CG50">
        <v>82</v>
      </c>
      <c r="CH50">
        <v>92</v>
      </c>
      <c r="CI50">
        <v>94</v>
      </c>
      <c r="CJ50">
        <v>105</v>
      </c>
      <c r="CK50">
        <v>116</v>
      </c>
      <c r="CL50">
        <v>126</v>
      </c>
      <c r="CM50">
        <v>133</v>
      </c>
      <c r="CN50">
        <v>139</v>
      </c>
      <c r="CO50">
        <v>147</v>
      </c>
      <c r="CP50">
        <v>160</v>
      </c>
      <c r="CQ50">
        <v>168</v>
      </c>
      <c r="CR50">
        <v>174</v>
      </c>
      <c r="CS50">
        <v>181</v>
      </c>
      <c r="CT50">
        <v>189</v>
      </c>
      <c r="CU50" s="1">
        <v>198</v>
      </c>
      <c r="CV50" s="1">
        <v>207</v>
      </c>
      <c r="CW50" s="1">
        <v>216</v>
      </c>
      <c r="CX50" s="1">
        <v>227</v>
      </c>
      <c r="CY50" s="1">
        <v>234</v>
      </c>
      <c r="CZ50" s="1">
        <v>247</v>
      </c>
      <c r="DA50" s="1">
        <v>260</v>
      </c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</row>
    <row r="51" spans="1:198" x14ac:dyDescent="0.4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 s="1">
        <v>6</v>
      </c>
      <c r="CV51" s="1">
        <v>6</v>
      </c>
      <c r="CW51" s="1">
        <v>6</v>
      </c>
      <c r="CX51" s="1">
        <v>6</v>
      </c>
      <c r="CY51" s="1">
        <v>6</v>
      </c>
      <c r="CZ51" s="1">
        <v>6</v>
      </c>
      <c r="DA51" s="1">
        <v>6</v>
      </c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</row>
    <row r="52" spans="1:198" x14ac:dyDescent="0.4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9</v>
      </c>
      <c r="CU52" s="1">
        <v>9</v>
      </c>
      <c r="CV52" s="1">
        <v>9</v>
      </c>
      <c r="CW52" s="1">
        <v>9</v>
      </c>
      <c r="CX52" s="1">
        <v>9</v>
      </c>
      <c r="CY52" s="1">
        <v>9</v>
      </c>
      <c r="CZ52" s="1">
        <v>9</v>
      </c>
      <c r="DA52" s="1">
        <v>9</v>
      </c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</row>
    <row r="53" spans="1:198" x14ac:dyDescent="0.4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 s="1">
        <v>6</v>
      </c>
      <c r="CV53" s="1">
        <v>6</v>
      </c>
      <c r="CW53" s="1">
        <v>6</v>
      </c>
      <c r="CX53" s="1">
        <v>6</v>
      </c>
      <c r="CY53" s="1">
        <v>6</v>
      </c>
      <c r="CZ53" s="1">
        <v>6</v>
      </c>
      <c r="DA53" s="1">
        <v>6</v>
      </c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</row>
    <row r="54" spans="1:198" x14ac:dyDescent="0.4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 s="1">
        <v>1</v>
      </c>
      <c r="CV54" s="1">
        <v>1</v>
      </c>
      <c r="CW54" s="1">
        <v>1</v>
      </c>
      <c r="CX54" s="1">
        <v>1</v>
      </c>
      <c r="CY54" s="1">
        <v>1</v>
      </c>
      <c r="CZ54" s="1">
        <v>1</v>
      </c>
      <c r="DA54" s="1">
        <v>1</v>
      </c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</row>
    <row r="55" spans="1:198" x14ac:dyDescent="0.4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 s="1">
        <v>2</v>
      </c>
      <c r="CV55" s="1">
        <v>2</v>
      </c>
      <c r="CW55" s="1">
        <v>2</v>
      </c>
      <c r="CX55" s="1">
        <v>2</v>
      </c>
      <c r="CY55" s="1">
        <v>2</v>
      </c>
      <c r="CZ55" s="1">
        <v>2</v>
      </c>
      <c r="DA55" s="1">
        <v>2</v>
      </c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</row>
    <row r="56" spans="1:198" x14ac:dyDescent="0.4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 s="1">
        <v>8</v>
      </c>
      <c r="CV56" s="1">
        <v>8</v>
      </c>
      <c r="CW56" s="1">
        <v>8</v>
      </c>
      <c r="CX56" s="1">
        <v>8</v>
      </c>
      <c r="CY56" s="1">
        <v>8</v>
      </c>
      <c r="CZ56" s="1">
        <v>8</v>
      </c>
      <c r="DA56" s="1">
        <v>8</v>
      </c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</row>
    <row r="57" spans="1:198" x14ac:dyDescent="0.4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2</v>
      </c>
      <c r="CS57">
        <v>2</v>
      </c>
      <c r="CT57">
        <v>2</v>
      </c>
      <c r="CU57" s="1">
        <v>2</v>
      </c>
      <c r="CV57" s="1">
        <v>2</v>
      </c>
      <c r="CW57" s="1">
        <v>2</v>
      </c>
      <c r="CX57" s="1">
        <v>2</v>
      </c>
      <c r="CY57" s="1">
        <v>2</v>
      </c>
      <c r="CZ57" s="1">
        <v>2</v>
      </c>
      <c r="DA57" s="1">
        <v>2</v>
      </c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</row>
    <row r="58" spans="1:198" x14ac:dyDescent="0.4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 s="1">
        <v>2</v>
      </c>
      <c r="CV58" s="1">
        <v>2</v>
      </c>
      <c r="CW58" s="1">
        <v>2</v>
      </c>
      <c r="CX58" s="1">
        <v>2</v>
      </c>
      <c r="CY58" s="1">
        <v>2</v>
      </c>
      <c r="CZ58" s="1">
        <v>2</v>
      </c>
      <c r="DA58" s="1">
        <v>2</v>
      </c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</row>
    <row r="59" spans="1:198" x14ac:dyDescent="0.4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  <c r="CN59">
        <v>6</v>
      </c>
      <c r="CO59">
        <v>6</v>
      </c>
      <c r="CP59">
        <v>6</v>
      </c>
      <c r="CQ59">
        <v>6</v>
      </c>
      <c r="CR59">
        <v>6</v>
      </c>
      <c r="CS59">
        <v>6</v>
      </c>
      <c r="CT59">
        <v>6</v>
      </c>
      <c r="CU59" s="1">
        <v>6</v>
      </c>
      <c r="CV59" s="1">
        <v>6</v>
      </c>
      <c r="CW59" s="1">
        <v>6</v>
      </c>
      <c r="CX59" s="1">
        <v>6</v>
      </c>
      <c r="CY59" s="1">
        <v>6</v>
      </c>
      <c r="CZ59" s="1">
        <v>6</v>
      </c>
      <c r="DA59" s="1">
        <v>6</v>
      </c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</row>
    <row r="60" spans="1:198" x14ac:dyDescent="0.4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 s="1">
        <v>6</v>
      </c>
      <c r="CV60" s="1">
        <v>6</v>
      </c>
      <c r="CW60" s="1">
        <v>6</v>
      </c>
      <c r="CX60" s="1">
        <v>6</v>
      </c>
      <c r="CY60" s="1">
        <v>6</v>
      </c>
      <c r="CZ60" s="1">
        <v>6</v>
      </c>
      <c r="DA60" s="1">
        <v>6</v>
      </c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</row>
    <row r="61" spans="1:198" x14ac:dyDescent="0.4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  <c r="CM61">
        <v>13</v>
      </c>
      <c r="CN61">
        <v>13</v>
      </c>
      <c r="CO61">
        <v>13</v>
      </c>
      <c r="CP61">
        <v>13</v>
      </c>
      <c r="CQ61">
        <v>13</v>
      </c>
      <c r="CR61">
        <v>13</v>
      </c>
      <c r="CS61">
        <v>13</v>
      </c>
      <c r="CT61">
        <v>13</v>
      </c>
      <c r="CU61" s="1">
        <v>13</v>
      </c>
      <c r="CV61" s="1">
        <v>13</v>
      </c>
      <c r="CW61" s="1">
        <v>13</v>
      </c>
      <c r="CX61" s="1">
        <v>13</v>
      </c>
      <c r="CY61" s="1">
        <v>13</v>
      </c>
      <c r="CZ61" s="1">
        <v>13</v>
      </c>
      <c r="DA61" s="1">
        <v>13</v>
      </c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</row>
    <row r="62" spans="1:198" x14ac:dyDescent="0.4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  <c r="CM62">
        <v>22</v>
      </c>
      <c r="CN62">
        <v>22</v>
      </c>
      <c r="CO62">
        <v>22</v>
      </c>
      <c r="CP62">
        <v>22</v>
      </c>
      <c r="CQ62">
        <v>22</v>
      </c>
      <c r="CR62">
        <v>22</v>
      </c>
      <c r="CS62">
        <v>22</v>
      </c>
      <c r="CT62">
        <v>22</v>
      </c>
      <c r="CU62" s="1">
        <v>22</v>
      </c>
      <c r="CV62" s="1">
        <v>22</v>
      </c>
      <c r="CW62" s="1">
        <v>22</v>
      </c>
      <c r="CX62" s="1">
        <v>22</v>
      </c>
      <c r="CY62" s="1">
        <v>22</v>
      </c>
      <c r="CZ62" s="1">
        <v>22</v>
      </c>
      <c r="DA62" s="1">
        <v>22</v>
      </c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</row>
    <row r="63" spans="1:198" x14ac:dyDescent="0.4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  <c r="CN63">
        <v>4</v>
      </c>
      <c r="CO63">
        <v>4</v>
      </c>
      <c r="CP63">
        <v>4</v>
      </c>
      <c r="CQ63">
        <v>4</v>
      </c>
      <c r="CR63">
        <v>4</v>
      </c>
      <c r="CS63">
        <v>4</v>
      </c>
      <c r="CT63">
        <v>4</v>
      </c>
      <c r="CU63" s="1">
        <v>4</v>
      </c>
      <c r="CV63" s="1">
        <v>4</v>
      </c>
      <c r="CW63" s="1">
        <v>4</v>
      </c>
      <c r="CX63" s="1">
        <v>4</v>
      </c>
      <c r="CY63" s="1">
        <v>4</v>
      </c>
      <c r="CZ63" s="1">
        <v>4</v>
      </c>
      <c r="DA63" s="1">
        <v>4</v>
      </c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</row>
    <row r="64" spans="1:198" x14ac:dyDescent="0.4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  <c r="BS64">
        <v>3186</v>
      </c>
      <c r="BT64">
        <v>3187</v>
      </c>
      <c r="BU64">
        <v>3193</v>
      </c>
      <c r="BV64">
        <v>3199</v>
      </c>
      <c r="BW64">
        <v>3203</v>
      </c>
      <c r="BX64">
        <v>3207</v>
      </c>
      <c r="BY64">
        <v>3210</v>
      </c>
      <c r="BZ64">
        <v>3212</v>
      </c>
      <c r="CA64">
        <v>3212</v>
      </c>
      <c r="CB64">
        <v>3213</v>
      </c>
      <c r="CC64">
        <v>3215</v>
      </c>
      <c r="CD64">
        <v>3216</v>
      </c>
      <c r="CE64">
        <v>3219</v>
      </c>
      <c r="CF64">
        <v>3219</v>
      </c>
      <c r="CG64">
        <v>3221</v>
      </c>
      <c r="CH64">
        <v>3221</v>
      </c>
      <c r="CI64">
        <v>3222</v>
      </c>
      <c r="CJ64">
        <v>3222</v>
      </c>
      <c r="CK64">
        <v>4512</v>
      </c>
      <c r="CL64">
        <v>4512</v>
      </c>
      <c r="CM64">
        <v>4512</v>
      </c>
      <c r="CN64">
        <v>4512</v>
      </c>
      <c r="CO64">
        <v>4512</v>
      </c>
      <c r="CP64">
        <v>4512</v>
      </c>
      <c r="CQ64">
        <v>4512</v>
      </c>
      <c r="CR64">
        <v>4512</v>
      </c>
      <c r="CS64">
        <v>4512</v>
      </c>
      <c r="CT64">
        <v>4512</v>
      </c>
      <c r="CU64" s="1">
        <v>4512</v>
      </c>
      <c r="CV64" s="1">
        <v>4512</v>
      </c>
      <c r="CW64" s="1">
        <v>4512</v>
      </c>
      <c r="CX64" s="1">
        <v>4512</v>
      </c>
      <c r="CY64" s="1">
        <v>4512</v>
      </c>
      <c r="CZ64" s="1">
        <v>4512</v>
      </c>
      <c r="DA64" s="1">
        <v>4512</v>
      </c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</row>
    <row r="65" spans="1:198" x14ac:dyDescent="0.4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  <c r="CN65">
        <v>4</v>
      </c>
      <c r="CO65">
        <v>4</v>
      </c>
      <c r="CP65">
        <v>4</v>
      </c>
      <c r="CQ65">
        <v>4</v>
      </c>
      <c r="CR65">
        <v>4</v>
      </c>
      <c r="CS65">
        <v>4</v>
      </c>
      <c r="CT65">
        <v>4</v>
      </c>
      <c r="CU65" s="1">
        <v>4</v>
      </c>
      <c r="CV65" s="1">
        <v>4</v>
      </c>
      <c r="CW65" s="1">
        <v>4</v>
      </c>
      <c r="CX65" s="1">
        <v>4</v>
      </c>
      <c r="CY65" s="1">
        <v>4</v>
      </c>
      <c r="CZ65" s="1">
        <v>4</v>
      </c>
      <c r="DA65" s="1">
        <v>4</v>
      </c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</row>
    <row r="66" spans="1:198" x14ac:dyDescent="0.4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1</v>
      </c>
      <c r="CT66">
        <v>1</v>
      </c>
      <c r="CU66" s="1">
        <v>1</v>
      </c>
      <c r="CV66" s="1">
        <v>1</v>
      </c>
      <c r="CW66" s="1">
        <v>1</v>
      </c>
      <c r="CX66" s="1">
        <v>1</v>
      </c>
      <c r="CY66" s="1">
        <v>1</v>
      </c>
      <c r="CZ66" s="1">
        <v>1</v>
      </c>
      <c r="DA66" s="1">
        <v>1</v>
      </c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</row>
    <row r="67" spans="1:198" x14ac:dyDescent="0.4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 s="1">
        <v>0</v>
      </c>
      <c r="CV67" s="1">
        <v>0</v>
      </c>
      <c r="CW67" s="1">
        <v>0</v>
      </c>
      <c r="CX67" s="1">
        <v>0</v>
      </c>
      <c r="CY67" s="1">
        <v>0</v>
      </c>
      <c r="CZ67" s="1">
        <v>0</v>
      </c>
      <c r="DA67" s="1">
        <v>0</v>
      </c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</row>
    <row r="68" spans="1:198" x14ac:dyDescent="0.4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 s="1">
        <v>1</v>
      </c>
      <c r="CV68" s="1">
        <v>1</v>
      </c>
      <c r="CW68" s="1">
        <v>1</v>
      </c>
      <c r="CX68" s="1">
        <v>1</v>
      </c>
      <c r="CY68" s="1">
        <v>1</v>
      </c>
      <c r="CZ68" s="1">
        <v>1</v>
      </c>
      <c r="DA68" s="1">
        <v>1</v>
      </c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</row>
    <row r="69" spans="1:198" x14ac:dyDescent="0.4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  <c r="CS69">
        <v>1</v>
      </c>
      <c r="CT69">
        <v>1</v>
      </c>
      <c r="CU69" s="1">
        <v>1</v>
      </c>
      <c r="CV69" s="1">
        <v>1</v>
      </c>
      <c r="CW69" s="1">
        <v>1</v>
      </c>
      <c r="CX69" s="1">
        <v>1</v>
      </c>
      <c r="CY69" s="1">
        <v>1</v>
      </c>
      <c r="CZ69" s="1">
        <v>1</v>
      </c>
      <c r="DA69" s="1">
        <v>1</v>
      </c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</row>
    <row r="70" spans="1:198" x14ac:dyDescent="0.4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  <c r="CN70">
        <v>2</v>
      </c>
      <c r="CO70">
        <v>2</v>
      </c>
      <c r="CP70">
        <v>2</v>
      </c>
      <c r="CQ70">
        <v>2</v>
      </c>
      <c r="CR70">
        <v>2</v>
      </c>
      <c r="CS70">
        <v>2</v>
      </c>
      <c r="CT70">
        <v>2</v>
      </c>
      <c r="CU70" s="1">
        <v>2</v>
      </c>
      <c r="CV70" s="1">
        <v>2</v>
      </c>
      <c r="CW70" s="1">
        <v>2</v>
      </c>
      <c r="CX70" s="1">
        <v>2</v>
      </c>
      <c r="CY70" s="1">
        <v>2</v>
      </c>
      <c r="CZ70" s="1">
        <v>2</v>
      </c>
      <c r="DA70" s="1">
        <v>2</v>
      </c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</row>
    <row r="71" spans="1:198" x14ac:dyDescent="0.4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 s="1">
        <v>0</v>
      </c>
      <c r="CV71" s="1">
        <v>0</v>
      </c>
      <c r="CW71" s="1">
        <v>0</v>
      </c>
      <c r="CX71" s="1">
        <v>0</v>
      </c>
      <c r="CY71" s="1">
        <v>0</v>
      </c>
      <c r="CZ71" s="1">
        <v>0</v>
      </c>
      <c r="DA71" s="1">
        <v>0</v>
      </c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</row>
    <row r="72" spans="1:198" x14ac:dyDescent="0.4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 s="1">
        <v>0</v>
      </c>
      <c r="CV72" s="1">
        <v>0</v>
      </c>
      <c r="CW72" s="1">
        <v>0</v>
      </c>
      <c r="CX72" s="1">
        <v>0</v>
      </c>
      <c r="CY72" s="1">
        <v>0</v>
      </c>
      <c r="CZ72" s="1">
        <v>0</v>
      </c>
      <c r="DA72" s="1">
        <v>0</v>
      </c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</row>
    <row r="73" spans="1:198" x14ac:dyDescent="0.4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 s="1">
        <v>0</v>
      </c>
      <c r="CV73" s="1">
        <v>0</v>
      </c>
      <c r="CW73" s="1">
        <v>0</v>
      </c>
      <c r="CX73" s="1">
        <v>0</v>
      </c>
      <c r="CY73" s="1">
        <v>0</v>
      </c>
      <c r="CZ73" s="1">
        <v>0</v>
      </c>
      <c r="DA73" s="1">
        <v>0</v>
      </c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</row>
    <row r="74" spans="1:198" x14ac:dyDescent="0.4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  <c r="CM74">
        <v>3</v>
      </c>
      <c r="CN74">
        <v>3</v>
      </c>
      <c r="CO74">
        <v>3</v>
      </c>
      <c r="CP74">
        <v>3</v>
      </c>
      <c r="CQ74">
        <v>3</v>
      </c>
      <c r="CR74">
        <v>3</v>
      </c>
      <c r="CS74">
        <v>3</v>
      </c>
      <c r="CT74">
        <v>3</v>
      </c>
      <c r="CU74" s="1">
        <v>3</v>
      </c>
      <c r="CV74" s="1">
        <v>3</v>
      </c>
      <c r="CW74" s="1">
        <v>3</v>
      </c>
      <c r="CX74" s="1">
        <v>3</v>
      </c>
      <c r="CY74" s="1">
        <v>3</v>
      </c>
      <c r="CZ74" s="1">
        <v>3</v>
      </c>
      <c r="DA74" s="1">
        <v>3</v>
      </c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</row>
    <row r="75" spans="1:198" x14ac:dyDescent="0.4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  <c r="CM75">
        <v>7</v>
      </c>
      <c r="CN75">
        <v>7</v>
      </c>
      <c r="CO75">
        <v>7</v>
      </c>
      <c r="CP75">
        <v>7</v>
      </c>
      <c r="CQ75">
        <v>7</v>
      </c>
      <c r="CR75">
        <v>7</v>
      </c>
      <c r="CS75">
        <v>7</v>
      </c>
      <c r="CT75">
        <v>7</v>
      </c>
      <c r="CU75" s="1">
        <v>7</v>
      </c>
      <c r="CV75" s="1">
        <v>7</v>
      </c>
      <c r="CW75" s="1">
        <v>7</v>
      </c>
      <c r="CX75" s="1">
        <v>7</v>
      </c>
      <c r="CY75" s="1">
        <v>7</v>
      </c>
      <c r="CZ75" s="1">
        <v>7</v>
      </c>
      <c r="DA75" s="1">
        <v>7</v>
      </c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</row>
    <row r="76" spans="1:198" x14ac:dyDescent="0.4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6</v>
      </c>
      <c r="BV76">
        <v>6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7</v>
      </c>
      <c r="CC76">
        <v>7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  <c r="CQ76">
        <v>7</v>
      </c>
      <c r="CR76">
        <v>7</v>
      </c>
      <c r="CS76">
        <v>7</v>
      </c>
      <c r="CT76">
        <v>7</v>
      </c>
      <c r="CU76" s="1">
        <v>7</v>
      </c>
      <c r="CV76" s="1">
        <v>7</v>
      </c>
      <c r="CW76" s="1">
        <v>7</v>
      </c>
      <c r="CX76" s="1">
        <v>7</v>
      </c>
      <c r="CY76" s="1">
        <v>7</v>
      </c>
      <c r="CZ76" s="1">
        <v>7</v>
      </c>
      <c r="DA76" s="1">
        <v>7</v>
      </c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</row>
    <row r="77" spans="1:198" x14ac:dyDescent="0.4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 s="1">
        <v>0</v>
      </c>
      <c r="CV77" s="1">
        <v>0</v>
      </c>
      <c r="CW77" s="1">
        <v>0</v>
      </c>
      <c r="CX77" s="1">
        <v>0</v>
      </c>
      <c r="CY77" s="1">
        <v>0</v>
      </c>
      <c r="CZ77" s="1">
        <v>0</v>
      </c>
      <c r="DA77" s="1">
        <v>0</v>
      </c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</row>
    <row r="78" spans="1:198" x14ac:dyDescent="0.4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  <c r="CN78">
        <v>3</v>
      </c>
      <c r="CO78">
        <v>3</v>
      </c>
      <c r="CP78">
        <v>3</v>
      </c>
      <c r="CQ78">
        <v>3</v>
      </c>
      <c r="CR78">
        <v>3</v>
      </c>
      <c r="CS78">
        <v>3</v>
      </c>
      <c r="CT78">
        <v>3</v>
      </c>
      <c r="CU78" s="1">
        <v>3</v>
      </c>
      <c r="CV78" s="1">
        <v>3</v>
      </c>
      <c r="CW78" s="1">
        <v>3</v>
      </c>
      <c r="CX78" s="1">
        <v>3</v>
      </c>
      <c r="CY78" s="1">
        <v>3</v>
      </c>
      <c r="CZ78" s="1">
        <v>3</v>
      </c>
      <c r="DA78" s="1">
        <v>3</v>
      </c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</row>
    <row r="79" spans="1:198" x14ac:dyDescent="0.4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  <c r="CM79">
        <v>3</v>
      </c>
      <c r="CN79">
        <v>3</v>
      </c>
      <c r="CO79">
        <v>3</v>
      </c>
      <c r="CP79">
        <v>3</v>
      </c>
      <c r="CQ79">
        <v>3</v>
      </c>
      <c r="CR79">
        <v>3</v>
      </c>
      <c r="CS79">
        <v>3</v>
      </c>
      <c r="CT79">
        <v>3</v>
      </c>
      <c r="CU79" s="1">
        <v>3</v>
      </c>
      <c r="CV79" s="1">
        <v>3</v>
      </c>
      <c r="CW79" s="1">
        <v>3</v>
      </c>
      <c r="CX79" s="1">
        <v>3</v>
      </c>
      <c r="CY79" s="1">
        <v>3</v>
      </c>
      <c r="CZ79" s="1">
        <v>3</v>
      </c>
      <c r="DA79" s="1">
        <v>3</v>
      </c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</row>
    <row r="80" spans="1:198" x14ac:dyDescent="0.4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 s="1">
        <v>0</v>
      </c>
      <c r="CV80" s="1">
        <v>0</v>
      </c>
      <c r="CW80" s="1">
        <v>0</v>
      </c>
      <c r="CX80" s="1">
        <v>0</v>
      </c>
      <c r="CY80" s="1">
        <v>0</v>
      </c>
      <c r="CZ80" s="1">
        <v>0</v>
      </c>
      <c r="DA80" s="1">
        <v>0</v>
      </c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</row>
    <row r="81" spans="1:198" x14ac:dyDescent="0.4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  <c r="CM81">
        <v>3</v>
      </c>
      <c r="CN81">
        <v>3</v>
      </c>
      <c r="CO81">
        <v>3</v>
      </c>
      <c r="CP81">
        <v>3</v>
      </c>
      <c r="CQ81">
        <v>3</v>
      </c>
      <c r="CR81">
        <v>3</v>
      </c>
      <c r="CS81">
        <v>3</v>
      </c>
      <c r="CT81">
        <v>3</v>
      </c>
      <c r="CU81" s="1">
        <v>3</v>
      </c>
      <c r="CV81" s="1">
        <v>3</v>
      </c>
      <c r="CW81" s="1">
        <v>3</v>
      </c>
      <c r="CX81" s="1">
        <v>3</v>
      </c>
      <c r="CY81" s="1">
        <v>3</v>
      </c>
      <c r="CZ81" s="1">
        <v>3</v>
      </c>
      <c r="DA81" s="1">
        <v>3</v>
      </c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</row>
    <row r="82" spans="1:198" x14ac:dyDescent="0.4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  <c r="CM82">
        <v>2</v>
      </c>
      <c r="CN82">
        <v>2</v>
      </c>
      <c r="CO82">
        <v>2</v>
      </c>
      <c r="CP82">
        <v>2</v>
      </c>
      <c r="CQ82">
        <v>2</v>
      </c>
      <c r="CR82">
        <v>2</v>
      </c>
      <c r="CS82">
        <v>2</v>
      </c>
      <c r="CT82">
        <v>2</v>
      </c>
      <c r="CU82" s="1">
        <v>2</v>
      </c>
      <c r="CV82" s="1">
        <v>2</v>
      </c>
      <c r="CW82" s="1">
        <v>2</v>
      </c>
      <c r="CX82" s="1">
        <v>2</v>
      </c>
      <c r="CY82" s="1">
        <v>2</v>
      </c>
      <c r="CZ82" s="1">
        <v>2</v>
      </c>
      <c r="DA82" s="1">
        <v>2</v>
      </c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</row>
    <row r="83" spans="1:198" x14ac:dyDescent="0.4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 s="1">
        <v>1</v>
      </c>
      <c r="CV83" s="1">
        <v>1</v>
      </c>
      <c r="CW83" s="1">
        <v>1</v>
      </c>
      <c r="CX83" s="1">
        <v>1</v>
      </c>
      <c r="CY83" s="1">
        <v>1</v>
      </c>
      <c r="CZ83" s="1">
        <v>1</v>
      </c>
      <c r="DA83" s="1">
        <v>1</v>
      </c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</row>
    <row r="84" spans="1:198" x14ac:dyDescent="0.4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  <c r="BS84">
        <v>12</v>
      </c>
      <c r="BT84">
        <v>16</v>
      </c>
      <c r="BU84">
        <v>17</v>
      </c>
      <c r="BV84">
        <v>19</v>
      </c>
      <c r="BW84">
        <v>25</v>
      </c>
      <c r="BX84">
        <v>32</v>
      </c>
      <c r="BY84">
        <v>35</v>
      </c>
      <c r="BZ84">
        <v>46</v>
      </c>
      <c r="CA84">
        <v>50</v>
      </c>
      <c r="CB84">
        <v>54</v>
      </c>
      <c r="CC84">
        <v>69</v>
      </c>
      <c r="CD84">
        <v>80</v>
      </c>
      <c r="CE84">
        <v>100</v>
      </c>
      <c r="CF84">
        <v>109</v>
      </c>
      <c r="CG84">
        <v>112</v>
      </c>
      <c r="CH84">
        <v>127</v>
      </c>
      <c r="CI84">
        <v>131</v>
      </c>
      <c r="CJ84">
        <v>144</v>
      </c>
      <c r="CK84">
        <v>153</v>
      </c>
      <c r="CL84">
        <v>153</v>
      </c>
      <c r="CM84">
        <v>179</v>
      </c>
      <c r="CN84">
        <v>189</v>
      </c>
      <c r="CO84">
        <v>196</v>
      </c>
      <c r="CP84">
        <v>206</v>
      </c>
      <c r="CQ84">
        <v>215</v>
      </c>
      <c r="CR84">
        <v>225</v>
      </c>
      <c r="CS84">
        <v>233</v>
      </c>
      <c r="CT84">
        <v>244</v>
      </c>
      <c r="CU84" s="1">
        <v>253</v>
      </c>
      <c r="CV84" s="1">
        <v>269</v>
      </c>
      <c r="CW84" s="1">
        <v>278</v>
      </c>
      <c r="CX84" s="1">
        <v>293</v>
      </c>
      <c r="CY84" s="1">
        <v>314</v>
      </c>
      <c r="CZ84" s="1">
        <v>324</v>
      </c>
      <c r="DA84" s="1">
        <v>340</v>
      </c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</row>
    <row r="85" spans="1:198" x14ac:dyDescent="0.4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2</v>
      </c>
      <c r="BW85">
        <v>2</v>
      </c>
      <c r="BX85">
        <v>2</v>
      </c>
      <c r="BY85">
        <v>5</v>
      </c>
      <c r="BZ85">
        <v>5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6</v>
      </c>
      <c r="CL85">
        <v>6</v>
      </c>
      <c r="CM85">
        <v>6</v>
      </c>
      <c r="CN85">
        <v>6</v>
      </c>
      <c r="CO85">
        <v>6</v>
      </c>
      <c r="CP85">
        <v>6</v>
      </c>
      <c r="CQ85">
        <v>6</v>
      </c>
      <c r="CR85">
        <v>6</v>
      </c>
      <c r="CS85">
        <v>6</v>
      </c>
      <c r="CT85">
        <v>6</v>
      </c>
      <c r="CU85" s="1">
        <v>6</v>
      </c>
      <c r="CV85" s="1">
        <v>8</v>
      </c>
      <c r="CW85" s="1">
        <v>8</v>
      </c>
      <c r="CX85" s="1">
        <v>9</v>
      </c>
      <c r="CY85" s="1">
        <v>9</v>
      </c>
      <c r="CZ85" s="1">
        <v>9</v>
      </c>
      <c r="DA85" s="1">
        <v>9</v>
      </c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</row>
    <row r="86" spans="1:198" x14ac:dyDescent="0.4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  <c r="BS86">
        <v>8</v>
      </c>
      <c r="BT86">
        <v>8</v>
      </c>
      <c r="BU86">
        <v>9</v>
      </c>
      <c r="BV86">
        <v>13</v>
      </c>
      <c r="BW86">
        <v>13</v>
      </c>
      <c r="BX86">
        <v>18</v>
      </c>
      <c r="BY86">
        <v>18</v>
      </c>
      <c r="BZ86">
        <v>18</v>
      </c>
      <c r="CA86">
        <v>18</v>
      </c>
      <c r="CB86">
        <v>18</v>
      </c>
      <c r="CC86">
        <v>18</v>
      </c>
      <c r="CD86">
        <v>20</v>
      </c>
      <c r="CE86">
        <v>20</v>
      </c>
      <c r="CF86">
        <v>20</v>
      </c>
      <c r="CG86">
        <v>20</v>
      </c>
      <c r="CH86">
        <v>20</v>
      </c>
      <c r="CI86">
        <v>21</v>
      </c>
      <c r="CJ86">
        <v>22</v>
      </c>
      <c r="CK86">
        <v>23</v>
      </c>
      <c r="CL86">
        <v>25</v>
      </c>
      <c r="CM86">
        <v>25</v>
      </c>
      <c r="CN86">
        <v>25</v>
      </c>
      <c r="CO86">
        <v>25</v>
      </c>
      <c r="CP86">
        <v>25</v>
      </c>
      <c r="CQ86">
        <v>25</v>
      </c>
      <c r="CR86">
        <v>25</v>
      </c>
      <c r="CS86">
        <v>28</v>
      </c>
      <c r="CT86">
        <v>28</v>
      </c>
      <c r="CU86" s="1">
        <v>28</v>
      </c>
      <c r="CV86" s="1">
        <v>30</v>
      </c>
      <c r="CW86" s="1">
        <v>30</v>
      </c>
      <c r="CX86" s="1">
        <v>31</v>
      </c>
      <c r="CY86" s="1">
        <v>32</v>
      </c>
      <c r="CZ86" s="1">
        <v>33</v>
      </c>
      <c r="DA86" s="1">
        <v>33</v>
      </c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</row>
    <row r="87" spans="1:198" x14ac:dyDescent="0.4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3</v>
      </c>
      <c r="CC87">
        <v>3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4</v>
      </c>
      <c r="CJ87">
        <v>4</v>
      </c>
      <c r="CK87">
        <v>4</v>
      </c>
      <c r="CL87">
        <v>4</v>
      </c>
      <c r="CM87">
        <v>5</v>
      </c>
      <c r="CN87">
        <v>6</v>
      </c>
      <c r="CO87">
        <v>6</v>
      </c>
      <c r="CP87">
        <v>6</v>
      </c>
      <c r="CQ87">
        <v>6</v>
      </c>
      <c r="CR87">
        <v>6</v>
      </c>
      <c r="CS87">
        <v>6</v>
      </c>
      <c r="CT87">
        <v>6</v>
      </c>
      <c r="CU87" s="1">
        <v>6</v>
      </c>
      <c r="CV87" s="1">
        <v>6</v>
      </c>
      <c r="CW87" s="1">
        <v>6</v>
      </c>
      <c r="CX87" s="1">
        <v>6</v>
      </c>
      <c r="CY87" s="1">
        <v>6</v>
      </c>
      <c r="CZ87" s="1">
        <v>6</v>
      </c>
      <c r="DA87" s="1">
        <v>6</v>
      </c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</row>
    <row r="88" spans="1:198" x14ac:dyDescent="0.4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  <c r="BS88">
        <v>1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3</v>
      </c>
      <c r="BZ88">
        <v>3</v>
      </c>
      <c r="CA88">
        <v>3</v>
      </c>
      <c r="CB88">
        <v>3</v>
      </c>
      <c r="CC88">
        <v>3</v>
      </c>
      <c r="CD88">
        <v>3</v>
      </c>
      <c r="CE88">
        <v>4</v>
      </c>
      <c r="CF88">
        <v>5</v>
      </c>
      <c r="CG88">
        <v>6</v>
      </c>
      <c r="CH88">
        <v>6</v>
      </c>
      <c r="CI88">
        <v>6</v>
      </c>
      <c r="CJ88">
        <v>6</v>
      </c>
      <c r="CK88">
        <v>6</v>
      </c>
      <c r="CL88">
        <v>8</v>
      </c>
      <c r="CM88">
        <v>9</v>
      </c>
      <c r="CN88">
        <v>9</v>
      </c>
      <c r="CO88">
        <v>13</v>
      </c>
      <c r="CP88">
        <v>14</v>
      </c>
      <c r="CQ88">
        <v>14</v>
      </c>
      <c r="CR88">
        <v>14</v>
      </c>
      <c r="CS88">
        <v>14</v>
      </c>
      <c r="CT88">
        <v>14</v>
      </c>
      <c r="CU88" s="1">
        <v>14</v>
      </c>
      <c r="CV88" s="1">
        <v>14</v>
      </c>
      <c r="CW88" s="1">
        <v>14</v>
      </c>
      <c r="CX88" s="1">
        <v>14</v>
      </c>
      <c r="CY88" s="1">
        <v>15</v>
      </c>
      <c r="CZ88" s="1">
        <v>15</v>
      </c>
      <c r="DA88" s="1">
        <v>17</v>
      </c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</row>
    <row r="89" spans="1:198" x14ac:dyDescent="0.4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  <c r="BS89">
        <v>6</v>
      </c>
      <c r="BT89">
        <v>6</v>
      </c>
      <c r="BU89">
        <v>6</v>
      </c>
      <c r="BV89">
        <v>7</v>
      </c>
      <c r="BW89">
        <v>8</v>
      </c>
      <c r="BX89">
        <v>12</v>
      </c>
      <c r="BY89">
        <v>15</v>
      </c>
      <c r="BZ89">
        <v>16</v>
      </c>
      <c r="CA89">
        <v>18</v>
      </c>
      <c r="CB89">
        <v>19</v>
      </c>
      <c r="CC89">
        <v>20</v>
      </c>
      <c r="CD89">
        <v>21</v>
      </c>
      <c r="CE89">
        <v>21</v>
      </c>
      <c r="CF89">
        <v>23</v>
      </c>
      <c r="CG89">
        <v>25</v>
      </c>
      <c r="CH89">
        <v>31</v>
      </c>
      <c r="CI89">
        <v>33</v>
      </c>
      <c r="CJ89">
        <v>35</v>
      </c>
      <c r="CK89">
        <v>36</v>
      </c>
      <c r="CL89">
        <v>39</v>
      </c>
      <c r="CM89">
        <v>47</v>
      </c>
      <c r="CN89">
        <v>47</v>
      </c>
      <c r="CO89">
        <v>48</v>
      </c>
      <c r="CP89">
        <v>48</v>
      </c>
      <c r="CQ89">
        <v>50</v>
      </c>
      <c r="CR89">
        <v>51</v>
      </c>
      <c r="CS89">
        <v>54</v>
      </c>
      <c r="CT89">
        <v>55</v>
      </c>
      <c r="CU89" s="1">
        <v>59</v>
      </c>
      <c r="CV89" s="1">
        <v>63</v>
      </c>
      <c r="CW89" s="1">
        <v>67</v>
      </c>
      <c r="CX89" s="1">
        <v>69</v>
      </c>
      <c r="CY89" s="1">
        <v>75</v>
      </c>
      <c r="CZ89" s="1">
        <v>77</v>
      </c>
      <c r="DA89" s="1">
        <v>79</v>
      </c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</row>
    <row r="90" spans="1:198" x14ac:dyDescent="0.4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11</v>
      </c>
      <c r="BV90">
        <v>11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12</v>
      </c>
      <c r="CI90">
        <v>12</v>
      </c>
      <c r="CJ90">
        <v>12</v>
      </c>
      <c r="CK90">
        <v>13</v>
      </c>
      <c r="CL90">
        <v>13</v>
      </c>
      <c r="CM90">
        <v>13</v>
      </c>
      <c r="CN90">
        <v>13</v>
      </c>
      <c r="CO90">
        <v>13</v>
      </c>
      <c r="CP90">
        <v>13</v>
      </c>
      <c r="CQ90">
        <v>13</v>
      </c>
      <c r="CR90">
        <v>13</v>
      </c>
      <c r="CS90">
        <v>13</v>
      </c>
      <c r="CT90">
        <v>13</v>
      </c>
      <c r="CU90" s="1">
        <v>13</v>
      </c>
      <c r="CV90" s="1">
        <v>13</v>
      </c>
      <c r="CW90" s="1">
        <v>13</v>
      </c>
      <c r="CX90" s="1">
        <v>13</v>
      </c>
      <c r="CY90" s="1">
        <v>13</v>
      </c>
      <c r="CZ90" s="1">
        <v>13</v>
      </c>
      <c r="DA90" s="1">
        <v>13</v>
      </c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</row>
    <row r="91" spans="1:198" x14ac:dyDescent="0.4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  <c r="BS91">
        <v>4</v>
      </c>
      <c r="BT91">
        <v>6</v>
      </c>
      <c r="BU91">
        <v>6</v>
      </c>
      <c r="BV91">
        <v>6</v>
      </c>
      <c r="BW91">
        <v>6</v>
      </c>
      <c r="BX91">
        <v>6</v>
      </c>
      <c r="BY91">
        <v>8</v>
      </c>
      <c r="BZ91">
        <v>9</v>
      </c>
      <c r="CA91">
        <v>11</v>
      </c>
      <c r="CB91">
        <v>12</v>
      </c>
      <c r="CC91">
        <v>15</v>
      </c>
      <c r="CD91">
        <v>15</v>
      </c>
      <c r="CE91">
        <v>16</v>
      </c>
      <c r="CF91">
        <v>18</v>
      </c>
      <c r="CG91">
        <v>21</v>
      </c>
      <c r="CH91">
        <v>21</v>
      </c>
      <c r="CI91">
        <v>24</v>
      </c>
      <c r="CJ91">
        <v>27</v>
      </c>
      <c r="CK91">
        <v>31</v>
      </c>
      <c r="CL91">
        <v>32</v>
      </c>
      <c r="CM91">
        <v>34</v>
      </c>
      <c r="CN91">
        <v>36</v>
      </c>
      <c r="CO91">
        <v>38</v>
      </c>
      <c r="CP91">
        <v>40</v>
      </c>
      <c r="CQ91">
        <v>43</v>
      </c>
      <c r="CR91">
        <v>49</v>
      </c>
      <c r="CS91">
        <v>51</v>
      </c>
      <c r="CT91">
        <v>54</v>
      </c>
      <c r="CU91" s="1">
        <v>56</v>
      </c>
      <c r="CV91" s="1">
        <v>58</v>
      </c>
      <c r="CW91" s="1">
        <v>58</v>
      </c>
      <c r="CX91" s="1">
        <v>61</v>
      </c>
      <c r="CY91" s="1">
        <v>64</v>
      </c>
      <c r="CZ91" s="1">
        <v>66</v>
      </c>
      <c r="DA91" s="1">
        <v>67</v>
      </c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</row>
    <row r="92" spans="1:198" x14ac:dyDescent="0.4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  <c r="BS92">
        <v>7</v>
      </c>
      <c r="BT92">
        <v>8</v>
      </c>
      <c r="BU92">
        <v>9</v>
      </c>
      <c r="BV92">
        <v>10</v>
      </c>
      <c r="BW92">
        <v>11</v>
      </c>
      <c r="BX92">
        <v>11</v>
      </c>
      <c r="BY92">
        <v>9</v>
      </c>
      <c r="BZ92">
        <v>9</v>
      </c>
      <c r="CA92">
        <v>9</v>
      </c>
      <c r="CB92">
        <v>9</v>
      </c>
      <c r="CC92">
        <v>10</v>
      </c>
      <c r="CD92">
        <v>10</v>
      </c>
      <c r="CE92">
        <v>10</v>
      </c>
      <c r="CF92">
        <v>11</v>
      </c>
      <c r="CG92">
        <v>12</v>
      </c>
      <c r="CH92">
        <v>12</v>
      </c>
      <c r="CI92">
        <v>12</v>
      </c>
      <c r="CJ92">
        <v>12</v>
      </c>
      <c r="CK92">
        <v>12</v>
      </c>
      <c r="CL92">
        <v>12</v>
      </c>
      <c r="CM92">
        <v>12</v>
      </c>
      <c r="CN92">
        <v>12</v>
      </c>
      <c r="CO92">
        <v>12</v>
      </c>
      <c r="CP92">
        <v>13</v>
      </c>
      <c r="CQ92">
        <v>13</v>
      </c>
      <c r="CR92">
        <v>14</v>
      </c>
      <c r="CS92">
        <v>14</v>
      </c>
      <c r="CT92">
        <v>14</v>
      </c>
      <c r="CU92" s="1">
        <v>15</v>
      </c>
      <c r="CV92" s="1">
        <v>15</v>
      </c>
      <c r="CW92" s="1">
        <v>15</v>
      </c>
      <c r="CX92" s="1">
        <v>15</v>
      </c>
      <c r="CY92" s="1">
        <v>15</v>
      </c>
      <c r="CZ92" s="1">
        <v>15</v>
      </c>
      <c r="DA92" s="1">
        <v>15</v>
      </c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</row>
    <row r="93" spans="1:198" x14ac:dyDescent="0.4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  <c r="BS93">
        <v>23</v>
      </c>
      <c r="BT93">
        <v>31</v>
      </c>
      <c r="BU93">
        <v>39</v>
      </c>
      <c r="BV93">
        <v>44</v>
      </c>
      <c r="BW93">
        <v>53</v>
      </c>
      <c r="BX93">
        <v>59</v>
      </c>
      <c r="BY93">
        <v>67</v>
      </c>
      <c r="BZ93">
        <v>78</v>
      </c>
      <c r="CA93">
        <v>88</v>
      </c>
      <c r="CB93">
        <v>99</v>
      </c>
      <c r="CC93">
        <v>112</v>
      </c>
      <c r="CD93">
        <v>119</v>
      </c>
      <c r="CE93">
        <v>129</v>
      </c>
      <c r="CF93">
        <v>138</v>
      </c>
      <c r="CG93">
        <v>143</v>
      </c>
      <c r="CH93">
        <v>161</v>
      </c>
      <c r="CI93">
        <v>166</v>
      </c>
      <c r="CJ93">
        <v>169</v>
      </c>
      <c r="CK93">
        <v>173</v>
      </c>
      <c r="CL93">
        <v>181</v>
      </c>
      <c r="CM93">
        <v>186</v>
      </c>
      <c r="CN93">
        <v>194</v>
      </c>
      <c r="CO93">
        <v>201</v>
      </c>
      <c r="CP93">
        <v>208</v>
      </c>
      <c r="CQ93">
        <v>210</v>
      </c>
      <c r="CR93">
        <v>214</v>
      </c>
      <c r="CS93">
        <v>218</v>
      </c>
      <c r="CT93">
        <v>220</v>
      </c>
      <c r="CU93" s="1">
        <v>223</v>
      </c>
      <c r="CV93" s="1">
        <v>227</v>
      </c>
      <c r="CW93" s="1">
        <v>227</v>
      </c>
      <c r="CX93" s="1">
        <v>236</v>
      </c>
      <c r="CY93" s="1">
        <v>240</v>
      </c>
      <c r="CZ93" s="1">
        <v>245</v>
      </c>
      <c r="DA93" s="1">
        <v>248</v>
      </c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</row>
    <row r="94" spans="1:198" x14ac:dyDescent="0.4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 s="1">
        <v>0</v>
      </c>
      <c r="CV94" s="1">
        <v>0</v>
      </c>
      <c r="CW94" s="1">
        <v>0</v>
      </c>
      <c r="CX94" s="1">
        <v>0</v>
      </c>
      <c r="CY94" s="1">
        <v>0</v>
      </c>
      <c r="CZ94" s="1">
        <v>0</v>
      </c>
      <c r="DA94" s="1">
        <v>0</v>
      </c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</row>
    <row r="95" spans="1:198" x14ac:dyDescent="0.4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 s="1">
        <v>0</v>
      </c>
      <c r="CV95" s="1">
        <v>0</v>
      </c>
      <c r="CW95" s="1">
        <v>0</v>
      </c>
      <c r="CX95" s="1">
        <v>0</v>
      </c>
      <c r="CY95" s="1">
        <v>0</v>
      </c>
      <c r="CZ95" s="1">
        <v>0</v>
      </c>
      <c r="DA95" s="1">
        <v>0</v>
      </c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</row>
    <row r="96" spans="1:198" x14ac:dyDescent="0.4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  <c r="BS96">
        <v>77</v>
      </c>
      <c r="BT96">
        <v>90</v>
      </c>
      <c r="BU96">
        <v>104</v>
      </c>
      <c r="BV96">
        <v>123</v>
      </c>
      <c r="BW96">
        <v>139</v>
      </c>
      <c r="BX96">
        <v>161</v>
      </c>
      <c r="BY96">
        <v>179</v>
      </c>
      <c r="BZ96">
        <v>187</v>
      </c>
      <c r="CA96">
        <v>203</v>
      </c>
      <c r="CB96">
        <v>218</v>
      </c>
      <c r="CC96">
        <v>237</v>
      </c>
      <c r="CD96">
        <v>247</v>
      </c>
      <c r="CE96">
        <v>260</v>
      </c>
      <c r="CF96">
        <v>273</v>
      </c>
      <c r="CG96">
        <v>285</v>
      </c>
      <c r="CH96">
        <v>299</v>
      </c>
      <c r="CI96">
        <v>309</v>
      </c>
      <c r="CJ96">
        <v>321</v>
      </c>
      <c r="CK96">
        <v>336</v>
      </c>
      <c r="CL96">
        <v>346</v>
      </c>
      <c r="CM96">
        <v>355</v>
      </c>
      <c r="CN96">
        <v>364</v>
      </c>
      <c r="CO96">
        <v>370</v>
      </c>
      <c r="CP96">
        <v>384</v>
      </c>
      <c r="CQ96">
        <v>394</v>
      </c>
      <c r="CR96">
        <v>403</v>
      </c>
      <c r="CS96">
        <v>418</v>
      </c>
      <c r="CT96">
        <v>422</v>
      </c>
      <c r="CU96" s="1">
        <v>427</v>
      </c>
      <c r="CV96" s="1">
        <v>434</v>
      </c>
      <c r="CW96" s="1">
        <v>443</v>
      </c>
      <c r="CX96" s="1">
        <v>452</v>
      </c>
      <c r="CY96" s="1">
        <v>460</v>
      </c>
      <c r="CZ96" s="1">
        <v>475</v>
      </c>
      <c r="DA96" s="1">
        <v>484</v>
      </c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</row>
    <row r="97" spans="1:198" x14ac:dyDescent="0.4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1</v>
      </c>
      <c r="CE97">
        <v>2</v>
      </c>
      <c r="CF97">
        <v>2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2</v>
      </c>
      <c r="CS97">
        <v>2</v>
      </c>
      <c r="CT97">
        <v>2</v>
      </c>
      <c r="CU97" s="1">
        <v>2</v>
      </c>
      <c r="CV97" s="1">
        <v>2</v>
      </c>
      <c r="CW97" s="1">
        <v>2</v>
      </c>
      <c r="CX97" s="1">
        <v>2</v>
      </c>
      <c r="CY97" s="1">
        <v>2</v>
      </c>
      <c r="CZ97" s="1">
        <v>2</v>
      </c>
      <c r="DA97" s="1">
        <v>2</v>
      </c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</row>
    <row r="98" spans="1:198" x14ac:dyDescent="0.4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  <c r="BS98">
        <v>42</v>
      </c>
      <c r="BT98">
        <v>51</v>
      </c>
      <c r="BU98">
        <v>57</v>
      </c>
      <c r="BV98">
        <v>60</v>
      </c>
      <c r="BW98">
        <v>68</v>
      </c>
      <c r="BX98">
        <v>68</v>
      </c>
      <c r="BY98">
        <v>82</v>
      </c>
      <c r="BZ98">
        <v>86</v>
      </c>
      <c r="CA98">
        <v>98</v>
      </c>
      <c r="CB98">
        <v>108</v>
      </c>
      <c r="CC98">
        <v>118</v>
      </c>
      <c r="CD98">
        <v>126</v>
      </c>
      <c r="CE98">
        <v>135</v>
      </c>
      <c r="CF98">
        <v>173</v>
      </c>
      <c r="CG98">
        <v>177</v>
      </c>
      <c r="CH98">
        <v>183</v>
      </c>
      <c r="CI98">
        <v>189</v>
      </c>
      <c r="CJ98">
        <v>196</v>
      </c>
      <c r="CK98">
        <v>200</v>
      </c>
      <c r="CL98">
        <v>217</v>
      </c>
      <c r="CM98">
        <v>226</v>
      </c>
      <c r="CN98">
        <v>235</v>
      </c>
      <c r="CO98">
        <v>245</v>
      </c>
      <c r="CP98">
        <v>260</v>
      </c>
      <c r="CQ98">
        <v>265</v>
      </c>
      <c r="CR98">
        <v>267</v>
      </c>
      <c r="CS98">
        <v>273</v>
      </c>
      <c r="CT98">
        <v>278</v>
      </c>
      <c r="CU98" s="1">
        <v>282</v>
      </c>
      <c r="CV98" s="1">
        <v>286</v>
      </c>
      <c r="CW98" s="1">
        <v>293</v>
      </c>
      <c r="CX98" s="1">
        <v>301</v>
      </c>
      <c r="CY98" s="1">
        <v>313</v>
      </c>
      <c r="CZ98" s="1">
        <v>326</v>
      </c>
      <c r="DA98" s="1">
        <v>333</v>
      </c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</row>
    <row r="99" spans="1:198" x14ac:dyDescent="0.4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  <c r="BS99">
        <v>60</v>
      </c>
      <c r="BT99">
        <v>75</v>
      </c>
      <c r="BU99">
        <v>93</v>
      </c>
      <c r="BV99">
        <v>120</v>
      </c>
      <c r="BW99">
        <v>145</v>
      </c>
      <c r="BX99">
        <v>172</v>
      </c>
      <c r="BY99">
        <v>180</v>
      </c>
      <c r="BZ99">
        <v>191</v>
      </c>
      <c r="CA99">
        <v>191</v>
      </c>
      <c r="CB99">
        <v>242</v>
      </c>
      <c r="CC99">
        <v>272</v>
      </c>
      <c r="CD99">
        <v>297</v>
      </c>
      <c r="CE99">
        <v>315</v>
      </c>
      <c r="CF99">
        <v>333</v>
      </c>
      <c r="CG99">
        <v>355</v>
      </c>
      <c r="CH99">
        <v>369</v>
      </c>
      <c r="CI99">
        <v>388</v>
      </c>
      <c r="CJ99">
        <v>403</v>
      </c>
      <c r="CK99">
        <v>421</v>
      </c>
      <c r="CL99">
        <v>456</v>
      </c>
      <c r="CM99">
        <v>474</v>
      </c>
      <c r="CN99">
        <v>507</v>
      </c>
      <c r="CO99">
        <v>520</v>
      </c>
      <c r="CP99">
        <v>537</v>
      </c>
      <c r="CQ99">
        <v>560</v>
      </c>
      <c r="CR99">
        <v>576</v>
      </c>
      <c r="CS99">
        <v>576</v>
      </c>
      <c r="CT99">
        <v>576</v>
      </c>
      <c r="CU99" s="1">
        <v>663</v>
      </c>
      <c r="CV99" s="1">
        <v>871</v>
      </c>
      <c r="CW99" s="1">
        <v>883</v>
      </c>
      <c r="CX99" s="1">
        <v>900</v>
      </c>
      <c r="CY99" s="1">
        <v>1063</v>
      </c>
      <c r="CZ99" s="1">
        <v>1371</v>
      </c>
      <c r="DA99" s="1">
        <v>1564</v>
      </c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</row>
    <row r="100" spans="1:198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  <c r="BS100">
        <v>41</v>
      </c>
      <c r="BT100">
        <v>46</v>
      </c>
      <c r="BU100">
        <v>52</v>
      </c>
      <c r="BV100">
        <v>58</v>
      </c>
      <c r="BW100">
        <v>66</v>
      </c>
      <c r="BX100">
        <v>71</v>
      </c>
      <c r="BY100">
        <v>78</v>
      </c>
      <c r="BZ100">
        <v>85</v>
      </c>
      <c r="CA100">
        <v>94</v>
      </c>
      <c r="CB100">
        <v>103</v>
      </c>
      <c r="CC100">
        <v>118</v>
      </c>
      <c r="CD100">
        <v>135</v>
      </c>
      <c r="CE100">
        <v>146</v>
      </c>
      <c r="CF100">
        <v>159</v>
      </c>
      <c r="CG100">
        <v>164</v>
      </c>
      <c r="CH100">
        <v>178</v>
      </c>
      <c r="CI100">
        <v>183</v>
      </c>
      <c r="CJ100">
        <v>196</v>
      </c>
      <c r="CK100">
        <v>205</v>
      </c>
      <c r="CL100">
        <v>224</v>
      </c>
      <c r="CM100">
        <v>239</v>
      </c>
      <c r="CN100">
        <v>250</v>
      </c>
      <c r="CO100">
        <v>264</v>
      </c>
      <c r="CP100">
        <v>276</v>
      </c>
      <c r="CQ100">
        <v>287</v>
      </c>
      <c r="CR100">
        <v>294</v>
      </c>
      <c r="CS100">
        <v>307</v>
      </c>
      <c r="CT100">
        <v>317</v>
      </c>
      <c r="CU100" s="1">
        <v>337</v>
      </c>
      <c r="CV100" s="1">
        <v>359</v>
      </c>
      <c r="CW100" s="1">
        <v>380</v>
      </c>
      <c r="CX100" s="1">
        <v>392</v>
      </c>
      <c r="CY100" s="1">
        <v>406</v>
      </c>
      <c r="CZ100" s="1">
        <v>415</v>
      </c>
      <c r="DA100" s="1">
        <v>429</v>
      </c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</row>
    <row r="101" spans="1:198" x14ac:dyDescent="0.4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1</v>
      </c>
      <c r="BU101">
        <v>1</v>
      </c>
      <c r="BV101">
        <v>2</v>
      </c>
      <c r="BW101">
        <v>2</v>
      </c>
      <c r="BX101">
        <v>3</v>
      </c>
      <c r="BY101">
        <v>3</v>
      </c>
      <c r="BZ101">
        <v>4</v>
      </c>
      <c r="CA101">
        <v>4</v>
      </c>
      <c r="CB101">
        <v>5</v>
      </c>
      <c r="CC101">
        <v>6</v>
      </c>
      <c r="CD101">
        <v>6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7</v>
      </c>
      <c r="CL101">
        <v>7</v>
      </c>
      <c r="CM101">
        <v>7</v>
      </c>
      <c r="CN101">
        <v>7</v>
      </c>
      <c r="CO101">
        <v>7</v>
      </c>
      <c r="CP101">
        <v>7</v>
      </c>
      <c r="CQ101">
        <v>8</v>
      </c>
      <c r="CR101">
        <v>8</v>
      </c>
      <c r="CS101">
        <v>8</v>
      </c>
      <c r="CT101">
        <v>8</v>
      </c>
      <c r="CU101" s="1">
        <v>8</v>
      </c>
      <c r="CV101" s="1">
        <v>8</v>
      </c>
      <c r="CW101" s="1">
        <v>9</v>
      </c>
      <c r="CX101" s="1">
        <v>10</v>
      </c>
      <c r="CY101" s="1">
        <v>10</v>
      </c>
      <c r="CZ101" s="1">
        <v>11</v>
      </c>
      <c r="DA101" s="1">
        <v>11</v>
      </c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</row>
    <row r="102" spans="1:198" x14ac:dyDescent="0.4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1</v>
      </c>
      <c r="CQ102">
        <v>1</v>
      </c>
      <c r="CR102">
        <v>1</v>
      </c>
      <c r="CS102">
        <v>1</v>
      </c>
      <c r="CT102">
        <v>1</v>
      </c>
      <c r="CU102" s="1">
        <v>1</v>
      </c>
      <c r="CV102" s="1">
        <v>1</v>
      </c>
      <c r="CW102" s="1">
        <v>1</v>
      </c>
      <c r="CX102" s="1">
        <v>1</v>
      </c>
      <c r="CY102" s="1">
        <v>1</v>
      </c>
      <c r="CZ102" s="1">
        <v>1</v>
      </c>
      <c r="DA102" s="1">
        <v>1</v>
      </c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</row>
    <row r="103" spans="1:198" x14ac:dyDescent="0.4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0</v>
      </c>
      <c r="CZ103" s="1">
        <v>0</v>
      </c>
      <c r="DA103" s="1">
        <v>0</v>
      </c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</row>
    <row r="104" spans="1:198" x14ac:dyDescent="0.4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  <c r="BS104">
        <v>3</v>
      </c>
      <c r="BT104">
        <v>4</v>
      </c>
      <c r="BU104">
        <v>5</v>
      </c>
      <c r="BV104">
        <v>11</v>
      </c>
      <c r="BW104">
        <v>12</v>
      </c>
      <c r="BX104">
        <v>13</v>
      </c>
      <c r="BY104">
        <v>15</v>
      </c>
      <c r="BZ104">
        <v>19</v>
      </c>
      <c r="CA104">
        <v>21</v>
      </c>
      <c r="CB104">
        <v>24</v>
      </c>
      <c r="CC104">
        <v>24</v>
      </c>
      <c r="CD104">
        <v>24</v>
      </c>
      <c r="CE104">
        <v>24</v>
      </c>
      <c r="CF104">
        <v>25</v>
      </c>
      <c r="CG104">
        <v>28</v>
      </c>
      <c r="CH104">
        <v>31</v>
      </c>
      <c r="CI104">
        <v>35</v>
      </c>
      <c r="CJ104">
        <v>36</v>
      </c>
      <c r="CK104">
        <v>38</v>
      </c>
      <c r="CL104">
        <v>38</v>
      </c>
      <c r="CM104">
        <v>40</v>
      </c>
      <c r="CN104">
        <v>40</v>
      </c>
      <c r="CO104">
        <v>43</v>
      </c>
      <c r="CP104">
        <v>44</v>
      </c>
      <c r="CQ104">
        <v>45</v>
      </c>
      <c r="CR104">
        <v>46</v>
      </c>
      <c r="CS104">
        <v>46</v>
      </c>
      <c r="CT104">
        <v>49</v>
      </c>
      <c r="CU104" s="1">
        <v>50</v>
      </c>
      <c r="CV104" s="1">
        <v>50</v>
      </c>
      <c r="CW104" s="1">
        <v>50</v>
      </c>
      <c r="CX104" s="1">
        <v>52</v>
      </c>
      <c r="CY104" s="1">
        <v>52</v>
      </c>
      <c r="CZ104" s="1">
        <v>53</v>
      </c>
      <c r="DA104" s="1">
        <v>55</v>
      </c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</row>
    <row r="105" spans="1:198" x14ac:dyDescent="0.4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1</v>
      </c>
      <c r="CK105">
        <v>1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 s="1">
        <v>1</v>
      </c>
      <c r="CV105" s="1">
        <v>1</v>
      </c>
      <c r="CW105" s="1">
        <v>1</v>
      </c>
      <c r="CX105" s="1">
        <v>1</v>
      </c>
      <c r="CY105" s="1">
        <v>1</v>
      </c>
      <c r="CZ105" s="1">
        <v>1</v>
      </c>
      <c r="DA105" s="1">
        <v>1</v>
      </c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</row>
    <row r="106" spans="1:198" x14ac:dyDescent="0.4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2</v>
      </c>
      <c r="BZ106">
        <v>2</v>
      </c>
      <c r="CA106">
        <v>2</v>
      </c>
      <c r="CB106">
        <v>2</v>
      </c>
      <c r="CC106">
        <v>2</v>
      </c>
      <c r="CD106">
        <v>3</v>
      </c>
      <c r="CE106">
        <v>3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  <c r="CM106">
        <v>3</v>
      </c>
      <c r="CN106">
        <v>3</v>
      </c>
      <c r="CO106">
        <v>3</v>
      </c>
      <c r="CP106">
        <v>3</v>
      </c>
      <c r="CQ106">
        <v>3</v>
      </c>
      <c r="CR106">
        <v>3</v>
      </c>
      <c r="CS106">
        <v>3</v>
      </c>
      <c r="CT106">
        <v>3</v>
      </c>
      <c r="CU106" s="1">
        <v>3</v>
      </c>
      <c r="CV106" s="1">
        <v>3</v>
      </c>
      <c r="CW106" s="1">
        <v>3</v>
      </c>
      <c r="CX106" s="1">
        <v>3</v>
      </c>
      <c r="CY106" s="1">
        <v>3</v>
      </c>
      <c r="CZ106" s="1">
        <v>3</v>
      </c>
      <c r="DA106" s="1">
        <v>3</v>
      </c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</row>
    <row r="107" spans="1:198" x14ac:dyDescent="0.4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 s="1">
        <v>0</v>
      </c>
      <c r="CV107" s="1">
        <v>0</v>
      </c>
      <c r="CW107" s="1">
        <v>0</v>
      </c>
      <c r="CX107" s="1">
        <v>0</v>
      </c>
      <c r="CY107" s="1">
        <v>0</v>
      </c>
      <c r="CZ107" s="1">
        <v>0</v>
      </c>
      <c r="DA107" s="1">
        <v>0</v>
      </c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</row>
    <row r="108" spans="1:198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  <c r="BS108">
        <v>13</v>
      </c>
      <c r="BT108">
        <v>17</v>
      </c>
      <c r="BU108">
        <v>17</v>
      </c>
      <c r="BV108">
        <v>19</v>
      </c>
      <c r="BW108">
        <v>20</v>
      </c>
      <c r="BX108">
        <v>25</v>
      </c>
      <c r="BY108">
        <v>28</v>
      </c>
      <c r="BZ108">
        <v>27</v>
      </c>
      <c r="CA108">
        <v>34</v>
      </c>
      <c r="CB108">
        <v>40</v>
      </c>
      <c r="CC108">
        <v>42</v>
      </c>
      <c r="CD108">
        <v>48</v>
      </c>
      <c r="CE108">
        <v>49</v>
      </c>
      <c r="CF108">
        <v>56</v>
      </c>
      <c r="CG108">
        <v>59</v>
      </c>
      <c r="CH108">
        <v>64</v>
      </c>
      <c r="CI108">
        <v>72</v>
      </c>
      <c r="CJ108">
        <v>75</v>
      </c>
      <c r="CK108">
        <v>82</v>
      </c>
      <c r="CL108">
        <v>90</v>
      </c>
      <c r="CM108">
        <v>94</v>
      </c>
      <c r="CN108">
        <v>98</v>
      </c>
      <c r="CO108">
        <v>141</v>
      </c>
      <c r="CP108">
        <v>149</v>
      </c>
      <c r="CQ108">
        <v>172</v>
      </c>
      <c r="CR108">
        <v>177</v>
      </c>
      <c r="CS108">
        <v>186</v>
      </c>
      <c r="CT108">
        <v>190</v>
      </c>
      <c r="CU108" s="1">
        <v>193</v>
      </c>
      <c r="CV108" s="1">
        <v>199</v>
      </c>
      <c r="CW108" s="1">
        <v>206</v>
      </c>
      <c r="CX108" s="1">
        <v>211</v>
      </c>
      <c r="CY108" s="1">
        <v>218</v>
      </c>
      <c r="CZ108" s="1">
        <v>220</v>
      </c>
      <c r="DA108" s="1">
        <v>230</v>
      </c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</row>
    <row r="109" spans="1:198" x14ac:dyDescent="0.4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1</v>
      </c>
      <c r="CQ109">
        <v>1</v>
      </c>
      <c r="CR109">
        <v>1</v>
      </c>
      <c r="CS109">
        <v>1</v>
      </c>
      <c r="CT109">
        <v>1</v>
      </c>
      <c r="CU109" s="1">
        <v>1</v>
      </c>
      <c r="CV109" s="1">
        <v>1</v>
      </c>
      <c r="CW109" s="1">
        <v>1</v>
      </c>
      <c r="CX109" s="1">
        <v>1</v>
      </c>
      <c r="CY109" s="1">
        <v>1</v>
      </c>
      <c r="CZ109" s="1">
        <v>1</v>
      </c>
      <c r="DA109" s="1">
        <v>1</v>
      </c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</row>
    <row r="110" spans="1:198" x14ac:dyDescent="0.4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 s="1">
        <v>0</v>
      </c>
      <c r="CV110" s="1">
        <v>0</v>
      </c>
      <c r="CW110" s="1">
        <v>0</v>
      </c>
      <c r="CX110" s="1">
        <v>0</v>
      </c>
      <c r="CY110" s="1">
        <v>0</v>
      </c>
      <c r="CZ110" s="1">
        <v>0</v>
      </c>
      <c r="DA110" s="1">
        <v>0</v>
      </c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</row>
    <row r="111" spans="1:198" x14ac:dyDescent="0.4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  <c r="BS111">
        <v>4</v>
      </c>
      <c r="BT111">
        <v>4</v>
      </c>
      <c r="BU111">
        <v>6</v>
      </c>
      <c r="BV111">
        <v>6</v>
      </c>
      <c r="BW111">
        <v>7</v>
      </c>
      <c r="BX111">
        <v>7</v>
      </c>
      <c r="BY111">
        <v>7</v>
      </c>
      <c r="BZ111">
        <v>7</v>
      </c>
      <c r="CA111">
        <v>7</v>
      </c>
      <c r="CB111">
        <v>8</v>
      </c>
      <c r="CC111">
        <v>8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12</v>
      </c>
      <c r="CP111">
        <v>12</v>
      </c>
      <c r="CQ111">
        <v>12</v>
      </c>
      <c r="CR111">
        <v>12</v>
      </c>
      <c r="CS111">
        <v>12</v>
      </c>
      <c r="CT111">
        <v>12</v>
      </c>
      <c r="CU111" s="1">
        <v>12</v>
      </c>
      <c r="CV111" s="1">
        <v>12</v>
      </c>
      <c r="CW111" s="1">
        <v>12</v>
      </c>
      <c r="CX111" s="1">
        <v>12</v>
      </c>
      <c r="CY111" s="1">
        <v>12</v>
      </c>
      <c r="CZ111" s="1">
        <v>12</v>
      </c>
      <c r="DA111" s="1">
        <v>12</v>
      </c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</row>
    <row r="112" spans="1:198" x14ac:dyDescent="0.4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1</v>
      </c>
      <c r="BU112">
        <v>1</v>
      </c>
      <c r="BV112">
        <v>1</v>
      </c>
      <c r="BW112">
        <v>2</v>
      </c>
      <c r="BX112">
        <v>2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3</v>
      </c>
      <c r="CF112">
        <v>3</v>
      </c>
      <c r="CG112">
        <v>3</v>
      </c>
      <c r="CH112">
        <v>3</v>
      </c>
      <c r="CI112">
        <v>3</v>
      </c>
      <c r="CJ112">
        <v>3</v>
      </c>
      <c r="CK112">
        <v>4</v>
      </c>
      <c r="CL112">
        <v>4</v>
      </c>
      <c r="CM112">
        <v>4</v>
      </c>
      <c r="CN112">
        <v>4</v>
      </c>
      <c r="CO112">
        <v>4</v>
      </c>
      <c r="CP112">
        <v>4</v>
      </c>
      <c r="CQ112">
        <v>4</v>
      </c>
      <c r="CR112">
        <v>4</v>
      </c>
      <c r="CS112">
        <v>4</v>
      </c>
      <c r="CT112">
        <v>4</v>
      </c>
      <c r="CU112" s="1">
        <v>4</v>
      </c>
      <c r="CV112" s="1">
        <v>4</v>
      </c>
      <c r="CW112" s="1">
        <v>4</v>
      </c>
      <c r="CX112" s="1">
        <v>4</v>
      </c>
      <c r="CY112" s="1">
        <v>4</v>
      </c>
      <c r="CZ112" s="1">
        <v>4</v>
      </c>
      <c r="DA112" s="1">
        <v>6</v>
      </c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</row>
    <row r="113" spans="1:198" x14ac:dyDescent="0.4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 s="1">
        <v>0</v>
      </c>
      <c r="CV113" s="1">
        <v>0</v>
      </c>
      <c r="CW113" s="1">
        <v>0</v>
      </c>
      <c r="CX113" s="1">
        <v>0</v>
      </c>
      <c r="CY113" s="1">
        <v>0</v>
      </c>
      <c r="CZ113" s="1">
        <v>0</v>
      </c>
      <c r="DA113" s="1">
        <v>0</v>
      </c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</row>
    <row r="114" spans="1:198" x14ac:dyDescent="0.4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 s="1">
        <v>0</v>
      </c>
      <c r="CV114" s="1">
        <v>0</v>
      </c>
      <c r="CW114" s="1">
        <v>0</v>
      </c>
      <c r="CX114" s="1">
        <v>0</v>
      </c>
      <c r="CY114" s="1">
        <v>0</v>
      </c>
      <c r="CZ114" s="1">
        <v>0</v>
      </c>
      <c r="DA114" s="1">
        <v>0</v>
      </c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</row>
    <row r="115" spans="1:198" x14ac:dyDescent="0.4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0</v>
      </c>
      <c r="CZ115" s="1">
        <v>0</v>
      </c>
      <c r="DA115" s="1">
        <v>0</v>
      </c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</row>
    <row r="116" spans="1:198" x14ac:dyDescent="0.4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1</v>
      </c>
      <c r="BT116">
        <v>1</v>
      </c>
      <c r="BU116">
        <v>1</v>
      </c>
      <c r="BV116">
        <v>1</v>
      </c>
      <c r="BW116">
        <v>1</v>
      </c>
      <c r="BX116">
        <v>2</v>
      </c>
      <c r="BY116">
        <v>2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  <c r="CQ116">
        <v>2</v>
      </c>
      <c r="CR116">
        <v>3</v>
      </c>
      <c r="CS116">
        <v>3</v>
      </c>
      <c r="CT116">
        <v>3</v>
      </c>
      <c r="CU116" s="1">
        <v>3</v>
      </c>
      <c r="CV116" s="1">
        <v>3</v>
      </c>
      <c r="CW116" s="1">
        <v>3</v>
      </c>
      <c r="CX116" s="1">
        <v>3</v>
      </c>
      <c r="CY116" s="1">
        <v>3</v>
      </c>
      <c r="CZ116" s="1">
        <v>3</v>
      </c>
      <c r="DA116" s="1">
        <v>3</v>
      </c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</row>
    <row r="117" spans="1:198" x14ac:dyDescent="0.4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3</v>
      </c>
      <c r="BU117">
        <v>3</v>
      </c>
      <c r="BV117">
        <v>3</v>
      </c>
      <c r="BW117">
        <v>3</v>
      </c>
      <c r="BX117">
        <v>3</v>
      </c>
      <c r="BY117">
        <v>4</v>
      </c>
      <c r="BZ117">
        <v>4</v>
      </c>
      <c r="CA117">
        <v>4</v>
      </c>
      <c r="CB117">
        <v>6</v>
      </c>
      <c r="CC117">
        <v>6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8</v>
      </c>
      <c r="CJ117">
        <v>8</v>
      </c>
      <c r="CK117">
        <v>8</v>
      </c>
      <c r="CL117">
        <v>8</v>
      </c>
      <c r="CM117">
        <v>12</v>
      </c>
      <c r="CN117">
        <v>12</v>
      </c>
      <c r="CO117">
        <v>14</v>
      </c>
      <c r="CP117">
        <v>14</v>
      </c>
      <c r="CQ117">
        <v>14</v>
      </c>
      <c r="CR117">
        <v>14</v>
      </c>
      <c r="CS117">
        <v>14</v>
      </c>
      <c r="CT117">
        <v>14</v>
      </c>
      <c r="CU117" s="1">
        <v>14</v>
      </c>
      <c r="CV117" s="1">
        <v>14</v>
      </c>
      <c r="CW117" s="1">
        <v>14</v>
      </c>
      <c r="CX117" s="1">
        <v>14</v>
      </c>
      <c r="CY117" s="1">
        <v>14</v>
      </c>
      <c r="CZ117" s="1">
        <v>14</v>
      </c>
      <c r="DA117" s="1">
        <v>14</v>
      </c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</row>
    <row r="118" spans="1:198" x14ac:dyDescent="0.4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  <c r="BS118">
        <v>3024</v>
      </c>
      <c r="BT118">
        <v>3523</v>
      </c>
      <c r="BU118">
        <v>4403</v>
      </c>
      <c r="BV118">
        <v>5387</v>
      </c>
      <c r="BW118">
        <v>6507</v>
      </c>
      <c r="BX118">
        <v>7560</v>
      </c>
      <c r="BY118">
        <v>8078</v>
      </c>
      <c r="BZ118">
        <v>8911</v>
      </c>
      <c r="CA118">
        <v>10328</v>
      </c>
      <c r="CB118">
        <v>10869</v>
      </c>
      <c r="CC118">
        <v>12210</v>
      </c>
      <c r="CD118">
        <v>13197</v>
      </c>
      <c r="CE118">
        <v>13832</v>
      </c>
      <c r="CF118">
        <v>14393</v>
      </c>
      <c r="CG118">
        <v>14967</v>
      </c>
      <c r="CH118">
        <v>15712</v>
      </c>
      <c r="CI118">
        <v>17148</v>
      </c>
      <c r="CJ118">
        <v>17901</v>
      </c>
      <c r="CK118">
        <v>18661</v>
      </c>
      <c r="CL118">
        <v>19303</v>
      </c>
      <c r="CM118">
        <v>19694</v>
      </c>
      <c r="CN118">
        <v>20240</v>
      </c>
      <c r="CO118">
        <v>20765</v>
      </c>
      <c r="CP118">
        <v>21309</v>
      </c>
      <c r="CQ118">
        <v>21825</v>
      </c>
      <c r="CR118">
        <v>22214</v>
      </c>
      <c r="CS118">
        <v>22583</v>
      </c>
      <c r="CT118">
        <v>22825</v>
      </c>
      <c r="CU118" s="1">
        <v>23262</v>
      </c>
      <c r="CV118" s="1">
        <v>23629</v>
      </c>
      <c r="CW118" s="1">
        <v>24056</v>
      </c>
      <c r="CX118" s="1">
        <v>24345</v>
      </c>
      <c r="CY118" s="1">
        <v>24563</v>
      </c>
      <c r="CZ118" s="1">
        <v>24729</v>
      </c>
      <c r="DA118" s="1">
        <v>24864</v>
      </c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</row>
    <row r="119" spans="1:198" x14ac:dyDescent="0.4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2</v>
      </c>
      <c r="CR119">
        <v>3</v>
      </c>
      <c r="CS119">
        <v>3</v>
      </c>
      <c r="CT119">
        <v>3</v>
      </c>
      <c r="CU119" s="1">
        <v>3</v>
      </c>
      <c r="CV119" s="1">
        <v>3</v>
      </c>
      <c r="CW119" s="1">
        <v>3</v>
      </c>
      <c r="CX119" s="1">
        <v>3</v>
      </c>
      <c r="CY119" s="1">
        <v>3</v>
      </c>
      <c r="CZ119" s="1">
        <v>5</v>
      </c>
      <c r="DA119" s="1">
        <v>5</v>
      </c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</row>
    <row r="120" spans="1:198" x14ac:dyDescent="0.45">
      <c r="A120" s="1" t="s">
        <v>2</v>
      </c>
      <c r="B120" s="1" t="s">
        <v>247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 s="1">
        <v>1</v>
      </c>
      <c r="CV120" s="1">
        <v>1</v>
      </c>
      <c r="CW120" s="1">
        <v>1</v>
      </c>
      <c r="CX120" s="1">
        <v>1</v>
      </c>
      <c r="CY120" s="1">
        <v>1</v>
      </c>
      <c r="CZ120" s="1">
        <v>1</v>
      </c>
      <c r="DA120" s="1">
        <v>1</v>
      </c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</row>
    <row r="121" spans="1:198" x14ac:dyDescent="0.4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1</v>
      </c>
      <c r="BY121">
        <v>2</v>
      </c>
      <c r="BZ121">
        <v>2</v>
      </c>
      <c r="CA121">
        <v>3</v>
      </c>
      <c r="CB121">
        <v>3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4</v>
      </c>
      <c r="CM121">
        <v>4</v>
      </c>
      <c r="CN121">
        <v>4</v>
      </c>
      <c r="CO121">
        <v>4</v>
      </c>
      <c r="CP121">
        <v>5</v>
      </c>
      <c r="CQ121">
        <v>5</v>
      </c>
      <c r="CR121">
        <v>5</v>
      </c>
      <c r="CS121">
        <v>5</v>
      </c>
      <c r="CT121">
        <v>6</v>
      </c>
      <c r="CU121" s="1">
        <v>6</v>
      </c>
      <c r="CV121" s="1">
        <v>6</v>
      </c>
      <c r="CW121" s="1">
        <v>6</v>
      </c>
      <c r="CX121" s="1">
        <v>6</v>
      </c>
      <c r="CY121" s="1">
        <v>7</v>
      </c>
      <c r="CZ121" s="1">
        <v>8</v>
      </c>
      <c r="DA121" s="1">
        <v>9</v>
      </c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</row>
    <row r="122" spans="1:198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  <c r="BS122">
        <v>645</v>
      </c>
      <c r="BT122">
        <v>775</v>
      </c>
      <c r="BU122">
        <v>920</v>
      </c>
      <c r="BV122">
        <v>1107</v>
      </c>
      <c r="BW122">
        <v>1275</v>
      </c>
      <c r="BX122">
        <v>1444</v>
      </c>
      <c r="BY122">
        <v>1584</v>
      </c>
      <c r="BZ122">
        <v>1810</v>
      </c>
      <c r="CA122">
        <v>2016</v>
      </c>
      <c r="CB122">
        <v>2349</v>
      </c>
      <c r="CC122">
        <v>2607</v>
      </c>
      <c r="CD122">
        <v>2767</v>
      </c>
      <c r="CE122">
        <v>2736</v>
      </c>
      <c r="CF122">
        <v>3022</v>
      </c>
      <c r="CG122">
        <v>3194</v>
      </c>
      <c r="CH122">
        <v>3294</v>
      </c>
      <c r="CI122">
        <v>3804</v>
      </c>
      <c r="CJ122">
        <v>4052</v>
      </c>
      <c r="CK122">
        <v>4352</v>
      </c>
      <c r="CL122">
        <v>4459</v>
      </c>
      <c r="CM122">
        <v>4586</v>
      </c>
      <c r="CN122">
        <v>4862</v>
      </c>
      <c r="CO122">
        <v>5033</v>
      </c>
      <c r="CP122">
        <v>5279</v>
      </c>
      <c r="CQ122">
        <v>5575</v>
      </c>
      <c r="CR122">
        <v>5760</v>
      </c>
      <c r="CS122">
        <v>5877</v>
      </c>
      <c r="CT122">
        <v>5976</v>
      </c>
      <c r="CU122" s="1">
        <v>6126</v>
      </c>
      <c r="CV122" s="1">
        <v>6314</v>
      </c>
      <c r="CW122" s="1">
        <v>6467</v>
      </c>
      <c r="CX122" s="1">
        <v>6623</v>
      </c>
      <c r="CY122" s="1">
        <v>6736</v>
      </c>
      <c r="CZ122" s="1">
        <v>6812</v>
      </c>
      <c r="DA122" s="1">
        <v>6866</v>
      </c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</row>
    <row r="123" spans="1:198" x14ac:dyDescent="0.4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6</v>
      </c>
      <c r="CC123">
        <v>6</v>
      </c>
      <c r="CD123">
        <v>6</v>
      </c>
      <c r="CE123">
        <v>8</v>
      </c>
      <c r="CF123">
        <v>8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9</v>
      </c>
      <c r="CM123">
        <v>9</v>
      </c>
      <c r="CN123">
        <v>9</v>
      </c>
      <c r="CO123">
        <v>9</v>
      </c>
      <c r="CP123">
        <v>9</v>
      </c>
      <c r="CQ123">
        <v>9</v>
      </c>
      <c r="CR123">
        <v>10</v>
      </c>
      <c r="CS123">
        <v>10</v>
      </c>
      <c r="CT123">
        <v>11</v>
      </c>
      <c r="CU123" s="1">
        <v>11</v>
      </c>
      <c r="CV123" s="1">
        <v>16</v>
      </c>
      <c r="CW123" s="1">
        <v>16</v>
      </c>
      <c r="CX123" s="1">
        <v>17</v>
      </c>
      <c r="CY123" s="1">
        <v>17</v>
      </c>
      <c r="CZ123" s="1">
        <v>18</v>
      </c>
      <c r="DA123" s="1">
        <v>18</v>
      </c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</row>
    <row r="124" spans="1:198" x14ac:dyDescent="0.4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  <c r="BS124">
        <v>43</v>
      </c>
      <c r="BT124">
        <v>49</v>
      </c>
      <c r="BU124">
        <v>50</v>
      </c>
      <c r="BV124">
        <v>53</v>
      </c>
      <c r="BW124">
        <v>63</v>
      </c>
      <c r="BX124">
        <v>68</v>
      </c>
      <c r="BY124">
        <v>73</v>
      </c>
      <c r="BZ124">
        <v>79</v>
      </c>
      <c r="CA124">
        <v>81</v>
      </c>
      <c r="CB124">
        <v>83</v>
      </c>
      <c r="CC124">
        <v>87</v>
      </c>
      <c r="CD124">
        <v>92</v>
      </c>
      <c r="CE124">
        <v>93</v>
      </c>
      <c r="CF124">
        <v>98</v>
      </c>
      <c r="CG124">
        <v>99</v>
      </c>
      <c r="CH124">
        <v>101</v>
      </c>
      <c r="CI124">
        <v>102</v>
      </c>
      <c r="CJ124">
        <v>105</v>
      </c>
      <c r="CK124">
        <v>108</v>
      </c>
      <c r="CL124">
        <v>110</v>
      </c>
      <c r="CM124">
        <v>113</v>
      </c>
      <c r="CN124">
        <v>116</v>
      </c>
      <c r="CO124">
        <v>121</v>
      </c>
      <c r="CP124">
        <v>121</v>
      </c>
      <c r="CQ124">
        <v>125</v>
      </c>
      <c r="CR124">
        <v>130</v>
      </c>
      <c r="CS124">
        <v>130</v>
      </c>
      <c r="CT124">
        <v>134</v>
      </c>
      <c r="CU124" s="1">
        <v>136</v>
      </c>
      <c r="CV124" s="1">
        <v>138</v>
      </c>
      <c r="CW124" s="1">
        <v>139</v>
      </c>
      <c r="CX124" s="1">
        <v>140</v>
      </c>
      <c r="CY124" s="1">
        <v>140</v>
      </c>
      <c r="CZ124" s="1">
        <v>143</v>
      </c>
      <c r="DA124" s="1">
        <v>144</v>
      </c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</row>
    <row r="125" spans="1:198" x14ac:dyDescent="0.4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2</v>
      </c>
      <c r="BY125">
        <v>2</v>
      </c>
      <c r="BZ125">
        <v>3</v>
      </c>
      <c r="CA125">
        <v>3</v>
      </c>
      <c r="CB125">
        <v>3</v>
      </c>
      <c r="CC125">
        <v>3</v>
      </c>
      <c r="CD125">
        <v>3</v>
      </c>
      <c r="CE125">
        <v>3</v>
      </c>
      <c r="CF125">
        <v>5</v>
      </c>
      <c r="CG125">
        <v>5</v>
      </c>
      <c r="CH125">
        <v>5</v>
      </c>
      <c r="CI125">
        <v>5</v>
      </c>
      <c r="CJ125">
        <v>5</v>
      </c>
      <c r="CK125">
        <v>7</v>
      </c>
      <c r="CL125">
        <v>7</v>
      </c>
      <c r="CM125">
        <v>7</v>
      </c>
      <c r="CN125">
        <v>7</v>
      </c>
      <c r="CO125">
        <v>7</v>
      </c>
      <c r="CP125">
        <v>8</v>
      </c>
      <c r="CQ125">
        <v>11</v>
      </c>
      <c r="CR125">
        <v>11</v>
      </c>
      <c r="CS125">
        <v>13</v>
      </c>
      <c r="CT125">
        <v>15</v>
      </c>
      <c r="CU125" s="1">
        <v>15</v>
      </c>
      <c r="CV125" s="1">
        <v>15</v>
      </c>
      <c r="CW125" s="1">
        <v>16</v>
      </c>
      <c r="CX125" s="1">
        <v>16</v>
      </c>
      <c r="CY125" s="1">
        <v>16</v>
      </c>
      <c r="CZ125" s="1">
        <v>17</v>
      </c>
      <c r="DA125" s="1">
        <v>17</v>
      </c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</row>
    <row r="126" spans="1:198" x14ac:dyDescent="0.4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1</v>
      </c>
      <c r="CJ126">
        <v>1</v>
      </c>
      <c r="CK126">
        <v>3</v>
      </c>
      <c r="CL126">
        <v>3</v>
      </c>
      <c r="CM126">
        <v>5</v>
      </c>
      <c r="CN126">
        <v>5</v>
      </c>
      <c r="CO126">
        <v>6</v>
      </c>
      <c r="CP126">
        <v>6</v>
      </c>
      <c r="CQ126">
        <v>6</v>
      </c>
      <c r="CR126">
        <v>6</v>
      </c>
      <c r="CS126">
        <v>7</v>
      </c>
      <c r="CT126">
        <v>7</v>
      </c>
      <c r="CU126" s="1">
        <v>7</v>
      </c>
      <c r="CV126" s="1">
        <v>7</v>
      </c>
      <c r="CW126" s="1">
        <v>7</v>
      </c>
      <c r="CX126" s="1">
        <v>7</v>
      </c>
      <c r="CY126" s="1">
        <v>7</v>
      </c>
      <c r="CZ126" s="1">
        <v>7</v>
      </c>
      <c r="DA126" s="1">
        <v>7</v>
      </c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</row>
    <row r="127" spans="1:198" x14ac:dyDescent="0.4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2</v>
      </c>
      <c r="BU127">
        <v>2</v>
      </c>
      <c r="BV127">
        <v>4</v>
      </c>
      <c r="BW127">
        <v>4</v>
      </c>
      <c r="BX127">
        <v>4</v>
      </c>
      <c r="BY127">
        <v>4</v>
      </c>
      <c r="BZ127">
        <v>4</v>
      </c>
      <c r="CA127">
        <v>5</v>
      </c>
      <c r="CB127">
        <v>6</v>
      </c>
      <c r="CC127">
        <v>6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  <c r="CM127">
        <v>7</v>
      </c>
      <c r="CN127">
        <v>7</v>
      </c>
      <c r="CO127">
        <v>7</v>
      </c>
      <c r="CP127">
        <v>7</v>
      </c>
      <c r="CQ127">
        <v>7</v>
      </c>
      <c r="CR127">
        <v>7</v>
      </c>
      <c r="CS127">
        <v>7</v>
      </c>
      <c r="CT127">
        <v>8</v>
      </c>
      <c r="CU127" s="1">
        <v>8</v>
      </c>
      <c r="CV127" s="1">
        <v>8</v>
      </c>
      <c r="CW127" s="1">
        <v>8</v>
      </c>
      <c r="CX127" s="1">
        <v>9</v>
      </c>
      <c r="CY127" s="1">
        <v>9</v>
      </c>
      <c r="CZ127" s="1">
        <v>9</v>
      </c>
      <c r="DA127" s="1">
        <v>9</v>
      </c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</row>
    <row r="128" spans="1:198" x14ac:dyDescent="0.4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1</v>
      </c>
      <c r="BZ128">
        <v>1</v>
      </c>
      <c r="CA128">
        <v>1</v>
      </c>
      <c r="CB128">
        <v>1</v>
      </c>
      <c r="CC128">
        <v>2</v>
      </c>
      <c r="CD128">
        <v>2</v>
      </c>
      <c r="CE128">
        <v>2</v>
      </c>
      <c r="CF128">
        <v>3</v>
      </c>
      <c r="CG128">
        <v>3</v>
      </c>
      <c r="CH128">
        <v>3</v>
      </c>
      <c r="CI128">
        <v>3</v>
      </c>
      <c r="CJ128">
        <v>3</v>
      </c>
      <c r="CK128">
        <v>3</v>
      </c>
      <c r="CL128">
        <v>3</v>
      </c>
      <c r="CM128">
        <v>3</v>
      </c>
      <c r="CN128">
        <v>3</v>
      </c>
      <c r="CO128">
        <v>3</v>
      </c>
      <c r="CP128">
        <v>4</v>
      </c>
      <c r="CQ128">
        <v>5</v>
      </c>
      <c r="CR128">
        <v>5</v>
      </c>
      <c r="CS128">
        <v>6</v>
      </c>
      <c r="CT128">
        <v>6</v>
      </c>
      <c r="CU128" s="1">
        <v>6</v>
      </c>
      <c r="CV128" s="1">
        <v>6</v>
      </c>
      <c r="CW128" s="1">
        <v>6</v>
      </c>
      <c r="CX128" s="1">
        <v>8</v>
      </c>
      <c r="CY128" s="1">
        <v>8</v>
      </c>
      <c r="CZ128" s="1">
        <v>8</v>
      </c>
      <c r="DA128" s="1">
        <v>9</v>
      </c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</row>
    <row r="129" spans="1:198" x14ac:dyDescent="0.4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 s="1">
        <v>0</v>
      </c>
      <c r="CV129" s="1">
        <v>0</v>
      </c>
      <c r="CW129" s="1">
        <v>0</v>
      </c>
      <c r="CX129" s="1">
        <v>0</v>
      </c>
      <c r="CY129" s="1">
        <v>0</v>
      </c>
      <c r="CZ129" s="1">
        <v>0</v>
      </c>
      <c r="DA129" s="1">
        <v>0</v>
      </c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</row>
    <row r="130" spans="1:198" x14ac:dyDescent="0.4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  <c r="BS130">
        <v>7</v>
      </c>
      <c r="BT130">
        <v>7</v>
      </c>
      <c r="BU130">
        <v>10</v>
      </c>
      <c r="BV130">
        <v>14</v>
      </c>
      <c r="BW130">
        <v>15</v>
      </c>
      <c r="BX130">
        <v>15</v>
      </c>
      <c r="BY130">
        <v>22</v>
      </c>
      <c r="BZ130">
        <v>22</v>
      </c>
      <c r="CA130">
        <v>22</v>
      </c>
      <c r="CB130">
        <v>22</v>
      </c>
      <c r="CC130">
        <v>23</v>
      </c>
      <c r="CD130">
        <v>23</v>
      </c>
      <c r="CE130">
        <v>24</v>
      </c>
      <c r="CF130">
        <v>25</v>
      </c>
      <c r="CG130">
        <v>25</v>
      </c>
      <c r="CH130">
        <v>26</v>
      </c>
      <c r="CI130">
        <v>31</v>
      </c>
      <c r="CJ130">
        <v>35</v>
      </c>
      <c r="CK130">
        <v>41</v>
      </c>
      <c r="CL130">
        <v>46</v>
      </c>
      <c r="CM130">
        <v>46</v>
      </c>
      <c r="CN130">
        <v>46</v>
      </c>
      <c r="CO130">
        <v>46</v>
      </c>
      <c r="CP130">
        <v>46</v>
      </c>
      <c r="CQ130">
        <v>47</v>
      </c>
      <c r="CR130">
        <v>55</v>
      </c>
      <c r="CS130">
        <v>59</v>
      </c>
      <c r="CT130">
        <v>59</v>
      </c>
      <c r="CU130" s="1">
        <v>61</v>
      </c>
      <c r="CV130" s="1">
        <v>64</v>
      </c>
      <c r="CW130" s="1">
        <v>66</v>
      </c>
      <c r="CX130" s="1">
        <v>71</v>
      </c>
      <c r="CY130" s="1">
        <v>75</v>
      </c>
      <c r="CZ130" s="1">
        <v>76</v>
      </c>
      <c r="DA130" s="1">
        <v>82</v>
      </c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</row>
    <row r="131" spans="1:198" x14ac:dyDescent="0.4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  <c r="BS131">
        <v>15</v>
      </c>
      <c r="BT131">
        <v>16</v>
      </c>
      <c r="BU131">
        <v>20</v>
      </c>
      <c r="BV131">
        <v>21</v>
      </c>
      <c r="BW131">
        <v>26</v>
      </c>
      <c r="BX131">
        <v>32</v>
      </c>
      <c r="BY131">
        <v>34</v>
      </c>
      <c r="BZ131">
        <v>38</v>
      </c>
      <c r="CA131">
        <v>47</v>
      </c>
      <c r="CB131">
        <v>58</v>
      </c>
      <c r="CC131">
        <v>66</v>
      </c>
      <c r="CD131">
        <v>77</v>
      </c>
      <c r="CE131">
        <v>85</v>
      </c>
      <c r="CF131">
        <v>99</v>
      </c>
      <c r="CG131">
        <v>109</v>
      </c>
      <c r="CH131">
        <v>122</v>
      </c>
      <c r="CI131">
        <v>134</v>
      </c>
      <c r="CJ131">
        <v>142</v>
      </c>
      <c r="CK131">
        <v>156</v>
      </c>
      <c r="CL131">
        <v>172</v>
      </c>
      <c r="CM131">
        <v>189</v>
      </c>
      <c r="CN131">
        <v>199</v>
      </c>
      <c r="CO131">
        <v>213</v>
      </c>
      <c r="CP131">
        <v>225</v>
      </c>
      <c r="CQ131">
        <v>239</v>
      </c>
      <c r="CR131">
        <v>262</v>
      </c>
      <c r="CS131">
        <v>262</v>
      </c>
      <c r="CT131">
        <v>272</v>
      </c>
      <c r="CU131" s="1">
        <v>280</v>
      </c>
      <c r="CV131" s="1">
        <v>291</v>
      </c>
      <c r="CW131" s="1">
        <v>300</v>
      </c>
      <c r="CX131" s="1">
        <v>312</v>
      </c>
      <c r="CY131" s="1">
        <v>323</v>
      </c>
      <c r="CZ131" s="1">
        <v>335</v>
      </c>
      <c r="DA131" s="1">
        <v>340</v>
      </c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</row>
    <row r="132" spans="1:198" x14ac:dyDescent="0.4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4</v>
      </c>
      <c r="BW132">
        <v>4</v>
      </c>
      <c r="BX132">
        <v>4</v>
      </c>
      <c r="BY132">
        <v>4</v>
      </c>
      <c r="BZ132">
        <v>6</v>
      </c>
      <c r="CA132">
        <v>6</v>
      </c>
      <c r="CB132">
        <v>6</v>
      </c>
      <c r="CC132">
        <v>6</v>
      </c>
      <c r="CD132">
        <v>7</v>
      </c>
      <c r="CE132">
        <v>8</v>
      </c>
      <c r="CF132">
        <v>8</v>
      </c>
      <c r="CG132">
        <v>8</v>
      </c>
      <c r="CH132">
        <v>8</v>
      </c>
      <c r="CI132">
        <v>8</v>
      </c>
      <c r="CJ132">
        <v>8</v>
      </c>
      <c r="CK132">
        <v>9</v>
      </c>
      <c r="CL132">
        <v>9</v>
      </c>
      <c r="CM132">
        <v>9</v>
      </c>
      <c r="CN132">
        <v>10</v>
      </c>
      <c r="CO132">
        <v>10</v>
      </c>
      <c r="CP132">
        <v>10</v>
      </c>
      <c r="CQ132">
        <v>10</v>
      </c>
      <c r="CR132">
        <v>10</v>
      </c>
      <c r="CS132">
        <v>10</v>
      </c>
      <c r="CT132">
        <v>10</v>
      </c>
      <c r="CU132" s="1">
        <v>10</v>
      </c>
      <c r="CV132" s="1">
        <v>10</v>
      </c>
      <c r="CW132" s="1">
        <v>10</v>
      </c>
      <c r="CX132" s="1">
        <v>10</v>
      </c>
      <c r="CY132" s="1">
        <v>10</v>
      </c>
      <c r="CZ132" s="1">
        <v>10</v>
      </c>
      <c r="DA132" s="1">
        <v>10</v>
      </c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</row>
    <row r="133" spans="1:198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  <c r="BS133">
        <v>32</v>
      </c>
      <c r="BT133">
        <v>35</v>
      </c>
      <c r="BU133">
        <v>58</v>
      </c>
      <c r="BV133">
        <v>72</v>
      </c>
      <c r="BW133">
        <v>72</v>
      </c>
      <c r="BX133">
        <v>86</v>
      </c>
      <c r="BY133">
        <v>99</v>
      </c>
      <c r="BZ133">
        <v>136</v>
      </c>
      <c r="CA133">
        <v>150</v>
      </c>
      <c r="CB133">
        <v>178</v>
      </c>
      <c r="CC133">
        <v>226</v>
      </c>
      <c r="CD133">
        <v>246</v>
      </c>
      <c r="CE133">
        <v>288</v>
      </c>
      <c r="CF133">
        <v>331</v>
      </c>
      <c r="CG133">
        <v>358</v>
      </c>
      <c r="CH133">
        <v>393</v>
      </c>
      <c r="CI133">
        <v>405</v>
      </c>
      <c r="CJ133">
        <v>448</v>
      </c>
      <c r="CK133">
        <v>486</v>
      </c>
      <c r="CL133">
        <v>521</v>
      </c>
      <c r="CM133">
        <v>559</v>
      </c>
      <c r="CN133">
        <v>592</v>
      </c>
      <c r="CO133">
        <v>645</v>
      </c>
      <c r="CP133">
        <v>681</v>
      </c>
      <c r="CQ133">
        <v>721</v>
      </c>
      <c r="CR133">
        <v>780</v>
      </c>
      <c r="CS133">
        <v>825</v>
      </c>
      <c r="CT133">
        <v>881</v>
      </c>
      <c r="CU133" s="1">
        <v>939</v>
      </c>
      <c r="CV133" s="1">
        <v>1008</v>
      </c>
      <c r="CW133" s="1">
        <v>1079</v>
      </c>
      <c r="CX133" s="1">
        <v>1154</v>
      </c>
      <c r="CY133" s="1">
        <v>1223</v>
      </c>
      <c r="CZ133" s="1">
        <v>1323</v>
      </c>
      <c r="DA133" s="1">
        <v>1391</v>
      </c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</row>
    <row r="134" spans="1:198" x14ac:dyDescent="0.4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  <c r="BS134">
        <v>122</v>
      </c>
      <c r="BT134">
        <v>136</v>
      </c>
      <c r="BU134">
        <v>157</v>
      </c>
      <c r="BV134">
        <v>170</v>
      </c>
      <c r="BW134">
        <v>181</v>
      </c>
      <c r="BX134">
        <v>191</v>
      </c>
      <c r="BY134">
        <v>198</v>
      </c>
      <c r="BZ134">
        <v>209</v>
      </c>
      <c r="CA134">
        <v>221</v>
      </c>
      <c r="CB134">
        <v>240</v>
      </c>
      <c r="CC134">
        <v>280</v>
      </c>
      <c r="CD134">
        <v>306</v>
      </c>
      <c r="CE134">
        <v>327</v>
      </c>
      <c r="CF134">
        <v>373</v>
      </c>
      <c r="CG134">
        <v>399</v>
      </c>
      <c r="CH134">
        <v>459</v>
      </c>
      <c r="CI134">
        <v>469</v>
      </c>
      <c r="CJ134">
        <v>496</v>
      </c>
      <c r="CK134">
        <v>520</v>
      </c>
      <c r="CL134">
        <v>535</v>
      </c>
      <c r="CM134">
        <v>582</v>
      </c>
      <c r="CN134">
        <v>590</v>
      </c>
      <c r="CO134">
        <v>616</v>
      </c>
      <c r="CP134">
        <v>635</v>
      </c>
      <c r="CQ134">
        <v>647</v>
      </c>
      <c r="CR134">
        <v>689</v>
      </c>
      <c r="CS134">
        <v>720</v>
      </c>
      <c r="CT134">
        <v>743</v>
      </c>
      <c r="CU134" s="1">
        <v>765</v>
      </c>
      <c r="CV134" s="1">
        <v>773</v>
      </c>
      <c r="CW134" s="1">
        <v>784</v>
      </c>
      <c r="CX134" s="1">
        <v>792</v>
      </c>
      <c r="CY134" s="1">
        <v>800</v>
      </c>
      <c r="CZ134" s="1">
        <v>831</v>
      </c>
      <c r="DA134" s="1">
        <v>845</v>
      </c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</row>
    <row r="135" spans="1:198" x14ac:dyDescent="0.4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  <c r="BS135">
        <v>2757</v>
      </c>
      <c r="BT135">
        <v>2898</v>
      </c>
      <c r="BU135">
        <v>3036</v>
      </c>
      <c r="BV135">
        <v>3160</v>
      </c>
      <c r="BW135">
        <v>3294</v>
      </c>
      <c r="BX135">
        <v>3452</v>
      </c>
      <c r="BY135">
        <v>3603</v>
      </c>
      <c r="BZ135">
        <v>3739</v>
      </c>
      <c r="CA135">
        <v>3872</v>
      </c>
      <c r="CB135">
        <v>3993</v>
      </c>
      <c r="CC135">
        <v>4110</v>
      </c>
      <c r="CD135">
        <v>4232</v>
      </c>
      <c r="CE135">
        <v>4357</v>
      </c>
      <c r="CF135">
        <v>4474</v>
      </c>
      <c r="CG135">
        <v>4585</v>
      </c>
      <c r="CH135">
        <v>4683</v>
      </c>
      <c r="CI135">
        <v>4777</v>
      </c>
      <c r="CJ135">
        <v>4869</v>
      </c>
      <c r="CK135">
        <v>4958</v>
      </c>
      <c r="CL135">
        <v>5031</v>
      </c>
      <c r="CM135">
        <v>5118</v>
      </c>
      <c r="CN135">
        <v>5209</v>
      </c>
      <c r="CO135">
        <v>5297</v>
      </c>
      <c r="CP135">
        <v>5391</v>
      </c>
      <c r="CQ135">
        <v>5481</v>
      </c>
      <c r="CR135">
        <v>5574</v>
      </c>
      <c r="CS135">
        <v>5650</v>
      </c>
      <c r="CT135">
        <v>5710</v>
      </c>
      <c r="CU135" s="1">
        <v>5806</v>
      </c>
      <c r="CV135" s="1">
        <v>5877</v>
      </c>
      <c r="CW135" s="1">
        <v>5957</v>
      </c>
      <c r="CX135" s="1">
        <v>6028</v>
      </c>
      <c r="CY135" s="1">
        <v>6091</v>
      </c>
      <c r="CZ135" s="1">
        <v>6156</v>
      </c>
      <c r="DA135" s="1">
        <v>6203</v>
      </c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</row>
    <row r="136" spans="1:198" x14ac:dyDescent="0.4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  <c r="BS136">
        <v>46</v>
      </c>
      <c r="BT136">
        <v>50</v>
      </c>
      <c r="BU136">
        <v>52</v>
      </c>
      <c r="BV136">
        <v>54</v>
      </c>
      <c r="BW136">
        <v>54</v>
      </c>
      <c r="BX136">
        <v>56</v>
      </c>
      <c r="BY136">
        <v>61</v>
      </c>
      <c r="BZ136">
        <v>64</v>
      </c>
      <c r="CA136">
        <v>65</v>
      </c>
      <c r="CB136">
        <v>69</v>
      </c>
      <c r="CC136">
        <v>69</v>
      </c>
      <c r="CD136">
        <v>70</v>
      </c>
      <c r="CE136">
        <v>72</v>
      </c>
      <c r="CF136">
        <v>76</v>
      </c>
      <c r="CG136">
        <v>78</v>
      </c>
      <c r="CH136">
        <v>78</v>
      </c>
      <c r="CI136">
        <v>79</v>
      </c>
      <c r="CJ136">
        <v>80</v>
      </c>
      <c r="CK136">
        <v>81</v>
      </c>
      <c r="CL136">
        <v>82</v>
      </c>
      <c r="CM136">
        <v>82</v>
      </c>
      <c r="CN136">
        <v>82</v>
      </c>
      <c r="CO136">
        <v>83</v>
      </c>
      <c r="CP136">
        <v>83</v>
      </c>
      <c r="CQ136">
        <v>83</v>
      </c>
      <c r="CR136">
        <v>86</v>
      </c>
      <c r="CS136">
        <v>86</v>
      </c>
      <c r="CT136">
        <v>87</v>
      </c>
      <c r="CU136" s="1">
        <v>88</v>
      </c>
      <c r="CV136" s="1">
        <v>90</v>
      </c>
      <c r="CW136" s="1">
        <v>92</v>
      </c>
      <c r="CX136" s="1">
        <v>93</v>
      </c>
      <c r="CY136" s="1">
        <v>94</v>
      </c>
      <c r="CZ136" s="1">
        <v>95</v>
      </c>
      <c r="DA136" s="1">
        <v>97</v>
      </c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</row>
    <row r="137" spans="1:198" x14ac:dyDescent="0.4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  <c r="BS137">
        <v>54</v>
      </c>
      <c r="BT137">
        <v>71</v>
      </c>
      <c r="BU137">
        <v>85</v>
      </c>
      <c r="BV137">
        <v>98</v>
      </c>
      <c r="BW137">
        <v>120</v>
      </c>
      <c r="BX137">
        <v>137</v>
      </c>
      <c r="BY137">
        <v>158</v>
      </c>
      <c r="BZ137">
        <v>174</v>
      </c>
      <c r="CA137">
        <v>210</v>
      </c>
      <c r="CB137">
        <v>235</v>
      </c>
      <c r="CC137">
        <v>263</v>
      </c>
      <c r="CD137">
        <v>287</v>
      </c>
      <c r="CE137">
        <v>320</v>
      </c>
      <c r="CF137">
        <v>334</v>
      </c>
      <c r="CG137">
        <v>365</v>
      </c>
      <c r="CH137">
        <v>406</v>
      </c>
      <c r="CI137">
        <v>444</v>
      </c>
      <c r="CJ137">
        <v>486</v>
      </c>
      <c r="CK137">
        <v>530</v>
      </c>
      <c r="CL137">
        <v>571</v>
      </c>
      <c r="CM137">
        <v>610</v>
      </c>
      <c r="CN137">
        <v>687</v>
      </c>
      <c r="CO137">
        <v>730</v>
      </c>
      <c r="CP137">
        <v>769</v>
      </c>
      <c r="CQ137">
        <v>794</v>
      </c>
      <c r="CR137">
        <v>1014</v>
      </c>
      <c r="CS137">
        <v>1063</v>
      </c>
      <c r="CT137">
        <v>1087</v>
      </c>
      <c r="CU137" s="1">
        <v>1102</v>
      </c>
      <c r="CV137" s="1">
        <v>1159</v>
      </c>
      <c r="CW137" s="1">
        <v>1190</v>
      </c>
      <c r="CX137" s="1">
        <v>1232</v>
      </c>
      <c r="CY137" s="1">
        <v>1265</v>
      </c>
      <c r="CZ137" s="1">
        <v>1286</v>
      </c>
      <c r="DA137" s="1">
        <v>1303</v>
      </c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</row>
    <row r="138" spans="1:198" x14ac:dyDescent="0.4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  <c r="BS138">
        <v>16</v>
      </c>
      <c r="BT138">
        <v>20</v>
      </c>
      <c r="BU138">
        <v>26</v>
      </c>
      <c r="BV138">
        <v>36</v>
      </c>
      <c r="BW138">
        <v>40</v>
      </c>
      <c r="BX138">
        <v>44</v>
      </c>
      <c r="BY138">
        <v>49</v>
      </c>
      <c r="BZ138">
        <v>57</v>
      </c>
      <c r="CA138">
        <v>65</v>
      </c>
      <c r="CB138">
        <v>73</v>
      </c>
      <c r="CC138">
        <v>86</v>
      </c>
      <c r="CD138">
        <v>95</v>
      </c>
      <c r="CE138">
        <v>101</v>
      </c>
      <c r="CF138">
        <v>103</v>
      </c>
      <c r="CG138">
        <v>116</v>
      </c>
      <c r="CH138">
        <v>123</v>
      </c>
      <c r="CI138">
        <v>130</v>
      </c>
      <c r="CJ138">
        <v>142</v>
      </c>
      <c r="CK138">
        <v>151</v>
      </c>
      <c r="CL138">
        <v>164</v>
      </c>
      <c r="CM138">
        <v>172</v>
      </c>
      <c r="CN138">
        <v>177</v>
      </c>
      <c r="CO138">
        <v>184</v>
      </c>
      <c r="CP138">
        <v>189</v>
      </c>
      <c r="CQ138">
        <v>192</v>
      </c>
      <c r="CR138">
        <v>194</v>
      </c>
      <c r="CS138">
        <v>199</v>
      </c>
      <c r="CT138">
        <v>201</v>
      </c>
      <c r="CU138" s="1">
        <v>204</v>
      </c>
      <c r="CV138" s="1">
        <v>210</v>
      </c>
      <c r="CW138" s="1">
        <v>215</v>
      </c>
      <c r="CX138" s="1">
        <v>222</v>
      </c>
      <c r="CY138" s="1">
        <v>225</v>
      </c>
      <c r="CZ138" s="1">
        <v>229</v>
      </c>
      <c r="DA138" s="1">
        <v>232</v>
      </c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</row>
    <row r="139" spans="1:198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  <c r="BS139">
        <v>11591</v>
      </c>
      <c r="BT139">
        <v>12428</v>
      </c>
      <c r="BU139">
        <v>13155</v>
      </c>
      <c r="BV139">
        <v>13915</v>
      </c>
      <c r="BW139">
        <v>14681</v>
      </c>
      <c r="BX139">
        <v>15362</v>
      </c>
      <c r="BY139">
        <v>15887</v>
      </c>
      <c r="BZ139">
        <v>16523</v>
      </c>
      <c r="CA139">
        <v>17127</v>
      </c>
      <c r="CB139">
        <v>17669</v>
      </c>
      <c r="CC139">
        <v>18279</v>
      </c>
      <c r="CD139">
        <v>18849</v>
      </c>
      <c r="CE139">
        <v>19468</v>
      </c>
      <c r="CF139">
        <v>19899</v>
      </c>
      <c r="CG139">
        <v>20465</v>
      </c>
      <c r="CH139">
        <v>21067</v>
      </c>
      <c r="CI139">
        <v>21645</v>
      </c>
      <c r="CJ139">
        <v>22170</v>
      </c>
      <c r="CK139">
        <v>22745</v>
      </c>
      <c r="CL139">
        <v>23227</v>
      </c>
      <c r="CM139">
        <v>23660</v>
      </c>
      <c r="CN139">
        <v>24114</v>
      </c>
      <c r="CO139">
        <v>24648</v>
      </c>
      <c r="CP139">
        <v>25085</v>
      </c>
      <c r="CQ139">
        <v>25549</v>
      </c>
      <c r="CR139">
        <v>25969</v>
      </c>
      <c r="CS139">
        <v>26384</v>
      </c>
      <c r="CT139">
        <v>26644</v>
      </c>
      <c r="CU139" s="1">
        <v>26977</v>
      </c>
      <c r="CV139" s="1">
        <v>27359</v>
      </c>
      <c r="CW139" s="1">
        <v>27682</v>
      </c>
      <c r="CX139" s="1">
        <v>27967</v>
      </c>
      <c r="CY139" s="1">
        <v>28236</v>
      </c>
      <c r="CZ139" s="1">
        <v>28710</v>
      </c>
      <c r="DA139" s="1">
        <v>28884</v>
      </c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</row>
    <row r="140" spans="1:198" x14ac:dyDescent="0.4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3</v>
      </c>
      <c r="BV140">
        <v>3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4</v>
      </c>
      <c r="CC140">
        <v>4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5</v>
      </c>
      <c r="CJ140">
        <v>5</v>
      </c>
      <c r="CK140">
        <v>5</v>
      </c>
      <c r="CL140">
        <v>5</v>
      </c>
      <c r="CM140">
        <v>5</v>
      </c>
      <c r="CN140">
        <v>5</v>
      </c>
      <c r="CO140">
        <v>6</v>
      </c>
      <c r="CP140">
        <v>6</v>
      </c>
      <c r="CQ140">
        <v>6</v>
      </c>
      <c r="CR140">
        <v>7</v>
      </c>
      <c r="CS140">
        <v>7</v>
      </c>
      <c r="CT140">
        <v>7</v>
      </c>
      <c r="CU140" s="1">
        <v>7</v>
      </c>
      <c r="CV140" s="1">
        <v>7</v>
      </c>
      <c r="CW140" s="1">
        <v>7</v>
      </c>
      <c r="CX140" s="1">
        <v>8</v>
      </c>
      <c r="CY140" s="1">
        <v>8</v>
      </c>
      <c r="CZ140" s="1">
        <v>8</v>
      </c>
      <c r="DA140" s="1">
        <v>9</v>
      </c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</row>
    <row r="141" spans="1:198" x14ac:dyDescent="0.4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  <c r="BS141">
        <v>54</v>
      </c>
      <c r="BT141">
        <v>56</v>
      </c>
      <c r="BU141">
        <v>57</v>
      </c>
      <c r="BV141">
        <v>62</v>
      </c>
      <c r="BW141">
        <v>63</v>
      </c>
      <c r="BX141">
        <v>77</v>
      </c>
      <c r="BY141">
        <v>77</v>
      </c>
      <c r="BZ141">
        <v>85</v>
      </c>
      <c r="CA141">
        <v>92</v>
      </c>
      <c r="CB141">
        <v>93</v>
      </c>
      <c r="CC141">
        <v>94</v>
      </c>
      <c r="CD141">
        <v>99</v>
      </c>
      <c r="CE141">
        <v>99</v>
      </c>
      <c r="CF141">
        <v>108</v>
      </c>
      <c r="CG141">
        <v>123</v>
      </c>
      <c r="CH141">
        <v>143</v>
      </c>
      <c r="CI141">
        <v>146</v>
      </c>
      <c r="CJ141">
        <v>178</v>
      </c>
      <c r="CK141">
        <v>190</v>
      </c>
      <c r="CL141">
        <v>222</v>
      </c>
      <c r="CM141">
        <v>236</v>
      </c>
      <c r="CN141">
        <v>236</v>
      </c>
      <c r="CO141">
        <v>263</v>
      </c>
      <c r="CP141">
        <v>281</v>
      </c>
      <c r="CQ141">
        <v>328</v>
      </c>
      <c r="CR141">
        <v>345</v>
      </c>
      <c r="CS141">
        <v>360</v>
      </c>
      <c r="CT141">
        <v>372</v>
      </c>
      <c r="CU141" s="1">
        <v>385</v>
      </c>
      <c r="CV141" s="1">
        <v>394</v>
      </c>
      <c r="CW141" s="1">
        <v>413</v>
      </c>
      <c r="CX141" s="1">
        <v>430</v>
      </c>
      <c r="CY141" s="1">
        <v>455</v>
      </c>
      <c r="CZ141" s="1">
        <v>474</v>
      </c>
      <c r="DA141" s="1">
        <v>487</v>
      </c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</row>
    <row r="142" spans="1:198" x14ac:dyDescent="0.4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  <c r="BS142">
        <v>5</v>
      </c>
      <c r="BT142">
        <v>5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6</v>
      </c>
      <c r="CA142">
        <v>6</v>
      </c>
      <c r="CB142">
        <v>6</v>
      </c>
      <c r="CC142">
        <v>7</v>
      </c>
      <c r="CD142">
        <v>7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  <c r="CN142">
        <v>7</v>
      </c>
      <c r="CO142">
        <v>7</v>
      </c>
      <c r="CP142">
        <v>7</v>
      </c>
      <c r="CQ142">
        <v>7</v>
      </c>
      <c r="CR142">
        <v>7</v>
      </c>
      <c r="CS142">
        <v>7</v>
      </c>
      <c r="CT142">
        <v>7</v>
      </c>
      <c r="CU142" s="1">
        <v>7</v>
      </c>
      <c r="CV142" s="1">
        <v>8</v>
      </c>
      <c r="CW142" s="1">
        <v>8</v>
      </c>
      <c r="CX142" s="1">
        <v>8</v>
      </c>
      <c r="CY142" s="1">
        <v>8</v>
      </c>
      <c r="CZ142" s="1">
        <v>9</v>
      </c>
      <c r="DA142" s="1">
        <v>9</v>
      </c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</row>
    <row r="143" spans="1:198" x14ac:dyDescent="0.4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  <c r="BS143">
        <v>1</v>
      </c>
      <c r="BT143">
        <v>2</v>
      </c>
      <c r="BU143">
        <v>3</v>
      </c>
      <c r="BV143">
        <v>3</v>
      </c>
      <c r="BW143">
        <v>6</v>
      </c>
      <c r="BX143">
        <v>5</v>
      </c>
      <c r="BY143">
        <v>6</v>
      </c>
      <c r="BZ143">
        <v>6</v>
      </c>
      <c r="CA143">
        <v>6</v>
      </c>
      <c r="CB143">
        <v>7</v>
      </c>
      <c r="CC143">
        <v>8</v>
      </c>
      <c r="CD143">
        <v>10</v>
      </c>
      <c r="CE143">
        <v>10</v>
      </c>
      <c r="CF143">
        <v>10</v>
      </c>
      <c r="CG143">
        <v>12</v>
      </c>
      <c r="CH143">
        <v>14</v>
      </c>
      <c r="CI143">
        <v>16</v>
      </c>
      <c r="CJ143">
        <v>17</v>
      </c>
      <c r="CK143">
        <v>17</v>
      </c>
      <c r="CL143">
        <v>17</v>
      </c>
      <c r="CM143">
        <v>17</v>
      </c>
      <c r="CN143">
        <v>19</v>
      </c>
      <c r="CO143">
        <v>19</v>
      </c>
      <c r="CP143">
        <v>19</v>
      </c>
      <c r="CQ143">
        <v>20</v>
      </c>
      <c r="CR143">
        <v>25</v>
      </c>
      <c r="CS143">
        <v>25</v>
      </c>
      <c r="CT143">
        <v>25</v>
      </c>
      <c r="CU143" s="1">
        <v>25</v>
      </c>
      <c r="CV143" s="1">
        <v>25</v>
      </c>
      <c r="CW143" s="1">
        <v>25</v>
      </c>
      <c r="CX143" s="1">
        <v>25</v>
      </c>
      <c r="CY143" s="1">
        <v>25</v>
      </c>
      <c r="CZ143" s="1">
        <v>25</v>
      </c>
      <c r="DA143" s="1">
        <v>27</v>
      </c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</row>
    <row r="144" spans="1:198" x14ac:dyDescent="0.4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3</v>
      </c>
      <c r="BW144">
        <v>4</v>
      </c>
      <c r="BX144">
        <v>4</v>
      </c>
      <c r="BY144">
        <v>4</v>
      </c>
      <c r="BZ144">
        <v>6</v>
      </c>
      <c r="CA144">
        <v>6</v>
      </c>
      <c r="CB144">
        <v>6</v>
      </c>
      <c r="CC144">
        <v>7</v>
      </c>
      <c r="CD144">
        <v>7</v>
      </c>
      <c r="CE144">
        <v>7</v>
      </c>
      <c r="CF144">
        <v>8</v>
      </c>
      <c r="CG144">
        <v>9</v>
      </c>
      <c r="CH144">
        <v>9</v>
      </c>
      <c r="CI144">
        <v>10</v>
      </c>
      <c r="CJ144">
        <v>11</v>
      </c>
      <c r="CK144">
        <v>11</v>
      </c>
      <c r="CL144">
        <v>12</v>
      </c>
      <c r="CM144">
        <v>14</v>
      </c>
      <c r="CN144">
        <v>14</v>
      </c>
      <c r="CO144">
        <v>14</v>
      </c>
      <c r="CP144">
        <v>14</v>
      </c>
      <c r="CQ144">
        <v>14</v>
      </c>
      <c r="CR144">
        <v>14</v>
      </c>
      <c r="CS144">
        <v>14</v>
      </c>
      <c r="CT144">
        <v>14</v>
      </c>
      <c r="CU144" s="1">
        <v>14</v>
      </c>
      <c r="CV144" s="1">
        <v>14</v>
      </c>
      <c r="CW144" s="1">
        <v>15</v>
      </c>
      <c r="CX144" s="1">
        <v>17</v>
      </c>
      <c r="CY144" s="1">
        <v>21</v>
      </c>
      <c r="CZ144" s="1">
        <v>22</v>
      </c>
      <c r="DA144" s="1">
        <v>24</v>
      </c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</row>
    <row r="145" spans="1:198" x14ac:dyDescent="0.4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  <c r="BS145">
        <v>158</v>
      </c>
      <c r="BT145">
        <v>162</v>
      </c>
      <c r="BU145">
        <v>165</v>
      </c>
      <c r="BV145">
        <v>169</v>
      </c>
      <c r="BW145">
        <v>174</v>
      </c>
      <c r="BX145">
        <v>177</v>
      </c>
      <c r="BY145">
        <v>183</v>
      </c>
      <c r="BZ145">
        <v>186</v>
      </c>
      <c r="CA145">
        <v>192</v>
      </c>
      <c r="CB145">
        <v>200</v>
      </c>
      <c r="CC145">
        <v>204</v>
      </c>
      <c r="CD145">
        <v>208</v>
      </c>
      <c r="CE145">
        <v>211</v>
      </c>
      <c r="CF145">
        <v>214</v>
      </c>
      <c r="CG145">
        <v>217</v>
      </c>
      <c r="CH145">
        <v>222</v>
      </c>
      <c r="CI145">
        <v>225</v>
      </c>
      <c r="CJ145">
        <v>229</v>
      </c>
      <c r="CK145">
        <v>230</v>
      </c>
      <c r="CL145">
        <v>232</v>
      </c>
      <c r="CM145">
        <v>234</v>
      </c>
      <c r="CN145">
        <v>236</v>
      </c>
      <c r="CO145">
        <v>237</v>
      </c>
      <c r="CP145">
        <v>238</v>
      </c>
      <c r="CQ145">
        <v>240</v>
      </c>
      <c r="CR145">
        <v>240</v>
      </c>
      <c r="CS145">
        <v>242</v>
      </c>
      <c r="CT145">
        <v>243</v>
      </c>
      <c r="CU145" s="1">
        <v>244</v>
      </c>
      <c r="CV145" s="1">
        <v>246</v>
      </c>
      <c r="CW145" s="1">
        <v>247</v>
      </c>
      <c r="CX145" s="1">
        <v>248</v>
      </c>
      <c r="CY145" s="1">
        <v>250</v>
      </c>
      <c r="CZ145" s="1">
        <v>250</v>
      </c>
      <c r="DA145" s="1">
        <v>252</v>
      </c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</row>
    <row r="146" spans="1:198" x14ac:dyDescent="0.4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1</v>
      </c>
      <c r="BY146">
        <v>1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2</v>
      </c>
      <c r="CH146">
        <v>3</v>
      </c>
      <c r="CI146">
        <v>3</v>
      </c>
      <c r="CJ146">
        <v>3</v>
      </c>
      <c r="CK146">
        <v>5</v>
      </c>
      <c r="CL146">
        <v>6</v>
      </c>
      <c r="CM146">
        <v>7</v>
      </c>
      <c r="CN146">
        <v>9</v>
      </c>
      <c r="CO146">
        <v>11</v>
      </c>
      <c r="CP146">
        <v>13</v>
      </c>
      <c r="CQ146">
        <v>14</v>
      </c>
      <c r="CR146">
        <v>15</v>
      </c>
      <c r="CS146">
        <v>19</v>
      </c>
      <c r="CT146">
        <v>20</v>
      </c>
      <c r="CU146" s="1">
        <v>22</v>
      </c>
      <c r="CV146" s="1">
        <v>23</v>
      </c>
      <c r="CW146" s="1">
        <v>24</v>
      </c>
      <c r="CX146" s="1">
        <v>26</v>
      </c>
      <c r="CY146" s="1">
        <v>30</v>
      </c>
      <c r="CZ146" s="1">
        <v>33</v>
      </c>
      <c r="DA146" s="1">
        <v>38</v>
      </c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</row>
    <row r="147" spans="1:198" x14ac:dyDescent="0.4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1</v>
      </c>
      <c r="BX147">
        <v>1</v>
      </c>
      <c r="BY147">
        <v>1</v>
      </c>
      <c r="BZ147">
        <v>4</v>
      </c>
      <c r="CA147">
        <v>4</v>
      </c>
      <c r="CB147">
        <v>4</v>
      </c>
      <c r="CC147">
        <v>4</v>
      </c>
      <c r="CD147">
        <v>5</v>
      </c>
      <c r="CE147">
        <v>5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7</v>
      </c>
      <c r="CO147">
        <v>7</v>
      </c>
      <c r="CP147">
        <v>7</v>
      </c>
      <c r="CQ147">
        <v>8</v>
      </c>
      <c r="CR147">
        <v>8</v>
      </c>
      <c r="CS147">
        <v>8</v>
      </c>
      <c r="CT147">
        <v>8</v>
      </c>
      <c r="CU147" s="1">
        <v>8</v>
      </c>
      <c r="CV147" s="1">
        <v>8</v>
      </c>
      <c r="CW147" s="1">
        <v>8</v>
      </c>
      <c r="CX147" s="1">
        <v>8</v>
      </c>
      <c r="CY147" s="1">
        <v>8</v>
      </c>
      <c r="CZ147" s="1">
        <v>8</v>
      </c>
      <c r="DA147" s="1">
        <v>10</v>
      </c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</row>
    <row r="148" spans="1:198" x14ac:dyDescent="0.4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1</v>
      </c>
      <c r="BX148">
        <v>1</v>
      </c>
      <c r="BY148">
        <v>1</v>
      </c>
      <c r="BZ148">
        <v>1</v>
      </c>
      <c r="CA148">
        <v>2</v>
      </c>
      <c r="CB148">
        <v>2</v>
      </c>
      <c r="CC148">
        <v>3</v>
      </c>
      <c r="CD148">
        <v>3</v>
      </c>
      <c r="CE148">
        <v>3</v>
      </c>
      <c r="CF148">
        <v>5</v>
      </c>
      <c r="CG148">
        <v>5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  <c r="CN148">
        <v>5</v>
      </c>
      <c r="CO148">
        <v>9</v>
      </c>
      <c r="CP148">
        <v>11</v>
      </c>
      <c r="CQ148">
        <v>11</v>
      </c>
      <c r="CR148">
        <v>12</v>
      </c>
      <c r="CS148">
        <v>12</v>
      </c>
      <c r="CT148">
        <v>12</v>
      </c>
      <c r="CU148" s="1">
        <v>13</v>
      </c>
      <c r="CV148" s="1">
        <v>13</v>
      </c>
      <c r="CW148" s="1">
        <v>15</v>
      </c>
      <c r="CX148" s="1">
        <v>15</v>
      </c>
      <c r="CY148" s="1">
        <v>16</v>
      </c>
      <c r="CZ148" s="1">
        <v>16</v>
      </c>
      <c r="DA148" s="1">
        <v>16</v>
      </c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</row>
    <row r="149" spans="1:198" x14ac:dyDescent="0.4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  <c r="BS149">
        <v>11</v>
      </c>
      <c r="BT149">
        <v>12</v>
      </c>
      <c r="BU149">
        <v>14</v>
      </c>
      <c r="BV149">
        <v>16</v>
      </c>
      <c r="BW149">
        <v>17</v>
      </c>
      <c r="BX149">
        <v>17</v>
      </c>
      <c r="BY149">
        <v>18</v>
      </c>
      <c r="BZ149">
        <v>19</v>
      </c>
      <c r="CA149">
        <v>19</v>
      </c>
      <c r="CB149">
        <v>19</v>
      </c>
      <c r="CC149">
        <v>19</v>
      </c>
      <c r="CD149">
        <v>20</v>
      </c>
      <c r="CE149">
        <v>20</v>
      </c>
      <c r="CF149">
        <v>20</v>
      </c>
      <c r="CG149">
        <v>20</v>
      </c>
      <c r="CH149">
        <v>21</v>
      </c>
      <c r="CI149">
        <v>21</v>
      </c>
      <c r="CJ149">
        <v>21</v>
      </c>
      <c r="CK149">
        <v>21</v>
      </c>
      <c r="CL149">
        <v>21</v>
      </c>
      <c r="CM149">
        <v>21</v>
      </c>
      <c r="CN149">
        <v>21</v>
      </c>
      <c r="CO149">
        <v>21</v>
      </c>
      <c r="CP149">
        <v>22</v>
      </c>
      <c r="CQ149">
        <v>22</v>
      </c>
      <c r="CR149">
        <v>22</v>
      </c>
      <c r="CS149">
        <v>24</v>
      </c>
      <c r="CT149">
        <v>24</v>
      </c>
      <c r="CU149" s="1">
        <v>24</v>
      </c>
      <c r="CV149" s="1">
        <v>24</v>
      </c>
      <c r="CW149" s="1">
        <v>24</v>
      </c>
      <c r="CX149" s="1">
        <v>24</v>
      </c>
      <c r="CY149" s="1">
        <v>24</v>
      </c>
      <c r="CZ149" s="1">
        <v>25</v>
      </c>
      <c r="DA149" s="1">
        <v>25</v>
      </c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</row>
    <row r="150" spans="1:198" x14ac:dyDescent="0.4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1</v>
      </c>
      <c r="BY150">
        <v>3</v>
      </c>
      <c r="BZ150">
        <v>3</v>
      </c>
      <c r="CA150">
        <v>3</v>
      </c>
      <c r="CB150">
        <v>4</v>
      </c>
      <c r="CC150">
        <v>4</v>
      </c>
      <c r="CD150">
        <v>5</v>
      </c>
      <c r="CE150">
        <v>5</v>
      </c>
      <c r="CF150">
        <v>5</v>
      </c>
      <c r="CG150">
        <v>6</v>
      </c>
      <c r="CH150">
        <v>6</v>
      </c>
      <c r="CI150">
        <v>6</v>
      </c>
      <c r="CJ150">
        <v>6</v>
      </c>
      <c r="CK150">
        <v>7</v>
      </c>
      <c r="CL150">
        <v>7</v>
      </c>
      <c r="CM150">
        <v>8</v>
      </c>
      <c r="CN150">
        <v>8</v>
      </c>
      <c r="CO150">
        <v>8</v>
      </c>
      <c r="CP150">
        <v>8</v>
      </c>
      <c r="CQ150">
        <v>8</v>
      </c>
      <c r="CR150">
        <v>8</v>
      </c>
      <c r="CS150">
        <v>11</v>
      </c>
      <c r="CT150">
        <v>12</v>
      </c>
      <c r="CU150" s="1">
        <v>12</v>
      </c>
      <c r="CV150" s="1">
        <v>16</v>
      </c>
      <c r="CW150" s="1">
        <v>16</v>
      </c>
      <c r="CX150" s="1">
        <v>16</v>
      </c>
      <c r="CY150" s="1">
        <v>18</v>
      </c>
      <c r="CZ150" s="1">
        <v>18</v>
      </c>
      <c r="DA150" s="1">
        <v>18</v>
      </c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</row>
    <row r="151" spans="1:198" x14ac:dyDescent="0.4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1</v>
      </c>
      <c r="BY151">
        <v>1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  <c r="CS151">
        <v>1</v>
      </c>
      <c r="CT151">
        <v>1</v>
      </c>
      <c r="CU151" s="1">
        <v>1</v>
      </c>
      <c r="CV151" s="1">
        <v>1</v>
      </c>
      <c r="CW151" s="1">
        <v>1</v>
      </c>
      <c r="CX151" s="1">
        <v>1</v>
      </c>
      <c r="CY151" s="1">
        <v>1</v>
      </c>
      <c r="CZ151" s="1">
        <v>1</v>
      </c>
      <c r="DA151" s="1">
        <v>1</v>
      </c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</row>
    <row r="152" spans="1:198" x14ac:dyDescent="0.4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  <c r="BS152">
        <v>7</v>
      </c>
      <c r="BT152">
        <v>8</v>
      </c>
      <c r="BU152">
        <v>8</v>
      </c>
      <c r="BV152">
        <v>9</v>
      </c>
      <c r="BW152">
        <v>9</v>
      </c>
      <c r="BX152">
        <v>11</v>
      </c>
      <c r="BY152">
        <v>13</v>
      </c>
      <c r="BZ152">
        <v>15</v>
      </c>
      <c r="CA152">
        <v>15</v>
      </c>
      <c r="CB152">
        <v>15</v>
      </c>
      <c r="CC152">
        <v>16</v>
      </c>
      <c r="CD152">
        <v>22</v>
      </c>
      <c r="CE152">
        <v>23</v>
      </c>
      <c r="CF152">
        <v>23</v>
      </c>
      <c r="CG152">
        <v>24</v>
      </c>
      <c r="CH152">
        <v>29</v>
      </c>
      <c r="CI152">
        <v>30</v>
      </c>
      <c r="CJ152">
        <v>32</v>
      </c>
      <c r="CK152">
        <v>33</v>
      </c>
      <c r="CL152">
        <v>33</v>
      </c>
      <c r="CM152">
        <v>35</v>
      </c>
      <c r="CN152">
        <v>37</v>
      </c>
      <c r="CO152">
        <v>38</v>
      </c>
      <c r="CP152">
        <v>38</v>
      </c>
      <c r="CQ152">
        <v>40</v>
      </c>
      <c r="CR152">
        <v>40</v>
      </c>
      <c r="CS152">
        <v>41</v>
      </c>
      <c r="CT152">
        <v>41</v>
      </c>
      <c r="CU152" s="1">
        <v>41</v>
      </c>
      <c r="CV152" s="1">
        <v>44</v>
      </c>
      <c r="CW152" s="1">
        <v>45</v>
      </c>
      <c r="CX152" s="1">
        <v>45</v>
      </c>
      <c r="CY152" s="1">
        <v>45</v>
      </c>
      <c r="CZ152" s="1">
        <v>46</v>
      </c>
      <c r="DA152" s="1">
        <v>46</v>
      </c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</row>
    <row r="153" spans="1:198" x14ac:dyDescent="0.4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  <c r="BS153">
        <v>22</v>
      </c>
      <c r="BT153">
        <v>23</v>
      </c>
      <c r="BU153">
        <v>29</v>
      </c>
      <c r="BV153">
        <v>30</v>
      </c>
      <c r="BW153">
        <v>31</v>
      </c>
      <c r="BX153">
        <v>31</v>
      </c>
      <c r="BY153">
        <v>36</v>
      </c>
      <c r="BZ153">
        <v>41</v>
      </c>
      <c r="CA153">
        <v>44</v>
      </c>
      <c r="CB153">
        <v>46</v>
      </c>
      <c r="CC153">
        <v>52</v>
      </c>
      <c r="CD153">
        <v>54</v>
      </c>
      <c r="CE153">
        <v>62</v>
      </c>
      <c r="CF153">
        <v>66</v>
      </c>
      <c r="CG153">
        <v>69</v>
      </c>
      <c r="CH153">
        <v>67</v>
      </c>
      <c r="CI153">
        <v>69</v>
      </c>
      <c r="CJ153">
        <v>69</v>
      </c>
      <c r="CK153">
        <v>72</v>
      </c>
      <c r="CL153">
        <v>72</v>
      </c>
      <c r="CM153">
        <v>73</v>
      </c>
      <c r="CN153">
        <v>75</v>
      </c>
      <c r="CO153">
        <v>78</v>
      </c>
      <c r="CP153">
        <v>80</v>
      </c>
      <c r="CQ153">
        <v>83</v>
      </c>
      <c r="CR153">
        <v>85</v>
      </c>
      <c r="CS153">
        <v>85</v>
      </c>
      <c r="CT153">
        <v>88</v>
      </c>
      <c r="CU153" s="1">
        <v>88</v>
      </c>
      <c r="CV153" s="1">
        <v>89</v>
      </c>
      <c r="CW153" s="1">
        <v>89</v>
      </c>
      <c r="CX153" s="1">
        <v>90</v>
      </c>
      <c r="CY153" s="1">
        <v>92</v>
      </c>
      <c r="CZ153" s="1">
        <v>92</v>
      </c>
      <c r="DA153" s="1">
        <v>96</v>
      </c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</row>
    <row r="154" spans="1:198" x14ac:dyDescent="0.4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 s="1">
        <v>0</v>
      </c>
      <c r="CV154" s="1">
        <v>0</v>
      </c>
      <c r="CW154" s="1">
        <v>0</v>
      </c>
      <c r="CX154" s="1">
        <v>0</v>
      </c>
      <c r="CY154" s="1">
        <v>0</v>
      </c>
      <c r="CZ154" s="1">
        <v>0</v>
      </c>
      <c r="DA154" s="1">
        <v>0</v>
      </c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</row>
    <row r="155" spans="1:198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  <c r="BS155">
        <v>37</v>
      </c>
      <c r="BT155">
        <v>43</v>
      </c>
      <c r="BU155">
        <v>45</v>
      </c>
      <c r="BV155">
        <v>50</v>
      </c>
      <c r="BW155">
        <v>53</v>
      </c>
      <c r="BX155">
        <v>57</v>
      </c>
      <c r="BY155">
        <v>61</v>
      </c>
      <c r="BZ155">
        <v>62</v>
      </c>
      <c r="CA155">
        <v>63</v>
      </c>
      <c r="CB155">
        <v>65</v>
      </c>
      <c r="CC155">
        <v>67</v>
      </c>
      <c r="CD155">
        <v>70</v>
      </c>
      <c r="CE155">
        <v>73</v>
      </c>
      <c r="CF155">
        <v>76</v>
      </c>
      <c r="CG155">
        <v>77</v>
      </c>
      <c r="CH155">
        <v>82</v>
      </c>
      <c r="CI155">
        <v>83</v>
      </c>
      <c r="CJ155">
        <v>84</v>
      </c>
      <c r="CK155">
        <v>86</v>
      </c>
      <c r="CL155">
        <v>88</v>
      </c>
      <c r="CM155">
        <v>89</v>
      </c>
      <c r="CN155">
        <v>89</v>
      </c>
      <c r="CO155">
        <v>92</v>
      </c>
      <c r="CP155">
        <v>93</v>
      </c>
      <c r="CQ155">
        <v>95</v>
      </c>
      <c r="CR155">
        <v>96</v>
      </c>
      <c r="CS155">
        <v>98</v>
      </c>
      <c r="CT155">
        <v>98</v>
      </c>
      <c r="CU155" s="1">
        <v>99</v>
      </c>
      <c r="CV155" s="1">
        <v>100</v>
      </c>
      <c r="CW155" s="1">
        <v>100</v>
      </c>
      <c r="CX155" s="1">
        <v>102</v>
      </c>
      <c r="CY155" s="1">
        <v>103</v>
      </c>
      <c r="CZ155" s="1">
        <v>103</v>
      </c>
      <c r="DA155" s="1">
        <v>105</v>
      </c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</row>
    <row r="156" spans="1:198" x14ac:dyDescent="0.4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 s="1">
        <v>0</v>
      </c>
      <c r="CV156" s="1">
        <v>0</v>
      </c>
      <c r="CW156" s="1">
        <v>1</v>
      </c>
      <c r="CX156" s="1">
        <v>1</v>
      </c>
      <c r="CY156" s="1">
        <v>1</v>
      </c>
      <c r="CZ156" s="1">
        <v>1</v>
      </c>
      <c r="DA156" s="1">
        <v>1</v>
      </c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</row>
    <row r="157" spans="1:198" x14ac:dyDescent="0.4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1</v>
      </c>
      <c r="CC157">
        <v>2</v>
      </c>
      <c r="CD157">
        <v>2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4</v>
      </c>
      <c r="CT157">
        <v>4</v>
      </c>
      <c r="CU157" s="1">
        <v>4</v>
      </c>
      <c r="CV157" s="1">
        <v>4</v>
      </c>
      <c r="CW157" s="1">
        <v>4</v>
      </c>
      <c r="CX157" s="1">
        <v>4</v>
      </c>
      <c r="CY157" s="1">
        <v>4</v>
      </c>
      <c r="CZ157" s="1">
        <v>4</v>
      </c>
      <c r="DA157" s="1">
        <v>4</v>
      </c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</row>
    <row r="158" spans="1:198" x14ac:dyDescent="0.4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1</v>
      </c>
      <c r="BT158">
        <v>1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 s="1">
        <v>1</v>
      </c>
      <c r="CV158" s="1">
        <v>1</v>
      </c>
      <c r="CW158" s="1">
        <v>1</v>
      </c>
      <c r="CX158" s="1">
        <v>1</v>
      </c>
      <c r="CY158" s="1">
        <v>1</v>
      </c>
      <c r="CZ158" s="1">
        <v>1</v>
      </c>
      <c r="DA158" s="1">
        <v>1</v>
      </c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</row>
    <row r="159" spans="1:198" x14ac:dyDescent="0.4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  <c r="BS159">
        <v>3</v>
      </c>
      <c r="BT159">
        <v>5</v>
      </c>
      <c r="BU159">
        <v>6</v>
      </c>
      <c r="BV159">
        <v>7</v>
      </c>
      <c r="BW159">
        <v>7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9</v>
      </c>
      <c r="CE159">
        <v>9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  <c r="CO159">
        <v>9</v>
      </c>
      <c r="CP159">
        <v>9</v>
      </c>
      <c r="CQ159">
        <v>9</v>
      </c>
      <c r="CR159">
        <v>9</v>
      </c>
      <c r="CS159">
        <v>9</v>
      </c>
      <c r="CT159">
        <v>9</v>
      </c>
      <c r="CU159" s="1">
        <v>10</v>
      </c>
      <c r="CV159" s="1">
        <v>10</v>
      </c>
      <c r="CW159" s="1">
        <v>10</v>
      </c>
      <c r="CX159" s="1">
        <v>10</v>
      </c>
      <c r="CY159" s="1">
        <v>10</v>
      </c>
      <c r="CZ159" s="1">
        <v>10</v>
      </c>
      <c r="DA159" s="1">
        <v>10</v>
      </c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</row>
    <row r="160" spans="1:198" x14ac:dyDescent="0.4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2</v>
      </c>
      <c r="BJ160">
        <v>2</v>
      </c>
      <c r="BK160">
        <v>3</v>
      </c>
      <c r="BL160">
        <v>4</v>
      </c>
      <c r="BM160">
        <v>5</v>
      </c>
      <c r="BN160">
        <v>6</v>
      </c>
      <c r="BO160">
        <v>8</v>
      </c>
      <c r="BP160">
        <v>12</v>
      </c>
      <c r="BQ160">
        <v>16</v>
      </c>
      <c r="BR160">
        <v>20</v>
      </c>
      <c r="BS160">
        <v>28</v>
      </c>
      <c r="BT160">
        <v>29</v>
      </c>
      <c r="BU160">
        <v>37</v>
      </c>
      <c r="BV160">
        <v>50</v>
      </c>
      <c r="BW160">
        <v>60</v>
      </c>
      <c r="BX160">
        <v>79</v>
      </c>
      <c r="BY160">
        <v>94</v>
      </c>
      <c r="BZ160">
        <v>125</v>
      </c>
      <c r="CA160">
        <v>141</v>
      </c>
      <c r="CB160">
        <v>174</v>
      </c>
      <c r="CC160">
        <v>194</v>
      </c>
      <c r="CD160">
        <v>233</v>
      </c>
      <c r="CE160">
        <v>273</v>
      </c>
      <c r="CF160">
        <v>296</v>
      </c>
      <c r="CG160">
        <v>332</v>
      </c>
      <c r="CH160">
        <v>406</v>
      </c>
      <c r="CI160">
        <v>449</v>
      </c>
      <c r="CJ160">
        <v>486</v>
      </c>
      <c r="CK160">
        <v>546</v>
      </c>
      <c r="CL160">
        <v>650</v>
      </c>
      <c r="CM160">
        <v>686</v>
      </c>
      <c r="CN160">
        <v>712</v>
      </c>
      <c r="CO160">
        <v>857</v>
      </c>
      <c r="CP160">
        <v>970</v>
      </c>
      <c r="CQ160">
        <v>1069</v>
      </c>
      <c r="CR160">
        <v>1221</v>
      </c>
      <c r="CS160">
        <v>1305</v>
      </c>
      <c r="CT160">
        <v>1351</v>
      </c>
      <c r="CU160" s="1">
        <v>1434</v>
      </c>
      <c r="CV160" s="1">
        <v>1569</v>
      </c>
      <c r="CW160" s="1">
        <v>1732</v>
      </c>
      <c r="CX160" s="1">
        <v>1859</v>
      </c>
      <c r="CY160" s="1">
        <v>1972</v>
      </c>
      <c r="CZ160" s="1">
        <v>2061</v>
      </c>
      <c r="DA160" s="1">
        <v>2154</v>
      </c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</row>
    <row r="161" spans="1:198" x14ac:dyDescent="0.4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  <c r="BS161">
        <v>2</v>
      </c>
      <c r="BT161">
        <v>4</v>
      </c>
      <c r="BU161">
        <v>5</v>
      </c>
      <c r="BV161">
        <v>6</v>
      </c>
      <c r="BW161">
        <v>8</v>
      </c>
      <c r="BX161">
        <v>12</v>
      </c>
      <c r="BY161">
        <v>15</v>
      </c>
      <c r="BZ161">
        <v>19</v>
      </c>
      <c r="CA161">
        <v>22</v>
      </c>
      <c r="CB161">
        <v>27</v>
      </c>
      <c r="CC161">
        <v>29</v>
      </c>
      <c r="CD161">
        <v>29</v>
      </c>
      <c r="CE161">
        <v>30</v>
      </c>
      <c r="CF161">
        <v>31</v>
      </c>
      <c r="CG161">
        <v>35</v>
      </c>
      <c r="CH161">
        <v>40</v>
      </c>
      <c r="CI161">
        <v>46</v>
      </c>
      <c r="CJ161">
        <v>54</v>
      </c>
      <c r="CK161">
        <v>56</v>
      </c>
      <c r="CL161">
        <v>57</v>
      </c>
      <c r="CM161">
        <v>67</v>
      </c>
      <c r="CN161">
        <v>70</v>
      </c>
      <c r="CO161">
        <v>72</v>
      </c>
      <c r="CP161">
        <v>75</v>
      </c>
      <c r="CQ161">
        <v>80</v>
      </c>
      <c r="CR161">
        <v>84</v>
      </c>
      <c r="CS161">
        <v>94</v>
      </c>
      <c r="CT161">
        <v>96</v>
      </c>
      <c r="CU161" s="1">
        <v>102</v>
      </c>
      <c r="CV161" s="1">
        <v>103</v>
      </c>
      <c r="CW161" s="1">
        <v>111</v>
      </c>
      <c r="CX161" s="1">
        <v>116</v>
      </c>
      <c r="CY161" s="1">
        <v>122</v>
      </c>
      <c r="CZ161" s="1">
        <v>124</v>
      </c>
      <c r="DA161" s="1">
        <v>125</v>
      </c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</row>
    <row r="162" spans="1:198" x14ac:dyDescent="0.4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  <c r="BS162">
        <v>1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3</v>
      </c>
      <c r="CJ162">
        <v>3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4</v>
      </c>
      <c r="CR162">
        <v>4</v>
      </c>
      <c r="CS162">
        <v>4</v>
      </c>
      <c r="CT162">
        <v>4</v>
      </c>
      <c r="CU162" s="1">
        <v>4</v>
      </c>
      <c r="CV162" s="1">
        <v>4</v>
      </c>
      <c r="CW162" s="1">
        <v>4</v>
      </c>
      <c r="CX162" s="1">
        <v>4</v>
      </c>
      <c r="CY162" s="1">
        <v>4</v>
      </c>
      <c r="CZ162" s="1">
        <v>4</v>
      </c>
      <c r="DA162" s="1">
        <v>4</v>
      </c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</row>
    <row r="163" spans="1:198" x14ac:dyDescent="0.4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 s="1">
        <v>0</v>
      </c>
      <c r="CV163" s="1">
        <v>0</v>
      </c>
      <c r="CW163" s="1">
        <v>0</v>
      </c>
      <c r="CX163" s="1">
        <v>0</v>
      </c>
      <c r="CY163" s="1">
        <v>0</v>
      </c>
      <c r="CZ163" s="1">
        <v>0</v>
      </c>
      <c r="DA163" s="1">
        <v>0</v>
      </c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</row>
    <row r="164" spans="1:198" x14ac:dyDescent="0.4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3</v>
      </c>
      <c r="CG164">
        <v>3</v>
      </c>
      <c r="CH164">
        <v>4</v>
      </c>
      <c r="CI164">
        <v>4</v>
      </c>
      <c r="CJ164">
        <v>4</v>
      </c>
      <c r="CK164">
        <v>5</v>
      </c>
      <c r="CL164">
        <v>5</v>
      </c>
      <c r="CM164">
        <v>5</v>
      </c>
      <c r="CN164">
        <v>5</v>
      </c>
      <c r="CO164">
        <v>5</v>
      </c>
      <c r="CP164">
        <v>5</v>
      </c>
      <c r="CQ164">
        <v>5</v>
      </c>
      <c r="CR164">
        <v>6</v>
      </c>
      <c r="CS164">
        <v>6</v>
      </c>
      <c r="CT164">
        <v>7</v>
      </c>
      <c r="CU164" s="1">
        <v>7</v>
      </c>
      <c r="CV164" s="1">
        <v>7</v>
      </c>
      <c r="CW164" s="1">
        <v>7</v>
      </c>
      <c r="CX164" s="1">
        <v>7</v>
      </c>
      <c r="CY164" s="1">
        <v>7</v>
      </c>
      <c r="CZ164" s="1">
        <v>8</v>
      </c>
      <c r="DA164" s="1">
        <v>8</v>
      </c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</row>
    <row r="165" spans="1:198" x14ac:dyDescent="0.4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  <c r="BS165">
        <v>33</v>
      </c>
      <c r="BT165">
        <v>36</v>
      </c>
      <c r="BU165">
        <v>39</v>
      </c>
      <c r="BV165">
        <v>44</v>
      </c>
      <c r="BW165">
        <v>48</v>
      </c>
      <c r="BX165">
        <v>59</v>
      </c>
      <c r="BY165">
        <v>70</v>
      </c>
      <c r="BZ165">
        <v>80</v>
      </c>
      <c r="CA165">
        <v>90</v>
      </c>
      <c r="CB165">
        <v>93</v>
      </c>
      <c r="CC165">
        <v>97</v>
      </c>
      <c r="CD165">
        <v>107</v>
      </c>
      <c r="CE165">
        <v>111</v>
      </c>
      <c r="CF165">
        <v>118</v>
      </c>
      <c r="CG165">
        <v>126</v>
      </c>
      <c r="CH165">
        <v>126</v>
      </c>
      <c r="CI165">
        <v>127</v>
      </c>
      <c r="CJ165">
        <v>130</v>
      </c>
      <c r="CK165">
        <v>135</v>
      </c>
      <c r="CL165">
        <v>137</v>
      </c>
      <c r="CM165">
        <v>141</v>
      </c>
      <c r="CN165">
        <v>143</v>
      </c>
      <c r="CO165">
        <v>145</v>
      </c>
      <c r="CP165">
        <v>149</v>
      </c>
      <c r="CQ165">
        <v>155</v>
      </c>
      <c r="CR165">
        <v>158</v>
      </c>
      <c r="CS165">
        <v>159</v>
      </c>
      <c r="CT165">
        <v>161</v>
      </c>
      <c r="CU165" s="1">
        <v>162</v>
      </c>
      <c r="CV165" s="1">
        <v>165</v>
      </c>
      <c r="CW165" s="1">
        <v>168</v>
      </c>
      <c r="CX165" s="1">
        <v>170</v>
      </c>
      <c r="CY165" s="1">
        <v>171</v>
      </c>
      <c r="CZ165" s="1">
        <v>173</v>
      </c>
      <c r="DA165" s="1">
        <v>174</v>
      </c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</row>
    <row r="166" spans="1:198" x14ac:dyDescent="0.4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 s="1">
        <v>0</v>
      </c>
      <c r="CV166" s="1">
        <v>0</v>
      </c>
      <c r="CW166" s="1">
        <v>0</v>
      </c>
      <c r="CX166" s="1">
        <v>0</v>
      </c>
      <c r="CY166" s="1">
        <v>0</v>
      </c>
      <c r="CZ166" s="1">
        <v>0</v>
      </c>
      <c r="DA166" s="1">
        <v>0</v>
      </c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</row>
    <row r="167" spans="1:198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A167" s="1">
        <v>0</v>
      </c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</row>
    <row r="168" spans="1:198" x14ac:dyDescent="0.4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1</v>
      </c>
      <c r="CJ168">
        <v>2</v>
      </c>
      <c r="CK168">
        <v>2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 s="1">
        <v>2</v>
      </c>
      <c r="CV168" s="1">
        <v>2</v>
      </c>
      <c r="CW168" s="1">
        <v>2</v>
      </c>
      <c r="CX168" s="1">
        <v>2</v>
      </c>
      <c r="CY168" s="1">
        <v>2</v>
      </c>
      <c r="CZ168" s="1">
        <v>2</v>
      </c>
      <c r="DA168" s="1">
        <v>2</v>
      </c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</row>
    <row r="169" spans="1:198" x14ac:dyDescent="0.4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  <c r="CS169">
        <v>1</v>
      </c>
      <c r="CT169">
        <v>1</v>
      </c>
      <c r="CU169" s="1">
        <v>1</v>
      </c>
      <c r="CV169" s="1">
        <v>1</v>
      </c>
      <c r="CW169" s="1">
        <v>1</v>
      </c>
      <c r="CX169" s="1">
        <v>1</v>
      </c>
      <c r="CY169" s="1">
        <v>1</v>
      </c>
      <c r="CZ169" s="1">
        <v>1</v>
      </c>
      <c r="DA169" s="1">
        <v>1</v>
      </c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</row>
    <row r="170" spans="1:198" x14ac:dyDescent="0.4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1</v>
      </c>
      <c r="BV170">
        <v>1</v>
      </c>
      <c r="BW170">
        <v>2</v>
      </c>
      <c r="BX170">
        <v>4</v>
      </c>
      <c r="BY170">
        <v>4</v>
      </c>
      <c r="BZ170">
        <v>6</v>
      </c>
      <c r="CA170">
        <v>6</v>
      </c>
      <c r="CB170">
        <v>6</v>
      </c>
      <c r="CC170">
        <v>6</v>
      </c>
      <c r="CD170">
        <v>8</v>
      </c>
      <c r="CE170">
        <v>9</v>
      </c>
      <c r="CF170">
        <v>9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  <c r="CM170">
        <v>10</v>
      </c>
      <c r="CN170">
        <v>10</v>
      </c>
      <c r="CO170">
        <v>10</v>
      </c>
      <c r="CP170">
        <v>11</v>
      </c>
      <c r="CQ170">
        <v>12</v>
      </c>
      <c r="CR170">
        <v>12</v>
      </c>
      <c r="CS170">
        <v>12</v>
      </c>
      <c r="CT170">
        <v>13</v>
      </c>
      <c r="CU170" s="1">
        <v>13</v>
      </c>
      <c r="CV170" s="1">
        <v>13</v>
      </c>
      <c r="CW170" s="1">
        <v>13</v>
      </c>
      <c r="CX170" s="1">
        <v>13</v>
      </c>
      <c r="CY170" s="1">
        <v>13</v>
      </c>
      <c r="CZ170" s="1">
        <v>13</v>
      </c>
      <c r="DA170" s="1">
        <v>13</v>
      </c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</row>
    <row r="171" spans="1:198" x14ac:dyDescent="0.4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  <c r="BS171">
        <v>864</v>
      </c>
      <c r="BT171">
        <v>1039</v>
      </c>
      <c r="BU171">
        <v>1173</v>
      </c>
      <c r="BV171">
        <v>1339</v>
      </c>
      <c r="BW171">
        <v>1487</v>
      </c>
      <c r="BX171">
        <v>1651</v>
      </c>
      <c r="BY171">
        <v>1766</v>
      </c>
      <c r="BZ171">
        <v>1867</v>
      </c>
      <c r="CA171">
        <v>2101</v>
      </c>
      <c r="CB171">
        <v>2248</v>
      </c>
      <c r="CC171">
        <v>2396</v>
      </c>
      <c r="CD171">
        <v>2511</v>
      </c>
      <c r="CE171">
        <v>2643</v>
      </c>
      <c r="CF171">
        <v>2737</v>
      </c>
      <c r="CG171">
        <v>2823</v>
      </c>
      <c r="CH171">
        <v>2945</v>
      </c>
      <c r="CI171">
        <v>3134</v>
      </c>
      <c r="CJ171">
        <v>3315</v>
      </c>
      <c r="CK171">
        <v>3459</v>
      </c>
      <c r="CL171">
        <v>3601</v>
      </c>
      <c r="CM171">
        <v>3684</v>
      </c>
      <c r="CN171">
        <v>3751</v>
      </c>
      <c r="CO171">
        <v>3916</v>
      </c>
      <c r="CP171">
        <v>4054</v>
      </c>
      <c r="CQ171">
        <v>4177</v>
      </c>
      <c r="CR171">
        <v>4289</v>
      </c>
      <c r="CS171">
        <v>4409</v>
      </c>
      <c r="CT171">
        <v>4475</v>
      </c>
      <c r="CU171" s="1">
        <v>4518</v>
      </c>
      <c r="CV171" s="1">
        <v>4566</v>
      </c>
      <c r="CW171" s="1">
        <v>4711</v>
      </c>
      <c r="CX171" s="1">
        <v>4795</v>
      </c>
      <c r="CY171" s="1">
        <v>4893</v>
      </c>
      <c r="CZ171" s="1">
        <v>4987</v>
      </c>
      <c r="DA171" s="1">
        <v>5056</v>
      </c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</row>
    <row r="172" spans="1:198" x14ac:dyDescent="0.4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  <c r="BS172">
        <v>1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2</v>
      </c>
      <c r="CE172">
        <v>4</v>
      </c>
      <c r="CF172">
        <v>4</v>
      </c>
      <c r="CG172">
        <v>5</v>
      </c>
      <c r="CH172">
        <v>9</v>
      </c>
      <c r="CI172">
        <v>9</v>
      </c>
      <c r="CJ172">
        <v>9</v>
      </c>
      <c r="CK172">
        <v>11</v>
      </c>
      <c r="CL172">
        <v>11</v>
      </c>
      <c r="CM172">
        <v>12</v>
      </c>
      <c r="CN172">
        <v>12</v>
      </c>
      <c r="CO172">
        <v>13</v>
      </c>
      <c r="CP172">
        <v>14</v>
      </c>
      <c r="CQ172">
        <v>17</v>
      </c>
      <c r="CR172">
        <v>18</v>
      </c>
      <c r="CS172">
        <v>18</v>
      </c>
      <c r="CT172">
        <v>19</v>
      </c>
      <c r="CU172" s="1">
        <v>19</v>
      </c>
      <c r="CV172" s="1">
        <v>19</v>
      </c>
      <c r="CW172" s="1">
        <v>19</v>
      </c>
      <c r="CX172" s="1">
        <v>19</v>
      </c>
      <c r="CY172" s="1">
        <v>20</v>
      </c>
      <c r="CZ172" s="1">
        <v>20</v>
      </c>
      <c r="DA172" s="1">
        <v>20</v>
      </c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</row>
    <row r="173" spans="1:198" x14ac:dyDescent="0.4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2</v>
      </c>
      <c r="CM173">
        <v>2</v>
      </c>
      <c r="CN173">
        <v>2</v>
      </c>
      <c r="CO173">
        <v>2</v>
      </c>
      <c r="CP173">
        <v>2</v>
      </c>
      <c r="CQ173">
        <v>3</v>
      </c>
      <c r="CR173">
        <v>3</v>
      </c>
      <c r="CS173">
        <v>3</v>
      </c>
      <c r="CT173">
        <v>3</v>
      </c>
      <c r="CU173" s="1">
        <v>3</v>
      </c>
      <c r="CV173" s="1">
        <v>3</v>
      </c>
      <c r="CW173" s="1">
        <v>3</v>
      </c>
      <c r="CX173" s="1">
        <v>3</v>
      </c>
      <c r="CY173" s="1">
        <v>3</v>
      </c>
      <c r="CZ173" s="1">
        <v>3</v>
      </c>
      <c r="DA173" s="1">
        <v>5</v>
      </c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</row>
    <row r="174" spans="1:198" x14ac:dyDescent="0.4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3</v>
      </c>
      <c r="BT174">
        <v>3</v>
      </c>
      <c r="BU174">
        <v>5</v>
      </c>
      <c r="BV174">
        <v>5</v>
      </c>
      <c r="BW174">
        <v>5</v>
      </c>
      <c r="BX174">
        <v>8</v>
      </c>
      <c r="BY174">
        <v>10</v>
      </c>
      <c r="BZ174">
        <v>10</v>
      </c>
      <c r="CA174">
        <v>11</v>
      </c>
      <c r="CB174">
        <v>11</v>
      </c>
      <c r="CC174">
        <v>11</v>
      </c>
      <c r="CD174">
        <v>11</v>
      </c>
      <c r="CE174">
        <v>11</v>
      </c>
      <c r="CF174">
        <v>12</v>
      </c>
      <c r="CG174">
        <v>12</v>
      </c>
      <c r="CH174">
        <v>14</v>
      </c>
      <c r="CI174">
        <v>14</v>
      </c>
      <c r="CJ174">
        <v>14</v>
      </c>
      <c r="CK174">
        <v>18</v>
      </c>
      <c r="CL174">
        <v>19</v>
      </c>
      <c r="CM174">
        <v>20</v>
      </c>
      <c r="CN174">
        <v>20</v>
      </c>
      <c r="CO174">
        <v>20</v>
      </c>
      <c r="CP174">
        <v>22</v>
      </c>
      <c r="CQ174">
        <v>24</v>
      </c>
      <c r="CR174">
        <v>24</v>
      </c>
      <c r="CS174">
        <v>27</v>
      </c>
      <c r="CT174">
        <v>29</v>
      </c>
      <c r="CU174" s="1">
        <v>29</v>
      </c>
      <c r="CV174" s="1">
        <v>31</v>
      </c>
      <c r="CW174" s="1">
        <v>32</v>
      </c>
      <c r="CX174" s="1">
        <v>32</v>
      </c>
      <c r="CY174" s="1">
        <v>33</v>
      </c>
      <c r="CZ174" s="1">
        <v>35</v>
      </c>
      <c r="DA174" s="1">
        <v>36</v>
      </c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</row>
    <row r="175" spans="1:198" x14ac:dyDescent="0.4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2</v>
      </c>
      <c r="BT175">
        <v>2</v>
      </c>
      <c r="BU175">
        <v>2</v>
      </c>
      <c r="BV175">
        <v>2</v>
      </c>
      <c r="BW175">
        <v>4</v>
      </c>
      <c r="BX175">
        <v>4</v>
      </c>
      <c r="BY175">
        <v>5</v>
      </c>
      <c r="BZ175">
        <v>5</v>
      </c>
      <c r="CA175">
        <v>6</v>
      </c>
      <c r="CB175">
        <v>6</v>
      </c>
      <c r="CC175">
        <v>7</v>
      </c>
      <c r="CD175">
        <v>7</v>
      </c>
      <c r="CE175">
        <v>10</v>
      </c>
      <c r="CF175">
        <v>10</v>
      </c>
      <c r="CG175">
        <v>10</v>
      </c>
      <c r="CH175">
        <v>11</v>
      </c>
      <c r="CI175">
        <v>12</v>
      </c>
      <c r="CJ175">
        <v>13</v>
      </c>
      <c r="CK175">
        <v>17</v>
      </c>
      <c r="CL175">
        <v>19</v>
      </c>
      <c r="CM175">
        <v>21</v>
      </c>
      <c r="CN175">
        <v>22</v>
      </c>
      <c r="CO175">
        <v>22</v>
      </c>
      <c r="CP175">
        <v>28</v>
      </c>
      <c r="CQ175">
        <v>31</v>
      </c>
      <c r="CR175">
        <v>32</v>
      </c>
      <c r="CS175">
        <v>35</v>
      </c>
      <c r="CT175">
        <v>40</v>
      </c>
      <c r="CU175" s="1">
        <v>40</v>
      </c>
      <c r="CV175" s="1">
        <v>44</v>
      </c>
      <c r="CW175" s="1">
        <v>51</v>
      </c>
      <c r="CX175" s="1">
        <v>58</v>
      </c>
      <c r="CY175" s="1">
        <v>68</v>
      </c>
      <c r="CZ175" s="1">
        <v>85</v>
      </c>
      <c r="DA175" s="1">
        <v>87</v>
      </c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</row>
    <row r="176" spans="1:198" x14ac:dyDescent="0.4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  <c r="BS176">
        <v>7</v>
      </c>
      <c r="BT176">
        <v>9</v>
      </c>
      <c r="BU176">
        <v>11</v>
      </c>
      <c r="BV176">
        <v>11</v>
      </c>
      <c r="BW176">
        <v>12</v>
      </c>
      <c r="BX176">
        <v>17</v>
      </c>
      <c r="BY176">
        <v>18</v>
      </c>
      <c r="BZ176">
        <v>23</v>
      </c>
      <c r="CA176">
        <v>26</v>
      </c>
      <c r="CB176">
        <v>29</v>
      </c>
      <c r="CC176">
        <v>30</v>
      </c>
      <c r="CD176">
        <v>32</v>
      </c>
      <c r="CE176">
        <v>34</v>
      </c>
      <c r="CF176">
        <v>34</v>
      </c>
      <c r="CG176">
        <v>38</v>
      </c>
      <c r="CH176">
        <v>44</v>
      </c>
      <c r="CI176">
        <v>45</v>
      </c>
      <c r="CJ176">
        <v>46</v>
      </c>
      <c r="CK176">
        <v>49</v>
      </c>
      <c r="CL176">
        <v>49</v>
      </c>
      <c r="CM176">
        <v>51</v>
      </c>
      <c r="CN176">
        <v>54</v>
      </c>
      <c r="CO176">
        <v>55</v>
      </c>
      <c r="CP176">
        <v>56</v>
      </c>
      <c r="CQ176">
        <v>56</v>
      </c>
      <c r="CR176">
        <v>57</v>
      </c>
      <c r="CS176">
        <v>59</v>
      </c>
      <c r="CT176">
        <v>61</v>
      </c>
      <c r="CU176" s="1">
        <v>65</v>
      </c>
      <c r="CV176" s="1">
        <v>71</v>
      </c>
      <c r="CW176" s="1">
        <v>73</v>
      </c>
      <c r="CX176" s="1">
        <v>77</v>
      </c>
      <c r="CY176" s="1">
        <v>81</v>
      </c>
      <c r="CZ176" s="1">
        <v>82</v>
      </c>
      <c r="DA176" s="1">
        <v>84</v>
      </c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</row>
    <row r="177" spans="1:198" x14ac:dyDescent="0.4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  <c r="BS177">
        <v>32</v>
      </c>
      <c r="BT177">
        <v>39</v>
      </c>
      <c r="BU177">
        <v>44</v>
      </c>
      <c r="BV177">
        <v>50</v>
      </c>
      <c r="BW177">
        <v>59</v>
      </c>
      <c r="BX177">
        <v>62</v>
      </c>
      <c r="BY177">
        <v>71</v>
      </c>
      <c r="BZ177">
        <v>76</v>
      </c>
      <c r="CA177">
        <v>89</v>
      </c>
      <c r="CB177">
        <v>101</v>
      </c>
      <c r="CC177">
        <v>108</v>
      </c>
      <c r="CD177">
        <v>113</v>
      </c>
      <c r="CE177">
        <v>119</v>
      </c>
      <c r="CF177">
        <v>128</v>
      </c>
      <c r="CG177">
        <v>134</v>
      </c>
      <c r="CH177">
        <v>139</v>
      </c>
      <c r="CI177">
        <v>150</v>
      </c>
      <c r="CJ177">
        <v>152</v>
      </c>
      <c r="CK177">
        <v>161</v>
      </c>
      <c r="CL177">
        <v>164</v>
      </c>
      <c r="CM177">
        <v>165</v>
      </c>
      <c r="CN177">
        <v>181</v>
      </c>
      <c r="CO177">
        <v>182</v>
      </c>
      <c r="CP177">
        <v>187</v>
      </c>
      <c r="CQ177">
        <v>194</v>
      </c>
      <c r="CR177">
        <v>199</v>
      </c>
      <c r="CS177">
        <v>201</v>
      </c>
      <c r="CT177">
        <v>201</v>
      </c>
      <c r="CU177" s="1">
        <v>205</v>
      </c>
      <c r="CV177" s="1">
        <v>206</v>
      </c>
      <c r="CW177" s="1">
        <v>207</v>
      </c>
      <c r="CX177" s="1">
        <v>210</v>
      </c>
      <c r="CY177" s="1">
        <v>210</v>
      </c>
      <c r="CZ177" s="1">
        <v>211</v>
      </c>
      <c r="DA177" s="1">
        <v>211</v>
      </c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</row>
    <row r="178" spans="1:198" x14ac:dyDescent="0.4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1</v>
      </c>
      <c r="BU178">
        <v>1</v>
      </c>
      <c r="BV178">
        <v>1</v>
      </c>
      <c r="BW178">
        <v>1</v>
      </c>
      <c r="BX178">
        <v>2</v>
      </c>
      <c r="BY178">
        <v>2</v>
      </c>
      <c r="BZ178">
        <v>2</v>
      </c>
      <c r="CA178">
        <v>2</v>
      </c>
      <c r="CB178">
        <v>2</v>
      </c>
      <c r="CC178">
        <v>3</v>
      </c>
      <c r="CD178">
        <v>3</v>
      </c>
      <c r="CE178">
        <v>3</v>
      </c>
      <c r="CF178">
        <v>4</v>
      </c>
      <c r="CG178">
        <v>4</v>
      </c>
      <c r="CH178">
        <v>4</v>
      </c>
      <c r="CI178">
        <v>4</v>
      </c>
      <c r="CJ178">
        <v>4</v>
      </c>
      <c r="CK178">
        <v>6</v>
      </c>
      <c r="CL178">
        <v>6</v>
      </c>
      <c r="CM178">
        <v>7</v>
      </c>
      <c r="CN178">
        <v>7</v>
      </c>
      <c r="CO178">
        <v>8</v>
      </c>
      <c r="CP178">
        <v>8</v>
      </c>
      <c r="CQ178">
        <v>9</v>
      </c>
      <c r="CR178">
        <v>10</v>
      </c>
      <c r="CS178">
        <v>10</v>
      </c>
      <c r="CT178">
        <v>10</v>
      </c>
      <c r="CU178" s="1">
        <v>10</v>
      </c>
      <c r="CV178" s="1">
        <v>10</v>
      </c>
      <c r="CW178" s="1">
        <v>10</v>
      </c>
      <c r="CX178" s="1">
        <v>11</v>
      </c>
      <c r="CY178" s="1">
        <v>11</v>
      </c>
      <c r="CZ178" s="1">
        <v>12</v>
      </c>
      <c r="DA178" s="1">
        <v>12</v>
      </c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</row>
    <row r="179" spans="1:198" x14ac:dyDescent="0.4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  <c r="BS179">
        <v>21</v>
      </c>
      <c r="BT179">
        <v>26</v>
      </c>
      <c r="BU179">
        <v>27</v>
      </c>
      <c r="BV179">
        <v>34</v>
      </c>
      <c r="BW179">
        <v>40</v>
      </c>
      <c r="BX179">
        <v>41</v>
      </c>
      <c r="BY179">
        <v>47</v>
      </c>
      <c r="BZ179">
        <v>53</v>
      </c>
      <c r="CA179">
        <v>57</v>
      </c>
      <c r="CB179">
        <v>61</v>
      </c>
      <c r="CC179">
        <v>65</v>
      </c>
      <c r="CD179">
        <v>66</v>
      </c>
      <c r="CE179">
        <v>86</v>
      </c>
      <c r="CF179">
        <v>91</v>
      </c>
      <c r="CG179">
        <v>93</v>
      </c>
      <c r="CH179">
        <v>96</v>
      </c>
      <c r="CI179">
        <v>111</v>
      </c>
      <c r="CJ179">
        <v>128</v>
      </c>
      <c r="CK179">
        <v>135</v>
      </c>
      <c r="CL179">
        <v>143</v>
      </c>
      <c r="CM179">
        <v>168</v>
      </c>
      <c r="CN179">
        <v>176</v>
      </c>
      <c r="CO179">
        <v>201</v>
      </c>
      <c r="CP179">
        <v>212</v>
      </c>
      <c r="CQ179">
        <v>237</v>
      </c>
      <c r="CR179">
        <v>253</v>
      </c>
      <c r="CS179">
        <v>269</v>
      </c>
      <c r="CT179">
        <v>281</v>
      </c>
      <c r="CU179" s="1">
        <v>292</v>
      </c>
      <c r="CV179" s="1">
        <v>312</v>
      </c>
      <c r="CW179" s="1">
        <v>343</v>
      </c>
      <c r="CX179" s="1">
        <v>385</v>
      </c>
      <c r="CY179" s="1">
        <v>417</v>
      </c>
      <c r="CZ179" s="1">
        <v>440</v>
      </c>
      <c r="DA179" s="1">
        <v>457</v>
      </c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</row>
    <row r="180" spans="1:198" x14ac:dyDescent="0.4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  <c r="BS180">
        <v>24</v>
      </c>
      <c r="BT180">
        <v>30</v>
      </c>
      <c r="BU180">
        <v>30</v>
      </c>
      <c r="BV180">
        <v>32</v>
      </c>
      <c r="BW180">
        <v>37</v>
      </c>
      <c r="BX180">
        <v>41</v>
      </c>
      <c r="BY180">
        <v>46</v>
      </c>
      <c r="BZ180">
        <v>54</v>
      </c>
      <c r="CA180">
        <v>55</v>
      </c>
      <c r="CB180">
        <v>59</v>
      </c>
      <c r="CC180">
        <v>63</v>
      </c>
      <c r="CD180">
        <v>66</v>
      </c>
      <c r="CE180">
        <v>74</v>
      </c>
      <c r="CF180">
        <v>79</v>
      </c>
      <c r="CG180">
        <v>87</v>
      </c>
      <c r="CH180">
        <v>94</v>
      </c>
      <c r="CI180">
        <v>95</v>
      </c>
      <c r="CJ180">
        <v>103</v>
      </c>
      <c r="CK180">
        <v>109</v>
      </c>
      <c r="CL180">
        <v>116</v>
      </c>
      <c r="CM180">
        <v>120</v>
      </c>
      <c r="CN180">
        <v>126</v>
      </c>
      <c r="CO180">
        <v>136</v>
      </c>
      <c r="CP180">
        <v>141</v>
      </c>
      <c r="CQ180">
        <v>146</v>
      </c>
      <c r="CR180">
        <v>154</v>
      </c>
      <c r="CS180">
        <v>159</v>
      </c>
      <c r="CT180">
        <v>165</v>
      </c>
      <c r="CU180" s="1">
        <v>167</v>
      </c>
      <c r="CV180" s="1">
        <v>167</v>
      </c>
      <c r="CW180" s="1">
        <v>178</v>
      </c>
      <c r="CX180" s="1">
        <v>188</v>
      </c>
      <c r="CY180" s="1">
        <v>192</v>
      </c>
      <c r="CZ180" s="1">
        <v>197</v>
      </c>
      <c r="DA180" s="1">
        <v>197</v>
      </c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</row>
    <row r="181" spans="1:198" x14ac:dyDescent="0.4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 s="1">
        <v>0</v>
      </c>
      <c r="CV181" s="1">
        <v>0</v>
      </c>
      <c r="CW181" s="1">
        <v>0</v>
      </c>
      <c r="CX181" s="1">
        <v>0</v>
      </c>
      <c r="CY181" s="1">
        <v>0</v>
      </c>
      <c r="CZ181" s="1">
        <v>0</v>
      </c>
      <c r="DA181" s="1">
        <v>0</v>
      </c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</row>
    <row r="182" spans="1:198" x14ac:dyDescent="0.4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5</v>
      </c>
      <c r="CA182">
        <v>5</v>
      </c>
      <c r="CB182">
        <v>5</v>
      </c>
      <c r="CC182">
        <v>5</v>
      </c>
      <c r="CD182">
        <v>6</v>
      </c>
      <c r="CE182">
        <v>6</v>
      </c>
      <c r="CF182">
        <v>6</v>
      </c>
      <c r="CG182">
        <v>6</v>
      </c>
      <c r="CH182">
        <v>7</v>
      </c>
      <c r="CI182">
        <v>8</v>
      </c>
      <c r="CJ182">
        <v>8</v>
      </c>
      <c r="CK182">
        <v>8</v>
      </c>
      <c r="CL182">
        <v>8</v>
      </c>
      <c r="CM182">
        <v>8</v>
      </c>
      <c r="CN182">
        <v>8</v>
      </c>
      <c r="CO182">
        <v>8</v>
      </c>
      <c r="CP182">
        <v>9</v>
      </c>
      <c r="CQ182">
        <v>9</v>
      </c>
      <c r="CR182">
        <v>9</v>
      </c>
      <c r="CS182">
        <v>9</v>
      </c>
      <c r="CT182">
        <v>9</v>
      </c>
      <c r="CU182" s="1">
        <v>9</v>
      </c>
      <c r="CV182" s="1">
        <v>9</v>
      </c>
      <c r="CW182" s="1">
        <v>9</v>
      </c>
      <c r="CX182" s="1">
        <v>10</v>
      </c>
      <c r="CY182" s="1">
        <v>10</v>
      </c>
      <c r="CZ182" s="1">
        <v>10</v>
      </c>
      <c r="DA182" s="1">
        <v>10</v>
      </c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</row>
    <row r="183" spans="1:198" x14ac:dyDescent="0.4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  <c r="BS183">
        <v>24</v>
      </c>
      <c r="BT183">
        <v>30</v>
      </c>
      <c r="BU183">
        <v>38</v>
      </c>
      <c r="BV183">
        <v>55</v>
      </c>
      <c r="BW183">
        <v>61</v>
      </c>
      <c r="BX183">
        <v>73</v>
      </c>
      <c r="BY183">
        <v>83</v>
      </c>
      <c r="BZ183">
        <v>92</v>
      </c>
      <c r="CA183">
        <v>107</v>
      </c>
      <c r="CB183">
        <v>121</v>
      </c>
      <c r="CC183">
        <v>138</v>
      </c>
      <c r="CD183">
        <v>169</v>
      </c>
      <c r="CE183">
        <v>181</v>
      </c>
      <c r="CF183">
        <v>193</v>
      </c>
      <c r="CG183">
        <v>216</v>
      </c>
      <c r="CH183">
        <v>230</v>
      </c>
      <c r="CI183">
        <v>254</v>
      </c>
      <c r="CJ183">
        <v>274</v>
      </c>
      <c r="CK183">
        <v>300</v>
      </c>
      <c r="CL183">
        <v>348</v>
      </c>
      <c r="CM183">
        <v>400</v>
      </c>
      <c r="CN183">
        <v>445</v>
      </c>
      <c r="CO183">
        <v>484</v>
      </c>
      <c r="CP183">
        <v>530</v>
      </c>
      <c r="CQ183">
        <v>572</v>
      </c>
      <c r="CR183">
        <v>634</v>
      </c>
      <c r="CS183">
        <v>700</v>
      </c>
      <c r="CT183">
        <v>728</v>
      </c>
      <c r="CU183" s="1">
        <v>782</v>
      </c>
      <c r="CV183" s="1">
        <v>854</v>
      </c>
      <c r="CW183" s="1">
        <v>943</v>
      </c>
      <c r="CX183" s="1">
        <v>1051</v>
      </c>
      <c r="CY183" s="1">
        <v>1124</v>
      </c>
      <c r="CZ183" s="1">
        <v>1200</v>
      </c>
      <c r="DA183" s="1">
        <v>1286</v>
      </c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</row>
    <row r="184" spans="1:198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  <c r="BS184">
        <v>78</v>
      </c>
      <c r="BT184">
        <v>88</v>
      </c>
      <c r="BU184">
        <v>96</v>
      </c>
      <c r="BV184">
        <v>107</v>
      </c>
      <c r="BW184">
        <v>136</v>
      </c>
      <c r="BX184">
        <v>144</v>
      </c>
      <c r="BY184">
        <v>152</v>
      </c>
      <c r="BZ184">
        <v>163</v>
      </c>
      <c r="CA184">
        <v>177</v>
      </c>
      <c r="CB184">
        <v>182</v>
      </c>
      <c r="CC184">
        <v>203</v>
      </c>
      <c r="CD184">
        <v>221</v>
      </c>
      <c r="CE184">
        <v>247</v>
      </c>
      <c r="CF184">
        <v>297</v>
      </c>
      <c r="CG184">
        <v>315</v>
      </c>
      <c r="CH184">
        <v>335</v>
      </c>
      <c r="CI184">
        <v>349</v>
      </c>
      <c r="CJ184">
        <v>362</v>
      </c>
      <c r="CK184">
        <v>387</v>
      </c>
      <c r="CL184">
        <v>397</v>
      </c>
      <c r="CM184">
        <v>409</v>
      </c>
      <c r="CN184">
        <v>428</v>
      </c>
      <c r="CO184">
        <v>437</v>
      </c>
      <c r="CP184">
        <v>446</v>
      </c>
      <c r="CQ184">
        <v>462</v>
      </c>
      <c r="CR184">
        <v>477</v>
      </c>
      <c r="CS184">
        <v>494</v>
      </c>
      <c r="CT184">
        <v>501</v>
      </c>
      <c r="CU184" s="1">
        <v>511</v>
      </c>
      <c r="CV184" s="1">
        <v>530</v>
      </c>
      <c r="CW184" s="1">
        <v>558</v>
      </c>
      <c r="CX184" s="1">
        <v>568</v>
      </c>
      <c r="CY184" s="1">
        <v>579</v>
      </c>
      <c r="CZ184" s="1">
        <v>603</v>
      </c>
      <c r="DA184" s="1">
        <v>607</v>
      </c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</row>
    <row r="185" spans="1:198" x14ac:dyDescent="0.4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  <c r="BS185">
        <v>31</v>
      </c>
      <c r="BT185">
        <v>33</v>
      </c>
      <c r="BU185">
        <v>43</v>
      </c>
      <c r="BV185">
        <v>57</v>
      </c>
      <c r="BW185">
        <v>71</v>
      </c>
      <c r="BX185">
        <v>79</v>
      </c>
      <c r="BY185">
        <v>94</v>
      </c>
      <c r="BZ185">
        <v>107</v>
      </c>
      <c r="CA185">
        <v>129</v>
      </c>
      <c r="CB185">
        <v>159</v>
      </c>
      <c r="CC185">
        <v>174</v>
      </c>
      <c r="CD185">
        <v>181</v>
      </c>
      <c r="CE185">
        <v>208</v>
      </c>
      <c r="CF185">
        <v>232</v>
      </c>
      <c r="CG185">
        <v>245</v>
      </c>
      <c r="CH185">
        <v>263</v>
      </c>
      <c r="CI185">
        <v>286</v>
      </c>
      <c r="CJ185">
        <v>314</v>
      </c>
      <c r="CK185">
        <v>332</v>
      </c>
      <c r="CL185">
        <v>347</v>
      </c>
      <c r="CM185">
        <v>360</v>
      </c>
      <c r="CN185">
        <v>380</v>
      </c>
      <c r="CO185">
        <v>401</v>
      </c>
      <c r="CP185">
        <v>426</v>
      </c>
      <c r="CQ185">
        <v>454</v>
      </c>
      <c r="CR185">
        <v>494</v>
      </c>
      <c r="CS185">
        <v>524</v>
      </c>
      <c r="CT185">
        <v>535</v>
      </c>
      <c r="CU185" s="1">
        <v>562</v>
      </c>
      <c r="CV185" s="1">
        <v>596</v>
      </c>
      <c r="CW185" s="1">
        <v>624</v>
      </c>
      <c r="CX185" s="1">
        <v>644</v>
      </c>
      <c r="CY185" s="1">
        <v>651</v>
      </c>
      <c r="CZ185" s="1">
        <v>664</v>
      </c>
      <c r="DA185" s="1">
        <v>678</v>
      </c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</row>
    <row r="186" spans="1:198" x14ac:dyDescent="0.4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  <c r="BS186">
        <v>140</v>
      </c>
      <c r="BT186">
        <v>160</v>
      </c>
      <c r="BU186">
        <v>187</v>
      </c>
      <c r="BV186">
        <v>209</v>
      </c>
      <c r="BW186">
        <v>246</v>
      </c>
      <c r="BX186">
        <v>266</v>
      </c>
      <c r="BY186">
        <v>295</v>
      </c>
      <c r="BZ186">
        <v>311</v>
      </c>
      <c r="CA186">
        <v>345</v>
      </c>
      <c r="CB186">
        <v>380</v>
      </c>
      <c r="CC186">
        <v>409</v>
      </c>
      <c r="CD186">
        <v>435</v>
      </c>
      <c r="CE186">
        <v>470</v>
      </c>
      <c r="CF186">
        <v>504</v>
      </c>
      <c r="CG186">
        <v>535</v>
      </c>
      <c r="CH186">
        <v>567</v>
      </c>
      <c r="CI186">
        <v>599</v>
      </c>
      <c r="CJ186">
        <v>629</v>
      </c>
      <c r="CK186">
        <v>657</v>
      </c>
      <c r="CL186">
        <v>687</v>
      </c>
      <c r="CM186">
        <v>714</v>
      </c>
      <c r="CN186">
        <v>735</v>
      </c>
      <c r="CO186">
        <v>762</v>
      </c>
      <c r="CP186">
        <v>785</v>
      </c>
      <c r="CQ186">
        <v>820</v>
      </c>
      <c r="CR186">
        <v>854</v>
      </c>
      <c r="CS186">
        <v>880</v>
      </c>
      <c r="CT186">
        <v>903</v>
      </c>
      <c r="CU186" s="1">
        <v>928</v>
      </c>
      <c r="CV186" s="1">
        <v>948</v>
      </c>
      <c r="CW186" s="1">
        <v>973</v>
      </c>
      <c r="CX186" s="1">
        <v>989</v>
      </c>
      <c r="CY186" s="1">
        <v>1007</v>
      </c>
      <c r="CZ186" s="1">
        <v>1023</v>
      </c>
      <c r="DA186" s="1">
        <v>1043</v>
      </c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</row>
    <row r="187" spans="1:198" x14ac:dyDescent="0.4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  <c r="BS187">
        <v>1</v>
      </c>
      <c r="BT187">
        <v>2</v>
      </c>
      <c r="BU187">
        <v>2</v>
      </c>
      <c r="BV187">
        <v>3</v>
      </c>
      <c r="BW187">
        <v>3</v>
      </c>
      <c r="BX187">
        <v>3</v>
      </c>
      <c r="BY187">
        <v>4</v>
      </c>
      <c r="BZ187">
        <v>4</v>
      </c>
      <c r="CA187">
        <v>6</v>
      </c>
      <c r="CB187">
        <v>6</v>
      </c>
      <c r="CC187">
        <v>6</v>
      </c>
      <c r="CD187">
        <v>6</v>
      </c>
      <c r="CE187">
        <v>6</v>
      </c>
      <c r="CF187">
        <v>7</v>
      </c>
      <c r="CG187">
        <v>7</v>
      </c>
      <c r="CH187">
        <v>7</v>
      </c>
      <c r="CI187">
        <v>7</v>
      </c>
      <c r="CJ187">
        <v>7</v>
      </c>
      <c r="CK187">
        <v>7</v>
      </c>
      <c r="CL187">
        <v>8</v>
      </c>
      <c r="CM187">
        <v>8</v>
      </c>
      <c r="CN187">
        <v>9</v>
      </c>
      <c r="CO187">
        <v>9</v>
      </c>
      <c r="CP187">
        <v>10</v>
      </c>
      <c r="CQ187">
        <v>10</v>
      </c>
      <c r="CR187">
        <v>10</v>
      </c>
      <c r="CS187">
        <v>10</v>
      </c>
      <c r="CT187">
        <v>10</v>
      </c>
      <c r="CU187" s="1">
        <v>10</v>
      </c>
      <c r="CV187" s="1">
        <v>10</v>
      </c>
      <c r="CW187" s="1">
        <v>10</v>
      </c>
      <c r="CX187" s="1">
        <v>10</v>
      </c>
      <c r="CY187" s="1">
        <v>12</v>
      </c>
      <c r="CZ187" s="1">
        <v>12</v>
      </c>
      <c r="DA187" s="1">
        <v>12</v>
      </c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</row>
    <row r="188" spans="1:198" x14ac:dyDescent="0.4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  <c r="BS188">
        <v>65</v>
      </c>
      <c r="BT188">
        <v>82</v>
      </c>
      <c r="BU188">
        <v>92</v>
      </c>
      <c r="BV188">
        <v>115</v>
      </c>
      <c r="BW188">
        <v>133</v>
      </c>
      <c r="BX188">
        <v>146</v>
      </c>
      <c r="BY188">
        <v>151</v>
      </c>
      <c r="BZ188">
        <v>176</v>
      </c>
      <c r="CA188">
        <v>197</v>
      </c>
      <c r="CB188">
        <v>220</v>
      </c>
      <c r="CC188">
        <v>248</v>
      </c>
      <c r="CD188">
        <v>270</v>
      </c>
      <c r="CE188">
        <v>291</v>
      </c>
      <c r="CF188">
        <v>316</v>
      </c>
      <c r="CG188">
        <v>331</v>
      </c>
      <c r="CH188">
        <v>351</v>
      </c>
      <c r="CI188">
        <v>372</v>
      </c>
      <c r="CJ188">
        <v>392</v>
      </c>
      <c r="CK188">
        <v>411</v>
      </c>
      <c r="CL188">
        <v>421</v>
      </c>
      <c r="CM188">
        <v>451</v>
      </c>
      <c r="CN188">
        <v>478</v>
      </c>
      <c r="CO188">
        <v>498</v>
      </c>
      <c r="CP188">
        <v>524</v>
      </c>
      <c r="CQ188">
        <v>545</v>
      </c>
      <c r="CR188">
        <v>567</v>
      </c>
      <c r="CS188">
        <v>601</v>
      </c>
      <c r="CT188">
        <v>619</v>
      </c>
      <c r="CU188" s="1">
        <v>641</v>
      </c>
      <c r="CV188" s="1">
        <v>663</v>
      </c>
      <c r="CW188" s="1">
        <v>693</v>
      </c>
      <c r="CX188" s="1">
        <v>717</v>
      </c>
      <c r="CY188" s="1">
        <v>744</v>
      </c>
      <c r="CZ188" s="1">
        <v>771</v>
      </c>
      <c r="DA188" s="1">
        <v>790</v>
      </c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</row>
    <row r="189" spans="1:198" x14ac:dyDescent="0.4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  <c r="BS189">
        <v>9</v>
      </c>
      <c r="BT189">
        <v>17</v>
      </c>
      <c r="BU189">
        <v>24</v>
      </c>
      <c r="BV189">
        <v>30</v>
      </c>
      <c r="BW189">
        <v>34</v>
      </c>
      <c r="BX189">
        <v>43</v>
      </c>
      <c r="BY189">
        <v>45</v>
      </c>
      <c r="BZ189">
        <v>47</v>
      </c>
      <c r="CA189">
        <v>58</v>
      </c>
      <c r="CB189">
        <v>63</v>
      </c>
      <c r="CC189">
        <v>76</v>
      </c>
      <c r="CD189">
        <v>94</v>
      </c>
      <c r="CE189">
        <v>106</v>
      </c>
      <c r="CF189">
        <v>130</v>
      </c>
      <c r="CG189">
        <v>148</v>
      </c>
      <c r="CH189">
        <v>170</v>
      </c>
      <c r="CI189">
        <v>198</v>
      </c>
      <c r="CJ189">
        <v>232</v>
      </c>
      <c r="CK189">
        <v>273</v>
      </c>
      <c r="CL189">
        <v>313</v>
      </c>
      <c r="CM189">
        <v>361</v>
      </c>
      <c r="CN189">
        <v>405</v>
      </c>
      <c r="CO189">
        <v>456</v>
      </c>
      <c r="CP189">
        <v>513</v>
      </c>
      <c r="CQ189">
        <v>555</v>
      </c>
      <c r="CR189">
        <v>615</v>
      </c>
      <c r="CS189">
        <v>681</v>
      </c>
      <c r="CT189">
        <v>747</v>
      </c>
      <c r="CU189" s="1">
        <v>794</v>
      </c>
      <c r="CV189" s="1">
        <v>867</v>
      </c>
      <c r="CW189" s="1">
        <v>972</v>
      </c>
      <c r="CX189" s="1">
        <v>1073</v>
      </c>
      <c r="CY189" s="1">
        <v>1169</v>
      </c>
      <c r="CZ189" s="1">
        <v>1222</v>
      </c>
      <c r="DA189" s="1">
        <v>1280</v>
      </c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</row>
    <row r="190" spans="1:198" x14ac:dyDescent="0.4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 s="1">
        <v>0</v>
      </c>
      <c r="CV190" s="1">
        <v>0</v>
      </c>
      <c r="CW190" s="1">
        <v>0</v>
      </c>
      <c r="CX190" s="1">
        <v>0</v>
      </c>
      <c r="CY190" s="1">
        <v>0</v>
      </c>
      <c r="CZ190" s="1">
        <v>0</v>
      </c>
      <c r="DA190" s="1">
        <v>0</v>
      </c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</row>
    <row r="191" spans="1:198" x14ac:dyDescent="0.4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 s="1">
        <v>0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A191" s="1">
        <v>0</v>
      </c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</row>
    <row r="192" spans="1:198" x14ac:dyDescent="0.4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 s="1">
        <v>0</v>
      </c>
      <c r="CV192" s="1">
        <v>0</v>
      </c>
      <c r="CW192" s="1">
        <v>0</v>
      </c>
      <c r="CX192" s="1">
        <v>0</v>
      </c>
      <c r="CY192" s="1">
        <v>0</v>
      </c>
      <c r="CZ192" s="1">
        <v>0</v>
      </c>
      <c r="DA192" s="1">
        <v>0</v>
      </c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</row>
    <row r="193" spans="1:198" x14ac:dyDescent="0.4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  <c r="BS193">
        <v>25</v>
      </c>
      <c r="BT193">
        <v>26</v>
      </c>
      <c r="BU193">
        <v>26</v>
      </c>
      <c r="BV193">
        <v>30</v>
      </c>
      <c r="BW193">
        <v>30</v>
      </c>
      <c r="BX193">
        <v>32</v>
      </c>
      <c r="BY193">
        <v>32</v>
      </c>
      <c r="BZ193">
        <v>32</v>
      </c>
      <c r="CA193">
        <v>34</v>
      </c>
      <c r="CB193">
        <v>34</v>
      </c>
      <c r="CC193">
        <v>34</v>
      </c>
      <c r="CD193">
        <v>34</v>
      </c>
      <c r="CE193">
        <v>35</v>
      </c>
      <c r="CF193">
        <v>35</v>
      </c>
      <c r="CG193">
        <v>35</v>
      </c>
      <c r="CH193">
        <v>36</v>
      </c>
      <c r="CI193">
        <v>36</v>
      </c>
      <c r="CJ193">
        <v>38</v>
      </c>
      <c r="CK193">
        <v>39</v>
      </c>
      <c r="CL193">
        <v>39</v>
      </c>
      <c r="CM193">
        <v>39</v>
      </c>
      <c r="CN193">
        <v>39</v>
      </c>
      <c r="CO193">
        <v>40</v>
      </c>
      <c r="CP193">
        <v>40</v>
      </c>
      <c r="CQ193">
        <v>40</v>
      </c>
      <c r="CR193">
        <v>40</v>
      </c>
      <c r="CS193">
        <v>40</v>
      </c>
      <c r="CT193">
        <v>41</v>
      </c>
      <c r="CU193" s="1">
        <v>41</v>
      </c>
      <c r="CV193" s="1">
        <v>41</v>
      </c>
      <c r="CW193" s="1">
        <v>41</v>
      </c>
      <c r="CX193" s="1">
        <v>41</v>
      </c>
      <c r="CY193" s="1">
        <v>41</v>
      </c>
      <c r="CZ193" s="1">
        <v>41</v>
      </c>
      <c r="DA193" s="1">
        <v>41</v>
      </c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</row>
    <row r="194" spans="1:198" x14ac:dyDescent="0.4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  <c r="BS194">
        <v>8</v>
      </c>
      <c r="BT194">
        <v>10</v>
      </c>
      <c r="BU194">
        <v>16</v>
      </c>
      <c r="BV194">
        <v>21</v>
      </c>
      <c r="BW194">
        <v>25</v>
      </c>
      <c r="BX194">
        <v>29</v>
      </c>
      <c r="BY194">
        <v>34</v>
      </c>
      <c r="BZ194">
        <v>38</v>
      </c>
      <c r="CA194">
        <v>41</v>
      </c>
      <c r="CB194">
        <v>41</v>
      </c>
      <c r="CC194">
        <v>44</v>
      </c>
      <c r="CD194">
        <v>47</v>
      </c>
      <c r="CE194">
        <v>52</v>
      </c>
      <c r="CF194">
        <v>59</v>
      </c>
      <c r="CG194">
        <v>65</v>
      </c>
      <c r="CH194">
        <v>73</v>
      </c>
      <c r="CI194">
        <v>79</v>
      </c>
      <c r="CJ194">
        <v>83</v>
      </c>
      <c r="CK194">
        <v>87</v>
      </c>
      <c r="CL194">
        <v>92</v>
      </c>
      <c r="CM194">
        <v>97</v>
      </c>
      <c r="CN194">
        <v>103</v>
      </c>
      <c r="CO194">
        <v>109</v>
      </c>
      <c r="CP194">
        <v>114</v>
      </c>
      <c r="CQ194">
        <v>121</v>
      </c>
      <c r="CR194">
        <v>127</v>
      </c>
      <c r="CS194">
        <v>136</v>
      </c>
      <c r="CT194">
        <v>139</v>
      </c>
      <c r="CU194" s="1">
        <v>144</v>
      </c>
      <c r="CV194" s="1">
        <v>152</v>
      </c>
      <c r="CW194" s="1">
        <v>157</v>
      </c>
      <c r="CX194" s="1">
        <v>162</v>
      </c>
      <c r="CY194" s="1">
        <v>169</v>
      </c>
      <c r="CZ194" s="1">
        <v>176</v>
      </c>
      <c r="DA194" s="1">
        <v>184</v>
      </c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</row>
    <row r="195" spans="1:198" x14ac:dyDescent="0.4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1</v>
      </c>
      <c r="BV195">
        <v>1</v>
      </c>
      <c r="BW195">
        <v>1</v>
      </c>
      <c r="BX195">
        <v>2</v>
      </c>
      <c r="BY195">
        <v>2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3</v>
      </c>
      <c r="CM195">
        <v>3</v>
      </c>
      <c r="CN195">
        <v>5</v>
      </c>
      <c r="CO195">
        <v>5</v>
      </c>
      <c r="CP195">
        <v>6</v>
      </c>
      <c r="CQ195">
        <v>6</v>
      </c>
      <c r="CR195">
        <v>7</v>
      </c>
      <c r="CS195">
        <v>7</v>
      </c>
      <c r="CT195">
        <v>9</v>
      </c>
      <c r="CU195" s="1">
        <v>9</v>
      </c>
      <c r="CV195" s="1">
        <v>9</v>
      </c>
      <c r="CW195" s="1">
        <v>9</v>
      </c>
      <c r="CX195" s="1">
        <v>9</v>
      </c>
      <c r="CY195" s="1">
        <v>9</v>
      </c>
      <c r="CZ195" s="1">
        <v>9</v>
      </c>
      <c r="DA195" s="1">
        <v>9</v>
      </c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</row>
    <row r="196" spans="1:198" x14ac:dyDescent="0.4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  <c r="BS196">
        <v>16</v>
      </c>
      <c r="BT196">
        <v>16</v>
      </c>
      <c r="BU196">
        <v>28</v>
      </c>
      <c r="BV196">
        <v>31</v>
      </c>
      <c r="BW196">
        <v>39</v>
      </c>
      <c r="BX196">
        <v>44</v>
      </c>
      <c r="BY196">
        <v>51</v>
      </c>
      <c r="BZ196">
        <v>58</v>
      </c>
      <c r="CA196">
        <v>61</v>
      </c>
      <c r="CB196">
        <v>65</v>
      </c>
      <c r="CC196">
        <v>66</v>
      </c>
      <c r="CD196">
        <v>71</v>
      </c>
      <c r="CE196">
        <v>74</v>
      </c>
      <c r="CF196">
        <v>80</v>
      </c>
      <c r="CG196">
        <v>85</v>
      </c>
      <c r="CH196">
        <v>94</v>
      </c>
      <c r="CI196">
        <v>99</v>
      </c>
      <c r="CJ196">
        <v>103</v>
      </c>
      <c r="CK196">
        <v>110</v>
      </c>
      <c r="CL196">
        <v>117</v>
      </c>
      <c r="CM196">
        <v>122</v>
      </c>
      <c r="CN196">
        <v>125</v>
      </c>
      <c r="CO196">
        <v>130</v>
      </c>
      <c r="CP196">
        <v>134</v>
      </c>
      <c r="CQ196">
        <v>139</v>
      </c>
      <c r="CR196">
        <v>144</v>
      </c>
      <c r="CS196">
        <v>151</v>
      </c>
      <c r="CT196">
        <v>156</v>
      </c>
      <c r="CU196" s="1">
        <v>162</v>
      </c>
      <c r="CV196" s="1">
        <v>168</v>
      </c>
      <c r="CW196" s="1">
        <v>173</v>
      </c>
      <c r="CX196" s="1">
        <v>179</v>
      </c>
      <c r="CY196" s="1">
        <v>179</v>
      </c>
      <c r="CZ196" s="1">
        <v>189</v>
      </c>
      <c r="DA196" s="1">
        <v>193</v>
      </c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</row>
    <row r="197" spans="1:198" x14ac:dyDescent="0.4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 s="1">
        <v>0</v>
      </c>
      <c r="CV197" s="1">
        <v>0</v>
      </c>
      <c r="CW197" s="1">
        <v>0</v>
      </c>
      <c r="CX197" s="1">
        <v>0</v>
      </c>
      <c r="CY197" s="1">
        <v>0</v>
      </c>
      <c r="CZ197" s="1">
        <v>0</v>
      </c>
      <c r="DA197" s="1">
        <v>0</v>
      </c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</row>
    <row r="198" spans="1:198" x14ac:dyDescent="0.4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  <c r="BS198">
        <v>3</v>
      </c>
      <c r="BT198">
        <v>3</v>
      </c>
      <c r="BU198">
        <v>3</v>
      </c>
      <c r="BV198">
        <v>4</v>
      </c>
      <c r="BW198">
        <v>5</v>
      </c>
      <c r="BX198">
        <v>6</v>
      </c>
      <c r="BY198">
        <v>6</v>
      </c>
      <c r="BZ198">
        <v>6</v>
      </c>
      <c r="CA198">
        <v>6</v>
      </c>
      <c r="CB198">
        <v>6</v>
      </c>
      <c r="CC198">
        <v>6</v>
      </c>
      <c r="CD198">
        <v>7</v>
      </c>
      <c r="CE198">
        <v>8</v>
      </c>
      <c r="CF198">
        <v>8</v>
      </c>
      <c r="CG198">
        <v>9</v>
      </c>
      <c r="CH198">
        <v>10</v>
      </c>
      <c r="CI198">
        <v>10</v>
      </c>
      <c r="CJ198">
        <v>10</v>
      </c>
      <c r="CK198">
        <v>11</v>
      </c>
      <c r="CL198">
        <v>11</v>
      </c>
      <c r="CM198">
        <v>11</v>
      </c>
      <c r="CN198">
        <v>11</v>
      </c>
      <c r="CO198">
        <v>11</v>
      </c>
      <c r="CP198">
        <v>12</v>
      </c>
      <c r="CQ198">
        <v>12</v>
      </c>
      <c r="CR198">
        <v>12</v>
      </c>
      <c r="CS198">
        <v>12</v>
      </c>
      <c r="CT198">
        <v>12</v>
      </c>
      <c r="CU198" s="1">
        <v>14</v>
      </c>
      <c r="CV198" s="1">
        <v>14</v>
      </c>
      <c r="CW198" s="1">
        <v>14</v>
      </c>
      <c r="CX198" s="1">
        <v>15</v>
      </c>
      <c r="CY198" s="1">
        <v>16</v>
      </c>
      <c r="CZ198" s="1">
        <v>17</v>
      </c>
      <c r="DA198" s="1">
        <v>18</v>
      </c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</row>
    <row r="199" spans="1:198" x14ac:dyDescent="0.4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1</v>
      </c>
      <c r="BV199">
        <v>1</v>
      </c>
      <c r="BW199">
        <v>1</v>
      </c>
      <c r="BX199">
        <v>1</v>
      </c>
      <c r="BY199">
        <v>1</v>
      </c>
      <c r="BZ199">
        <v>2</v>
      </c>
      <c r="CA199">
        <v>2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6</v>
      </c>
      <c r="CJ199">
        <v>8</v>
      </c>
      <c r="CK199">
        <v>9</v>
      </c>
      <c r="CL199">
        <v>11</v>
      </c>
      <c r="CM199">
        <v>12</v>
      </c>
      <c r="CN199">
        <v>13</v>
      </c>
      <c r="CO199">
        <v>14</v>
      </c>
      <c r="CP199">
        <v>14</v>
      </c>
      <c r="CQ199">
        <v>15</v>
      </c>
      <c r="CR199">
        <v>17</v>
      </c>
      <c r="CS199">
        <v>17</v>
      </c>
      <c r="CT199">
        <v>18</v>
      </c>
      <c r="CU199" s="1">
        <v>18</v>
      </c>
      <c r="CV199" s="1">
        <v>20</v>
      </c>
      <c r="CW199" s="1">
        <v>22</v>
      </c>
      <c r="CX199" s="1">
        <v>23</v>
      </c>
      <c r="CY199" s="1">
        <v>23</v>
      </c>
      <c r="CZ199" s="1">
        <v>24</v>
      </c>
      <c r="DA199" s="1">
        <v>24</v>
      </c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</row>
    <row r="200" spans="1:198" x14ac:dyDescent="0.4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  <c r="BS200">
        <v>11</v>
      </c>
      <c r="BT200">
        <v>15</v>
      </c>
      <c r="BU200">
        <v>15</v>
      </c>
      <c r="BV200">
        <v>17</v>
      </c>
      <c r="BW200">
        <v>20</v>
      </c>
      <c r="BX200">
        <v>22</v>
      </c>
      <c r="BY200">
        <v>28</v>
      </c>
      <c r="BZ200">
        <v>30</v>
      </c>
      <c r="CA200">
        <v>36</v>
      </c>
      <c r="CB200">
        <v>40</v>
      </c>
      <c r="CC200">
        <v>43</v>
      </c>
      <c r="CD200">
        <v>45</v>
      </c>
      <c r="CE200">
        <v>50</v>
      </c>
      <c r="CF200">
        <v>53</v>
      </c>
      <c r="CG200">
        <v>55</v>
      </c>
      <c r="CH200">
        <v>56</v>
      </c>
      <c r="CI200">
        <v>61</v>
      </c>
      <c r="CJ200">
        <v>61</v>
      </c>
      <c r="CK200">
        <v>66</v>
      </c>
      <c r="CL200">
        <v>70</v>
      </c>
      <c r="CM200">
        <v>74</v>
      </c>
      <c r="CN200">
        <v>77</v>
      </c>
      <c r="CO200">
        <v>77</v>
      </c>
      <c r="CP200">
        <v>79</v>
      </c>
      <c r="CQ200">
        <v>79</v>
      </c>
      <c r="CR200">
        <v>80</v>
      </c>
      <c r="CS200">
        <v>81</v>
      </c>
      <c r="CT200">
        <v>82</v>
      </c>
      <c r="CU200" s="1">
        <v>83</v>
      </c>
      <c r="CV200" s="1">
        <v>86</v>
      </c>
      <c r="CW200" s="1">
        <v>89</v>
      </c>
      <c r="CX200" s="1">
        <v>91</v>
      </c>
      <c r="CY200" s="1">
        <v>92</v>
      </c>
      <c r="CZ200" s="1">
        <v>94</v>
      </c>
      <c r="DA200" s="1">
        <v>96</v>
      </c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</row>
    <row r="201" spans="1:198" x14ac:dyDescent="0.4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1</v>
      </c>
      <c r="CC201">
        <v>1</v>
      </c>
      <c r="CD201">
        <v>1</v>
      </c>
      <c r="CE201">
        <v>1</v>
      </c>
      <c r="CF201">
        <v>1</v>
      </c>
      <c r="CG201">
        <v>2</v>
      </c>
      <c r="CH201">
        <v>2</v>
      </c>
      <c r="CI201">
        <v>5</v>
      </c>
      <c r="CJ201">
        <v>5</v>
      </c>
      <c r="CK201">
        <v>6</v>
      </c>
      <c r="CL201">
        <v>7</v>
      </c>
      <c r="CM201">
        <v>7</v>
      </c>
      <c r="CN201">
        <v>8</v>
      </c>
      <c r="CO201">
        <v>8</v>
      </c>
      <c r="CP201">
        <v>8</v>
      </c>
      <c r="CQ201">
        <v>16</v>
      </c>
      <c r="CR201">
        <v>16</v>
      </c>
      <c r="CS201">
        <v>18</v>
      </c>
      <c r="CT201">
        <v>23</v>
      </c>
      <c r="CU201" s="1">
        <v>26</v>
      </c>
      <c r="CV201" s="1">
        <v>28</v>
      </c>
      <c r="CW201" s="1">
        <v>28</v>
      </c>
      <c r="CX201" s="1">
        <v>28</v>
      </c>
      <c r="CY201" s="1">
        <v>28</v>
      </c>
      <c r="CZ201" s="1">
        <v>31</v>
      </c>
      <c r="DA201" s="1">
        <v>32</v>
      </c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</row>
    <row r="202" spans="1:198" x14ac:dyDescent="0.4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  <c r="BS202">
        <v>3</v>
      </c>
      <c r="BT202">
        <v>5</v>
      </c>
      <c r="BU202">
        <v>5</v>
      </c>
      <c r="BV202">
        <v>5</v>
      </c>
      <c r="BW202">
        <v>9</v>
      </c>
      <c r="BX202">
        <v>9</v>
      </c>
      <c r="BY202">
        <v>11</v>
      </c>
      <c r="BZ202">
        <v>12</v>
      </c>
      <c r="CA202">
        <v>13</v>
      </c>
      <c r="CB202">
        <v>18</v>
      </c>
      <c r="CC202">
        <v>18</v>
      </c>
      <c r="CD202">
        <v>24</v>
      </c>
      <c r="CE202">
        <v>25</v>
      </c>
      <c r="CF202">
        <v>25</v>
      </c>
      <c r="CG202">
        <v>27</v>
      </c>
      <c r="CH202">
        <v>27</v>
      </c>
      <c r="CI202">
        <v>34</v>
      </c>
      <c r="CJ202">
        <v>48</v>
      </c>
      <c r="CK202">
        <v>50</v>
      </c>
      <c r="CL202">
        <v>52</v>
      </c>
      <c r="CM202">
        <v>54</v>
      </c>
      <c r="CN202">
        <v>58</v>
      </c>
      <c r="CO202">
        <v>58</v>
      </c>
      <c r="CP202">
        <v>65</v>
      </c>
      <c r="CQ202">
        <v>75</v>
      </c>
      <c r="CR202">
        <v>79</v>
      </c>
      <c r="CS202">
        <v>86</v>
      </c>
      <c r="CT202">
        <v>87</v>
      </c>
      <c r="CU202" s="1">
        <v>90</v>
      </c>
      <c r="CV202" s="1">
        <v>93</v>
      </c>
      <c r="CW202" s="1">
        <v>103</v>
      </c>
      <c r="CX202" s="1">
        <v>103</v>
      </c>
      <c r="CY202" s="1">
        <v>116</v>
      </c>
      <c r="CZ202" s="1">
        <v>123</v>
      </c>
      <c r="DA202" s="1">
        <v>131</v>
      </c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</row>
    <row r="203" spans="1:198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  <c r="BS203">
        <v>7716</v>
      </c>
      <c r="BT203">
        <v>8464</v>
      </c>
      <c r="BU203">
        <v>9387</v>
      </c>
      <c r="BV203">
        <v>10348</v>
      </c>
      <c r="BW203">
        <v>11198</v>
      </c>
      <c r="BX203">
        <v>11947</v>
      </c>
      <c r="BY203">
        <v>12641</v>
      </c>
      <c r="BZ203">
        <v>13341</v>
      </c>
      <c r="CA203">
        <v>14045</v>
      </c>
      <c r="CB203">
        <v>14792</v>
      </c>
      <c r="CC203">
        <v>15447</v>
      </c>
      <c r="CD203">
        <v>16081</v>
      </c>
      <c r="CE203">
        <v>16606</v>
      </c>
      <c r="CF203">
        <v>17209</v>
      </c>
      <c r="CG203">
        <v>17756</v>
      </c>
      <c r="CH203">
        <v>18056</v>
      </c>
      <c r="CI203">
        <v>18708</v>
      </c>
      <c r="CJ203">
        <v>19315</v>
      </c>
      <c r="CK203">
        <v>20002</v>
      </c>
      <c r="CL203">
        <v>20043</v>
      </c>
      <c r="CM203">
        <v>20453</v>
      </c>
      <c r="CN203">
        <v>20852</v>
      </c>
      <c r="CO203">
        <v>21282</v>
      </c>
      <c r="CP203">
        <v>21717</v>
      </c>
      <c r="CQ203">
        <v>22157</v>
      </c>
      <c r="CR203">
        <v>22524</v>
      </c>
      <c r="CS203">
        <v>22902</v>
      </c>
      <c r="CT203">
        <v>23190</v>
      </c>
      <c r="CU203" s="1">
        <v>23521</v>
      </c>
      <c r="CV203" s="1">
        <v>23822</v>
      </c>
      <c r="CW203" s="1">
        <v>24275</v>
      </c>
      <c r="CX203" s="1">
        <v>24543</v>
      </c>
      <c r="CY203" s="1">
        <v>24543</v>
      </c>
      <c r="CZ203" s="1">
        <v>25100</v>
      </c>
      <c r="DA203" s="1">
        <v>25264</v>
      </c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</row>
    <row r="204" spans="1:198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  <c r="BS204">
        <v>2</v>
      </c>
      <c r="BT204">
        <v>2</v>
      </c>
      <c r="BU204">
        <v>3</v>
      </c>
      <c r="BV204">
        <v>4</v>
      </c>
      <c r="BW204">
        <v>4</v>
      </c>
      <c r="BX204">
        <v>5</v>
      </c>
      <c r="BY204">
        <v>5</v>
      </c>
      <c r="BZ204">
        <v>5</v>
      </c>
      <c r="CA204">
        <v>6</v>
      </c>
      <c r="CB204">
        <v>7</v>
      </c>
      <c r="CC204">
        <v>7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  <c r="CN204">
        <v>7</v>
      </c>
      <c r="CO204">
        <v>7</v>
      </c>
      <c r="CP204">
        <v>7</v>
      </c>
      <c r="CQ204">
        <v>7</v>
      </c>
      <c r="CR204">
        <v>7</v>
      </c>
      <c r="CS204">
        <v>7</v>
      </c>
      <c r="CT204">
        <v>7</v>
      </c>
      <c r="CU204" s="1">
        <v>7</v>
      </c>
      <c r="CV204" s="1">
        <v>7</v>
      </c>
      <c r="CW204" s="1">
        <v>7</v>
      </c>
      <c r="CX204" s="1">
        <v>7</v>
      </c>
      <c r="CY204" s="1">
        <v>7</v>
      </c>
      <c r="CZ204" s="1">
        <v>7</v>
      </c>
      <c r="DA204" s="1">
        <v>7</v>
      </c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</row>
    <row r="205" spans="1:198" x14ac:dyDescent="0.4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2</v>
      </c>
      <c r="BT205">
        <v>2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4</v>
      </c>
      <c r="CH205">
        <v>5</v>
      </c>
      <c r="CI205">
        <v>5</v>
      </c>
      <c r="CJ205">
        <v>5</v>
      </c>
      <c r="CK205">
        <v>6</v>
      </c>
      <c r="CL205">
        <v>10</v>
      </c>
      <c r="CM205">
        <v>10</v>
      </c>
      <c r="CN205">
        <v>12</v>
      </c>
      <c r="CO205">
        <v>12</v>
      </c>
      <c r="CP205">
        <v>13</v>
      </c>
      <c r="CQ205">
        <v>16</v>
      </c>
      <c r="CR205">
        <v>16</v>
      </c>
      <c r="CS205">
        <v>17</v>
      </c>
      <c r="CT205">
        <v>21</v>
      </c>
      <c r="CU205" s="1">
        <v>22</v>
      </c>
      <c r="CV205" s="1">
        <v>25</v>
      </c>
      <c r="CW205" s="1">
        <v>28</v>
      </c>
      <c r="CX205" s="1">
        <v>31</v>
      </c>
      <c r="CY205" s="1">
        <v>36</v>
      </c>
      <c r="CZ205" s="1">
        <v>41</v>
      </c>
      <c r="DA205" s="1">
        <v>41</v>
      </c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</row>
    <row r="206" spans="1:198" x14ac:dyDescent="0.4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1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  <c r="CN206">
        <v>1</v>
      </c>
      <c r="CO206">
        <v>1</v>
      </c>
      <c r="CP206">
        <v>1</v>
      </c>
      <c r="CQ206">
        <v>1</v>
      </c>
      <c r="CR206">
        <v>1</v>
      </c>
      <c r="CS206">
        <v>1</v>
      </c>
      <c r="CT206">
        <v>1</v>
      </c>
      <c r="CU206" s="1">
        <v>1</v>
      </c>
      <c r="CV206" s="1">
        <v>1</v>
      </c>
      <c r="CW206" s="1">
        <v>1</v>
      </c>
      <c r="CX206" s="1">
        <v>1</v>
      </c>
      <c r="CY206" s="1">
        <v>1</v>
      </c>
      <c r="CZ206" s="1">
        <v>1</v>
      </c>
      <c r="DA206" s="1">
        <v>1</v>
      </c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</row>
    <row r="207" spans="1:198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  <c r="BS207">
        <v>146</v>
      </c>
      <c r="BT207">
        <v>180</v>
      </c>
      <c r="BU207">
        <v>239</v>
      </c>
      <c r="BV207">
        <v>308</v>
      </c>
      <c r="BW207">
        <v>358</v>
      </c>
      <c r="BX207">
        <v>373</v>
      </c>
      <c r="BY207">
        <v>401</v>
      </c>
      <c r="BZ207">
        <v>477</v>
      </c>
      <c r="CA207">
        <v>591</v>
      </c>
      <c r="CB207">
        <v>687</v>
      </c>
      <c r="CC207">
        <v>793</v>
      </c>
      <c r="CD207">
        <v>870</v>
      </c>
      <c r="CE207">
        <v>887</v>
      </c>
      <c r="CF207">
        <v>899</v>
      </c>
      <c r="CG207">
        <v>919</v>
      </c>
      <c r="CH207">
        <v>1033</v>
      </c>
      <c r="CI207">
        <v>1203</v>
      </c>
      <c r="CJ207">
        <v>1333</v>
      </c>
      <c r="CK207">
        <v>1400</v>
      </c>
      <c r="CL207">
        <v>1511</v>
      </c>
      <c r="CM207">
        <v>1540</v>
      </c>
      <c r="CN207">
        <v>1580</v>
      </c>
      <c r="CO207">
        <v>1765</v>
      </c>
      <c r="CP207">
        <v>1937</v>
      </c>
      <c r="CQ207">
        <v>2021</v>
      </c>
      <c r="CR207">
        <v>2152</v>
      </c>
      <c r="CS207">
        <v>2192</v>
      </c>
      <c r="CT207">
        <v>2194</v>
      </c>
      <c r="CU207" s="1">
        <v>2274</v>
      </c>
      <c r="CV207" s="1">
        <v>2355</v>
      </c>
      <c r="CW207" s="1">
        <v>2462</v>
      </c>
      <c r="CX207" s="1">
        <v>2586</v>
      </c>
      <c r="CY207" s="1">
        <v>2653</v>
      </c>
      <c r="CZ207" s="1">
        <v>2669</v>
      </c>
      <c r="DA207" s="1">
        <v>2679</v>
      </c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</row>
    <row r="208" spans="1:198" x14ac:dyDescent="0.4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  <c r="BS208">
        <v>359</v>
      </c>
      <c r="BT208">
        <v>433</v>
      </c>
      <c r="BU208">
        <v>488</v>
      </c>
      <c r="BV208">
        <v>536</v>
      </c>
      <c r="BW208">
        <v>591</v>
      </c>
      <c r="BX208">
        <v>666</v>
      </c>
      <c r="BY208">
        <v>715</v>
      </c>
      <c r="BZ208">
        <v>765</v>
      </c>
      <c r="CA208">
        <v>821</v>
      </c>
      <c r="CB208">
        <v>895</v>
      </c>
      <c r="CC208">
        <v>948</v>
      </c>
      <c r="CD208">
        <v>1002</v>
      </c>
      <c r="CE208">
        <v>1036</v>
      </c>
      <c r="CF208">
        <v>1106</v>
      </c>
      <c r="CG208">
        <v>1138</v>
      </c>
      <c r="CH208">
        <v>1174</v>
      </c>
      <c r="CI208">
        <v>1239</v>
      </c>
      <c r="CJ208">
        <v>1281</v>
      </c>
      <c r="CK208">
        <v>1327</v>
      </c>
      <c r="CL208">
        <v>1368</v>
      </c>
      <c r="CM208">
        <v>1393</v>
      </c>
      <c r="CN208">
        <v>1429</v>
      </c>
      <c r="CO208">
        <v>1478</v>
      </c>
      <c r="CP208">
        <v>1509</v>
      </c>
      <c r="CQ208">
        <v>1549</v>
      </c>
      <c r="CR208">
        <v>1589</v>
      </c>
      <c r="CS208">
        <v>1599</v>
      </c>
      <c r="CT208">
        <v>1610</v>
      </c>
      <c r="CU208" s="1">
        <v>1665</v>
      </c>
      <c r="CV208" s="1">
        <v>1699</v>
      </c>
      <c r="CW208" s="1">
        <v>1716</v>
      </c>
      <c r="CX208" s="1">
        <v>1737</v>
      </c>
      <c r="CY208" s="1">
        <v>1754</v>
      </c>
      <c r="CZ208" s="1">
        <v>1762</v>
      </c>
      <c r="DA208" s="1">
        <v>1762</v>
      </c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</row>
    <row r="209" spans="1:198" x14ac:dyDescent="0.4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5</v>
      </c>
      <c r="BT209">
        <v>5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6</v>
      </c>
      <c r="CE209">
        <v>6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  <c r="CM209">
        <v>6</v>
      </c>
      <c r="CN209">
        <v>6</v>
      </c>
      <c r="CO209">
        <v>6</v>
      </c>
      <c r="CP209">
        <v>6</v>
      </c>
      <c r="CQ209">
        <v>6</v>
      </c>
      <c r="CR209">
        <v>6</v>
      </c>
      <c r="CS209">
        <v>6</v>
      </c>
      <c r="CT209">
        <v>6</v>
      </c>
      <c r="CU209" s="1">
        <v>6</v>
      </c>
      <c r="CV209" s="1">
        <v>6</v>
      </c>
      <c r="CW209" s="1">
        <v>6</v>
      </c>
      <c r="CX209" s="1">
        <v>6</v>
      </c>
      <c r="CY209" s="1">
        <v>6</v>
      </c>
      <c r="CZ209" s="1">
        <v>6</v>
      </c>
      <c r="DA209" s="1">
        <v>6</v>
      </c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</row>
    <row r="210" spans="1:198" x14ac:dyDescent="0.4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1</v>
      </c>
      <c r="BU210">
        <v>1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3</v>
      </c>
      <c r="CE210">
        <v>3</v>
      </c>
      <c r="CF210">
        <v>3</v>
      </c>
      <c r="CG210">
        <v>3</v>
      </c>
      <c r="CH210">
        <v>3</v>
      </c>
      <c r="CI210">
        <v>4</v>
      </c>
      <c r="CJ210">
        <v>4</v>
      </c>
      <c r="CK210">
        <v>5</v>
      </c>
      <c r="CL210">
        <v>5</v>
      </c>
      <c r="CM210">
        <v>7</v>
      </c>
      <c r="CN210">
        <v>10</v>
      </c>
      <c r="CO210">
        <v>10</v>
      </c>
      <c r="CP210">
        <v>10</v>
      </c>
      <c r="CQ210">
        <v>10</v>
      </c>
      <c r="CR210">
        <v>10</v>
      </c>
      <c r="CS210">
        <v>10</v>
      </c>
      <c r="CT210">
        <v>10</v>
      </c>
      <c r="CU210" s="1">
        <v>10</v>
      </c>
      <c r="CV210" s="1">
        <v>10</v>
      </c>
      <c r="CW210" s="1">
        <v>16</v>
      </c>
      <c r="CX210" s="1">
        <v>16</v>
      </c>
      <c r="CY210" s="1">
        <v>16</v>
      </c>
      <c r="CZ210" s="1">
        <v>16</v>
      </c>
      <c r="DA210" s="1">
        <v>16</v>
      </c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</row>
    <row r="211" spans="1:198" x14ac:dyDescent="0.4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  <c r="BS211">
        <v>9</v>
      </c>
      <c r="BT211">
        <v>10</v>
      </c>
      <c r="BU211">
        <v>12</v>
      </c>
      <c r="BV211">
        <v>15</v>
      </c>
      <c r="BW211">
        <v>19</v>
      </c>
      <c r="BX211">
        <v>20</v>
      </c>
      <c r="BY211">
        <v>23</v>
      </c>
      <c r="BZ211">
        <v>26</v>
      </c>
      <c r="CA211">
        <v>27</v>
      </c>
      <c r="CB211">
        <v>30</v>
      </c>
      <c r="CC211">
        <v>32</v>
      </c>
      <c r="CD211">
        <v>33</v>
      </c>
      <c r="CE211">
        <v>35</v>
      </c>
      <c r="CF211">
        <v>38</v>
      </c>
      <c r="CG211">
        <v>40</v>
      </c>
      <c r="CH211">
        <v>41</v>
      </c>
      <c r="CI211">
        <v>43</v>
      </c>
      <c r="CJ211">
        <v>46</v>
      </c>
      <c r="CK211">
        <v>47</v>
      </c>
      <c r="CL211">
        <v>47</v>
      </c>
      <c r="CM211">
        <v>47</v>
      </c>
      <c r="CN211">
        <v>47</v>
      </c>
      <c r="CO211">
        <v>48</v>
      </c>
      <c r="CP211">
        <v>49</v>
      </c>
      <c r="CQ211">
        <v>50</v>
      </c>
      <c r="CR211">
        <v>51</v>
      </c>
      <c r="CS211">
        <v>51</v>
      </c>
      <c r="CT211">
        <v>51</v>
      </c>
      <c r="CU211" s="1">
        <v>52</v>
      </c>
      <c r="CV211" s="1">
        <v>54</v>
      </c>
      <c r="CW211" s="1">
        <v>54</v>
      </c>
      <c r="CX211" s="1">
        <v>54</v>
      </c>
      <c r="CY211" s="1">
        <v>54</v>
      </c>
      <c r="CZ211" s="1">
        <v>54</v>
      </c>
      <c r="DA211" s="1">
        <v>54</v>
      </c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</row>
    <row r="212" spans="1:198" x14ac:dyDescent="0.4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  <c r="BS212">
        <v>1</v>
      </c>
      <c r="BT212">
        <v>1</v>
      </c>
      <c r="BU212">
        <v>2</v>
      </c>
      <c r="BV212">
        <v>2</v>
      </c>
      <c r="BW212">
        <v>3</v>
      </c>
      <c r="BX212">
        <v>3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5</v>
      </c>
      <c r="CK212">
        <v>5</v>
      </c>
      <c r="CL212">
        <v>5</v>
      </c>
      <c r="CM212">
        <v>5</v>
      </c>
      <c r="CN212">
        <v>6</v>
      </c>
      <c r="CO212">
        <v>6</v>
      </c>
      <c r="CP212">
        <v>6</v>
      </c>
      <c r="CQ212">
        <v>6</v>
      </c>
      <c r="CR212">
        <v>6</v>
      </c>
      <c r="CS212">
        <v>6</v>
      </c>
      <c r="CT212">
        <v>6</v>
      </c>
      <c r="CU212" s="1">
        <v>6</v>
      </c>
      <c r="CV212" s="1">
        <v>6</v>
      </c>
      <c r="CW212" s="1">
        <v>7</v>
      </c>
      <c r="CX212" s="1">
        <v>9</v>
      </c>
      <c r="CY212" s="1">
        <v>9</v>
      </c>
      <c r="CZ212" s="1">
        <v>9</v>
      </c>
      <c r="DA212" s="1">
        <v>9</v>
      </c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</row>
    <row r="213" spans="1:198" x14ac:dyDescent="0.4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  <c r="BS213">
        <v>3</v>
      </c>
      <c r="BT213">
        <v>3</v>
      </c>
      <c r="BU213">
        <v>5</v>
      </c>
      <c r="BV213">
        <v>5</v>
      </c>
      <c r="BW213">
        <v>6</v>
      </c>
      <c r="BX213">
        <v>6</v>
      </c>
      <c r="BY213">
        <v>7</v>
      </c>
      <c r="BZ213">
        <v>8</v>
      </c>
      <c r="CA213">
        <v>8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  <c r="CN213">
        <v>8</v>
      </c>
      <c r="CO213">
        <v>8</v>
      </c>
      <c r="CP213">
        <v>8</v>
      </c>
      <c r="CQ213">
        <v>8</v>
      </c>
      <c r="CR213">
        <v>8</v>
      </c>
      <c r="CS213">
        <v>8</v>
      </c>
      <c r="CT213">
        <v>8</v>
      </c>
      <c r="CU213" s="1">
        <v>8</v>
      </c>
      <c r="CV213" s="1">
        <v>8</v>
      </c>
      <c r="CW213" s="1">
        <v>8</v>
      </c>
      <c r="CX213" s="1">
        <v>8</v>
      </c>
      <c r="CY213" s="1">
        <v>8</v>
      </c>
      <c r="CZ213" s="1">
        <v>8</v>
      </c>
      <c r="DA213" s="1">
        <v>8</v>
      </c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</row>
    <row r="214" spans="1:198" x14ac:dyDescent="0.4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  <c r="BS214">
        <v>8</v>
      </c>
      <c r="BT214">
        <v>10</v>
      </c>
      <c r="BU214">
        <v>12</v>
      </c>
      <c r="BV214">
        <v>14</v>
      </c>
      <c r="BW214">
        <v>18</v>
      </c>
      <c r="BX214">
        <v>18</v>
      </c>
      <c r="BY214">
        <v>22</v>
      </c>
      <c r="BZ214">
        <v>22</v>
      </c>
      <c r="CA214">
        <v>23</v>
      </c>
      <c r="CB214">
        <v>24</v>
      </c>
      <c r="CC214">
        <v>25</v>
      </c>
      <c r="CD214">
        <v>25</v>
      </c>
      <c r="CE214">
        <v>28</v>
      </c>
      <c r="CF214">
        <v>31</v>
      </c>
      <c r="CG214">
        <v>34</v>
      </c>
      <c r="CH214">
        <v>34</v>
      </c>
      <c r="CI214">
        <v>35</v>
      </c>
      <c r="CJ214">
        <v>37</v>
      </c>
      <c r="CK214">
        <v>37</v>
      </c>
      <c r="CL214">
        <v>37</v>
      </c>
      <c r="CM214">
        <v>38</v>
      </c>
      <c r="CN214">
        <v>38</v>
      </c>
      <c r="CO214">
        <v>38</v>
      </c>
      <c r="CP214">
        <v>38</v>
      </c>
      <c r="CQ214">
        <v>38</v>
      </c>
      <c r="CR214">
        <v>38</v>
      </c>
      <c r="CS214">
        <v>38</v>
      </c>
      <c r="CT214">
        <v>38</v>
      </c>
      <c r="CU214" s="1">
        <v>39</v>
      </c>
      <c r="CV214" s="1">
        <v>40</v>
      </c>
      <c r="CW214" s="1">
        <v>40</v>
      </c>
      <c r="CX214" s="1">
        <v>41</v>
      </c>
      <c r="CY214" s="1">
        <v>41</v>
      </c>
      <c r="CZ214" s="1">
        <v>42</v>
      </c>
      <c r="DA214" s="1">
        <v>42</v>
      </c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</row>
    <row r="215" spans="1:198" x14ac:dyDescent="0.4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  <c r="BS215">
        <v>168</v>
      </c>
      <c r="BT215">
        <v>214</v>
      </c>
      <c r="BU215">
        <v>277</v>
      </c>
      <c r="BV215">
        <v>356</v>
      </c>
      <c r="BW215">
        <v>425</v>
      </c>
      <c r="BX215">
        <v>501</v>
      </c>
      <c r="BY215">
        <v>574</v>
      </c>
      <c r="BZ215">
        <v>649</v>
      </c>
      <c r="CA215">
        <v>725</v>
      </c>
      <c r="CB215">
        <v>812</v>
      </c>
      <c r="CC215">
        <v>908</v>
      </c>
      <c r="CD215">
        <v>1006</v>
      </c>
      <c r="CE215">
        <v>1101</v>
      </c>
      <c r="CF215">
        <v>1198</v>
      </c>
      <c r="CG215">
        <v>1296</v>
      </c>
      <c r="CH215">
        <v>1403</v>
      </c>
      <c r="CI215">
        <v>1518</v>
      </c>
      <c r="CJ215">
        <v>1643</v>
      </c>
      <c r="CK215">
        <v>1769</v>
      </c>
      <c r="CL215">
        <v>1890</v>
      </c>
      <c r="CM215">
        <v>2017</v>
      </c>
      <c r="CN215">
        <v>2140</v>
      </c>
      <c r="CO215">
        <v>2259</v>
      </c>
      <c r="CP215">
        <v>2376</v>
      </c>
      <c r="CQ215">
        <v>2491</v>
      </c>
      <c r="CR215">
        <v>2600</v>
      </c>
      <c r="CS215">
        <v>2706</v>
      </c>
      <c r="CT215">
        <v>2805</v>
      </c>
      <c r="CU215" s="1">
        <v>2900</v>
      </c>
      <c r="CV215" s="1">
        <v>2992</v>
      </c>
      <c r="CW215" s="1">
        <v>3081</v>
      </c>
      <c r="CX215" s="1">
        <v>3174</v>
      </c>
      <c r="CY215" s="1">
        <v>3258</v>
      </c>
      <c r="CZ215" s="1">
        <v>3336</v>
      </c>
      <c r="DA215" s="1">
        <v>3397</v>
      </c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</row>
    <row r="216" spans="1:198" x14ac:dyDescent="0.4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 s="1">
        <v>0</v>
      </c>
      <c r="CV216" s="1">
        <v>0</v>
      </c>
      <c r="CW216" s="1">
        <v>0</v>
      </c>
      <c r="CX216" s="1">
        <v>0</v>
      </c>
      <c r="CY216" s="1">
        <v>0</v>
      </c>
      <c r="CZ216" s="1">
        <v>0</v>
      </c>
      <c r="DA216" s="1">
        <v>0</v>
      </c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</row>
    <row r="217" spans="1:198" x14ac:dyDescent="0.4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  <c r="BS217">
        <v>13</v>
      </c>
      <c r="BT217">
        <v>17</v>
      </c>
      <c r="BU217">
        <v>20</v>
      </c>
      <c r="BV217">
        <v>22</v>
      </c>
      <c r="BW217">
        <v>27</v>
      </c>
      <c r="BX217">
        <v>32</v>
      </c>
      <c r="BY217">
        <v>37</v>
      </c>
      <c r="BZ217">
        <v>38</v>
      </c>
      <c r="CA217">
        <v>45</v>
      </c>
      <c r="CB217">
        <v>52</v>
      </c>
      <c r="CC217">
        <v>57</v>
      </c>
      <c r="CD217">
        <v>69</v>
      </c>
      <c r="CE217">
        <v>73</v>
      </c>
      <c r="CF217">
        <v>83</v>
      </c>
      <c r="CG217">
        <v>93</v>
      </c>
      <c r="CH217">
        <v>98</v>
      </c>
      <c r="CI217">
        <v>108</v>
      </c>
      <c r="CJ217">
        <v>116</v>
      </c>
      <c r="CK217">
        <v>125</v>
      </c>
      <c r="CL217">
        <v>133</v>
      </c>
      <c r="CM217">
        <v>141</v>
      </c>
      <c r="CN217">
        <v>151</v>
      </c>
      <c r="CO217">
        <v>161</v>
      </c>
      <c r="CP217">
        <v>174</v>
      </c>
      <c r="CQ217">
        <v>187</v>
      </c>
      <c r="CR217">
        <v>201</v>
      </c>
      <c r="CS217">
        <v>201</v>
      </c>
      <c r="CT217">
        <v>209</v>
      </c>
      <c r="CU217" s="1">
        <v>220</v>
      </c>
      <c r="CV217" s="1">
        <v>239</v>
      </c>
      <c r="CW217" s="1">
        <v>250</v>
      </c>
      <c r="CX217" s="1">
        <v>261</v>
      </c>
      <c r="CY217" s="1">
        <v>272</v>
      </c>
      <c r="CZ217" s="1">
        <v>279</v>
      </c>
      <c r="DA217" s="1">
        <v>288</v>
      </c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</row>
    <row r="218" spans="1:198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  <c r="BS218">
        <v>5</v>
      </c>
      <c r="BT218">
        <v>6</v>
      </c>
      <c r="BU218">
        <v>8</v>
      </c>
      <c r="BV218">
        <v>8</v>
      </c>
      <c r="BW218">
        <v>9</v>
      </c>
      <c r="BX218">
        <v>10</v>
      </c>
      <c r="BY218">
        <v>10</v>
      </c>
      <c r="BZ218">
        <v>11</v>
      </c>
      <c r="CA218">
        <v>12</v>
      </c>
      <c r="CB218">
        <v>12</v>
      </c>
      <c r="CC218">
        <v>14</v>
      </c>
      <c r="CD218">
        <v>16</v>
      </c>
      <c r="CE218">
        <v>20</v>
      </c>
      <c r="CF218">
        <v>22</v>
      </c>
      <c r="CG218">
        <v>25</v>
      </c>
      <c r="CH218">
        <v>28</v>
      </c>
      <c r="CI218">
        <v>33</v>
      </c>
      <c r="CJ218">
        <v>35</v>
      </c>
      <c r="CK218">
        <v>37</v>
      </c>
      <c r="CL218">
        <v>37</v>
      </c>
      <c r="CM218">
        <v>41</v>
      </c>
      <c r="CN218">
        <v>43</v>
      </c>
      <c r="CO218">
        <v>46</v>
      </c>
      <c r="CP218">
        <v>52</v>
      </c>
      <c r="CQ218">
        <v>56</v>
      </c>
      <c r="CR218">
        <v>64</v>
      </c>
      <c r="CS218">
        <v>71</v>
      </c>
      <c r="CT218">
        <v>76</v>
      </c>
      <c r="CU218" s="1">
        <v>82</v>
      </c>
      <c r="CV218" s="1">
        <v>89</v>
      </c>
      <c r="CW218" s="1">
        <v>98</v>
      </c>
      <c r="CX218" s="1">
        <v>105</v>
      </c>
      <c r="CY218" s="1">
        <v>111</v>
      </c>
      <c r="CZ218" s="1">
        <v>119</v>
      </c>
      <c r="DA218" s="1">
        <v>126</v>
      </c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</row>
    <row r="219" spans="1:198" x14ac:dyDescent="0.4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2</v>
      </c>
      <c r="CA219">
        <v>2</v>
      </c>
      <c r="CB219">
        <v>3</v>
      </c>
      <c r="CC219">
        <v>4</v>
      </c>
      <c r="CD219">
        <v>4</v>
      </c>
      <c r="CE219">
        <v>4</v>
      </c>
      <c r="CF219">
        <v>4</v>
      </c>
      <c r="CG219">
        <v>5</v>
      </c>
      <c r="CH219">
        <v>5</v>
      </c>
      <c r="CI219">
        <v>5</v>
      </c>
      <c r="CJ219">
        <v>5</v>
      </c>
      <c r="CK219">
        <v>5</v>
      </c>
      <c r="CL219">
        <v>5</v>
      </c>
      <c r="CM219">
        <v>5</v>
      </c>
      <c r="CN219">
        <v>5</v>
      </c>
      <c r="CO219">
        <v>5</v>
      </c>
      <c r="CP219">
        <v>5</v>
      </c>
      <c r="CQ219">
        <v>5</v>
      </c>
      <c r="CR219">
        <v>5</v>
      </c>
      <c r="CS219">
        <v>5</v>
      </c>
      <c r="CT219">
        <v>5</v>
      </c>
      <c r="CU219" s="1">
        <v>6</v>
      </c>
      <c r="CV219" s="1">
        <v>6</v>
      </c>
      <c r="CW219" s="1">
        <v>6</v>
      </c>
      <c r="CX219" s="1">
        <v>6</v>
      </c>
      <c r="CY219" s="1">
        <v>6</v>
      </c>
      <c r="CZ219" s="1">
        <v>7</v>
      </c>
      <c r="DA219" s="1">
        <v>7</v>
      </c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</row>
    <row r="220" spans="1:198" x14ac:dyDescent="0.4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  <c r="CN220">
        <v>1</v>
      </c>
      <c r="CO220">
        <v>1</v>
      </c>
      <c r="CP220">
        <v>1</v>
      </c>
      <c r="CQ220">
        <v>1</v>
      </c>
      <c r="CR220">
        <v>1</v>
      </c>
      <c r="CS220">
        <v>1</v>
      </c>
      <c r="CT220">
        <v>1</v>
      </c>
      <c r="CU220" s="1">
        <v>1</v>
      </c>
      <c r="CV220" s="1">
        <v>1</v>
      </c>
      <c r="CW220" s="1">
        <v>1</v>
      </c>
      <c r="CX220" s="1">
        <v>1</v>
      </c>
      <c r="CY220" s="1">
        <v>1</v>
      </c>
      <c r="CZ220" s="1">
        <v>1</v>
      </c>
      <c r="DA220" s="1">
        <v>1</v>
      </c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</row>
    <row r="221" spans="1:198" x14ac:dyDescent="0.4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  <c r="BS221">
        <v>2</v>
      </c>
      <c r="BT221">
        <v>3</v>
      </c>
      <c r="BU221">
        <v>3</v>
      </c>
      <c r="BV221">
        <v>3</v>
      </c>
      <c r="BW221">
        <v>4</v>
      </c>
      <c r="BX221">
        <v>5</v>
      </c>
      <c r="BY221">
        <v>6</v>
      </c>
      <c r="BZ221">
        <v>7</v>
      </c>
      <c r="CA221">
        <v>7</v>
      </c>
      <c r="CB221">
        <v>8</v>
      </c>
      <c r="CC221">
        <v>8</v>
      </c>
      <c r="CD221">
        <v>9</v>
      </c>
      <c r="CE221">
        <v>9</v>
      </c>
      <c r="CF221">
        <v>9</v>
      </c>
      <c r="CG221">
        <v>9</v>
      </c>
      <c r="CH221">
        <v>13</v>
      </c>
      <c r="CI221">
        <v>15</v>
      </c>
      <c r="CJ221">
        <v>19</v>
      </c>
      <c r="CK221">
        <v>20</v>
      </c>
      <c r="CL221">
        <v>21</v>
      </c>
      <c r="CM221">
        <v>21</v>
      </c>
      <c r="CN221">
        <v>24</v>
      </c>
      <c r="CO221">
        <v>24</v>
      </c>
      <c r="CP221">
        <v>28</v>
      </c>
      <c r="CQ221">
        <v>29</v>
      </c>
      <c r="CR221">
        <v>34</v>
      </c>
      <c r="CS221">
        <v>35</v>
      </c>
      <c r="CT221">
        <v>35</v>
      </c>
      <c r="CU221" s="1">
        <v>35</v>
      </c>
      <c r="CV221" s="1">
        <v>36</v>
      </c>
      <c r="CW221" s="1">
        <v>38</v>
      </c>
      <c r="CX221" s="1">
        <v>40</v>
      </c>
      <c r="CY221" s="1">
        <v>41</v>
      </c>
      <c r="CZ221" s="1">
        <v>41</v>
      </c>
      <c r="DA221" s="1">
        <v>41</v>
      </c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</row>
    <row r="222" spans="1:198" x14ac:dyDescent="0.4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 s="1">
        <v>0</v>
      </c>
      <c r="CV222" s="1">
        <v>0</v>
      </c>
      <c r="CW222" s="1">
        <v>0</v>
      </c>
      <c r="CX222" s="1">
        <v>0</v>
      </c>
      <c r="CY222" s="1">
        <v>0</v>
      </c>
      <c r="CZ222" s="1">
        <v>0</v>
      </c>
      <c r="DA222" s="1">
        <v>0</v>
      </c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</row>
    <row r="223" spans="1:198" x14ac:dyDescent="0.4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1</v>
      </c>
      <c r="BV223">
        <v>1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2</v>
      </c>
      <c r="CF223">
        <v>2</v>
      </c>
      <c r="CG223">
        <v>2</v>
      </c>
      <c r="CH223">
        <v>2</v>
      </c>
      <c r="CI223">
        <v>4</v>
      </c>
      <c r="CJ223">
        <v>4</v>
      </c>
      <c r="CK223">
        <v>4</v>
      </c>
      <c r="CL223">
        <v>6</v>
      </c>
      <c r="CM223">
        <v>6</v>
      </c>
      <c r="CN223">
        <v>9</v>
      </c>
      <c r="CO223">
        <v>9</v>
      </c>
      <c r="CP223">
        <v>15</v>
      </c>
      <c r="CQ223">
        <v>16</v>
      </c>
      <c r="CR223">
        <v>18</v>
      </c>
      <c r="CS223">
        <v>18</v>
      </c>
      <c r="CT223">
        <v>18</v>
      </c>
      <c r="CU223" s="1">
        <v>20</v>
      </c>
      <c r="CV223" s="1">
        <v>21</v>
      </c>
      <c r="CW223" s="1">
        <v>21</v>
      </c>
      <c r="CX223" s="1">
        <v>21</v>
      </c>
      <c r="CY223" s="1">
        <v>22</v>
      </c>
      <c r="CZ223" s="1">
        <v>22</v>
      </c>
      <c r="DA223" s="1">
        <v>22</v>
      </c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</row>
    <row r="224" spans="1:198" x14ac:dyDescent="0.4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>
        <v>1</v>
      </c>
      <c r="CT224">
        <v>1</v>
      </c>
      <c r="CU224" s="1">
        <v>1</v>
      </c>
      <c r="CV224" s="1">
        <v>1</v>
      </c>
      <c r="CW224" s="1">
        <v>1</v>
      </c>
      <c r="CX224" s="1">
        <v>1</v>
      </c>
      <c r="CY224" s="1">
        <v>1</v>
      </c>
      <c r="CZ224" s="1">
        <v>1</v>
      </c>
      <c r="DA224" s="1">
        <v>1</v>
      </c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</row>
    <row r="225" spans="1:198" x14ac:dyDescent="0.4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1</v>
      </c>
      <c r="AV225">
        <v>2</v>
      </c>
      <c r="AW225">
        <v>2</v>
      </c>
      <c r="AX225">
        <v>3</v>
      </c>
      <c r="AY225">
        <v>7</v>
      </c>
      <c r="AZ225">
        <v>7</v>
      </c>
      <c r="BA225">
        <v>9</v>
      </c>
      <c r="BB225">
        <v>10</v>
      </c>
      <c r="BC225">
        <v>28</v>
      </c>
      <c r="BD225">
        <v>43</v>
      </c>
      <c r="BE225">
        <v>65</v>
      </c>
      <c r="BF225">
        <v>81</v>
      </c>
      <c r="BG225">
        <v>115</v>
      </c>
      <c r="BH225">
        <v>158</v>
      </c>
      <c r="BI225">
        <v>194</v>
      </c>
      <c r="BJ225">
        <v>250</v>
      </c>
      <c r="BK225">
        <v>285</v>
      </c>
      <c r="BL225">
        <v>359</v>
      </c>
      <c r="BM225">
        <v>508</v>
      </c>
      <c r="BN225">
        <v>694</v>
      </c>
      <c r="BO225">
        <v>877</v>
      </c>
      <c r="BP225">
        <v>1161</v>
      </c>
      <c r="BQ225">
        <v>1455</v>
      </c>
      <c r="BR225">
        <v>1669</v>
      </c>
      <c r="BS225">
        <v>2043</v>
      </c>
      <c r="BT225">
        <v>2425</v>
      </c>
      <c r="BU225">
        <v>3095</v>
      </c>
      <c r="BV225">
        <v>3747</v>
      </c>
      <c r="BW225">
        <v>4461</v>
      </c>
      <c r="BX225">
        <v>5221</v>
      </c>
      <c r="BY225">
        <v>5865</v>
      </c>
      <c r="BZ225">
        <v>6433</v>
      </c>
      <c r="CA225">
        <v>7471</v>
      </c>
      <c r="CB225">
        <v>8505</v>
      </c>
      <c r="CC225">
        <v>9608</v>
      </c>
      <c r="CD225">
        <v>10760</v>
      </c>
      <c r="CE225">
        <v>11599</v>
      </c>
      <c r="CF225">
        <v>12285</v>
      </c>
      <c r="CG225">
        <v>13029</v>
      </c>
      <c r="CH225">
        <v>14073</v>
      </c>
      <c r="CI225">
        <v>14915</v>
      </c>
      <c r="CJ225">
        <v>15944</v>
      </c>
      <c r="CK225">
        <v>16879</v>
      </c>
      <c r="CL225">
        <v>17994</v>
      </c>
      <c r="CM225">
        <v>18492</v>
      </c>
      <c r="CN225">
        <v>19051</v>
      </c>
      <c r="CO225">
        <v>20223</v>
      </c>
      <c r="CP225">
        <v>21060</v>
      </c>
      <c r="CQ225">
        <v>21787</v>
      </c>
      <c r="CR225">
        <v>22792</v>
      </c>
      <c r="CS225">
        <v>23635</v>
      </c>
      <c r="CT225">
        <v>24055</v>
      </c>
      <c r="CU225" s="1">
        <v>24393</v>
      </c>
      <c r="CV225" s="1">
        <v>25302</v>
      </c>
      <c r="CW225" s="1">
        <v>26097</v>
      </c>
      <c r="CX225" s="1">
        <v>26771</v>
      </c>
      <c r="CY225" s="1">
        <v>27510</v>
      </c>
      <c r="CZ225" s="1">
        <v>28131</v>
      </c>
      <c r="DA225" s="1">
        <v>28446</v>
      </c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</row>
    <row r="226" spans="1:198" x14ac:dyDescent="0.4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  <c r="BS226">
        <v>1</v>
      </c>
      <c r="BT226">
        <v>1</v>
      </c>
      <c r="BU226">
        <v>2</v>
      </c>
      <c r="BV226">
        <v>4</v>
      </c>
      <c r="BW226">
        <v>4</v>
      </c>
      <c r="BX226">
        <v>5</v>
      </c>
      <c r="BY226">
        <v>5</v>
      </c>
      <c r="BZ226">
        <v>6</v>
      </c>
      <c r="CA226">
        <v>7</v>
      </c>
      <c r="CB226">
        <v>7</v>
      </c>
      <c r="CC226">
        <v>7</v>
      </c>
      <c r="CD226">
        <v>7</v>
      </c>
      <c r="CE226">
        <v>7</v>
      </c>
      <c r="CF226">
        <v>7</v>
      </c>
      <c r="CG226">
        <v>8</v>
      </c>
      <c r="CH226">
        <v>8</v>
      </c>
      <c r="CI226">
        <v>8</v>
      </c>
      <c r="CJ226">
        <v>9</v>
      </c>
      <c r="CK226">
        <v>9</v>
      </c>
      <c r="CL226">
        <v>9</v>
      </c>
      <c r="CM226">
        <v>10</v>
      </c>
      <c r="CN226">
        <v>10</v>
      </c>
      <c r="CO226">
        <v>11</v>
      </c>
      <c r="CP226">
        <v>12</v>
      </c>
      <c r="CQ226">
        <v>12</v>
      </c>
      <c r="CR226">
        <v>12</v>
      </c>
      <c r="CS226">
        <v>14</v>
      </c>
      <c r="CT226">
        <v>15</v>
      </c>
      <c r="CU226" s="1">
        <v>15</v>
      </c>
      <c r="CV226" s="1">
        <v>15</v>
      </c>
      <c r="CW226" s="1">
        <v>15</v>
      </c>
      <c r="CX226" s="1">
        <v>17</v>
      </c>
      <c r="CY226" s="1">
        <v>17</v>
      </c>
      <c r="CZ226" s="1">
        <v>17</v>
      </c>
      <c r="DA226" s="1">
        <v>17</v>
      </c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</row>
    <row r="227" spans="1:198" x14ac:dyDescent="0.4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41</v>
      </c>
      <c r="BB227">
        <v>49</v>
      </c>
      <c r="BC227">
        <v>58</v>
      </c>
      <c r="BD227">
        <v>73</v>
      </c>
      <c r="BE227">
        <v>99</v>
      </c>
      <c r="BF227">
        <v>133</v>
      </c>
      <c r="BG227">
        <v>164</v>
      </c>
      <c r="BH227">
        <v>258</v>
      </c>
      <c r="BI227">
        <v>349</v>
      </c>
      <c r="BJ227">
        <v>442</v>
      </c>
      <c r="BK227">
        <v>586</v>
      </c>
      <c r="BL227">
        <v>786</v>
      </c>
      <c r="BM227">
        <v>1008</v>
      </c>
      <c r="BN227">
        <v>1316</v>
      </c>
      <c r="BO227">
        <v>1726</v>
      </c>
      <c r="BP227">
        <v>2265</v>
      </c>
      <c r="BQ227">
        <v>2731</v>
      </c>
      <c r="BR227">
        <v>3420</v>
      </c>
      <c r="BS227">
        <v>4192</v>
      </c>
      <c r="BT227">
        <v>5367</v>
      </c>
      <c r="BU227">
        <v>6501</v>
      </c>
      <c r="BV227">
        <v>7921</v>
      </c>
      <c r="BW227">
        <v>9246</v>
      </c>
      <c r="BX227">
        <v>10855</v>
      </c>
      <c r="BY227">
        <v>12375</v>
      </c>
      <c r="BZ227">
        <v>13894</v>
      </c>
      <c r="CA227">
        <v>16191</v>
      </c>
      <c r="CB227">
        <v>18270</v>
      </c>
      <c r="CC227">
        <v>20255</v>
      </c>
      <c r="CD227">
        <v>22333</v>
      </c>
      <c r="CE227">
        <v>24342</v>
      </c>
      <c r="CF227">
        <v>26086</v>
      </c>
      <c r="CG227">
        <v>27870</v>
      </c>
      <c r="CH227">
        <v>30262</v>
      </c>
      <c r="CI227">
        <v>32734</v>
      </c>
      <c r="CJ227">
        <v>34827</v>
      </c>
      <c r="CK227">
        <v>37411</v>
      </c>
      <c r="CL227">
        <v>39753</v>
      </c>
      <c r="CM227">
        <v>40945</v>
      </c>
      <c r="CN227">
        <v>42659</v>
      </c>
      <c r="CO227">
        <v>45086</v>
      </c>
      <c r="CP227">
        <v>47412</v>
      </c>
      <c r="CQ227">
        <v>49724</v>
      </c>
      <c r="CR227">
        <v>51493</v>
      </c>
      <c r="CS227">
        <v>53755</v>
      </c>
      <c r="CT227">
        <v>54881</v>
      </c>
      <c r="CU227" s="1">
        <v>56259</v>
      </c>
      <c r="CV227" s="1">
        <v>58355</v>
      </c>
      <c r="CW227" s="1">
        <v>60967</v>
      </c>
      <c r="CX227" s="1">
        <v>62996</v>
      </c>
      <c r="CY227" s="1">
        <v>64943</v>
      </c>
      <c r="CZ227" s="1">
        <v>66369</v>
      </c>
      <c r="DA227" s="1">
        <v>67682</v>
      </c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</row>
    <row r="228" spans="1:198" x14ac:dyDescent="0.4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3</v>
      </c>
      <c r="CC228">
        <v>3</v>
      </c>
      <c r="CD228">
        <v>3</v>
      </c>
      <c r="CE228">
        <v>4</v>
      </c>
      <c r="CF228">
        <v>4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5</v>
      </c>
      <c r="CM228">
        <v>5</v>
      </c>
      <c r="CN228">
        <v>5</v>
      </c>
      <c r="CO228">
        <v>6</v>
      </c>
      <c r="CP228">
        <v>7</v>
      </c>
      <c r="CQ228">
        <v>7</v>
      </c>
      <c r="CR228">
        <v>8</v>
      </c>
      <c r="CS228">
        <v>8</v>
      </c>
      <c r="CT228">
        <v>8</v>
      </c>
      <c r="CU228" s="1">
        <v>8</v>
      </c>
      <c r="CV228" s="1">
        <v>8</v>
      </c>
      <c r="CW228" s="1">
        <v>9</v>
      </c>
      <c r="CX228" s="1">
        <v>9</v>
      </c>
      <c r="CY228" s="1">
        <v>9</v>
      </c>
      <c r="CZ228" s="1">
        <v>9</v>
      </c>
      <c r="DA228" s="1">
        <v>10</v>
      </c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</row>
    <row r="229" spans="1:198" x14ac:dyDescent="0.4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  <c r="BS229">
        <v>3</v>
      </c>
      <c r="BT229">
        <v>3</v>
      </c>
      <c r="BU229">
        <v>3</v>
      </c>
      <c r="BV229">
        <v>5</v>
      </c>
      <c r="BW229">
        <v>7</v>
      </c>
      <c r="BX229">
        <v>7</v>
      </c>
      <c r="BY229">
        <v>7</v>
      </c>
      <c r="BZ229">
        <v>7</v>
      </c>
      <c r="CA229">
        <v>7</v>
      </c>
      <c r="CB229">
        <v>9</v>
      </c>
      <c r="CC229">
        <v>9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  <c r="CM229">
        <v>9</v>
      </c>
      <c r="CN229">
        <v>9</v>
      </c>
      <c r="CO229">
        <v>10</v>
      </c>
      <c r="CP229">
        <v>10</v>
      </c>
      <c r="CQ229">
        <v>10</v>
      </c>
      <c r="CR229">
        <v>10</v>
      </c>
      <c r="CS229">
        <v>10</v>
      </c>
      <c r="CT229">
        <v>10</v>
      </c>
      <c r="CU229" s="1">
        <v>10</v>
      </c>
      <c r="CV229" s="1">
        <v>10</v>
      </c>
      <c r="CW229" s="1">
        <v>10</v>
      </c>
      <c r="CX229" s="1">
        <v>16</v>
      </c>
      <c r="CY229" s="1">
        <v>10</v>
      </c>
      <c r="CZ229" s="1">
        <v>10</v>
      </c>
      <c r="DA229" s="1">
        <v>10</v>
      </c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</row>
    <row r="230" spans="1:198" x14ac:dyDescent="0.4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 s="1">
        <v>0</v>
      </c>
      <c r="CV230" s="1">
        <v>0</v>
      </c>
      <c r="CW230" s="1">
        <v>0</v>
      </c>
      <c r="CX230" s="1">
        <v>0</v>
      </c>
      <c r="CY230" s="1">
        <v>0</v>
      </c>
      <c r="CZ230" s="1">
        <v>0</v>
      </c>
      <c r="DA230" s="1">
        <v>0</v>
      </c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</row>
    <row r="231" spans="1:198" x14ac:dyDescent="0.4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1</v>
      </c>
      <c r="BW231">
        <v>1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2</v>
      </c>
      <c r="CE231">
        <v>2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  <c r="CM231">
        <v>3</v>
      </c>
      <c r="CN231">
        <v>3</v>
      </c>
      <c r="CO231">
        <v>3</v>
      </c>
      <c r="CP231">
        <v>3</v>
      </c>
      <c r="CQ231">
        <v>3</v>
      </c>
      <c r="CR231">
        <v>3</v>
      </c>
      <c r="CS231">
        <v>3</v>
      </c>
      <c r="CT231">
        <v>3</v>
      </c>
      <c r="CU231" s="1">
        <v>3</v>
      </c>
      <c r="CV231" s="1">
        <v>3</v>
      </c>
      <c r="CW231" s="1">
        <v>3</v>
      </c>
      <c r="CX231" s="1">
        <v>3</v>
      </c>
      <c r="CY231" s="1">
        <v>3</v>
      </c>
      <c r="CZ231" s="1">
        <v>3</v>
      </c>
      <c r="DA231" s="1">
        <v>3</v>
      </c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</row>
    <row r="232" spans="1:198" x14ac:dyDescent="0.4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2</v>
      </c>
      <c r="CB232">
        <v>3</v>
      </c>
      <c r="CC232">
        <v>3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  <c r="CM232">
        <v>3</v>
      </c>
      <c r="CN232">
        <v>3</v>
      </c>
      <c r="CO232">
        <v>3</v>
      </c>
      <c r="CP232">
        <v>4</v>
      </c>
      <c r="CQ232">
        <v>4</v>
      </c>
      <c r="CR232">
        <v>4</v>
      </c>
      <c r="CS232">
        <v>4</v>
      </c>
      <c r="CT232">
        <v>4</v>
      </c>
      <c r="CU232" s="1">
        <v>4</v>
      </c>
      <c r="CV232" s="1">
        <v>4</v>
      </c>
      <c r="CW232" s="1">
        <v>4</v>
      </c>
      <c r="CX232" s="1">
        <v>4</v>
      </c>
      <c r="CY232" s="1">
        <v>4</v>
      </c>
      <c r="CZ232" s="1">
        <v>4</v>
      </c>
      <c r="DA232" s="1">
        <v>4</v>
      </c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</row>
    <row r="233" spans="1:198" x14ac:dyDescent="0.4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1</v>
      </c>
      <c r="CJ233">
        <v>1</v>
      </c>
      <c r="CK233">
        <v>1</v>
      </c>
      <c r="CL233">
        <v>1</v>
      </c>
      <c r="CM233">
        <v>1</v>
      </c>
      <c r="CN233">
        <v>1</v>
      </c>
      <c r="CO233">
        <v>1</v>
      </c>
      <c r="CP233">
        <v>1</v>
      </c>
      <c r="CQ233">
        <v>1</v>
      </c>
      <c r="CR233">
        <v>1</v>
      </c>
      <c r="CS233">
        <v>1</v>
      </c>
      <c r="CT233">
        <v>1</v>
      </c>
      <c r="CU233" s="1">
        <v>1</v>
      </c>
      <c r="CV233" s="1">
        <v>1</v>
      </c>
      <c r="CW233" s="1">
        <v>1</v>
      </c>
      <c r="CX233" s="1">
        <v>1</v>
      </c>
      <c r="CY233" s="1">
        <v>1</v>
      </c>
      <c r="CZ233" s="1">
        <v>1</v>
      </c>
      <c r="DA233" s="1">
        <v>1</v>
      </c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</row>
    <row r="234" spans="1:198" x14ac:dyDescent="0.4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 s="1">
        <v>0</v>
      </c>
      <c r="CV234" s="1">
        <v>0</v>
      </c>
      <c r="CW234" s="1">
        <v>0</v>
      </c>
      <c r="CX234" s="1">
        <v>0</v>
      </c>
      <c r="CY234" s="1">
        <v>0</v>
      </c>
      <c r="CZ234" s="1">
        <v>0</v>
      </c>
      <c r="DA234" s="1">
        <v>0</v>
      </c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</row>
    <row r="235" spans="1:198" x14ac:dyDescent="0.4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 s="1">
        <v>0</v>
      </c>
      <c r="CV235" s="1">
        <v>0</v>
      </c>
      <c r="CW235" s="1">
        <v>0</v>
      </c>
      <c r="CX235" s="1">
        <v>0</v>
      </c>
      <c r="CY235" s="1">
        <v>0</v>
      </c>
      <c r="CZ235" s="1">
        <v>0</v>
      </c>
      <c r="DA235" s="1">
        <v>0</v>
      </c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</row>
    <row r="236" spans="1:198" x14ac:dyDescent="0.4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 s="1">
        <v>0</v>
      </c>
      <c r="CV236" s="1">
        <v>0</v>
      </c>
      <c r="CW236" s="1">
        <v>0</v>
      </c>
      <c r="CX236" s="1">
        <v>0</v>
      </c>
      <c r="CY236" s="1">
        <v>0</v>
      </c>
      <c r="CZ236" s="1">
        <v>0</v>
      </c>
      <c r="DA236" s="1">
        <v>0</v>
      </c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</row>
    <row r="237" spans="1:198" x14ac:dyDescent="0.4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  <c r="BS237">
        <v>2</v>
      </c>
      <c r="BT237">
        <v>2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  <c r="CM237">
        <v>3</v>
      </c>
      <c r="CN237">
        <v>3</v>
      </c>
      <c r="CO237">
        <v>3</v>
      </c>
      <c r="CP237">
        <v>3</v>
      </c>
      <c r="CQ237">
        <v>3</v>
      </c>
      <c r="CR237">
        <v>3</v>
      </c>
      <c r="CS237">
        <v>3</v>
      </c>
      <c r="CT237">
        <v>3</v>
      </c>
      <c r="CU237" s="1">
        <v>3</v>
      </c>
      <c r="CV237" s="1">
        <v>3</v>
      </c>
      <c r="CW237" s="1">
        <v>3</v>
      </c>
      <c r="CX237" s="1">
        <v>3</v>
      </c>
      <c r="CY237" s="1">
        <v>3</v>
      </c>
      <c r="CZ237" s="1">
        <v>3</v>
      </c>
      <c r="DA237" s="1">
        <v>3</v>
      </c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</row>
    <row r="238" spans="1:198" x14ac:dyDescent="0.4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 s="1">
        <v>0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A238" s="1">
        <v>0</v>
      </c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</row>
    <row r="239" spans="1:198" x14ac:dyDescent="0.45">
      <c r="A239" s="1" t="s">
        <v>2</v>
      </c>
      <c r="B239" s="1" t="s">
        <v>248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1</v>
      </c>
      <c r="CA239">
        <v>1</v>
      </c>
      <c r="CB239">
        <v>1</v>
      </c>
      <c r="CC239">
        <v>1</v>
      </c>
      <c r="CD239">
        <v>2</v>
      </c>
      <c r="CE239">
        <v>2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  <c r="CM239">
        <v>2</v>
      </c>
      <c r="CN239">
        <v>2</v>
      </c>
      <c r="CO239">
        <v>2</v>
      </c>
      <c r="CP239">
        <v>2</v>
      </c>
      <c r="CQ239">
        <v>2</v>
      </c>
      <c r="CR239">
        <v>2</v>
      </c>
      <c r="CS239">
        <v>2</v>
      </c>
      <c r="CT239">
        <v>2</v>
      </c>
      <c r="CU239" s="1">
        <v>2</v>
      </c>
      <c r="CV239" s="1">
        <v>2</v>
      </c>
      <c r="CW239" s="1">
        <v>2</v>
      </c>
      <c r="CX239" s="1">
        <v>2</v>
      </c>
      <c r="CY239" s="1">
        <v>2</v>
      </c>
      <c r="CZ239" s="1">
        <v>2</v>
      </c>
      <c r="DA239" s="1">
        <v>2</v>
      </c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</row>
    <row r="240" spans="1:198" x14ac:dyDescent="0.4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 s="1">
        <v>0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A240" s="1">
        <v>0</v>
      </c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</row>
    <row r="241" spans="1:198" x14ac:dyDescent="0.45">
      <c r="A241" s="1" t="s">
        <v>2</v>
      </c>
      <c r="B241" s="1" t="s">
        <v>249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 s="1">
        <v>0</v>
      </c>
      <c r="CV241" s="1">
        <v>0</v>
      </c>
      <c r="CW241" s="1">
        <v>0</v>
      </c>
      <c r="CX241" s="1">
        <v>0</v>
      </c>
      <c r="CY241" s="1">
        <v>0</v>
      </c>
      <c r="CZ241" s="1">
        <v>0</v>
      </c>
      <c r="DA241" s="1">
        <v>0</v>
      </c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</row>
    <row r="242" spans="1:198" x14ac:dyDescent="0.45">
      <c r="A242" s="1" t="s">
        <v>2</v>
      </c>
      <c r="B242" s="1" t="s">
        <v>250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1</v>
      </c>
      <c r="BW242">
        <v>1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  <c r="CN242">
        <v>1</v>
      </c>
      <c r="CO242">
        <v>1</v>
      </c>
      <c r="CP242">
        <v>1</v>
      </c>
      <c r="CQ242">
        <v>2</v>
      </c>
      <c r="CR242">
        <v>2</v>
      </c>
      <c r="CS242">
        <v>2</v>
      </c>
      <c r="CT242">
        <v>2</v>
      </c>
      <c r="CU242" s="1">
        <v>2</v>
      </c>
      <c r="CV242" s="1">
        <v>2</v>
      </c>
      <c r="CW242" s="1">
        <v>2</v>
      </c>
      <c r="CX242" s="1">
        <v>3</v>
      </c>
      <c r="CY242" s="1">
        <v>3</v>
      </c>
      <c r="CZ242" s="1">
        <v>3</v>
      </c>
      <c r="DA242" s="1">
        <v>3</v>
      </c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</row>
    <row r="243" spans="1:198" x14ac:dyDescent="0.45">
      <c r="A243" s="1" t="s">
        <v>2</v>
      </c>
      <c r="B243" s="1" t="s">
        <v>251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2</v>
      </c>
      <c r="CE243">
        <v>2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  <c r="CM243">
        <v>3</v>
      </c>
      <c r="CN243">
        <v>3</v>
      </c>
      <c r="CO243">
        <v>4</v>
      </c>
      <c r="CP243">
        <v>4</v>
      </c>
      <c r="CQ243">
        <v>4</v>
      </c>
      <c r="CR243">
        <v>4</v>
      </c>
      <c r="CS243">
        <v>2</v>
      </c>
      <c r="CT243">
        <v>2</v>
      </c>
      <c r="CU243" s="1">
        <v>2</v>
      </c>
      <c r="CV243" s="1">
        <v>2</v>
      </c>
      <c r="CW243" s="1">
        <v>2</v>
      </c>
      <c r="CX243" s="1">
        <v>2</v>
      </c>
      <c r="CY243" s="1">
        <v>2</v>
      </c>
      <c r="CZ243" s="1">
        <v>2</v>
      </c>
      <c r="DA243" s="1">
        <v>2</v>
      </c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</row>
    <row r="244" spans="1:198" x14ac:dyDescent="0.45">
      <c r="A244" s="1" t="s">
        <v>2</v>
      </c>
      <c r="B244" s="1" t="s">
        <v>252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1</v>
      </c>
      <c r="CU244" s="1">
        <v>1</v>
      </c>
      <c r="CV244" s="1">
        <v>1</v>
      </c>
      <c r="CW244" s="1">
        <v>1</v>
      </c>
      <c r="CX244" s="1">
        <v>1</v>
      </c>
      <c r="CY244" s="1">
        <v>1</v>
      </c>
      <c r="CZ244" s="1">
        <v>1</v>
      </c>
      <c r="DA244" s="1">
        <v>1</v>
      </c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</row>
    <row r="245" spans="1:198" x14ac:dyDescent="0.45">
      <c r="A245" s="1" t="s">
        <v>2</v>
      </c>
      <c r="B245" s="1" t="s">
        <v>253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  <c r="BS245">
        <v>2</v>
      </c>
      <c r="BT245">
        <v>2</v>
      </c>
      <c r="BU245">
        <v>3</v>
      </c>
      <c r="BV245">
        <v>3</v>
      </c>
      <c r="BW245">
        <v>3</v>
      </c>
      <c r="BX245">
        <v>3</v>
      </c>
      <c r="BY245">
        <v>5</v>
      </c>
      <c r="BZ245">
        <v>5</v>
      </c>
      <c r="CA245">
        <v>5</v>
      </c>
      <c r="CB245">
        <v>7</v>
      </c>
      <c r="CC245">
        <v>7</v>
      </c>
      <c r="CD245">
        <v>7</v>
      </c>
      <c r="CE245">
        <v>7</v>
      </c>
      <c r="CF245">
        <v>9</v>
      </c>
      <c r="CG245">
        <v>10</v>
      </c>
      <c r="CH245">
        <v>13</v>
      </c>
      <c r="CI245">
        <v>13</v>
      </c>
      <c r="CJ245">
        <v>13</v>
      </c>
      <c r="CK245">
        <v>13</v>
      </c>
      <c r="CL245">
        <v>13</v>
      </c>
      <c r="CM245">
        <v>14</v>
      </c>
      <c r="CN245">
        <v>14</v>
      </c>
      <c r="CO245">
        <v>14</v>
      </c>
      <c r="CP245">
        <v>17</v>
      </c>
      <c r="CQ245">
        <v>21</v>
      </c>
      <c r="CR245">
        <v>21</v>
      </c>
      <c r="CS245">
        <v>21</v>
      </c>
      <c r="CT245">
        <v>23</v>
      </c>
      <c r="CU245" s="1">
        <v>23</v>
      </c>
      <c r="CV245" s="1">
        <v>24</v>
      </c>
      <c r="CW245" s="1">
        <v>25</v>
      </c>
      <c r="CX245" s="1">
        <v>26</v>
      </c>
      <c r="CY245" s="1">
        <v>26</v>
      </c>
      <c r="CZ245" s="1">
        <v>26</v>
      </c>
      <c r="DA245" s="1">
        <v>27</v>
      </c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</row>
    <row r="246" spans="1:198" x14ac:dyDescent="0.45">
      <c r="A246" s="1" t="s">
        <v>2</v>
      </c>
      <c r="B246" s="1" t="s">
        <v>254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 s="1">
        <v>0</v>
      </c>
      <c r="CV246" s="1">
        <v>0</v>
      </c>
      <c r="CW246" s="1">
        <v>0</v>
      </c>
      <c r="CX246" s="1">
        <v>0</v>
      </c>
      <c r="CY246" s="1">
        <v>0</v>
      </c>
      <c r="CZ246" s="1">
        <v>0</v>
      </c>
      <c r="DA246" s="1">
        <v>0</v>
      </c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</row>
    <row r="247" spans="1:198" x14ac:dyDescent="0.45">
      <c r="A247" s="1" t="s">
        <v>356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 s="1">
        <v>0</v>
      </c>
      <c r="CV247" s="1">
        <v>0</v>
      </c>
      <c r="CW247" s="1">
        <v>0</v>
      </c>
      <c r="CX247" s="1">
        <v>0</v>
      </c>
      <c r="CY247" s="1">
        <v>0</v>
      </c>
      <c r="CZ247" s="1">
        <v>0</v>
      </c>
      <c r="DA247" s="1">
        <v>0</v>
      </c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</row>
    <row r="248" spans="1:198" x14ac:dyDescent="0.45">
      <c r="A248" s="1" t="s">
        <v>357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 s="1">
        <v>0</v>
      </c>
      <c r="CV248" s="1">
        <v>0</v>
      </c>
      <c r="CW248" s="1">
        <v>0</v>
      </c>
      <c r="CX248" s="1">
        <v>0</v>
      </c>
      <c r="CY248" s="1">
        <v>0</v>
      </c>
      <c r="CZ248" s="1">
        <v>0</v>
      </c>
      <c r="DA248" s="1">
        <v>0</v>
      </c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</row>
    <row r="249" spans="1:198" x14ac:dyDescent="0.4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4</v>
      </c>
      <c r="CB249">
        <v>5</v>
      </c>
      <c r="CC249">
        <v>5</v>
      </c>
      <c r="CD249">
        <v>7</v>
      </c>
      <c r="CE249">
        <v>7</v>
      </c>
      <c r="CF249">
        <v>7</v>
      </c>
      <c r="CG249">
        <v>7</v>
      </c>
      <c r="CH249">
        <v>8</v>
      </c>
      <c r="CI249">
        <v>8</v>
      </c>
      <c r="CJ249">
        <v>11</v>
      </c>
      <c r="CK249">
        <v>12</v>
      </c>
      <c r="CL249">
        <v>12</v>
      </c>
      <c r="CM249">
        <v>12</v>
      </c>
      <c r="CN249">
        <v>15</v>
      </c>
      <c r="CO249">
        <v>18</v>
      </c>
      <c r="CP249">
        <v>18</v>
      </c>
      <c r="CQ249">
        <v>19</v>
      </c>
      <c r="CR249">
        <v>19</v>
      </c>
      <c r="CS249">
        <v>20</v>
      </c>
      <c r="CT249">
        <v>21</v>
      </c>
      <c r="CU249" s="1">
        <v>22</v>
      </c>
      <c r="CV249" s="1">
        <v>22</v>
      </c>
      <c r="CW249" s="1">
        <v>22</v>
      </c>
      <c r="CX249" s="1">
        <v>22</v>
      </c>
      <c r="CY249" s="1">
        <v>22</v>
      </c>
      <c r="CZ249" s="1">
        <v>22</v>
      </c>
      <c r="DA249" s="1">
        <v>22</v>
      </c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</row>
    <row r="250" spans="1:198" x14ac:dyDescent="0.45">
      <c r="A250" s="1" t="s">
        <v>2</v>
      </c>
      <c r="B250" s="1" t="s">
        <v>359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1</v>
      </c>
      <c r="BU250">
        <v>1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3</v>
      </c>
      <c r="CC250">
        <v>3</v>
      </c>
      <c r="CD250">
        <v>3</v>
      </c>
      <c r="CE250">
        <v>3</v>
      </c>
      <c r="CF250">
        <v>4</v>
      </c>
      <c r="CG250">
        <v>4</v>
      </c>
      <c r="CH250">
        <v>4</v>
      </c>
      <c r="CI250">
        <v>4</v>
      </c>
      <c r="CJ250">
        <v>4</v>
      </c>
      <c r="CK250">
        <v>4</v>
      </c>
      <c r="CL250">
        <v>5</v>
      </c>
      <c r="CM250">
        <v>5</v>
      </c>
      <c r="CN250">
        <v>5</v>
      </c>
      <c r="CO250">
        <v>5</v>
      </c>
      <c r="CP250">
        <v>5</v>
      </c>
      <c r="CQ250">
        <v>5</v>
      </c>
      <c r="CR250">
        <v>5</v>
      </c>
      <c r="CS250">
        <v>5</v>
      </c>
      <c r="CT250">
        <v>5</v>
      </c>
      <c r="CU250" s="1">
        <v>5</v>
      </c>
      <c r="CV250" s="1">
        <v>5</v>
      </c>
      <c r="CW250" s="1">
        <v>6</v>
      </c>
      <c r="CX250" s="1">
        <v>6</v>
      </c>
      <c r="CY250" s="1">
        <v>6</v>
      </c>
      <c r="CZ250" s="1">
        <v>6</v>
      </c>
      <c r="DA250" s="1">
        <v>6</v>
      </c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</row>
    <row r="251" spans="1:198" x14ac:dyDescent="0.45">
      <c r="A251" s="1" t="s">
        <v>360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 s="1">
        <v>0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A251" s="1">
        <v>0</v>
      </c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</row>
    <row r="252" spans="1:198" x14ac:dyDescent="0.45">
      <c r="A252" s="1" t="s">
        <v>361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1</v>
      </c>
      <c r="CN252">
        <v>1</v>
      </c>
      <c r="CO252">
        <v>1</v>
      </c>
      <c r="CP252">
        <v>1</v>
      </c>
      <c r="CQ252">
        <v>1</v>
      </c>
      <c r="CR252">
        <v>1</v>
      </c>
      <c r="CS252">
        <v>1</v>
      </c>
      <c r="CT252">
        <v>1</v>
      </c>
      <c r="CU252" s="1">
        <v>1</v>
      </c>
      <c r="CV252" s="1">
        <v>1</v>
      </c>
      <c r="CW252" s="1">
        <v>1</v>
      </c>
      <c r="CX252" s="1">
        <v>1</v>
      </c>
      <c r="CY252" s="1">
        <v>1</v>
      </c>
      <c r="CZ252" s="1">
        <v>1</v>
      </c>
      <c r="DA252" s="1">
        <v>1</v>
      </c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</row>
    <row r="253" spans="1:198" x14ac:dyDescent="0.45">
      <c r="A253" s="1" t="s">
        <v>362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1</v>
      </c>
      <c r="BZ253">
        <v>1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  <c r="CN253">
        <v>1</v>
      </c>
      <c r="CO253">
        <v>1</v>
      </c>
      <c r="CP253">
        <v>1</v>
      </c>
      <c r="CQ253">
        <v>1</v>
      </c>
      <c r="CR253">
        <v>1</v>
      </c>
      <c r="CS253">
        <v>1</v>
      </c>
      <c r="CT253">
        <v>1</v>
      </c>
      <c r="CU253" s="1">
        <v>1</v>
      </c>
      <c r="CV253" s="1">
        <v>1</v>
      </c>
      <c r="CW253" s="1">
        <v>1</v>
      </c>
      <c r="CX253" s="1">
        <v>1</v>
      </c>
      <c r="CY253" s="1">
        <v>1</v>
      </c>
      <c r="CZ253" s="1">
        <v>1</v>
      </c>
      <c r="DA253" s="1">
        <v>1</v>
      </c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</row>
    <row r="254" spans="1:198" x14ac:dyDescent="0.45">
      <c r="A254" s="1" t="s">
        <v>2</v>
      </c>
      <c r="B254" s="1" t="s">
        <v>363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2</v>
      </c>
      <c r="BV254">
        <v>2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  <c r="CM254">
        <v>2</v>
      </c>
      <c r="CN254">
        <v>2</v>
      </c>
      <c r="CO254">
        <v>2</v>
      </c>
      <c r="CP254">
        <v>2</v>
      </c>
      <c r="CQ254">
        <v>2</v>
      </c>
      <c r="CR254">
        <v>2</v>
      </c>
      <c r="CS254">
        <v>2</v>
      </c>
      <c r="CT254">
        <v>2</v>
      </c>
      <c r="CU254" s="1">
        <v>2</v>
      </c>
      <c r="CV254" s="1">
        <v>2</v>
      </c>
      <c r="CW254" s="1">
        <v>2</v>
      </c>
      <c r="CX254" s="1">
        <v>2</v>
      </c>
      <c r="CY254" s="1">
        <v>2</v>
      </c>
      <c r="CZ254" s="1">
        <v>2</v>
      </c>
      <c r="DA254" s="1">
        <v>2</v>
      </c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</row>
    <row r="255" spans="1:198" x14ac:dyDescent="0.45">
      <c r="A255" s="1" t="s">
        <v>2</v>
      </c>
      <c r="B255" s="1" t="s">
        <v>365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1</v>
      </c>
      <c r="BU255">
        <v>1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  <c r="CN255">
        <v>1</v>
      </c>
      <c r="CO255">
        <v>1</v>
      </c>
      <c r="CP255">
        <v>1</v>
      </c>
      <c r="CQ255">
        <v>1</v>
      </c>
      <c r="CR255">
        <v>1</v>
      </c>
      <c r="CS255">
        <v>1</v>
      </c>
      <c r="CT255">
        <v>1</v>
      </c>
      <c r="CU255" s="1">
        <v>1</v>
      </c>
      <c r="CV255" s="1">
        <v>1</v>
      </c>
      <c r="CW255" s="1">
        <v>1</v>
      </c>
      <c r="CX255" s="1">
        <v>1</v>
      </c>
      <c r="CY255" s="1">
        <v>1</v>
      </c>
      <c r="CZ255" s="1">
        <v>1</v>
      </c>
      <c r="DA255" s="1">
        <v>1</v>
      </c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</row>
    <row r="256" spans="1:198" x14ac:dyDescent="0.45">
      <c r="A256" s="1" t="s">
        <v>2</v>
      </c>
      <c r="B256" s="1" t="s">
        <v>367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1</v>
      </c>
      <c r="CH256">
        <v>1</v>
      </c>
      <c r="CI256">
        <v>1</v>
      </c>
      <c r="CJ256">
        <v>1</v>
      </c>
      <c r="CK256">
        <v>1</v>
      </c>
      <c r="CL256">
        <v>1</v>
      </c>
      <c r="CM256">
        <v>1</v>
      </c>
      <c r="CN256">
        <v>1</v>
      </c>
      <c r="CO256">
        <v>1</v>
      </c>
      <c r="CP256">
        <v>1</v>
      </c>
      <c r="CQ256">
        <v>1</v>
      </c>
      <c r="CR256">
        <v>1</v>
      </c>
      <c r="CS256">
        <v>1</v>
      </c>
      <c r="CT256">
        <v>1</v>
      </c>
      <c r="CU256" s="1">
        <v>1</v>
      </c>
      <c r="CV256" s="1">
        <v>1</v>
      </c>
      <c r="CW256" s="1">
        <v>1</v>
      </c>
      <c r="CX256" s="1">
        <v>1</v>
      </c>
      <c r="CY256" s="1">
        <v>1</v>
      </c>
      <c r="CZ256" s="1">
        <v>1</v>
      </c>
      <c r="DA256" s="1">
        <v>1</v>
      </c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</row>
    <row r="257" spans="1:198" x14ac:dyDescent="0.45">
      <c r="A257" s="1" t="s">
        <v>2</v>
      </c>
      <c r="B257" s="1" t="s">
        <v>368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1</v>
      </c>
      <c r="CR257">
        <v>2</v>
      </c>
      <c r="CS257">
        <v>2</v>
      </c>
      <c r="CT257">
        <v>4</v>
      </c>
      <c r="CU257" s="1">
        <v>4</v>
      </c>
      <c r="CV257" s="1">
        <v>4</v>
      </c>
      <c r="CW257" s="1">
        <v>4</v>
      </c>
      <c r="CX257" s="1">
        <v>7</v>
      </c>
      <c r="CY257" s="1">
        <v>7</v>
      </c>
      <c r="CZ257" s="1">
        <v>8</v>
      </c>
      <c r="DA257" s="1">
        <v>8</v>
      </c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</row>
    <row r="258" spans="1:198" x14ac:dyDescent="0.45">
      <c r="A258" s="1" t="s">
        <v>369</v>
      </c>
      <c r="B258" s="1" t="s">
        <v>199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0</v>
      </c>
      <c r="DA258" s="1">
        <v>0</v>
      </c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</row>
    <row r="259" spans="1:198" x14ac:dyDescent="0.45">
      <c r="A259" s="1" t="s">
        <v>2</v>
      </c>
      <c r="B259" s="1" t="s">
        <v>370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1</v>
      </c>
      <c r="CB259">
        <v>1</v>
      </c>
      <c r="CC259">
        <v>1</v>
      </c>
      <c r="CD259">
        <v>1</v>
      </c>
      <c r="CE259">
        <v>2</v>
      </c>
      <c r="CF259">
        <v>2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  <c r="CM259">
        <v>2</v>
      </c>
      <c r="CN259">
        <v>2</v>
      </c>
      <c r="CO259">
        <v>2</v>
      </c>
      <c r="CP259">
        <v>3</v>
      </c>
      <c r="CQ259">
        <v>3</v>
      </c>
      <c r="CR259">
        <v>3</v>
      </c>
      <c r="CS259">
        <v>3</v>
      </c>
      <c r="CT259">
        <v>3</v>
      </c>
      <c r="CU259" s="1">
        <v>3</v>
      </c>
      <c r="CV259" s="1">
        <v>3</v>
      </c>
      <c r="CW259" s="1">
        <v>3</v>
      </c>
      <c r="CX259" s="1">
        <v>3</v>
      </c>
      <c r="CY259" s="1">
        <v>3</v>
      </c>
      <c r="CZ259" s="1">
        <v>3</v>
      </c>
      <c r="DA259" s="1">
        <v>3</v>
      </c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</row>
    <row r="260" spans="1:198" x14ac:dyDescent="0.45">
      <c r="A260" s="1" t="s">
        <v>374</v>
      </c>
      <c r="B260" s="1" t="s">
        <v>155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 s="1">
        <v>0</v>
      </c>
      <c r="CV260" s="1">
        <v>0</v>
      </c>
      <c r="CW260" s="1">
        <v>0</v>
      </c>
      <c r="CX260" s="1">
        <v>0</v>
      </c>
      <c r="CY260" s="1">
        <v>0</v>
      </c>
      <c r="CZ260" s="1">
        <v>0</v>
      </c>
      <c r="DA260" s="1">
        <v>0</v>
      </c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</row>
    <row r="261" spans="1:198" x14ac:dyDescent="0.45">
      <c r="A261" s="1" t="s">
        <v>371</v>
      </c>
      <c r="B261" s="1" t="s">
        <v>112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 s="1">
        <v>0</v>
      </c>
      <c r="CV261" s="1">
        <v>0</v>
      </c>
      <c r="CW261" s="1">
        <v>0</v>
      </c>
      <c r="CX261" s="1">
        <v>0</v>
      </c>
      <c r="CY261" s="1">
        <v>0</v>
      </c>
      <c r="CZ261" s="1">
        <v>0</v>
      </c>
      <c r="DA261" s="1">
        <v>0</v>
      </c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</row>
    <row r="262" spans="1:198" x14ac:dyDescent="0.45">
      <c r="A262" s="1" t="s">
        <v>2</v>
      </c>
      <c r="B262" s="1" t="s">
        <v>372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 s="1">
        <v>0</v>
      </c>
      <c r="CV262" s="1">
        <v>0</v>
      </c>
      <c r="CW262" s="1">
        <v>0</v>
      </c>
      <c r="CX262" s="1">
        <v>0</v>
      </c>
      <c r="CY262" s="1">
        <v>0</v>
      </c>
      <c r="CZ262" s="1">
        <v>0</v>
      </c>
      <c r="DA262" s="1">
        <v>0</v>
      </c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</row>
    <row r="263" spans="1:198" x14ac:dyDescent="0.45">
      <c r="A263" s="1" t="s">
        <v>2</v>
      </c>
      <c r="B263" s="1" t="s">
        <v>373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 s="1">
        <v>0</v>
      </c>
      <c r="CV263" s="1">
        <v>0</v>
      </c>
      <c r="CW263" s="1">
        <v>0</v>
      </c>
      <c r="CX263" s="1">
        <v>0</v>
      </c>
      <c r="CY263" s="1">
        <v>0</v>
      </c>
      <c r="CZ263" s="1">
        <v>0</v>
      </c>
      <c r="DA263" s="1">
        <v>0</v>
      </c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</row>
    <row r="264" spans="1:198" x14ac:dyDescent="0.45">
      <c r="A264" s="1" t="s">
        <v>2</v>
      </c>
      <c r="B264" s="1" t="s">
        <v>375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 s="1">
        <v>0</v>
      </c>
      <c r="CV264" s="1">
        <v>0</v>
      </c>
      <c r="CW264" s="1">
        <v>0</v>
      </c>
      <c r="CX264" s="1">
        <v>0</v>
      </c>
      <c r="CY264" s="1">
        <v>1</v>
      </c>
      <c r="CZ264" s="1">
        <v>1</v>
      </c>
      <c r="DA264" s="1">
        <v>1</v>
      </c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</row>
    <row r="265" spans="1:198" x14ac:dyDescent="0.45">
      <c r="A265" s="1" t="s">
        <v>2</v>
      </c>
      <c r="B265" s="1" t="s">
        <v>376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 s="1">
        <v>0</v>
      </c>
      <c r="CV265" s="1">
        <v>0</v>
      </c>
      <c r="CW265" s="1">
        <v>0</v>
      </c>
      <c r="CX265" s="1">
        <v>2</v>
      </c>
      <c r="CY265" s="1">
        <v>2</v>
      </c>
      <c r="CZ265" s="1">
        <v>2</v>
      </c>
      <c r="DA265" s="1">
        <v>2</v>
      </c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</row>
    <row r="266" spans="1:198" x14ac:dyDescent="0.45">
      <c r="A266" s="1" t="s">
        <v>2</v>
      </c>
      <c r="B266" s="1" t="s">
        <v>380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 s="1">
        <v>0</v>
      </c>
      <c r="CV266" s="1">
        <v>0</v>
      </c>
      <c r="CW266" s="1">
        <v>0</v>
      </c>
      <c r="CX266" s="1">
        <v>0</v>
      </c>
      <c r="CY266" s="1">
        <v>0</v>
      </c>
      <c r="CZ266" s="1">
        <v>0</v>
      </c>
      <c r="DA266" s="1">
        <v>0</v>
      </c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</row>
    <row r="267" spans="1:198" x14ac:dyDescent="0.45">
      <c r="A267" s="1" t="s">
        <v>2</v>
      </c>
      <c r="B267" s="1" t="s">
        <v>381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 s="1">
        <v>0</v>
      </c>
      <c r="CV267" s="1">
        <v>0</v>
      </c>
      <c r="CW267" s="1">
        <v>0</v>
      </c>
      <c r="CX267" s="1">
        <v>0</v>
      </c>
      <c r="CY267" s="1">
        <v>0</v>
      </c>
      <c r="CZ267" s="1">
        <v>2</v>
      </c>
      <c r="DA267" s="1">
        <v>2</v>
      </c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GP253"/>
  <sheetViews>
    <sheetView workbookViewId="0">
      <selection activeCell="J27" sqref="J27"/>
    </sheetView>
  </sheetViews>
  <sheetFormatPr baseColWidth="10" defaultRowHeight="14.25" x14ac:dyDescent="0.45"/>
  <cols>
    <col min="1" max="1" width="27.3984375" bestFit="1" customWidth="1"/>
    <col min="2" max="2" width="28.73046875" bestFit="1" customWidth="1"/>
    <col min="3" max="7" width="10.46484375" bestFit="1" customWidth="1"/>
    <col min="8" max="97" width="11.3984375" bestFit="1" customWidth="1"/>
    <col min="98" max="98" width="12.33203125" bestFit="1" customWidth="1"/>
    <col min="99" max="198" width="12.33203125" customWidth="1"/>
    <col min="199" max="199" width="26.59765625" bestFit="1" customWidth="1"/>
    <col min="200" max="200" width="30.86328125" bestFit="1" customWidth="1"/>
    <col min="201" max="210" width="10.265625" bestFit="1" customWidth="1"/>
    <col min="211" max="219" width="9.1328125" bestFit="1" customWidth="1"/>
    <col min="220" max="239" width="10.265625" bestFit="1" customWidth="1"/>
    <col min="240" max="248" width="9.1328125" bestFit="1" customWidth="1"/>
    <col min="249" max="261" width="10.265625" bestFit="1" customWidth="1"/>
  </cols>
  <sheetData>
    <row r="1" spans="1:198" x14ac:dyDescent="0.45">
      <c r="A1" t="s">
        <v>255</v>
      </c>
      <c r="B1" t="s">
        <v>256</v>
      </c>
      <c r="C1" t="s">
        <v>257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267</v>
      </c>
      <c r="N1" t="s">
        <v>268</v>
      </c>
      <c r="O1" t="s">
        <v>269</v>
      </c>
      <c r="P1" t="s">
        <v>270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284</v>
      </c>
      <c r="AE1" t="s">
        <v>285</v>
      </c>
      <c r="AF1" t="s">
        <v>286</v>
      </c>
      <c r="AG1" t="s">
        <v>287</v>
      </c>
      <c r="AH1" t="s">
        <v>288</v>
      </c>
      <c r="AI1" t="s">
        <v>289</v>
      </c>
      <c r="AJ1" t="s">
        <v>290</v>
      </c>
      <c r="AK1" t="s">
        <v>291</v>
      </c>
      <c r="AL1" t="s">
        <v>292</v>
      </c>
      <c r="AM1" t="s">
        <v>293</v>
      </c>
      <c r="AN1" t="s">
        <v>294</v>
      </c>
      <c r="AO1" t="s">
        <v>295</v>
      </c>
      <c r="AP1" t="s">
        <v>296</v>
      </c>
      <c r="AQ1" t="s">
        <v>297</v>
      </c>
      <c r="AR1" t="s">
        <v>298</v>
      </c>
      <c r="AS1" t="s">
        <v>299</v>
      </c>
      <c r="AT1" t="s">
        <v>300</v>
      </c>
      <c r="AU1" t="s">
        <v>301</v>
      </c>
      <c r="AV1" t="s">
        <v>302</v>
      </c>
      <c r="AW1" t="s">
        <v>303</v>
      </c>
      <c r="AX1" t="s">
        <v>304</v>
      </c>
      <c r="AY1" t="s">
        <v>305</v>
      </c>
      <c r="AZ1" t="s">
        <v>306</v>
      </c>
      <c r="BA1" t="s">
        <v>307</v>
      </c>
      <c r="BB1" t="s">
        <v>308</v>
      </c>
      <c r="BC1" t="s">
        <v>309</v>
      </c>
      <c r="BD1" t="s">
        <v>310</v>
      </c>
      <c r="BE1" t="s">
        <v>311</v>
      </c>
      <c r="BF1" t="s">
        <v>312</v>
      </c>
      <c r="BG1" t="s">
        <v>313</v>
      </c>
      <c r="BH1" t="s">
        <v>314</v>
      </c>
      <c r="BI1" t="s">
        <v>315</v>
      </c>
      <c r="BJ1" t="s">
        <v>316</v>
      </c>
      <c r="BK1" t="s">
        <v>317</v>
      </c>
      <c r="BL1" t="s">
        <v>318</v>
      </c>
      <c r="BM1" t="s">
        <v>319</v>
      </c>
      <c r="BN1" t="s">
        <v>320</v>
      </c>
      <c r="BO1" t="s">
        <v>321</v>
      </c>
      <c r="BP1" t="s">
        <v>322</v>
      </c>
      <c r="BQ1" t="s">
        <v>323</v>
      </c>
      <c r="BR1" t="s">
        <v>324</v>
      </c>
      <c r="BS1" t="s">
        <v>325</v>
      </c>
      <c r="BT1" t="s">
        <v>326</v>
      </c>
      <c r="BU1" t="s">
        <v>327</v>
      </c>
      <c r="BV1" t="s">
        <v>328</v>
      </c>
      <c r="BW1" t="s">
        <v>329</v>
      </c>
      <c r="BX1" t="s">
        <v>330</v>
      </c>
      <c r="BY1" t="s">
        <v>331</v>
      </c>
      <c r="BZ1" t="s">
        <v>332</v>
      </c>
      <c r="CA1" t="s">
        <v>333</v>
      </c>
      <c r="CB1" t="s">
        <v>334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342</v>
      </c>
      <c r="CK1" t="s">
        <v>343</v>
      </c>
      <c r="CL1" t="s">
        <v>344</v>
      </c>
      <c r="CM1" t="s">
        <v>345</v>
      </c>
      <c r="CN1" t="s">
        <v>346</v>
      </c>
      <c r="CO1" t="s">
        <v>347</v>
      </c>
      <c r="CP1" t="s">
        <v>348</v>
      </c>
      <c r="CQ1" t="s">
        <v>349</v>
      </c>
      <c r="CR1" t="s">
        <v>350</v>
      </c>
      <c r="CS1" t="s">
        <v>351</v>
      </c>
      <c r="CT1" t="s">
        <v>352</v>
      </c>
      <c r="CU1" t="s">
        <v>382</v>
      </c>
      <c r="CV1" t="s">
        <v>383</v>
      </c>
      <c r="CW1" t="s">
        <v>384</v>
      </c>
      <c r="CX1" t="s">
        <v>385</v>
      </c>
      <c r="CY1" t="s">
        <v>386</v>
      </c>
      <c r="CZ1" t="s">
        <v>387</v>
      </c>
      <c r="DA1" t="s">
        <v>388</v>
      </c>
      <c r="DB1" t="s">
        <v>389</v>
      </c>
      <c r="DC1" t="s">
        <v>390</v>
      </c>
      <c r="DD1" t="s">
        <v>391</v>
      </c>
      <c r="DE1" t="s">
        <v>392</v>
      </c>
      <c r="DF1" t="s">
        <v>393</v>
      </c>
      <c r="DG1" t="s">
        <v>394</v>
      </c>
      <c r="DH1" t="s">
        <v>395</v>
      </c>
      <c r="DI1" t="s">
        <v>396</v>
      </c>
      <c r="DJ1" t="s">
        <v>397</v>
      </c>
      <c r="DK1" t="s">
        <v>398</v>
      </c>
      <c r="DL1" t="s">
        <v>399</v>
      </c>
      <c r="DM1" t="s">
        <v>400</v>
      </c>
      <c r="DN1" t="s">
        <v>401</v>
      </c>
      <c r="DO1" t="s">
        <v>402</v>
      </c>
      <c r="DP1" t="s">
        <v>403</v>
      </c>
      <c r="DQ1" t="s">
        <v>404</v>
      </c>
      <c r="DR1" t="s">
        <v>405</v>
      </c>
      <c r="DS1" t="s">
        <v>406</v>
      </c>
      <c r="DT1" t="s">
        <v>407</v>
      </c>
      <c r="DU1" t="s">
        <v>408</v>
      </c>
      <c r="DV1" t="s">
        <v>409</v>
      </c>
      <c r="DW1" t="s">
        <v>410</v>
      </c>
      <c r="DX1" t="s">
        <v>411</v>
      </c>
      <c r="DY1" t="s">
        <v>412</v>
      </c>
      <c r="DZ1" t="s">
        <v>413</v>
      </c>
      <c r="EA1" t="s">
        <v>414</v>
      </c>
      <c r="EB1" t="s">
        <v>415</v>
      </c>
      <c r="EC1" t="s">
        <v>416</v>
      </c>
      <c r="ED1" t="s">
        <v>417</v>
      </c>
      <c r="EE1" t="s">
        <v>418</v>
      </c>
      <c r="EF1" t="s">
        <v>419</v>
      </c>
      <c r="EG1" t="s">
        <v>420</v>
      </c>
      <c r="EH1" t="s">
        <v>421</v>
      </c>
      <c r="EI1" t="s">
        <v>422</v>
      </c>
      <c r="EJ1" t="s">
        <v>423</v>
      </c>
      <c r="EK1" t="s">
        <v>424</v>
      </c>
      <c r="EL1" t="s">
        <v>425</v>
      </c>
      <c r="EM1" t="s">
        <v>426</v>
      </c>
      <c r="EN1" t="s">
        <v>427</v>
      </c>
      <c r="EO1" t="s">
        <v>428</v>
      </c>
      <c r="EP1" t="s">
        <v>429</v>
      </c>
      <c r="EQ1" t="s">
        <v>430</v>
      </c>
      <c r="ER1" t="s">
        <v>431</v>
      </c>
      <c r="ES1" t="s">
        <v>432</v>
      </c>
      <c r="ET1" t="s">
        <v>433</v>
      </c>
      <c r="EU1" t="s">
        <v>434</v>
      </c>
      <c r="EV1" t="s">
        <v>435</v>
      </c>
      <c r="EW1" t="s">
        <v>436</v>
      </c>
      <c r="EX1" t="s">
        <v>437</v>
      </c>
      <c r="EY1" t="s">
        <v>438</v>
      </c>
      <c r="EZ1" t="s">
        <v>439</v>
      </c>
      <c r="FA1" t="s">
        <v>440</v>
      </c>
      <c r="FB1" t="s">
        <v>441</v>
      </c>
      <c r="FC1" t="s">
        <v>442</v>
      </c>
      <c r="FD1" t="s">
        <v>443</v>
      </c>
      <c r="FE1" t="s">
        <v>444</v>
      </c>
      <c r="FF1" t="s">
        <v>445</v>
      </c>
      <c r="FG1" t="s">
        <v>446</v>
      </c>
      <c r="FH1" t="s">
        <v>447</v>
      </c>
      <c r="FI1" t="s">
        <v>448</v>
      </c>
      <c r="FJ1" t="s">
        <v>449</v>
      </c>
      <c r="FK1" t="s">
        <v>450</v>
      </c>
      <c r="FL1" t="s">
        <v>451</v>
      </c>
      <c r="FM1" t="s">
        <v>452</v>
      </c>
      <c r="FN1" t="s">
        <v>453</v>
      </c>
      <c r="FO1" t="s">
        <v>454</v>
      </c>
      <c r="FP1" t="s">
        <v>455</v>
      </c>
      <c r="FQ1" t="s">
        <v>456</v>
      </c>
      <c r="FR1" t="s">
        <v>457</v>
      </c>
      <c r="FS1" t="s">
        <v>458</v>
      </c>
      <c r="FT1" t="s">
        <v>459</v>
      </c>
      <c r="FU1" t="s">
        <v>460</v>
      </c>
      <c r="FV1" t="s">
        <v>461</v>
      </c>
      <c r="FW1" t="s">
        <v>462</v>
      </c>
      <c r="FX1" t="s">
        <v>463</v>
      </c>
      <c r="FY1" t="s">
        <v>464</v>
      </c>
      <c r="FZ1" t="s">
        <v>465</v>
      </c>
      <c r="GA1" t="s">
        <v>466</v>
      </c>
      <c r="GB1" t="s">
        <v>467</v>
      </c>
      <c r="GC1" t="s">
        <v>468</v>
      </c>
      <c r="GD1" t="s">
        <v>469</v>
      </c>
      <c r="GE1" t="s">
        <v>470</v>
      </c>
      <c r="GF1" t="s">
        <v>471</v>
      </c>
      <c r="GG1" t="s">
        <v>472</v>
      </c>
      <c r="GH1" t="s">
        <v>473</v>
      </c>
      <c r="GI1" t="s">
        <v>474</v>
      </c>
      <c r="GJ1" t="s">
        <v>475</v>
      </c>
      <c r="GK1" t="s">
        <v>476</v>
      </c>
      <c r="GL1" t="s">
        <v>477</v>
      </c>
      <c r="GM1" t="s">
        <v>478</v>
      </c>
      <c r="GN1" t="s">
        <v>479</v>
      </c>
      <c r="GO1" t="s">
        <v>480</v>
      </c>
      <c r="GP1" t="s">
        <v>481</v>
      </c>
    </row>
    <row r="2" spans="1:198" x14ac:dyDescent="0.4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5</v>
      </c>
      <c r="BU2">
        <v>5</v>
      </c>
      <c r="BV2">
        <v>10</v>
      </c>
      <c r="BW2">
        <v>10</v>
      </c>
      <c r="BX2">
        <v>10</v>
      </c>
      <c r="BY2">
        <v>15</v>
      </c>
      <c r="BZ2">
        <v>18</v>
      </c>
      <c r="CA2">
        <v>18</v>
      </c>
      <c r="CB2">
        <v>29</v>
      </c>
      <c r="CC2">
        <v>32</v>
      </c>
      <c r="CD2">
        <v>32</v>
      </c>
      <c r="CE2">
        <v>32</v>
      </c>
      <c r="CF2">
        <v>32</v>
      </c>
      <c r="CG2">
        <v>32</v>
      </c>
      <c r="CH2">
        <v>40</v>
      </c>
      <c r="CI2">
        <v>43</v>
      </c>
      <c r="CJ2">
        <v>54</v>
      </c>
      <c r="CK2">
        <v>99</v>
      </c>
      <c r="CL2">
        <v>112</v>
      </c>
      <c r="CM2">
        <v>131</v>
      </c>
      <c r="CN2">
        <v>135</v>
      </c>
      <c r="CO2">
        <v>150</v>
      </c>
      <c r="CP2">
        <v>166</v>
      </c>
      <c r="CQ2">
        <v>179</v>
      </c>
      <c r="CR2">
        <v>188</v>
      </c>
      <c r="CS2">
        <v>188</v>
      </c>
      <c r="CT2">
        <v>207</v>
      </c>
      <c r="CU2" s="1">
        <v>220</v>
      </c>
      <c r="CV2" s="1">
        <v>228</v>
      </c>
      <c r="CW2" s="1">
        <v>252</v>
      </c>
      <c r="CX2" s="1">
        <v>260</v>
      </c>
      <c r="CY2" s="1">
        <v>310</v>
      </c>
      <c r="CZ2" s="1">
        <v>331</v>
      </c>
      <c r="DA2" s="1">
        <v>345</v>
      </c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</row>
    <row r="3" spans="1:198" x14ac:dyDescent="0.4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  <c r="BS3">
        <v>44</v>
      </c>
      <c r="BT3">
        <v>52</v>
      </c>
      <c r="BU3">
        <v>67</v>
      </c>
      <c r="BV3">
        <v>76</v>
      </c>
      <c r="BW3">
        <v>89</v>
      </c>
      <c r="BX3">
        <v>99</v>
      </c>
      <c r="BY3">
        <v>104</v>
      </c>
      <c r="BZ3">
        <v>116</v>
      </c>
      <c r="CA3">
        <v>131</v>
      </c>
      <c r="CB3">
        <v>154</v>
      </c>
      <c r="CC3">
        <v>165</v>
      </c>
      <c r="CD3">
        <v>182</v>
      </c>
      <c r="CE3">
        <v>197</v>
      </c>
      <c r="CF3">
        <v>217</v>
      </c>
      <c r="CG3">
        <v>232</v>
      </c>
      <c r="CH3">
        <v>248</v>
      </c>
      <c r="CI3">
        <v>251</v>
      </c>
      <c r="CJ3">
        <v>277</v>
      </c>
      <c r="CK3">
        <v>283</v>
      </c>
      <c r="CL3">
        <v>302</v>
      </c>
      <c r="CM3">
        <v>314</v>
      </c>
      <c r="CN3">
        <v>327</v>
      </c>
      <c r="CO3">
        <v>345</v>
      </c>
      <c r="CP3">
        <v>356</v>
      </c>
      <c r="CQ3">
        <v>385</v>
      </c>
      <c r="CR3">
        <v>394</v>
      </c>
      <c r="CS3">
        <v>403</v>
      </c>
      <c r="CT3">
        <v>410</v>
      </c>
      <c r="CU3" s="1">
        <v>422</v>
      </c>
      <c r="CV3" s="1">
        <v>431</v>
      </c>
      <c r="CW3" s="1">
        <v>455</v>
      </c>
      <c r="CX3" s="1">
        <v>470</v>
      </c>
      <c r="CY3" s="1">
        <v>488</v>
      </c>
      <c r="CZ3" s="1">
        <v>519</v>
      </c>
      <c r="DA3" s="1">
        <v>531</v>
      </c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</row>
    <row r="4" spans="1:198" x14ac:dyDescent="0.4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  <c r="BS4">
        <v>37</v>
      </c>
      <c r="BT4">
        <v>46</v>
      </c>
      <c r="BU4">
        <v>61</v>
      </c>
      <c r="BV4">
        <v>61</v>
      </c>
      <c r="BW4">
        <v>62</v>
      </c>
      <c r="BX4">
        <v>90</v>
      </c>
      <c r="BY4">
        <v>90</v>
      </c>
      <c r="BZ4">
        <v>90</v>
      </c>
      <c r="CA4">
        <v>113</v>
      </c>
      <c r="CB4">
        <v>237</v>
      </c>
      <c r="CC4">
        <v>347</v>
      </c>
      <c r="CD4">
        <v>405</v>
      </c>
      <c r="CE4">
        <v>460</v>
      </c>
      <c r="CF4">
        <v>591</v>
      </c>
      <c r="CG4">
        <v>601</v>
      </c>
      <c r="CH4">
        <v>691</v>
      </c>
      <c r="CI4">
        <v>708</v>
      </c>
      <c r="CJ4">
        <v>783</v>
      </c>
      <c r="CK4">
        <v>846</v>
      </c>
      <c r="CL4">
        <v>894</v>
      </c>
      <c r="CM4">
        <v>1047</v>
      </c>
      <c r="CN4">
        <v>1099</v>
      </c>
      <c r="CO4">
        <v>1152</v>
      </c>
      <c r="CP4">
        <v>1204</v>
      </c>
      <c r="CQ4">
        <v>1355</v>
      </c>
      <c r="CR4">
        <v>1408</v>
      </c>
      <c r="CS4">
        <v>1479</v>
      </c>
      <c r="CT4">
        <v>1508</v>
      </c>
      <c r="CU4" s="1">
        <v>1558</v>
      </c>
      <c r="CV4" s="1">
        <v>1651</v>
      </c>
      <c r="CW4" s="1">
        <v>1702</v>
      </c>
      <c r="CX4" s="1">
        <v>1779</v>
      </c>
      <c r="CY4" s="1">
        <v>1821</v>
      </c>
      <c r="CZ4" s="1">
        <v>1872</v>
      </c>
      <c r="DA4" s="1">
        <v>1936</v>
      </c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</row>
    <row r="5" spans="1:198" x14ac:dyDescent="0.4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10</v>
      </c>
      <c r="BT5">
        <v>10</v>
      </c>
      <c r="BU5">
        <v>10</v>
      </c>
      <c r="BV5">
        <v>10</v>
      </c>
      <c r="BW5">
        <v>16</v>
      </c>
      <c r="BX5">
        <v>21</v>
      </c>
      <c r="BY5">
        <v>26</v>
      </c>
      <c r="BZ5">
        <v>31</v>
      </c>
      <c r="CA5">
        <v>39</v>
      </c>
      <c r="CB5">
        <v>52</v>
      </c>
      <c r="CC5">
        <v>58</v>
      </c>
      <c r="CD5">
        <v>71</v>
      </c>
      <c r="CE5">
        <v>71</v>
      </c>
      <c r="CF5">
        <v>128</v>
      </c>
      <c r="CG5">
        <v>128</v>
      </c>
      <c r="CH5">
        <v>128</v>
      </c>
      <c r="CI5">
        <v>169</v>
      </c>
      <c r="CJ5">
        <v>169</v>
      </c>
      <c r="CK5">
        <v>191</v>
      </c>
      <c r="CL5">
        <v>205</v>
      </c>
      <c r="CM5">
        <v>235</v>
      </c>
      <c r="CN5">
        <v>248</v>
      </c>
      <c r="CO5">
        <v>282</v>
      </c>
      <c r="CP5">
        <v>309</v>
      </c>
      <c r="CQ5">
        <v>333</v>
      </c>
      <c r="CR5">
        <v>344</v>
      </c>
      <c r="CS5">
        <v>344</v>
      </c>
      <c r="CT5">
        <v>344</v>
      </c>
      <c r="CU5" s="1">
        <v>385</v>
      </c>
      <c r="CV5" s="1">
        <v>398</v>
      </c>
      <c r="CW5" s="1">
        <v>423</v>
      </c>
      <c r="CX5" s="1">
        <v>468</v>
      </c>
      <c r="CY5" s="1">
        <v>468</v>
      </c>
      <c r="CZ5" s="1">
        <v>472</v>
      </c>
      <c r="DA5" s="1">
        <v>493</v>
      </c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</row>
    <row r="6" spans="1:198" x14ac:dyDescent="0.4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1</v>
      </c>
      <c r="BU6">
        <v>1</v>
      </c>
      <c r="BV6">
        <v>1</v>
      </c>
      <c r="BW6">
        <v>1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4</v>
      </c>
      <c r="CF6">
        <v>4</v>
      </c>
      <c r="CG6">
        <v>4</v>
      </c>
      <c r="CH6">
        <v>5</v>
      </c>
      <c r="CI6">
        <v>5</v>
      </c>
      <c r="CJ6">
        <v>5</v>
      </c>
      <c r="CK6">
        <v>5</v>
      </c>
      <c r="CL6">
        <v>6</v>
      </c>
      <c r="CM6">
        <v>6</v>
      </c>
      <c r="CN6">
        <v>6</v>
      </c>
      <c r="CO6">
        <v>6</v>
      </c>
      <c r="CP6">
        <v>6</v>
      </c>
      <c r="CQ6">
        <v>6</v>
      </c>
      <c r="CR6">
        <v>6</v>
      </c>
      <c r="CS6">
        <v>6</v>
      </c>
      <c r="CT6">
        <v>6</v>
      </c>
      <c r="CU6" s="1">
        <v>6</v>
      </c>
      <c r="CV6" s="1">
        <v>6</v>
      </c>
      <c r="CW6" s="1">
        <v>7</v>
      </c>
      <c r="CX6" s="1">
        <v>7</v>
      </c>
      <c r="CY6" s="1">
        <v>11</v>
      </c>
      <c r="CZ6" s="1">
        <v>11</v>
      </c>
      <c r="DA6" s="1">
        <v>11</v>
      </c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</row>
    <row r="7" spans="1:198" x14ac:dyDescent="0.4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3</v>
      </c>
      <c r="CI7">
        <v>3</v>
      </c>
      <c r="CJ7">
        <v>3</v>
      </c>
      <c r="CK7">
        <v>3</v>
      </c>
      <c r="CL7">
        <v>3</v>
      </c>
      <c r="CM7">
        <v>3</v>
      </c>
      <c r="CN7">
        <v>3</v>
      </c>
      <c r="CO7">
        <v>7</v>
      </c>
      <c r="CP7">
        <v>10</v>
      </c>
      <c r="CQ7">
        <v>10</v>
      </c>
      <c r="CR7">
        <v>11</v>
      </c>
      <c r="CS7">
        <v>11</v>
      </c>
      <c r="CT7">
        <v>11</v>
      </c>
      <c r="CU7" s="1">
        <v>11</v>
      </c>
      <c r="CV7" s="1">
        <v>11</v>
      </c>
      <c r="CW7" s="1">
        <v>11</v>
      </c>
      <c r="CX7" s="1">
        <v>11</v>
      </c>
      <c r="CY7" s="1">
        <v>15</v>
      </c>
      <c r="CZ7" s="1">
        <v>15</v>
      </c>
      <c r="DA7" s="1">
        <v>15</v>
      </c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</row>
    <row r="8" spans="1:198" x14ac:dyDescent="0.4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  <c r="BS8">
        <v>228</v>
      </c>
      <c r="BT8">
        <v>240</v>
      </c>
      <c r="BU8">
        <v>248</v>
      </c>
      <c r="BV8">
        <v>256</v>
      </c>
      <c r="BW8">
        <v>266</v>
      </c>
      <c r="BX8">
        <v>279</v>
      </c>
      <c r="BY8">
        <v>280</v>
      </c>
      <c r="BZ8">
        <v>325</v>
      </c>
      <c r="CA8">
        <v>338</v>
      </c>
      <c r="CB8">
        <v>358</v>
      </c>
      <c r="CC8">
        <v>365</v>
      </c>
      <c r="CD8">
        <v>375</v>
      </c>
      <c r="CE8">
        <v>440</v>
      </c>
      <c r="CF8">
        <v>468</v>
      </c>
      <c r="CG8">
        <v>515</v>
      </c>
      <c r="CH8">
        <v>559</v>
      </c>
      <c r="CI8">
        <v>596</v>
      </c>
      <c r="CJ8">
        <v>631</v>
      </c>
      <c r="CK8">
        <v>666</v>
      </c>
      <c r="CL8">
        <v>685</v>
      </c>
      <c r="CM8">
        <v>709</v>
      </c>
      <c r="CN8">
        <v>737</v>
      </c>
      <c r="CO8">
        <v>840</v>
      </c>
      <c r="CP8">
        <v>872</v>
      </c>
      <c r="CQ8">
        <v>919</v>
      </c>
      <c r="CR8">
        <v>976</v>
      </c>
      <c r="CS8">
        <v>1030</v>
      </c>
      <c r="CT8">
        <v>1107</v>
      </c>
      <c r="CU8" s="1">
        <v>1140</v>
      </c>
      <c r="CV8" s="1">
        <v>1162</v>
      </c>
      <c r="CW8" s="1">
        <v>1192</v>
      </c>
      <c r="CX8" s="1">
        <v>1256</v>
      </c>
      <c r="CY8" s="1">
        <v>1292</v>
      </c>
      <c r="CZ8" s="1">
        <v>1320</v>
      </c>
      <c r="DA8" s="1">
        <v>1354</v>
      </c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</row>
    <row r="9" spans="1:198" x14ac:dyDescent="0.4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  <c r="BS9">
        <v>30</v>
      </c>
      <c r="BT9">
        <v>30</v>
      </c>
      <c r="BU9">
        <v>31</v>
      </c>
      <c r="BV9">
        <v>33</v>
      </c>
      <c r="BW9">
        <v>43</v>
      </c>
      <c r="BX9">
        <v>43</v>
      </c>
      <c r="BY9">
        <v>57</v>
      </c>
      <c r="BZ9">
        <v>62</v>
      </c>
      <c r="CA9">
        <v>87</v>
      </c>
      <c r="CB9">
        <v>114</v>
      </c>
      <c r="CC9">
        <v>138</v>
      </c>
      <c r="CD9">
        <v>149</v>
      </c>
      <c r="CE9">
        <v>173</v>
      </c>
      <c r="CF9">
        <v>197</v>
      </c>
      <c r="CG9">
        <v>211</v>
      </c>
      <c r="CH9">
        <v>265</v>
      </c>
      <c r="CI9">
        <v>297</v>
      </c>
      <c r="CJ9">
        <v>358</v>
      </c>
      <c r="CK9">
        <v>402</v>
      </c>
      <c r="CL9">
        <v>523</v>
      </c>
      <c r="CM9">
        <v>545</v>
      </c>
      <c r="CN9">
        <v>580</v>
      </c>
      <c r="CO9">
        <v>609</v>
      </c>
      <c r="CP9">
        <v>633</v>
      </c>
      <c r="CQ9">
        <v>659</v>
      </c>
      <c r="CR9">
        <v>728</v>
      </c>
      <c r="CS9">
        <v>803</v>
      </c>
      <c r="CT9">
        <v>833</v>
      </c>
      <c r="CU9" s="1">
        <v>848</v>
      </c>
      <c r="CV9" s="1">
        <v>866</v>
      </c>
      <c r="CW9" s="1">
        <v>900</v>
      </c>
      <c r="CX9" s="1">
        <v>929</v>
      </c>
      <c r="CY9" s="1">
        <v>977</v>
      </c>
      <c r="CZ9" s="1">
        <v>1010</v>
      </c>
      <c r="DA9" s="1">
        <v>1035</v>
      </c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</row>
    <row r="10" spans="1:198" x14ac:dyDescent="0.4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  <c r="BS10">
        <v>2</v>
      </c>
      <c r="BT10">
        <v>3</v>
      </c>
      <c r="BU10">
        <v>8</v>
      </c>
      <c r="BV10">
        <v>11</v>
      </c>
      <c r="BW10">
        <v>18</v>
      </c>
      <c r="BX10">
        <v>18</v>
      </c>
      <c r="BY10">
        <v>28</v>
      </c>
      <c r="BZ10">
        <v>40</v>
      </c>
      <c r="CA10">
        <v>40</v>
      </c>
      <c r="CB10">
        <v>40</v>
      </c>
      <c r="CC10">
        <v>47</v>
      </c>
      <c r="CD10">
        <v>59</v>
      </c>
      <c r="CE10">
        <v>59</v>
      </c>
      <c r="CF10">
        <v>59</v>
      </c>
      <c r="CG10">
        <v>59</v>
      </c>
      <c r="CH10">
        <v>72</v>
      </c>
      <c r="CI10">
        <v>72</v>
      </c>
      <c r="CJ10">
        <v>82</v>
      </c>
      <c r="CK10">
        <v>81</v>
      </c>
      <c r="CL10">
        <v>88</v>
      </c>
      <c r="CM10">
        <v>88</v>
      </c>
      <c r="CN10">
        <v>91</v>
      </c>
      <c r="CO10">
        <v>92</v>
      </c>
      <c r="CP10">
        <v>93</v>
      </c>
      <c r="CQ10">
        <v>93</v>
      </c>
      <c r="CR10">
        <v>97</v>
      </c>
      <c r="CS10">
        <v>98</v>
      </c>
      <c r="CT10">
        <v>99</v>
      </c>
      <c r="CU10" s="1">
        <v>100</v>
      </c>
      <c r="CV10" s="1">
        <v>101</v>
      </c>
      <c r="CW10" s="1">
        <v>101</v>
      </c>
      <c r="CX10" s="1">
        <v>103</v>
      </c>
      <c r="CY10" s="1">
        <v>103</v>
      </c>
      <c r="CZ10" s="1">
        <v>103</v>
      </c>
      <c r="DA10" s="1">
        <v>103</v>
      </c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</row>
    <row r="11" spans="1:1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  <c r="BS11">
        <v>4</v>
      </c>
      <c r="BT11">
        <v>4</v>
      </c>
      <c r="BU11">
        <v>4</v>
      </c>
      <c r="BV11">
        <v>4</v>
      </c>
      <c r="BW11">
        <v>4</v>
      </c>
      <c r="BX11">
        <v>4</v>
      </c>
      <c r="BY11">
        <v>4</v>
      </c>
      <c r="BZ11">
        <v>4</v>
      </c>
      <c r="CA11">
        <v>4</v>
      </c>
      <c r="CB11">
        <v>4</v>
      </c>
      <c r="CC11">
        <v>4</v>
      </c>
      <c r="CD11">
        <v>4</v>
      </c>
      <c r="CE11">
        <v>4</v>
      </c>
      <c r="CF11">
        <v>4</v>
      </c>
      <c r="CG11">
        <v>4</v>
      </c>
      <c r="CH11">
        <v>4</v>
      </c>
      <c r="CI11">
        <v>4</v>
      </c>
      <c r="CJ11">
        <v>4</v>
      </c>
      <c r="CK11">
        <v>1379</v>
      </c>
      <c r="CL11">
        <v>1379</v>
      </c>
      <c r="CM11">
        <v>1379</v>
      </c>
      <c r="CN11">
        <v>1379</v>
      </c>
      <c r="CO11">
        <v>1755</v>
      </c>
      <c r="CP11">
        <v>1926</v>
      </c>
      <c r="CQ11">
        <v>2006</v>
      </c>
      <c r="CR11">
        <v>2056</v>
      </c>
      <c r="CS11">
        <v>2193</v>
      </c>
      <c r="CT11">
        <v>2208</v>
      </c>
      <c r="CU11" s="1">
        <v>2227</v>
      </c>
      <c r="CV11" s="1">
        <v>2266</v>
      </c>
      <c r="CW11" s="1">
        <v>2284</v>
      </c>
      <c r="CX11" s="1">
        <v>2293</v>
      </c>
      <c r="CY11" s="1">
        <v>2293</v>
      </c>
      <c r="CZ11" s="1">
        <v>2306</v>
      </c>
      <c r="DA11" s="1">
        <v>2328</v>
      </c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</row>
    <row r="12" spans="1:198" x14ac:dyDescent="0.4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1</v>
      </c>
      <c r="BY12">
        <v>1</v>
      </c>
      <c r="BZ12">
        <v>2</v>
      </c>
      <c r="CA12">
        <v>2</v>
      </c>
      <c r="CB12">
        <v>2</v>
      </c>
      <c r="CC12">
        <v>2</v>
      </c>
      <c r="CD12">
        <v>2</v>
      </c>
      <c r="CE12">
        <v>2</v>
      </c>
      <c r="CF12">
        <v>2</v>
      </c>
      <c r="CG12">
        <v>2</v>
      </c>
      <c r="CH12">
        <v>6</v>
      </c>
      <c r="CI12">
        <v>6</v>
      </c>
      <c r="CJ12">
        <v>6</v>
      </c>
      <c r="CK12">
        <v>9</v>
      </c>
      <c r="CL12">
        <v>9</v>
      </c>
      <c r="CM12">
        <v>9</v>
      </c>
      <c r="CN12">
        <v>12</v>
      </c>
      <c r="CO12">
        <v>15</v>
      </c>
      <c r="CP12">
        <v>16</v>
      </c>
      <c r="CQ12">
        <v>16</v>
      </c>
      <c r="CR12">
        <v>20</v>
      </c>
      <c r="CS12">
        <v>23</v>
      </c>
      <c r="CT12">
        <v>23</v>
      </c>
      <c r="CU12" s="1">
        <v>23</v>
      </c>
      <c r="CV12" s="1">
        <v>25</v>
      </c>
      <c r="CW12" s="1">
        <v>25</v>
      </c>
      <c r="CX12" s="1">
        <v>25</v>
      </c>
      <c r="CY12" s="1">
        <v>24</v>
      </c>
      <c r="CZ12" s="1">
        <v>24</v>
      </c>
      <c r="DA12" s="1">
        <v>24</v>
      </c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</row>
    <row r="13" spans="1:1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8</v>
      </c>
      <c r="BT13">
        <v>8</v>
      </c>
      <c r="BU13">
        <v>8</v>
      </c>
      <c r="BV13">
        <v>8</v>
      </c>
      <c r="BW13">
        <v>8</v>
      </c>
      <c r="BX13">
        <v>8</v>
      </c>
      <c r="BY13">
        <v>8</v>
      </c>
      <c r="BZ13">
        <v>173</v>
      </c>
      <c r="CA13">
        <v>173</v>
      </c>
      <c r="CB13">
        <v>173</v>
      </c>
      <c r="CC13">
        <v>345</v>
      </c>
      <c r="CD13">
        <v>372</v>
      </c>
      <c r="CE13">
        <v>372</v>
      </c>
      <c r="CF13">
        <v>372</v>
      </c>
      <c r="CG13">
        <v>372</v>
      </c>
      <c r="CH13">
        <v>442</v>
      </c>
      <c r="CI13">
        <v>442</v>
      </c>
      <c r="CJ13">
        <v>442</v>
      </c>
      <c r="CK13">
        <v>442</v>
      </c>
      <c r="CL13">
        <v>738</v>
      </c>
      <c r="CM13">
        <v>738</v>
      </c>
      <c r="CN13">
        <v>738</v>
      </c>
      <c r="CO13">
        <v>738</v>
      </c>
      <c r="CP13">
        <v>738</v>
      </c>
      <c r="CQ13">
        <v>738</v>
      </c>
      <c r="CR13">
        <v>738</v>
      </c>
      <c r="CS13">
        <v>803</v>
      </c>
      <c r="CT13">
        <v>926</v>
      </c>
      <c r="CU13" s="1">
        <v>926</v>
      </c>
      <c r="CV13" s="1">
        <v>934</v>
      </c>
      <c r="CW13" s="1">
        <v>943</v>
      </c>
      <c r="CX13" s="1">
        <v>948</v>
      </c>
      <c r="CY13" s="1">
        <v>965</v>
      </c>
      <c r="CZ13" s="1">
        <v>976</v>
      </c>
      <c r="DA13" s="1">
        <v>980</v>
      </c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</row>
    <row r="14" spans="1:1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  <c r="BS14">
        <v>6</v>
      </c>
      <c r="BT14">
        <v>6</v>
      </c>
      <c r="BU14">
        <v>6</v>
      </c>
      <c r="BV14">
        <v>6</v>
      </c>
      <c r="BW14">
        <v>46</v>
      </c>
      <c r="BX14">
        <v>46</v>
      </c>
      <c r="BY14">
        <v>46</v>
      </c>
      <c r="BZ14">
        <v>53</v>
      </c>
      <c r="CA14">
        <v>53</v>
      </c>
      <c r="CB14">
        <v>53</v>
      </c>
      <c r="CC14">
        <v>120</v>
      </c>
      <c r="CD14">
        <v>179</v>
      </c>
      <c r="CE14">
        <v>179</v>
      </c>
      <c r="CF14">
        <v>179</v>
      </c>
      <c r="CG14">
        <v>179</v>
      </c>
      <c r="CH14">
        <v>240</v>
      </c>
      <c r="CI14">
        <v>240</v>
      </c>
      <c r="CJ14">
        <v>279</v>
      </c>
      <c r="CK14">
        <v>331</v>
      </c>
      <c r="CL14">
        <v>331</v>
      </c>
      <c r="CM14">
        <v>331</v>
      </c>
      <c r="CN14">
        <v>369</v>
      </c>
      <c r="CO14">
        <v>376</v>
      </c>
      <c r="CP14">
        <v>388</v>
      </c>
      <c r="CQ14">
        <v>394</v>
      </c>
      <c r="CR14">
        <v>401</v>
      </c>
      <c r="CS14">
        <v>402</v>
      </c>
      <c r="CT14">
        <v>411</v>
      </c>
      <c r="CU14" s="1">
        <v>414</v>
      </c>
      <c r="CV14" s="1">
        <v>420</v>
      </c>
      <c r="CW14" s="1">
        <v>420</v>
      </c>
      <c r="CX14" s="1">
        <v>420</v>
      </c>
      <c r="CY14" s="1">
        <v>422</v>
      </c>
      <c r="CZ14" s="1">
        <v>427</v>
      </c>
      <c r="DA14" s="1">
        <v>427</v>
      </c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</row>
    <row r="15" spans="1:198" x14ac:dyDescent="0.4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  <c r="BS15">
        <v>5</v>
      </c>
      <c r="BT15">
        <v>5</v>
      </c>
      <c r="BU15">
        <v>5</v>
      </c>
      <c r="BV15">
        <v>5</v>
      </c>
      <c r="BW15">
        <v>5</v>
      </c>
      <c r="BX15">
        <v>5</v>
      </c>
      <c r="BY15">
        <v>5</v>
      </c>
      <c r="BZ15">
        <v>26</v>
      </c>
      <c r="CA15">
        <v>26</v>
      </c>
      <c r="CB15">
        <v>26</v>
      </c>
      <c r="CC15">
        <v>48</v>
      </c>
      <c r="CD15">
        <v>48</v>
      </c>
      <c r="CE15">
        <v>48</v>
      </c>
      <c r="CF15">
        <v>48</v>
      </c>
      <c r="CG15">
        <v>48</v>
      </c>
      <c r="CH15">
        <v>53</v>
      </c>
      <c r="CI15">
        <v>53</v>
      </c>
      <c r="CJ15">
        <v>67</v>
      </c>
      <c r="CK15">
        <v>67</v>
      </c>
      <c r="CL15">
        <v>67</v>
      </c>
      <c r="CM15">
        <v>67</v>
      </c>
      <c r="CN15">
        <v>71</v>
      </c>
      <c r="CO15">
        <v>74</v>
      </c>
      <c r="CP15">
        <v>77</v>
      </c>
      <c r="CQ15">
        <v>91</v>
      </c>
      <c r="CR15">
        <v>106</v>
      </c>
      <c r="CS15">
        <v>117</v>
      </c>
      <c r="CT15">
        <v>123</v>
      </c>
      <c r="CU15" s="1">
        <v>132</v>
      </c>
      <c r="CV15" s="1">
        <v>137</v>
      </c>
      <c r="CW15" s="1">
        <v>144</v>
      </c>
      <c r="CX15" s="1">
        <v>153</v>
      </c>
      <c r="CY15" s="1">
        <v>157</v>
      </c>
      <c r="CZ15" s="1">
        <v>158</v>
      </c>
      <c r="DA15" s="1">
        <v>164</v>
      </c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</row>
    <row r="16" spans="1:1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  <c r="BS16">
        <v>191</v>
      </c>
      <c r="BT16">
        <v>291</v>
      </c>
      <c r="BU16">
        <v>343</v>
      </c>
      <c r="BV16">
        <v>422</v>
      </c>
      <c r="BW16">
        <v>476</v>
      </c>
      <c r="BX16">
        <v>527</v>
      </c>
      <c r="BY16">
        <v>573</v>
      </c>
      <c r="BZ16">
        <v>620</v>
      </c>
      <c r="CA16">
        <v>620</v>
      </c>
      <c r="CB16">
        <v>620</v>
      </c>
      <c r="CC16">
        <v>736</v>
      </c>
      <c r="CD16">
        <v>926</v>
      </c>
      <c r="CE16">
        <v>926</v>
      </c>
      <c r="CF16">
        <v>926</v>
      </c>
      <c r="CG16">
        <v>926</v>
      </c>
      <c r="CH16">
        <v>1118</v>
      </c>
      <c r="CI16">
        <v>1118</v>
      </c>
      <c r="CJ16">
        <v>1137</v>
      </c>
      <c r="CK16">
        <v>1159</v>
      </c>
      <c r="CL16">
        <v>1172</v>
      </c>
      <c r="CM16">
        <v>1172</v>
      </c>
      <c r="CN16">
        <v>1196</v>
      </c>
      <c r="CO16">
        <v>1202</v>
      </c>
      <c r="CP16">
        <v>1243</v>
      </c>
      <c r="CQ16">
        <v>1251</v>
      </c>
      <c r="CR16">
        <v>1254</v>
      </c>
      <c r="CS16">
        <v>1262</v>
      </c>
      <c r="CT16">
        <v>1265</v>
      </c>
      <c r="CU16" s="1">
        <v>1280</v>
      </c>
      <c r="CV16" s="1">
        <v>1287</v>
      </c>
      <c r="CW16" s="1">
        <v>1291</v>
      </c>
      <c r="CX16" s="1">
        <v>1293</v>
      </c>
      <c r="CY16" s="1">
        <v>1300</v>
      </c>
      <c r="CZ16" s="1">
        <v>1300</v>
      </c>
      <c r="DA16" s="1">
        <v>1300</v>
      </c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</row>
    <row r="17" spans="1:198" x14ac:dyDescent="0.4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  <c r="BS17">
        <v>41</v>
      </c>
      <c r="BT17">
        <v>41</v>
      </c>
      <c r="BU17">
        <v>48</v>
      </c>
      <c r="BV17">
        <v>64</v>
      </c>
      <c r="BW17">
        <v>92</v>
      </c>
      <c r="BX17">
        <v>92</v>
      </c>
      <c r="BY17">
        <v>92</v>
      </c>
      <c r="BZ17">
        <v>162</v>
      </c>
      <c r="CA17">
        <v>162</v>
      </c>
      <c r="CB17">
        <v>162</v>
      </c>
      <c r="CC17">
        <v>170</v>
      </c>
      <c r="CD17">
        <v>203</v>
      </c>
      <c r="CE17">
        <v>216</v>
      </c>
      <c r="CF17">
        <v>216</v>
      </c>
      <c r="CG17">
        <v>216</v>
      </c>
      <c r="CH17">
        <v>251</v>
      </c>
      <c r="CI17">
        <v>251</v>
      </c>
      <c r="CJ17">
        <v>338</v>
      </c>
      <c r="CK17">
        <v>340</v>
      </c>
      <c r="CL17">
        <v>340</v>
      </c>
      <c r="CM17">
        <v>340</v>
      </c>
      <c r="CN17">
        <v>435</v>
      </c>
      <c r="CO17">
        <v>443</v>
      </c>
      <c r="CP17">
        <v>451</v>
      </c>
      <c r="CQ17">
        <v>458</v>
      </c>
      <c r="CR17">
        <v>464</v>
      </c>
      <c r="CS17">
        <v>478</v>
      </c>
      <c r="CT17">
        <v>486</v>
      </c>
      <c r="CU17" s="1">
        <v>486</v>
      </c>
      <c r="CV17" s="1">
        <v>495</v>
      </c>
      <c r="CW17" s="1">
        <v>507</v>
      </c>
      <c r="CX17" s="1">
        <v>507</v>
      </c>
      <c r="CY17" s="1">
        <v>511</v>
      </c>
      <c r="CZ17" s="1">
        <v>520</v>
      </c>
      <c r="DA17" s="1">
        <v>523</v>
      </c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</row>
    <row r="18" spans="1:198" x14ac:dyDescent="0.4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  <c r="BS18">
        <v>636</v>
      </c>
      <c r="BT18">
        <v>1095</v>
      </c>
      <c r="BU18">
        <v>1436</v>
      </c>
      <c r="BV18">
        <v>1749</v>
      </c>
      <c r="BW18">
        <v>2022</v>
      </c>
      <c r="BX18">
        <v>2507</v>
      </c>
      <c r="BY18">
        <v>2998</v>
      </c>
      <c r="BZ18">
        <v>3463</v>
      </c>
      <c r="CA18">
        <v>4046</v>
      </c>
      <c r="CB18">
        <v>4512</v>
      </c>
      <c r="CC18">
        <v>5240</v>
      </c>
      <c r="CD18">
        <v>6064</v>
      </c>
      <c r="CE18">
        <v>6604</v>
      </c>
      <c r="CF18">
        <v>6987</v>
      </c>
      <c r="CG18">
        <v>7343</v>
      </c>
      <c r="CH18">
        <v>7633</v>
      </c>
      <c r="CI18">
        <v>8098</v>
      </c>
      <c r="CJ18">
        <v>8986</v>
      </c>
      <c r="CK18">
        <v>9704</v>
      </c>
      <c r="CL18">
        <v>10214</v>
      </c>
      <c r="CM18">
        <v>10501</v>
      </c>
      <c r="CN18">
        <v>10631</v>
      </c>
      <c r="CO18">
        <v>10971</v>
      </c>
      <c r="CP18">
        <v>11328</v>
      </c>
      <c r="CQ18">
        <v>11694</v>
      </c>
      <c r="CR18">
        <v>11872</v>
      </c>
      <c r="CS18">
        <v>12103</v>
      </c>
      <c r="CT18">
        <v>12282</v>
      </c>
      <c r="CU18" s="1">
        <v>12362</v>
      </c>
      <c r="CV18" s="1">
        <v>12580</v>
      </c>
      <c r="CW18" s="1">
        <v>12779</v>
      </c>
      <c r="CX18" s="1">
        <v>12907</v>
      </c>
      <c r="CY18" s="1">
        <v>13110</v>
      </c>
      <c r="CZ18" s="1">
        <v>13180</v>
      </c>
      <c r="DA18" s="1">
        <v>13228</v>
      </c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</row>
    <row r="19" spans="1:198" x14ac:dyDescent="0.4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  <c r="BS19">
        <v>26</v>
      </c>
      <c r="BT19">
        <v>26</v>
      </c>
      <c r="BU19">
        <v>26</v>
      </c>
      <c r="BV19">
        <v>26</v>
      </c>
      <c r="BW19">
        <v>32</v>
      </c>
      <c r="BX19">
        <v>32</v>
      </c>
      <c r="BY19">
        <v>32</v>
      </c>
      <c r="BZ19">
        <v>44</v>
      </c>
      <c r="CA19">
        <v>44</v>
      </c>
      <c r="CB19">
        <v>63</v>
      </c>
      <c r="CC19">
        <v>101</v>
      </c>
      <c r="CD19">
        <v>159</v>
      </c>
      <c r="CE19">
        <v>200</v>
      </c>
      <c r="CF19">
        <v>250</v>
      </c>
      <c r="CG19">
        <v>289</v>
      </c>
      <c r="CH19">
        <v>351</v>
      </c>
      <c r="CI19">
        <v>404</v>
      </c>
      <c r="CJ19">
        <v>460</v>
      </c>
      <c r="CK19">
        <v>528</v>
      </c>
      <c r="CL19">
        <v>590</v>
      </c>
      <c r="CM19">
        <v>712</v>
      </c>
      <c r="CN19">
        <v>791</v>
      </c>
      <c r="CO19">
        <v>865</v>
      </c>
      <c r="CP19">
        <v>907</v>
      </c>
      <c r="CQ19">
        <v>948</v>
      </c>
      <c r="CR19">
        <v>1013</v>
      </c>
      <c r="CS19">
        <v>1080</v>
      </c>
      <c r="CT19">
        <v>1139</v>
      </c>
      <c r="CU19" s="1">
        <v>1162</v>
      </c>
      <c r="CV19" s="1">
        <v>1221</v>
      </c>
      <c r="CW19" s="1">
        <v>1267</v>
      </c>
      <c r="CX19" s="1">
        <v>1325</v>
      </c>
      <c r="CY19" s="1">
        <v>1365</v>
      </c>
      <c r="CZ19" s="1">
        <v>1411</v>
      </c>
      <c r="DA19" s="1">
        <v>1441</v>
      </c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</row>
    <row r="20" spans="1:198" x14ac:dyDescent="0.45">
      <c r="A20" s="1" t="s">
        <v>2</v>
      </c>
      <c r="B20" s="1" t="s">
        <v>246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0</v>
      </c>
      <c r="BY20">
        <v>0</v>
      </c>
      <c r="BZ20">
        <v>4</v>
      </c>
      <c r="CA20">
        <v>5</v>
      </c>
      <c r="CB20">
        <v>5</v>
      </c>
      <c r="CC20">
        <v>5</v>
      </c>
      <c r="CD20">
        <v>5</v>
      </c>
      <c r="CE20">
        <v>5</v>
      </c>
      <c r="CF20">
        <v>5</v>
      </c>
      <c r="CG20">
        <v>6</v>
      </c>
      <c r="CH20">
        <v>6</v>
      </c>
      <c r="CI20">
        <v>6</v>
      </c>
      <c r="CJ20">
        <v>6</v>
      </c>
      <c r="CK20">
        <v>6</v>
      </c>
      <c r="CL20">
        <v>10</v>
      </c>
      <c r="CM20">
        <v>10</v>
      </c>
      <c r="CN20">
        <v>11</v>
      </c>
      <c r="CO20">
        <v>12</v>
      </c>
      <c r="CP20">
        <v>12</v>
      </c>
      <c r="CQ20">
        <v>14</v>
      </c>
      <c r="CR20">
        <v>15</v>
      </c>
      <c r="CS20">
        <v>15</v>
      </c>
      <c r="CT20">
        <v>22</v>
      </c>
      <c r="CU20" s="1">
        <v>22</v>
      </c>
      <c r="CV20" s="1">
        <v>23</v>
      </c>
      <c r="CW20" s="1">
        <v>23</v>
      </c>
      <c r="CX20" s="1">
        <v>25</v>
      </c>
      <c r="CY20" s="1">
        <v>24</v>
      </c>
      <c r="CZ20" s="1">
        <v>24</v>
      </c>
      <c r="DA20" s="1">
        <v>24</v>
      </c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</row>
    <row r="21" spans="1:198" x14ac:dyDescent="0.4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  <c r="BS21">
        <v>279</v>
      </c>
      <c r="BT21">
        <v>295</v>
      </c>
      <c r="BU21">
        <v>337</v>
      </c>
      <c r="BV21">
        <v>381</v>
      </c>
      <c r="BW21">
        <v>382</v>
      </c>
      <c r="BX21">
        <v>423</v>
      </c>
      <c r="BY21">
        <v>431</v>
      </c>
      <c r="BZ21">
        <v>458</v>
      </c>
      <c r="CA21">
        <v>458</v>
      </c>
      <c r="CB21">
        <v>477</v>
      </c>
      <c r="CC21">
        <v>519</v>
      </c>
      <c r="CD21">
        <v>539</v>
      </c>
      <c r="CE21">
        <v>555</v>
      </c>
      <c r="CF21">
        <v>558</v>
      </c>
      <c r="CG21">
        <v>591</v>
      </c>
      <c r="CH21">
        <v>645</v>
      </c>
      <c r="CI21">
        <v>663</v>
      </c>
      <c r="CJ21">
        <v>703</v>
      </c>
      <c r="CK21">
        <v>725</v>
      </c>
      <c r="CL21">
        <v>755</v>
      </c>
      <c r="CM21">
        <v>759</v>
      </c>
      <c r="CN21">
        <v>769</v>
      </c>
      <c r="CO21">
        <v>784</v>
      </c>
      <c r="CP21">
        <v>1026</v>
      </c>
      <c r="CQ21">
        <v>1082</v>
      </c>
      <c r="CR21">
        <v>1113</v>
      </c>
      <c r="CS21">
        <v>1160</v>
      </c>
      <c r="CT21">
        <v>1189</v>
      </c>
      <c r="CU21" s="1">
        <v>1218</v>
      </c>
      <c r="CV21" s="1">
        <v>1310</v>
      </c>
      <c r="CW21" s="1">
        <v>1455</v>
      </c>
      <c r="CX21" s="1">
        <v>1500</v>
      </c>
      <c r="CY21" s="1">
        <v>1555</v>
      </c>
      <c r="CZ21" s="1">
        <v>1568</v>
      </c>
      <c r="DA21" s="1">
        <v>1718</v>
      </c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</row>
    <row r="22" spans="1:198" x14ac:dyDescent="0.4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  <c r="BS22">
        <v>19</v>
      </c>
      <c r="BT22">
        <v>25</v>
      </c>
      <c r="BU22">
        <v>25</v>
      </c>
      <c r="BV22">
        <v>25</v>
      </c>
      <c r="BW22">
        <v>26</v>
      </c>
      <c r="BX22">
        <v>30</v>
      </c>
      <c r="BY22">
        <v>33</v>
      </c>
      <c r="BZ22">
        <v>33</v>
      </c>
      <c r="CA22">
        <v>33</v>
      </c>
      <c r="CB22">
        <v>33</v>
      </c>
      <c r="CC22">
        <v>33</v>
      </c>
      <c r="CD22">
        <v>33</v>
      </c>
      <c r="CE22">
        <v>36</v>
      </c>
      <c r="CF22">
        <v>39</v>
      </c>
      <c r="CG22">
        <v>42</v>
      </c>
      <c r="CH22">
        <v>42</v>
      </c>
      <c r="CI22">
        <v>49</v>
      </c>
      <c r="CJ22">
        <v>49</v>
      </c>
      <c r="CK22">
        <v>58</v>
      </c>
      <c r="CL22">
        <v>66</v>
      </c>
      <c r="CM22">
        <v>75</v>
      </c>
      <c r="CN22">
        <v>85</v>
      </c>
      <c r="CO22">
        <v>87</v>
      </c>
      <c r="CP22">
        <v>92</v>
      </c>
      <c r="CQ22">
        <v>108</v>
      </c>
      <c r="CR22">
        <v>112</v>
      </c>
      <c r="CS22">
        <v>113</v>
      </c>
      <c r="CT22">
        <v>122</v>
      </c>
      <c r="CU22" s="1">
        <v>131</v>
      </c>
      <c r="CV22" s="1">
        <v>139</v>
      </c>
      <c r="CW22" s="1">
        <v>150</v>
      </c>
      <c r="CX22" s="1">
        <v>160</v>
      </c>
      <c r="CY22" s="1">
        <v>174</v>
      </c>
      <c r="CZ22" s="1">
        <v>177</v>
      </c>
      <c r="DA22" s="1">
        <v>1063</v>
      </c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</row>
    <row r="23" spans="1:198" x14ac:dyDescent="0.4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6</v>
      </c>
      <c r="BZ23">
        <v>6</v>
      </c>
      <c r="CA23">
        <v>6</v>
      </c>
      <c r="CB23">
        <v>8</v>
      </c>
      <c r="CC23">
        <v>11</v>
      </c>
      <c r="CD23">
        <v>11</v>
      </c>
      <c r="CE23">
        <v>11</v>
      </c>
      <c r="CF23">
        <v>11</v>
      </c>
      <c r="CG23">
        <v>13</v>
      </c>
      <c r="CH23">
        <v>13</v>
      </c>
      <c r="CI23">
        <v>15</v>
      </c>
      <c r="CJ23">
        <v>15</v>
      </c>
      <c r="CK23">
        <v>15</v>
      </c>
      <c r="CL23">
        <v>17</v>
      </c>
      <c r="CM23">
        <v>17</v>
      </c>
      <c r="CN23">
        <v>19</v>
      </c>
      <c r="CO23">
        <v>25</v>
      </c>
      <c r="CP23">
        <v>25</v>
      </c>
      <c r="CQ23">
        <v>30</v>
      </c>
      <c r="CR23">
        <v>31</v>
      </c>
      <c r="CS23">
        <v>31</v>
      </c>
      <c r="CT23">
        <v>39</v>
      </c>
      <c r="CU23" s="1">
        <v>39</v>
      </c>
      <c r="CV23" s="1">
        <v>39</v>
      </c>
      <c r="CW23" s="1">
        <v>39</v>
      </c>
      <c r="CX23" s="1">
        <v>39</v>
      </c>
      <c r="CY23" s="1">
        <v>39</v>
      </c>
      <c r="CZ23" s="1">
        <v>44</v>
      </c>
      <c r="DA23" s="1">
        <v>44</v>
      </c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</row>
    <row r="24" spans="1:198" x14ac:dyDescent="0.4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  <c r="BS24">
        <v>32</v>
      </c>
      <c r="BT24">
        <v>47</v>
      </c>
      <c r="BU24">
        <v>53</v>
      </c>
      <c r="BV24">
        <v>53</v>
      </c>
      <c r="BW24">
        <v>53</v>
      </c>
      <c r="BX24">
        <v>53</v>
      </c>
      <c r="BY24">
        <v>52</v>
      </c>
      <c r="BZ24">
        <v>53</v>
      </c>
      <c r="CA24">
        <v>54</v>
      </c>
      <c r="CB24">
        <v>77</v>
      </c>
      <c r="CC24">
        <v>139</v>
      </c>
      <c r="CD24">
        <v>169</v>
      </c>
      <c r="CE24">
        <v>172</v>
      </c>
      <c r="CF24">
        <v>203</v>
      </c>
      <c r="CG24">
        <v>203</v>
      </c>
      <c r="CH24">
        <v>203</v>
      </c>
      <c r="CI24">
        <v>203</v>
      </c>
      <c r="CJ24">
        <v>203</v>
      </c>
      <c r="CK24">
        <v>342</v>
      </c>
      <c r="CL24">
        <v>342</v>
      </c>
      <c r="CM24">
        <v>494</v>
      </c>
      <c r="CN24">
        <v>514</v>
      </c>
      <c r="CO24">
        <v>577</v>
      </c>
      <c r="CP24">
        <v>769</v>
      </c>
      <c r="CQ24">
        <v>938</v>
      </c>
      <c r="CR24">
        <v>1120</v>
      </c>
      <c r="CS24">
        <v>1573</v>
      </c>
      <c r="CT24">
        <v>1695</v>
      </c>
      <c r="CU24" s="1">
        <v>1740</v>
      </c>
      <c r="CV24" s="1">
        <v>1993</v>
      </c>
      <c r="CW24" s="1">
        <v>2072</v>
      </c>
      <c r="CX24" s="1">
        <v>2386</v>
      </c>
      <c r="CY24" s="1">
        <v>2918</v>
      </c>
      <c r="CZ24" s="1">
        <v>3117</v>
      </c>
      <c r="DA24" s="1">
        <v>3196</v>
      </c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</row>
    <row r="25" spans="1:198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  <c r="BS25">
        <v>1527</v>
      </c>
      <c r="BT25">
        <v>1696</v>
      </c>
      <c r="BU25">
        <v>2132</v>
      </c>
      <c r="BV25">
        <v>2495</v>
      </c>
      <c r="BW25">
        <v>2872</v>
      </c>
      <c r="BX25">
        <v>3247</v>
      </c>
      <c r="BY25">
        <v>3751</v>
      </c>
      <c r="BZ25">
        <v>3986</v>
      </c>
      <c r="CA25">
        <v>4157</v>
      </c>
      <c r="CB25">
        <v>4681</v>
      </c>
      <c r="CC25">
        <v>5164</v>
      </c>
      <c r="CD25">
        <v>5568</v>
      </c>
      <c r="CE25">
        <v>5986</v>
      </c>
      <c r="CF25">
        <v>6463</v>
      </c>
      <c r="CG25">
        <v>6707</v>
      </c>
      <c r="CH25">
        <v>6868</v>
      </c>
      <c r="CI25">
        <v>7107</v>
      </c>
      <c r="CJ25">
        <v>7562</v>
      </c>
      <c r="CK25">
        <v>7961</v>
      </c>
      <c r="CL25">
        <v>8348</v>
      </c>
      <c r="CM25">
        <v>8757</v>
      </c>
      <c r="CN25">
        <v>8895</v>
      </c>
      <c r="CO25">
        <v>9002</v>
      </c>
      <c r="CP25">
        <v>9433</v>
      </c>
      <c r="CQ25">
        <v>9800</v>
      </c>
      <c r="CR25">
        <v>10122</v>
      </c>
      <c r="CS25">
        <v>10417</v>
      </c>
      <c r="CT25">
        <v>10785</v>
      </c>
      <c r="CU25" s="1">
        <v>10878</v>
      </c>
      <c r="CV25" s="1">
        <v>10943</v>
      </c>
      <c r="CW25" s="1">
        <v>11283</v>
      </c>
      <c r="CX25" s="1">
        <v>11576</v>
      </c>
      <c r="CY25" s="1">
        <v>11892</v>
      </c>
      <c r="CZ25" s="1">
        <v>12211</v>
      </c>
      <c r="DA25" s="1">
        <v>12309</v>
      </c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</row>
    <row r="26" spans="1:198" x14ac:dyDescent="0.45">
      <c r="A26" s="1" t="s">
        <v>2</v>
      </c>
      <c r="B26" s="1" t="s">
        <v>248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2</v>
      </c>
      <c r="CN26">
        <v>2</v>
      </c>
      <c r="CO26">
        <v>2</v>
      </c>
      <c r="CP26">
        <v>2</v>
      </c>
      <c r="CQ26">
        <v>5</v>
      </c>
      <c r="CR26">
        <v>5</v>
      </c>
      <c r="CS26">
        <v>5</v>
      </c>
      <c r="CT26">
        <v>5</v>
      </c>
      <c r="CU26" s="1">
        <v>6</v>
      </c>
      <c r="CV26" s="1">
        <v>9</v>
      </c>
      <c r="CW26" s="1">
        <v>9</v>
      </c>
      <c r="CX26" s="1">
        <v>9</v>
      </c>
      <c r="CY26" s="1">
        <v>13</v>
      </c>
      <c r="CZ26" s="1">
        <v>13</v>
      </c>
      <c r="DA26" s="1">
        <v>13</v>
      </c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</row>
    <row r="27" spans="1:198" x14ac:dyDescent="0.4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1</v>
      </c>
      <c r="BU27">
        <v>1</v>
      </c>
      <c r="BV27">
        <v>1</v>
      </c>
      <c r="BW27">
        <v>2</v>
      </c>
      <c r="BX27">
        <v>2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18</v>
      </c>
      <c r="CI27">
        <v>18</v>
      </c>
      <c r="CJ27">
        <v>18</v>
      </c>
      <c r="CK27">
        <v>18</v>
      </c>
      <c r="CL27">
        <v>18</v>
      </c>
      <c r="CM27">
        <v>18</v>
      </c>
      <c r="CN27">
        <v>27</v>
      </c>
      <c r="CO27">
        <v>27</v>
      </c>
      <c r="CP27">
        <v>27</v>
      </c>
      <c r="CQ27">
        <v>27</v>
      </c>
      <c r="CR27">
        <v>27</v>
      </c>
      <c r="CS27">
        <v>27</v>
      </c>
      <c r="CT27">
        <v>33</v>
      </c>
      <c r="CU27" s="1">
        <v>33</v>
      </c>
      <c r="CV27" s="1">
        <v>33</v>
      </c>
      <c r="CW27" s="1">
        <v>33</v>
      </c>
      <c r="CX27" s="1">
        <v>33</v>
      </c>
      <c r="CY27" s="1">
        <v>42</v>
      </c>
      <c r="CZ27" s="1">
        <v>42</v>
      </c>
      <c r="DA27" s="1">
        <v>42</v>
      </c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</row>
    <row r="28" spans="1:198" x14ac:dyDescent="0.4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1</v>
      </c>
      <c r="BW28">
        <v>2</v>
      </c>
      <c r="BX28">
        <v>2</v>
      </c>
      <c r="BY28">
        <v>2</v>
      </c>
      <c r="BZ28">
        <v>2</v>
      </c>
      <c r="CA28">
        <v>2</v>
      </c>
      <c r="CB28">
        <v>2</v>
      </c>
      <c r="CC28">
        <v>2</v>
      </c>
      <c r="CD28">
        <v>2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2</v>
      </c>
      <c r="CK28">
        <v>2</v>
      </c>
      <c r="CL28">
        <v>2</v>
      </c>
      <c r="CM28">
        <v>2</v>
      </c>
      <c r="CN28">
        <v>2</v>
      </c>
      <c r="CO28">
        <v>2</v>
      </c>
      <c r="CP28">
        <v>2</v>
      </c>
      <c r="CQ28">
        <v>3</v>
      </c>
      <c r="CR28">
        <v>3</v>
      </c>
      <c r="CS28">
        <v>3</v>
      </c>
      <c r="CT28">
        <v>4</v>
      </c>
      <c r="CU28" s="1">
        <v>4</v>
      </c>
      <c r="CV28" s="1">
        <v>5</v>
      </c>
      <c r="CW28" s="1">
        <v>5</v>
      </c>
      <c r="CX28" s="1">
        <v>5</v>
      </c>
      <c r="CY28" s="1">
        <v>5</v>
      </c>
      <c r="CZ28" s="1">
        <v>5</v>
      </c>
      <c r="DA28" s="1">
        <v>5</v>
      </c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</row>
    <row r="29" spans="1:198" x14ac:dyDescent="0.4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1</v>
      </c>
      <c r="BV29">
        <v>1</v>
      </c>
      <c r="BW29">
        <v>1</v>
      </c>
      <c r="BX29">
        <v>1</v>
      </c>
      <c r="BY29">
        <v>2</v>
      </c>
      <c r="BZ29">
        <v>2</v>
      </c>
      <c r="CA29">
        <v>2</v>
      </c>
      <c r="CB29">
        <v>2</v>
      </c>
      <c r="CC29">
        <v>2</v>
      </c>
      <c r="CD29">
        <v>2</v>
      </c>
      <c r="CE29">
        <v>2</v>
      </c>
      <c r="CF29">
        <v>2</v>
      </c>
      <c r="CG29">
        <v>2</v>
      </c>
      <c r="CH29">
        <v>6</v>
      </c>
      <c r="CI29">
        <v>7</v>
      </c>
      <c r="CJ29">
        <v>14</v>
      </c>
      <c r="CK29">
        <v>26</v>
      </c>
      <c r="CL29">
        <v>31</v>
      </c>
      <c r="CM29">
        <v>31</v>
      </c>
      <c r="CN29">
        <v>31</v>
      </c>
      <c r="CO29">
        <v>37</v>
      </c>
      <c r="CP29">
        <v>44</v>
      </c>
      <c r="CQ29">
        <v>44</v>
      </c>
      <c r="CR29">
        <v>54</v>
      </c>
      <c r="CS29">
        <v>54</v>
      </c>
      <c r="CT29">
        <v>80</v>
      </c>
      <c r="CU29" s="1">
        <v>98</v>
      </c>
      <c r="CV29" s="1">
        <v>98</v>
      </c>
      <c r="CW29" s="1">
        <v>117</v>
      </c>
      <c r="CX29" s="1">
        <v>117</v>
      </c>
      <c r="CY29" s="1">
        <v>134</v>
      </c>
      <c r="CZ29" s="1">
        <v>134</v>
      </c>
      <c r="DA29" s="1">
        <v>166</v>
      </c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</row>
    <row r="30" spans="1:198" x14ac:dyDescent="0.4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  <c r="BS30">
        <v>17</v>
      </c>
      <c r="BT30">
        <v>17</v>
      </c>
      <c r="BU30">
        <v>19</v>
      </c>
      <c r="BV30">
        <v>20</v>
      </c>
      <c r="BW30">
        <v>27</v>
      </c>
      <c r="BX30">
        <v>30</v>
      </c>
      <c r="BY30">
        <v>30</v>
      </c>
      <c r="BZ30">
        <v>47</v>
      </c>
      <c r="CA30">
        <v>68</v>
      </c>
      <c r="CB30">
        <v>79</v>
      </c>
      <c r="CC30">
        <v>101</v>
      </c>
      <c r="CD30">
        <v>129</v>
      </c>
      <c r="CE30">
        <v>139</v>
      </c>
      <c r="CF30">
        <v>193</v>
      </c>
      <c r="CG30">
        <v>206</v>
      </c>
      <c r="CH30">
        <v>236</v>
      </c>
      <c r="CI30">
        <v>253</v>
      </c>
      <c r="CJ30">
        <v>277</v>
      </c>
      <c r="CK30">
        <v>320</v>
      </c>
      <c r="CL30">
        <v>338</v>
      </c>
      <c r="CM30">
        <v>347</v>
      </c>
      <c r="CN30">
        <v>381</v>
      </c>
      <c r="CO30">
        <v>437</v>
      </c>
      <c r="CP30">
        <v>460</v>
      </c>
      <c r="CQ30">
        <v>485</v>
      </c>
      <c r="CR30">
        <v>538</v>
      </c>
      <c r="CS30">
        <v>592</v>
      </c>
      <c r="CT30">
        <v>624</v>
      </c>
      <c r="CU30" s="1">
        <v>659</v>
      </c>
      <c r="CV30" s="1">
        <v>682</v>
      </c>
      <c r="CW30" s="1">
        <v>710</v>
      </c>
      <c r="CX30" s="1">
        <v>727</v>
      </c>
      <c r="CY30" s="1">
        <v>755</v>
      </c>
      <c r="CZ30" s="1">
        <v>779</v>
      </c>
      <c r="DA30" s="1">
        <v>825</v>
      </c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</row>
    <row r="31" spans="1:198" x14ac:dyDescent="0.4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  <c r="BS31">
        <v>120</v>
      </c>
      <c r="BT31">
        <v>127</v>
      </c>
      <c r="BU31">
        <v>127</v>
      </c>
      <c r="BV31">
        <v>127</v>
      </c>
      <c r="BW31">
        <v>127</v>
      </c>
      <c r="BX31">
        <v>127</v>
      </c>
      <c r="BY31">
        <v>127</v>
      </c>
      <c r="BZ31">
        <v>127</v>
      </c>
      <c r="CA31">
        <v>127</v>
      </c>
      <c r="CB31">
        <v>127</v>
      </c>
      <c r="CC31">
        <v>173</v>
      </c>
      <c r="CD31">
        <v>173</v>
      </c>
      <c r="CE31">
        <v>173</v>
      </c>
      <c r="CF31">
        <v>173</v>
      </c>
      <c r="CG31">
        <v>173</v>
      </c>
      <c r="CH31">
        <v>3046</v>
      </c>
      <c r="CI31">
        <v>14026</v>
      </c>
      <c r="CJ31">
        <v>14026</v>
      </c>
      <c r="CK31">
        <v>14026</v>
      </c>
      <c r="CL31">
        <v>14026</v>
      </c>
      <c r="CM31">
        <v>22130</v>
      </c>
      <c r="CN31">
        <v>22130</v>
      </c>
      <c r="CO31">
        <v>22991</v>
      </c>
      <c r="CP31">
        <v>25318</v>
      </c>
      <c r="CQ31">
        <v>26573</v>
      </c>
      <c r="CR31">
        <v>27655</v>
      </c>
      <c r="CS31">
        <v>29160</v>
      </c>
      <c r="CT31">
        <v>30152</v>
      </c>
      <c r="CU31" s="1">
        <v>31142</v>
      </c>
      <c r="CV31" s="1">
        <v>32544</v>
      </c>
      <c r="CW31" s="1">
        <v>34132</v>
      </c>
      <c r="CX31" s="1">
        <v>35935</v>
      </c>
      <c r="CY31" s="1">
        <v>38039</v>
      </c>
      <c r="CZ31" s="1">
        <v>40937</v>
      </c>
      <c r="DA31" s="1">
        <v>42991</v>
      </c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</row>
    <row r="32" spans="1:198" x14ac:dyDescent="0.4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  <c r="BS32">
        <v>38</v>
      </c>
      <c r="BT32">
        <v>45</v>
      </c>
      <c r="BU32">
        <v>52</v>
      </c>
      <c r="BV32">
        <v>56</v>
      </c>
      <c r="BW32">
        <v>65</v>
      </c>
      <c r="BX32">
        <v>66</v>
      </c>
      <c r="BY32">
        <v>73</v>
      </c>
      <c r="BZ32">
        <v>82</v>
      </c>
      <c r="CA32">
        <v>85</v>
      </c>
      <c r="CB32">
        <v>91</v>
      </c>
      <c r="CC32">
        <v>92</v>
      </c>
      <c r="CD32">
        <v>99</v>
      </c>
      <c r="CE32">
        <v>104</v>
      </c>
      <c r="CF32">
        <v>106</v>
      </c>
      <c r="CG32">
        <v>107</v>
      </c>
      <c r="CH32">
        <v>107</v>
      </c>
      <c r="CI32">
        <v>108</v>
      </c>
      <c r="CJ32">
        <v>108</v>
      </c>
      <c r="CK32">
        <v>112</v>
      </c>
      <c r="CL32">
        <v>113</v>
      </c>
      <c r="CM32">
        <v>115</v>
      </c>
      <c r="CN32">
        <v>116</v>
      </c>
      <c r="CO32">
        <v>116</v>
      </c>
      <c r="CP32">
        <v>117</v>
      </c>
      <c r="CQ32">
        <v>119</v>
      </c>
      <c r="CR32">
        <v>120</v>
      </c>
      <c r="CS32">
        <v>121</v>
      </c>
      <c r="CT32">
        <v>123</v>
      </c>
      <c r="CU32" s="1">
        <v>124</v>
      </c>
      <c r="CV32" s="1">
        <v>124</v>
      </c>
      <c r="CW32" s="1">
        <v>124</v>
      </c>
      <c r="CX32" s="1">
        <v>124</v>
      </c>
      <c r="CY32" s="1">
        <v>124</v>
      </c>
      <c r="CZ32" s="1">
        <v>126</v>
      </c>
      <c r="DA32" s="1">
        <v>128</v>
      </c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</row>
    <row r="33" spans="1:198" x14ac:dyDescent="0.4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  <c r="BS33">
        <v>17</v>
      </c>
      <c r="BT33">
        <v>17</v>
      </c>
      <c r="BU33">
        <v>20</v>
      </c>
      <c r="BV33">
        <v>25</v>
      </c>
      <c r="BW33">
        <v>30</v>
      </c>
      <c r="BX33">
        <v>34</v>
      </c>
      <c r="BY33">
        <v>37</v>
      </c>
      <c r="BZ33">
        <v>39</v>
      </c>
      <c r="CA33">
        <v>42</v>
      </c>
      <c r="CB33">
        <v>42</v>
      </c>
      <c r="CC33">
        <v>48</v>
      </c>
      <c r="CD33">
        <v>54</v>
      </c>
      <c r="CE33">
        <v>62</v>
      </c>
      <c r="CF33">
        <v>68</v>
      </c>
      <c r="CG33">
        <v>71</v>
      </c>
      <c r="CH33">
        <v>81</v>
      </c>
      <c r="CI33">
        <v>105</v>
      </c>
      <c r="CJ33">
        <v>122</v>
      </c>
      <c r="CK33">
        <v>141</v>
      </c>
      <c r="CL33">
        <v>153</v>
      </c>
      <c r="CM33">
        <v>161</v>
      </c>
      <c r="CN33">
        <v>167</v>
      </c>
      <c r="CO33">
        <v>170</v>
      </c>
      <c r="CP33">
        <v>174</v>
      </c>
      <c r="CQ33">
        <v>190</v>
      </c>
      <c r="CR33">
        <v>197</v>
      </c>
      <c r="CS33">
        <v>197</v>
      </c>
      <c r="CT33">
        <v>205</v>
      </c>
      <c r="CU33" s="1">
        <v>206</v>
      </c>
      <c r="CV33" s="1">
        <v>222</v>
      </c>
      <c r="CW33" s="1">
        <v>243</v>
      </c>
      <c r="CX33" s="1">
        <v>266</v>
      </c>
      <c r="CY33" s="1">
        <v>276</v>
      </c>
      <c r="CZ33" s="1">
        <v>287</v>
      </c>
      <c r="DA33" s="1">
        <v>308</v>
      </c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</row>
    <row r="34" spans="1:198" x14ac:dyDescent="0.4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  <c r="BS34">
        <v>31</v>
      </c>
      <c r="BT34">
        <v>32</v>
      </c>
      <c r="BU34">
        <v>46</v>
      </c>
      <c r="BV34">
        <v>50</v>
      </c>
      <c r="BW34">
        <v>50</v>
      </c>
      <c r="BX34">
        <v>66</v>
      </c>
      <c r="BY34">
        <v>90</v>
      </c>
      <c r="BZ34">
        <v>108</v>
      </c>
      <c r="CA34">
        <v>127</v>
      </c>
      <c r="CB34">
        <v>134</v>
      </c>
      <c r="CC34">
        <v>146</v>
      </c>
      <c r="CD34">
        <v>146</v>
      </c>
      <c r="CE34">
        <v>155</v>
      </c>
      <c r="CF34">
        <v>161</v>
      </c>
      <c r="CG34">
        <v>161</v>
      </c>
      <c r="CH34">
        <v>177</v>
      </c>
      <c r="CI34">
        <v>226</v>
      </c>
      <c r="CJ34">
        <v>257</v>
      </c>
      <c r="CK34">
        <v>294</v>
      </c>
      <c r="CL34">
        <v>321</v>
      </c>
      <c r="CM34">
        <v>338</v>
      </c>
      <c r="CN34">
        <v>357</v>
      </c>
      <c r="CO34">
        <v>362</v>
      </c>
      <c r="CP34">
        <v>389</v>
      </c>
      <c r="CQ34">
        <v>410</v>
      </c>
      <c r="CR34">
        <v>425</v>
      </c>
      <c r="CS34">
        <v>442</v>
      </c>
      <c r="CT34">
        <v>453</v>
      </c>
      <c r="CU34" s="1">
        <v>469</v>
      </c>
      <c r="CV34" s="1">
        <v>476</v>
      </c>
      <c r="CW34" s="1">
        <v>498</v>
      </c>
      <c r="CX34" s="1">
        <v>506</v>
      </c>
      <c r="CY34" s="1">
        <v>517</v>
      </c>
      <c r="CZ34" s="1">
        <v>535</v>
      </c>
      <c r="DA34" s="1">
        <v>540</v>
      </c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</row>
    <row r="35" spans="1:198" x14ac:dyDescent="0.4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 s="1">
        <v>1</v>
      </c>
      <c r="CV35" s="1">
        <v>2</v>
      </c>
      <c r="CW35" s="1">
        <v>2</v>
      </c>
      <c r="CX35" s="1">
        <v>4</v>
      </c>
      <c r="CY35" s="1">
        <v>18</v>
      </c>
      <c r="CZ35" s="1">
        <v>18</v>
      </c>
      <c r="DA35" s="1">
        <v>33</v>
      </c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</row>
    <row r="36" spans="1:198" x14ac:dyDescent="0.4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  <c r="BS36">
        <v>21</v>
      </c>
      <c r="BT36">
        <v>23</v>
      </c>
      <c r="BU36">
        <v>25</v>
      </c>
      <c r="BV36">
        <v>34</v>
      </c>
      <c r="BW36">
        <v>35</v>
      </c>
      <c r="BX36">
        <v>50</v>
      </c>
      <c r="BY36">
        <v>50</v>
      </c>
      <c r="BZ36">
        <v>53</v>
      </c>
      <c r="CA36">
        <v>58</v>
      </c>
      <c r="CB36">
        <v>63</v>
      </c>
      <c r="CC36">
        <v>62</v>
      </c>
      <c r="CD36">
        <v>72</v>
      </c>
      <c r="CE36">
        <v>75</v>
      </c>
      <c r="CF36">
        <v>77</v>
      </c>
      <c r="CG36">
        <v>77</v>
      </c>
      <c r="CH36">
        <v>91</v>
      </c>
      <c r="CI36">
        <v>96</v>
      </c>
      <c r="CJ36">
        <v>98</v>
      </c>
      <c r="CK36">
        <v>98</v>
      </c>
      <c r="CL36">
        <v>103</v>
      </c>
      <c r="CM36">
        <v>105</v>
      </c>
      <c r="CN36">
        <v>107</v>
      </c>
      <c r="CO36">
        <v>110</v>
      </c>
      <c r="CP36">
        <v>110</v>
      </c>
      <c r="CQ36">
        <v>110</v>
      </c>
      <c r="CR36">
        <v>117</v>
      </c>
      <c r="CS36">
        <v>117</v>
      </c>
      <c r="CT36">
        <v>117</v>
      </c>
      <c r="CU36" s="1">
        <v>119</v>
      </c>
      <c r="CV36" s="1">
        <v>119</v>
      </c>
      <c r="CW36" s="1">
        <v>119</v>
      </c>
      <c r="CX36" s="1">
        <v>119</v>
      </c>
      <c r="CY36" s="1">
        <v>120</v>
      </c>
      <c r="CZ36" s="1">
        <v>120</v>
      </c>
      <c r="DA36" s="1">
        <v>120</v>
      </c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</row>
    <row r="37" spans="1:198" x14ac:dyDescent="0.4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  <c r="BS37">
        <v>5</v>
      </c>
      <c r="BT37">
        <v>5</v>
      </c>
      <c r="BU37">
        <v>10</v>
      </c>
      <c r="BV37">
        <v>10</v>
      </c>
      <c r="BW37">
        <v>17</v>
      </c>
      <c r="BX37">
        <v>17</v>
      </c>
      <c r="BY37">
        <v>17</v>
      </c>
      <c r="BZ37">
        <v>17</v>
      </c>
      <c r="CA37">
        <v>43</v>
      </c>
      <c r="CB37">
        <v>60</v>
      </c>
      <c r="CC37">
        <v>60</v>
      </c>
      <c r="CD37">
        <v>98</v>
      </c>
      <c r="CE37">
        <v>98</v>
      </c>
      <c r="CF37">
        <v>98</v>
      </c>
      <c r="CG37">
        <v>98</v>
      </c>
      <c r="CH37">
        <v>130</v>
      </c>
      <c r="CI37">
        <v>165</v>
      </c>
      <c r="CJ37">
        <v>164</v>
      </c>
      <c r="CK37">
        <v>164</v>
      </c>
      <c r="CL37">
        <v>177</v>
      </c>
      <c r="CM37">
        <v>305</v>
      </c>
      <c r="CN37">
        <v>305</v>
      </c>
      <c r="CO37">
        <v>329</v>
      </c>
      <c r="CP37">
        <v>397</v>
      </c>
      <c r="CQ37">
        <v>668</v>
      </c>
      <c r="CR37">
        <v>668</v>
      </c>
      <c r="CS37">
        <v>697</v>
      </c>
      <c r="CT37">
        <v>786</v>
      </c>
      <c r="CU37" s="1">
        <v>805</v>
      </c>
      <c r="CV37" s="1">
        <v>915</v>
      </c>
      <c r="CW37" s="1">
        <v>934</v>
      </c>
      <c r="CX37" s="1">
        <v>934</v>
      </c>
      <c r="CY37" s="1">
        <v>934</v>
      </c>
      <c r="CZ37" s="1">
        <v>953</v>
      </c>
      <c r="DA37" s="1">
        <v>953</v>
      </c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</row>
    <row r="38" spans="1:198" x14ac:dyDescent="0.4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  <c r="BS38">
        <v>466</v>
      </c>
      <c r="BT38">
        <v>1592</v>
      </c>
      <c r="BU38">
        <v>1324</v>
      </c>
      <c r="BV38">
        <v>1735</v>
      </c>
      <c r="BW38">
        <v>2175</v>
      </c>
      <c r="BX38">
        <v>2577</v>
      </c>
      <c r="BY38">
        <v>3012</v>
      </c>
      <c r="BZ38">
        <v>3256</v>
      </c>
      <c r="CA38">
        <v>3791</v>
      </c>
      <c r="CB38">
        <v>4154</v>
      </c>
      <c r="CC38">
        <v>5162</v>
      </c>
      <c r="CD38">
        <v>5855</v>
      </c>
      <c r="CE38">
        <v>6589</v>
      </c>
      <c r="CF38">
        <v>7123</v>
      </c>
      <c r="CG38">
        <v>7758</v>
      </c>
      <c r="CH38">
        <v>8210</v>
      </c>
      <c r="CI38">
        <v>8966</v>
      </c>
      <c r="CJ38">
        <v>9698</v>
      </c>
      <c r="CK38">
        <v>10545</v>
      </c>
      <c r="CL38">
        <v>10964</v>
      </c>
      <c r="CM38">
        <v>11847</v>
      </c>
      <c r="CN38">
        <v>12543</v>
      </c>
      <c r="CO38">
        <v>13188</v>
      </c>
      <c r="CP38">
        <v>14454</v>
      </c>
      <c r="CQ38">
        <v>14761</v>
      </c>
      <c r="CR38">
        <v>15149</v>
      </c>
      <c r="CS38">
        <v>16013</v>
      </c>
      <c r="CT38">
        <v>16883</v>
      </c>
      <c r="CU38" s="1">
        <v>18268</v>
      </c>
      <c r="CV38" s="1">
        <v>19231</v>
      </c>
      <c r="CW38" s="1">
        <v>20327</v>
      </c>
      <c r="CX38" s="1">
        <v>21424</v>
      </c>
      <c r="CY38" s="1">
        <v>22764</v>
      </c>
      <c r="CZ38" s="1">
        <v>23814</v>
      </c>
      <c r="DA38" s="1">
        <v>24921</v>
      </c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</row>
    <row r="39" spans="1:198" x14ac:dyDescent="0.4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3</v>
      </c>
      <c r="CH39">
        <v>4</v>
      </c>
      <c r="CI39">
        <v>4</v>
      </c>
      <c r="CJ39">
        <v>4</v>
      </c>
      <c r="CK39">
        <v>4</v>
      </c>
      <c r="CL39">
        <v>4</v>
      </c>
      <c r="CM39">
        <v>4</v>
      </c>
      <c r="CN39">
        <v>4</v>
      </c>
      <c r="CO39">
        <v>10</v>
      </c>
      <c r="CP39">
        <v>10</v>
      </c>
      <c r="CQ39">
        <v>10</v>
      </c>
      <c r="CR39">
        <v>10</v>
      </c>
      <c r="CS39">
        <v>10</v>
      </c>
      <c r="CT39">
        <v>10</v>
      </c>
      <c r="CU39" s="1">
        <v>10</v>
      </c>
      <c r="CV39" s="1">
        <v>10</v>
      </c>
      <c r="CW39" s="1">
        <v>10</v>
      </c>
      <c r="CX39" s="1">
        <v>10</v>
      </c>
      <c r="CY39" s="1">
        <v>10</v>
      </c>
      <c r="CZ39" s="1">
        <v>10</v>
      </c>
      <c r="DA39" s="1">
        <v>10</v>
      </c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</row>
    <row r="40" spans="1:198" x14ac:dyDescent="0.4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2</v>
      </c>
      <c r="CB40">
        <v>2</v>
      </c>
      <c r="CC40">
        <v>2</v>
      </c>
      <c r="CD40">
        <v>2</v>
      </c>
      <c r="CE40">
        <v>2</v>
      </c>
      <c r="CF40">
        <v>2</v>
      </c>
      <c r="CG40">
        <v>2</v>
      </c>
      <c r="CH40">
        <v>2</v>
      </c>
      <c r="CI40">
        <v>2</v>
      </c>
      <c r="CJ40">
        <v>5</v>
      </c>
      <c r="CK40">
        <v>5</v>
      </c>
      <c r="CL40">
        <v>8</v>
      </c>
      <c r="CM40">
        <v>8</v>
      </c>
      <c r="CN40">
        <v>8</v>
      </c>
      <c r="CO40">
        <v>8</v>
      </c>
      <c r="CP40">
        <v>8</v>
      </c>
      <c r="CQ40">
        <v>8</v>
      </c>
      <c r="CR40">
        <v>8</v>
      </c>
      <c r="CS40">
        <v>15</v>
      </c>
      <c r="CT40">
        <v>15</v>
      </c>
      <c r="CU40" s="1">
        <v>15</v>
      </c>
      <c r="CV40" s="1">
        <v>19</v>
      </c>
      <c r="CW40" s="1">
        <v>19</v>
      </c>
      <c r="CX40" s="1">
        <v>33</v>
      </c>
      <c r="CY40" s="1">
        <v>33</v>
      </c>
      <c r="CZ40" s="1">
        <v>39</v>
      </c>
      <c r="DA40" s="1">
        <v>39</v>
      </c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</row>
    <row r="41" spans="1:198" x14ac:dyDescent="0.4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  <c r="BS41">
        <v>156</v>
      </c>
      <c r="BT41">
        <v>156</v>
      </c>
      <c r="BU41">
        <v>234</v>
      </c>
      <c r="BV41">
        <v>335</v>
      </c>
      <c r="BW41">
        <v>427</v>
      </c>
      <c r="BX41">
        <v>528</v>
      </c>
      <c r="BY41">
        <v>618</v>
      </c>
      <c r="BZ41">
        <v>728</v>
      </c>
      <c r="CA41">
        <v>898</v>
      </c>
      <c r="CB41">
        <v>1115</v>
      </c>
      <c r="CC41">
        <v>1274</v>
      </c>
      <c r="CD41">
        <v>1571</v>
      </c>
      <c r="CE41">
        <v>1864</v>
      </c>
      <c r="CF41">
        <v>2059</v>
      </c>
      <c r="CG41">
        <v>2367</v>
      </c>
      <c r="CH41">
        <v>2646</v>
      </c>
      <c r="CI41">
        <v>2937</v>
      </c>
      <c r="CJ41">
        <v>3299</v>
      </c>
      <c r="CK41">
        <v>3621</v>
      </c>
      <c r="CL41">
        <v>4035</v>
      </c>
      <c r="CM41">
        <v>4338</v>
      </c>
      <c r="CN41">
        <v>4676</v>
      </c>
      <c r="CO41">
        <v>4969</v>
      </c>
      <c r="CP41">
        <v>5386</v>
      </c>
      <c r="CQ41">
        <v>5804</v>
      </c>
      <c r="CR41">
        <v>6327</v>
      </c>
      <c r="CS41">
        <v>6746</v>
      </c>
      <c r="CT41">
        <v>7024</v>
      </c>
      <c r="CU41" s="1">
        <v>7327</v>
      </c>
      <c r="CV41" s="1">
        <v>7710</v>
      </c>
      <c r="CW41" s="1">
        <v>8057</v>
      </c>
      <c r="CX41" s="1">
        <v>8580</v>
      </c>
      <c r="CY41" s="1">
        <v>9018</v>
      </c>
      <c r="CZ41" s="1">
        <v>9572</v>
      </c>
      <c r="DA41" s="1">
        <v>10041</v>
      </c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</row>
    <row r="42" spans="1:198" x14ac:dyDescent="0.4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  <c r="BS42">
        <v>984</v>
      </c>
      <c r="BT42">
        <v>984</v>
      </c>
      <c r="BU42">
        <v>984</v>
      </c>
      <c r="BV42">
        <v>984</v>
      </c>
      <c r="BW42">
        <v>984</v>
      </c>
      <c r="BX42">
        <v>984</v>
      </c>
      <c r="BY42">
        <v>984</v>
      </c>
      <c r="BZ42">
        <v>984</v>
      </c>
      <c r="CA42">
        <v>984</v>
      </c>
      <c r="CB42">
        <v>984</v>
      </c>
      <c r="CC42">
        <v>984</v>
      </c>
      <c r="CD42">
        <v>984</v>
      </c>
      <c r="CE42">
        <v>984</v>
      </c>
      <c r="CF42">
        <v>984</v>
      </c>
      <c r="CG42">
        <v>984</v>
      </c>
      <c r="CH42">
        <v>984</v>
      </c>
      <c r="CI42">
        <v>984</v>
      </c>
      <c r="CJ42">
        <v>984</v>
      </c>
      <c r="CK42">
        <v>984</v>
      </c>
      <c r="CL42">
        <v>984</v>
      </c>
      <c r="CM42">
        <v>984</v>
      </c>
      <c r="CN42">
        <v>984</v>
      </c>
      <c r="CO42">
        <v>984</v>
      </c>
      <c r="CP42">
        <v>984</v>
      </c>
      <c r="CQ42">
        <v>984</v>
      </c>
      <c r="CR42">
        <v>985</v>
      </c>
      <c r="CS42">
        <v>985</v>
      </c>
      <c r="CT42">
        <v>985</v>
      </c>
      <c r="CU42" s="1">
        <v>985</v>
      </c>
      <c r="CV42" s="1">
        <v>985</v>
      </c>
      <c r="CW42" s="1">
        <v>985</v>
      </c>
      <c r="CX42" s="1">
        <v>985</v>
      </c>
      <c r="CY42" s="1">
        <v>985</v>
      </c>
      <c r="CZ42" s="1">
        <v>985</v>
      </c>
      <c r="DA42" s="1">
        <v>985</v>
      </c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</row>
    <row r="43" spans="1:198" x14ac:dyDescent="0.4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  <c r="BS43">
        <v>415</v>
      </c>
      <c r="BT43">
        <v>418</v>
      </c>
      <c r="BU43">
        <v>418</v>
      </c>
      <c r="BV43">
        <v>424</v>
      </c>
      <c r="BW43">
        <v>434</v>
      </c>
      <c r="BX43">
        <v>438</v>
      </c>
      <c r="BY43">
        <v>441</v>
      </c>
      <c r="BZ43">
        <v>443</v>
      </c>
      <c r="CA43">
        <v>448</v>
      </c>
      <c r="CB43">
        <v>455</v>
      </c>
      <c r="CC43">
        <v>464</v>
      </c>
      <c r="CD43">
        <v>469</v>
      </c>
      <c r="CE43">
        <v>474</v>
      </c>
      <c r="CF43">
        <v>479</v>
      </c>
      <c r="CG43">
        <v>484</v>
      </c>
      <c r="CH43">
        <v>491</v>
      </c>
      <c r="CI43">
        <v>495</v>
      </c>
      <c r="CJ43">
        <v>503</v>
      </c>
      <c r="CK43">
        <v>509</v>
      </c>
      <c r="CL43">
        <v>509</v>
      </c>
      <c r="CM43">
        <v>510</v>
      </c>
      <c r="CN43">
        <v>514</v>
      </c>
      <c r="CO43">
        <v>516</v>
      </c>
      <c r="CP43">
        <v>518</v>
      </c>
      <c r="CQ43">
        <v>524</v>
      </c>
      <c r="CR43">
        <v>525</v>
      </c>
      <c r="CS43">
        <v>525</v>
      </c>
      <c r="CT43">
        <v>525</v>
      </c>
      <c r="CU43" s="1">
        <v>536</v>
      </c>
      <c r="CV43" s="1">
        <v>538</v>
      </c>
      <c r="CW43" s="1">
        <v>542</v>
      </c>
      <c r="CX43" s="1">
        <v>547</v>
      </c>
      <c r="CY43" s="1">
        <v>547</v>
      </c>
      <c r="CZ43" s="1">
        <v>547</v>
      </c>
      <c r="DA43" s="1">
        <v>553</v>
      </c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</row>
    <row r="44" spans="1:198" x14ac:dyDescent="0.4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  <c r="BS44">
        <v>570</v>
      </c>
      <c r="BT44">
        <v>570</v>
      </c>
      <c r="BU44">
        <v>570</v>
      </c>
      <c r="BV44">
        <v>570</v>
      </c>
      <c r="BW44">
        <v>570</v>
      </c>
      <c r="BX44">
        <v>570</v>
      </c>
      <c r="BY44">
        <v>570</v>
      </c>
      <c r="BZ44">
        <v>570</v>
      </c>
      <c r="CA44">
        <v>570</v>
      </c>
      <c r="CB44">
        <v>570</v>
      </c>
      <c r="CC44">
        <v>570</v>
      </c>
      <c r="CD44">
        <v>570</v>
      </c>
      <c r="CE44">
        <v>570</v>
      </c>
      <c r="CF44">
        <v>570</v>
      </c>
      <c r="CG44">
        <v>570</v>
      </c>
      <c r="CH44">
        <v>570</v>
      </c>
      <c r="CI44">
        <v>570</v>
      </c>
      <c r="CJ44">
        <v>570</v>
      </c>
      <c r="CK44">
        <v>570</v>
      </c>
      <c r="CL44">
        <v>570</v>
      </c>
      <c r="CM44">
        <v>570</v>
      </c>
      <c r="CN44">
        <v>570</v>
      </c>
      <c r="CO44">
        <v>570</v>
      </c>
      <c r="CP44">
        <v>570</v>
      </c>
      <c r="CQ44">
        <v>573</v>
      </c>
      <c r="CR44">
        <v>573</v>
      </c>
      <c r="CS44">
        <v>573</v>
      </c>
      <c r="CT44">
        <v>573</v>
      </c>
      <c r="CU44" s="1">
        <v>573</v>
      </c>
      <c r="CV44" s="1">
        <v>573</v>
      </c>
      <c r="CW44" s="1">
        <v>573</v>
      </c>
      <c r="CX44" s="1">
        <v>573</v>
      </c>
      <c r="CY44" s="1">
        <v>573</v>
      </c>
      <c r="CZ44" s="1">
        <v>573</v>
      </c>
      <c r="DA44" s="1">
        <v>573</v>
      </c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</row>
    <row r="45" spans="1:198" x14ac:dyDescent="0.4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  <c r="BS45">
        <v>295</v>
      </c>
      <c r="BT45">
        <v>295</v>
      </c>
      <c r="BU45">
        <v>298</v>
      </c>
      <c r="BV45">
        <v>299</v>
      </c>
      <c r="BW45">
        <v>300</v>
      </c>
      <c r="BX45">
        <v>301</v>
      </c>
      <c r="BY45">
        <v>303</v>
      </c>
      <c r="BZ45">
        <v>305</v>
      </c>
      <c r="CA45">
        <v>305</v>
      </c>
      <c r="CB45">
        <v>308</v>
      </c>
      <c r="CC45">
        <v>308</v>
      </c>
      <c r="CD45">
        <v>311</v>
      </c>
      <c r="CE45">
        <v>317</v>
      </c>
      <c r="CF45">
        <v>321</v>
      </c>
      <c r="CG45">
        <v>325</v>
      </c>
      <c r="CH45">
        <v>329</v>
      </c>
      <c r="CI45">
        <v>331</v>
      </c>
      <c r="CJ45">
        <v>333</v>
      </c>
      <c r="CK45">
        <v>334</v>
      </c>
      <c r="CL45">
        <v>336</v>
      </c>
      <c r="CM45">
        <v>339</v>
      </c>
      <c r="CN45">
        <v>339</v>
      </c>
      <c r="CO45">
        <v>341</v>
      </c>
      <c r="CP45">
        <v>342</v>
      </c>
      <c r="CQ45">
        <v>346</v>
      </c>
      <c r="CR45">
        <v>349</v>
      </c>
      <c r="CS45">
        <v>349</v>
      </c>
      <c r="CT45">
        <v>349</v>
      </c>
      <c r="CU45" s="1">
        <v>349</v>
      </c>
      <c r="CV45" s="1">
        <v>352</v>
      </c>
      <c r="CW45" s="1">
        <v>353</v>
      </c>
      <c r="CX45" s="1">
        <v>353</v>
      </c>
      <c r="CY45" s="1">
        <v>353</v>
      </c>
      <c r="CZ45" s="1">
        <v>353</v>
      </c>
      <c r="DA45" s="1">
        <v>353</v>
      </c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</row>
    <row r="46" spans="1:198" x14ac:dyDescent="0.4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  <c r="BS46">
        <v>125</v>
      </c>
      <c r="BT46">
        <v>125</v>
      </c>
      <c r="BU46">
        <v>127</v>
      </c>
      <c r="BV46">
        <v>127</v>
      </c>
      <c r="BW46">
        <v>127</v>
      </c>
      <c r="BX46">
        <v>131</v>
      </c>
      <c r="BY46">
        <v>131</v>
      </c>
      <c r="BZ46">
        <v>132</v>
      </c>
      <c r="CA46">
        <v>132</v>
      </c>
      <c r="CB46">
        <v>133</v>
      </c>
      <c r="CC46">
        <v>135</v>
      </c>
      <c r="CD46">
        <v>135</v>
      </c>
      <c r="CE46">
        <v>135</v>
      </c>
      <c r="CF46">
        <v>135</v>
      </c>
      <c r="CG46">
        <v>135</v>
      </c>
      <c r="CH46">
        <v>136</v>
      </c>
      <c r="CI46">
        <v>136</v>
      </c>
      <c r="CJ46">
        <v>137</v>
      </c>
      <c r="CK46">
        <v>137</v>
      </c>
      <c r="CL46">
        <v>137</v>
      </c>
      <c r="CM46">
        <v>137</v>
      </c>
      <c r="CN46">
        <v>137</v>
      </c>
      <c r="CO46">
        <v>137</v>
      </c>
      <c r="CP46">
        <v>137</v>
      </c>
      <c r="CQ46">
        <v>137</v>
      </c>
      <c r="CR46">
        <v>137</v>
      </c>
      <c r="CS46">
        <v>137</v>
      </c>
      <c r="CT46">
        <v>137</v>
      </c>
      <c r="CU46" s="1">
        <v>137</v>
      </c>
      <c r="CV46" s="1">
        <v>137</v>
      </c>
      <c r="CW46" s="1">
        <v>137</v>
      </c>
      <c r="CX46" s="1">
        <v>137</v>
      </c>
      <c r="CY46" s="1">
        <v>137</v>
      </c>
      <c r="CZ46" s="1">
        <v>137</v>
      </c>
      <c r="DA46" s="1">
        <v>137</v>
      </c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</row>
    <row r="47" spans="1:198" x14ac:dyDescent="0.4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  <c r="BS47">
        <v>1351</v>
      </c>
      <c r="BT47">
        <v>1356</v>
      </c>
      <c r="BU47">
        <v>1357</v>
      </c>
      <c r="BV47">
        <v>1365</v>
      </c>
      <c r="BW47">
        <v>1368</v>
      </c>
      <c r="BX47">
        <v>1378</v>
      </c>
      <c r="BY47">
        <v>1387</v>
      </c>
      <c r="BZ47">
        <v>1395</v>
      </c>
      <c r="CA47">
        <v>1401</v>
      </c>
      <c r="CB47">
        <v>1411</v>
      </c>
      <c r="CC47">
        <v>1423</v>
      </c>
      <c r="CD47">
        <v>1434</v>
      </c>
      <c r="CE47">
        <v>1437</v>
      </c>
      <c r="CF47">
        <v>1443</v>
      </c>
      <c r="CG47">
        <v>1454</v>
      </c>
      <c r="CH47">
        <v>1458</v>
      </c>
      <c r="CI47">
        <v>1462</v>
      </c>
      <c r="CJ47">
        <v>1471</v>
      </c>
      <c r="CK47">
        <v>1475</v>
      </c>
      <c r="CL47">
        <v>1482</v>
      </c>
      <c r="CM47">
        <v>1490</v>
      </c>
      <c r="CN47">
        <v>1494</v>
      </c>
      <c r="CO47">
        <v>1501</v>
      </c>
      <c r="CP47">
        <v>1511</v>
      </c>
      <c r="CQ47">
        <v>1528</v>
      </c>
      <c r="CR47">
        <v>1534</v>
      </c>
      <c r="CS47">
        <v>1542</v>
      </c>
      <c r="CT47">
        <v>1542</v>
      </c>
      <c r="CU47" s="1">
        <v>1547</v>
      </c>
      <c r="CV47" s="1">
        <v>1554</v>
      </c>
      <c r="CW47" s="1">
        <v>1557</v>
      </c>
      <c r="CX47" s="1">
        <v>1565</v>
      </c>
      <c r="CY47" s="1">
        <v>1565</v>
      </c>
      <c r="CZ47" s="1">
        <v>1567</v>
      </c>
      <c r="DA47" s="1">
        <v>1569</v>
      </c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</row>
    <row r="48" spans="1:198" x14ac:dyDescent="0.4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  <c r="BS48">
        <v>250</v>
      </c>
      <c r="BT48">
        <v>250</v>
      </c>
      <c r="BU48">
        <v>250</v>
      </c>
      <c r="BV48">
        <v>252</v>
      </c>
      <c r="BW48">
        <v>252</v>
      </c>
      <c r="BX48">
        <v>252</v>
      </c>
      <c r="BY48">
        <v>252</v>
      </c>
      <c r="BZ48">
        <v>252</v>
      </c>
      <c r="CA48">
        <v>252</v>
      </c>
      <c r="CB48">
        <v>252</v>
      </c>
      <c r="CC48">
        <v>252</v>
      </c>
      <c r="CD48">
        <v>252</v>
      </c>
      <c r="CE48">
        <v>252</v>
      </c>
      <c r="CF48">
        <v>252</v>
      </c>
      <c r="CG48">
        <v>252</v>
      </c>
      <c r="CH48">
        <v>252</v>
      </c>
      <c r="CI48">
        <v>252</v>
      </c>
      <c r="CJ48">
        <v>252</v>
      </c>
      <c r="CK48">
        <v>252</v>
      </c>
      <c r="CL48">
        <v>252</v>
      </c>
      <c r="CM48">
        <v>252</v>
      </c>
      <c r="CN48">
        <v>252</v>
      </c>
      <c r="CO48">
        <v>252</v>
      </c>
      <c r="CP48">
        <v>252</v>
      </c>
      <c r="CQ48">
        <v>252</v>
      </c>
      <c r="CR48">
        <v>252</v>
      </c>
      <c r="CS48">
        <v>252</v>
      </c>
      <c r="CT48">
        <v>252</v>
      </c>
      <c r="CU48" s="1">
        <v>252</v>
      </c>
      <c r="CV48" s="1">
        <v>252</v>
      </c>
      <c r="CW48" s="1">
        <v>252</v>
      </c>
      <c r="CX48" s="1">
        <v>252</v>
      </c>
      <c r="CY48" s="1">
        <v>252</v>
      </c>
      <c r="CZ48" s="1">
        <v>252</v>
      </c>
      <c r="DA48" s="1">
        <v>252</v>
      </c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</row>
    <row r="49" spans="1:198" x14ac:dyDescent="0.4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  <c r="BS49">
        <v>144</v>
      </c>
      <c r="BT49">
        <v>144</v>
      </c>
      <c r="BU49">
        <v>144</v>
      </c>
      <c r="BV49">
        <v>144</v>
      </c>
      <c r="BW49">
        <v>144</v>
      </c>
      <c r="BX49">
        <v>144</v>
      </c>
      <c r="BY49">
        <v>144</v>
      </c>
      <c r="BZ49">
        <v>144</v>
      </c>
      <c r="CA49">
        <v>144</v>
      </c>
      <c r="CB49">
        <v>144</v>
      </c>
      <c r="CC49">
        <v>144</v>
      </c>
      <c r="CD49">
        <v>144</v>
      </c>
      <c r="CE49">
        <v>144</v>
      </c>
      <c r="CF49">
        <v>144</v>
      </c>
      <c r="CG49">
        <v>144</v>
      </c>
      <c r="CH49">
        <v>144</v>
      </c>
      <c r="CI49">
        <v>144</v>
      </c>
      <c r="CJ49">
        <v>144</v>
      </c>
      <c r="CK49">
        <v>144</v>
      </c>
      <c r="CL49">
        <v>144</v>
      </c>
      <c r="CM49">
        <v>145</v>
      </c>
      <c r="CN49">
        <v>145</v>
      </c>
      <c r="CO49">
        <v>145</v>
      </c>
      <c r="CP49">
        <v>145</v>
      </c>
      <c r="CQ49">
        <v>145</v>
      </c>
      <c r="CR49">
        <v>145</v>
      </c>
      <c r="CS49">
        <v>145</v>
      </c>
      <c r="CT49">
        <v>145</v>
      </c>
      <c r="CU49" s="1">
        <v>145</v>
      </c>
      <c r="CV49" s="1">
        <v>145</v>
      </c>
      <c r="CW49" s="1">
        <v>145</v>
      </c>
      <c r="CX49" s="1">
        <v>145</v>
      </c>
      <c r="CY49" s="1">
        <v>145</v>
      </c>
      <c r="CZ49" s="1">
        <v>145</v>
      </c>
      <c r="DA49" s="1">
        <v>145</v>
      </c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</row>
    <row r="50" spans="1:198" x14ac:dyDescent="0.4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  <c r="BS50">
        <v>168</v>
      </c>
      <c r="BT50">
        <v>168</v>
      </c>
      <c r="BU50">
        <v>168</v>
      </c>
      <c r="BV50">
        <v>162</v>
      </c>
      <c r="BW50">
        <v>162</v>
      </c>
      <c r="BX50">
        <v>162</v>
      </c>
      <c r="BY50">
        <v>162</v>
      </c>
      <c r="BZ50">
        <v>162</v>
      </c>
      <c r="CA50">
        <v>162</v>
      </c>
      <c r="CB50">
        <v>162</v>
      </c>
      <c r="CC50">
        <v>162</v>
      </c>
      <c r="CD50">
        <v>162</v>
      </c>
      <c r="CE50">
        <v>162</v>
      </c>
      <c r="CF50">
        <v>162</v>
      </c>
      <c r="CG50">
        <v>162</v>
      </c>
      <c r="CH50">
        <v>162</v>
      </c>
      <c r="CI50">
        <v>162</v>
      </c>
      <c r="CJ50">
        <v>162</v>
      </c>
      <c r="CK50">
        <v>162</v>
      </c>
      <c r="CL50">
        <v>162</v>
      </c>
      <c r="CM50">
        <v>162</v>
      </c>
      <c r="CN50">
        <v>162</v>
      </c>
      <c r="CO50">
        <v>162</v>
      </c>
      <c r="CP50">
        <v>162</v>
      </c>
      <c r="CQ50">
        <v>162</v>
      </c>
      <c r="CR50">
        <v>162</v>
      </c>
      <c r="CS50">
        <v>162</v>
      </c>
      <c r="CT50">
        <v>162</v>
      </c>
      <c r="CU50" s="1">
        <v>162</v>
      </c>
      <c r="CV50" s="1">
        <v>162</v>
      </c>
      <c r="CW50" s="1">
        <v>162</v>
      </c>
      <c r="CX50" s="1">
        <v>162</v>
      </c>
      <c r="CY50" s="1">
        <v>162</v>
      </c>
      <c r="CZ50" s="1">
        <v>162</v>
      </c>
      <c r="DA50" s="1">
        <v>162</v>
      </c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</row>
    <row r="51" spans="1:198" x14ac:dyDescent="0.4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  <c r="BS51">
        <v>310</v>
      </c>
      <c r="BT51">
        <v>310</v>
      </c>
      <c r="BU51">
        <v>310</v>
      </c>
      <c r="BV51">
        <v>310</v>
      </c>
      <c r="BW51">
        <v>310</v>
      </c>
      <c r="BX51">
        <v>310</v>
      </c>
      <c r="BY51">
        <v>310</v>
      </c>
      <c r="BZ51">
        <v>310</v>
      </c>
      <c r="CA51">
        <v>312</v>
      </c>
      <c r="CB51">
        <v>312</v>
      </c>
      <c r="CC51">
        <v>313</v>
      </c>
      <c r="CD51">
        <v>313</v>
      </c>
      <c r="CE51">
        <v>313</v>
      </c>
      <c r="CF51">
        <v>313</v>
      </c>
      <c r="CG51">
        <v>313</v>
      </c>
      <c r="CH51">
        <v>314</v>
      </c>
      <c r="CI51">
        <v>314</v>
      </c>
      <c r="CJ51">
        <v>315</v>
      </c>
      <c r="CK51">
        <v>316</v>
      </c>
      <c r="CL51">
        <v>316</v>
      </c>
      <c r="CM51">
        <v>316</v>
      </c>
      <c r="CN51">
        <v>317</v>
      </c>
      <c r="CO51">
        <v>317</v>
      </c>
      <c r="CP51">
        <v>317</v>
      </c>
      <c r="CQ51">
        <v>317</v>
      </c>
      <c r="CR51">
        <v>318</v>
      </c>
      <c r="CS51">
        <v>318</v>
      </c>
      <c r="CT51">
        <v>318</v>
      </c>
      <c r="CU51" s="1">
        <v>318</v>
      </c>
      <c r="CV51" s="1">
        <v>318</v>
      </c>
      <c r="CW51" s="1">
        <v>318</v>
      </c>
      <c r="CX51" s="1">
        <v>318</v>
      </c>
      <c r="CY51" s="1">
        <v>318</v>
      </c>
      <c r="CZ51" s="1">
        <v>318</v>
      </c>
      <c r="DA51" s="1">
        <v>318</v>
      </c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</row>
    <row r="52" spans="1:198" x14ac:dyDescent="0.4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  <c r="BS52">
        <v>469</v>
      </c>
      <c r="BT52">
        <v>469</v>
      </c>
      <c r="BU52">
        <v>469</v>
      </c>
      <c r="BV52">
        <v>469</v>
      </c>
      <c r="BW52">
        <v>469</v>
      </c>
      <c r="BX52">
        <v>469</v>
      </c>
      <c r="BY52">
        <v>469</v>
      </c>
      <c r="BZ52">
        <v>469</v>
      </c>
      <c r="CA52">
        <v>469</v>
      </c>
      <c r="CB52">
        <v>470</v>
      </c>
      <c r="CC52">
        <v>470</v>
      </c>
      <c r="CD52">
        <v>470</v>
      </c>
      <c r="CE52">
        <v>470</v>
      </c>
      <c r="CF52">
        <v>470</v>
      </c>
      <c r="CG52">
        <v>470</v>
      </c>
      <c r="CH52">
        <v>470</v>
      </c>
      <c r="CI52">
        <v>470</v>
      </c>
      <c r="CJ52">
        <v>471</v>
      </c>
      <c r="CK52">
        <v>471</v>
      </c>
      <c r="CL52">
        <v>472</v>
      </c>
      <c r="CM52">
        <v>472</v>
      </c>
      <c r="CN52">
        <v>472</v>
      </c>
      <c r="CO52">
        <v>475</v>
      </c>
      <c r="CP52">
        <v>479</v>
      </c>
      <c r="CQ52">
        <v>485</v>
      </c>
      <c r="CR52">
        <v>508</v>
      </c>
      <c r="CS52">
        <v>511</v>
      </c>
      <c r="CT52">
        <v>556</v>
      </c>
      <c r="CU52" s="1">
        <v>586</v>
      </c>
      <c r="CV52" s="1">
        <v>587</v>
      </c>
      <c r="CW52" s="1">
        <v>587</v>
      </c>
      <c r="CX52" s="1">
        <v>587</v>
      </c>
      <c r="CY52" s="1">
        <v>605</v>
      </c>
      <c r="CZ52" s="1">
        <v>604</v>
      </c>
      <c r="DA52" s="1">
        <v>657</v>
      </c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</row>
    <row r="53" spans="1:198" x14ac:dyDescent="0.4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  <c r="BS53">
        <v>1251</v>
      </c>
      <c r="BT53">
        <v>1251</v>
      </c>
      <c r="BU53">
        <v>1251</v>
      </c>
      <c r="BV53">
        <v>1251</v>
      </c>
      <c r="BW53">
        <v>1251</v>
      </c>
      <c r="BX53">
        <v>1251</v>
      </c>
      <c r="BY53">
        <v>1251</v>
      </c>
      <c r="BZ53">
        <v>1252</v>
      </c>
      <c r="CA53">
        <v>1252</v>
      </c>
      <c r="CB53">
        <v>1252</v>
      </c>
      <c r="CC53">
        <v>1252</v>
      </c>
      <c r="CD53">
        <v>1252</v>
      </c>
      <c r="CE53">
        <v>1252</v>
      </c>
      <c r="CF53">
        <v>1253</v>
      </c>
      <c r="CG53">
        <v>1253</v>
      </c>
      <c r="CH53">
        <v>1254</v>
      </c>
      <c r="CI53">
        <v>1254</v>
      </c>
      <c r="CJ53">
        <v>1254</v>
      </c>
      <c r="CK53">
        <v>1254</v>
      </c>
      <c r="CL53">
        <v>1254</v>
      </c>
      <c r="CM53">
        <v>1254</v>
      </c>
      <c r="CN53">
        <v>1254</v>
      </c>
      <c r="CO53">
        <v>1254</v>
      </c>
      <c r="CP53">
        <v>1254</v>
      </c>
      <c r="CQ53">
        <v>1254</v>
      </c>
      <c r="CR53">
        <v>1254</v>
      </c>
      <c r="CS53">
        <v>1254</v>
      </c>
      <c r="CT53">
        <v>1254</v>
      </c>
      <c r="CU53" s="1">
        <v>1254</v>
      </c>
      <c r="CV53" s="1">
        <v>1254</v>
      </c>
      <c r="CW53" s="1">
        <v>1254</v>
      </c>
      <c r="CX53" s="1">
        <v>1254</v>
      </c>
      <c r="CY53" s="1">
        <v>1254</v>
      </c>
      <c r="CZ53" s="1">
        <v>1254</v>
      </c>
      <c r="DA53" s="1">
        <v>1254</v>
      </c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</row>
    <row r="54" spans="1:198" x14ac:dyDescent="0.4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  <c r="BS54">
        <v>123</v>
      </c>
      <c r="BT54">
        <v>128</v>
      </c>
      <c r="BU54">
        <v>147</v>
      </c>
      <c r="BV54">
        <v>147</v>
      </c>
      <c r="BW54">
        <v>173</v>
      </c>
      <c r="BX54">
        <v>173</v>
      </c>
      <c r="BY54">
        <v>206</v>
      </c>
      <c r="BZ54">
        <v>216</v>
      </c>
      <c r="CA54">
        <v>216</v>
      </c>
      <c r="CB54">
        <v>264</v>
      </c>
      <c r="CC54">
        <v>293</v>
      </c>
      <c r="CD54">
        <v>309</v>
      </c>
      <c r="CE54">
        <v>336</v>
      </c>
      <c r="CF54">
        <v>360</v>
      </c>
      <c r="CG54">
        <v>360</v>
      </c>
      <c r="CH54">
        <v>434</v>
      </c>
      <c r="CI54">
        <v>459</v>
      </c>
      <c r="CJ54">
        <v>485</v>
      </c>
      <c r="CK54">
        <v>533</v>
      </c>
      <c r="CL54">
        <v>568</v>
      </c>
      <c r="CM54">
        <v>602</v>
      </c>
      <c r="CN54">
        <v>630</v>
      </c>
      <c r="CO54">
        <v>650</v>
      </c>
      <c r="CP54">
        <v>678</v>
      </c>
      <c r="CQ54">
        <v>699</v>
      </c>
      <c r="CR54">
        <v>725</v>
      </c>
      <c r="CS54">
        <v>753</v>
      </c>
      <c r="CT54">
        <v>772</v>
      </c>
      <c r="CU54" s="1">
        <v>787</v>
      </c>
      <c r="CV54" s="1">
        <v>811</v>
      </c>
      <c r="CW54" s="1">
        <v>830</v>
      </c>
      <c r="CX54" s="1">
        <v>846</v>
      </c>
      <c r="CY54" s="1">
        <v>859</v>
      </c>
      <c r="CZ54" s="1">
        <v>864</v>
      </c>
      <c r="DA54" s="1">
        <v>879</v>
      </c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</row>
    <row r="55" spans="1:198" x14ac:dyDescent="0.4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  <c r="BS55">
        <v>62889</v>
      </c>
      <c r="BT55">
        <v>63153</v>
      </c>
      <c r="BU55">
        <v>63326</v>
      </c>
      <c r="BV55">
        <v>63471</v>
      </c>
      <c r="BW55">
        <v>63612</v>
      </c>
      <c r="BX55">
        <v>63762</v>
      </c>
      <c r="BY55">
        <v>63945</v>
      </c>
      <c r="BZ55">
        <v>64014</v>
      </c>
      <c r="CA55">
        <v>64073</v>
      </c>
      <c r="CB55">
        <v>64142</v>
      </c>
      <c r="CC55">
        <v>64187</v>
      </c>
      <c r="CD55">
        <v>64236</v>
      </c>
      <c r="CE55">
        <v>64264</v>
      </c>
      <c r="CF55">
        <v>64281</v>
      </c>
      <c r="CG55">
        <v>64338</v>
      </c>
      <c r="CH55">
        <v>64363</v>
      </c>
      <c r="CI55">
        <v>64402</v>
      </c>
      <c r="CJ55">
        <v>64435</v>
      </c>
      <c r="CK55">
        <v>63487</v>
      </c>
      <c r="CL55">
        <v>63494</v>
      </c>
      <c r="CM55">
        <v>63507</v>
      </c>
      <c r="CN55">
        <v>63511</v>
      </c>
      <c r="CO55">
        <v>63514</v>
      </c>
      <c r="CP55">
        <v>63519</v>
      </c>
      <c r="CQ55">
        <v>63569</v>
      </c>
      <c r="CR55">
        <v>63593</v>
      </c>
      <c r="CS55">
        <v>63604</v>
      </c>
      <c r="CT55">
        <v>63616</v>
      </c>
      <c r="CU55" s="1">
        <v>63616</v>
      </c>
      <c r="CV55" s="1">
        <v>63616</v>
      </c>
      <c r="CW55" s="1">
        <v>63616</v>
      </c>
      <c r="CX55" s="1">
        <v>63616</v>
      </c>
      <c r="CY55" s="1">
        <v>63616</v>
      </c>
      <c r="CZ55" s="1">
        <v>63616</v>
      </c>
      <c r="DA55" s="1">
        <v>63616</v>
      </c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</row>
    <row r="56" spans="1:198" x14ac:dyDescent="0.4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  <c r="BS56">
        <v>1014</v>
      </c>
      <c r="BT56">
        <v>1014</v>
      </c>
      <c r="BU56">
        <v>1014</v>
      </c>
      <c r="BV56">
        <v>1014</v>
      </c>
      <c r="BW56">
        <v>1014</v>
      </c>
      <c r="BX56">
        <v>1014</v>
      </c>
      <c r="BY56">
        <v>1014</v>
      </c>
      <c r="BZ56">
        <v>1014</v>
      </c>
      <c r="CA56">
        <v>1014</v>
      </c>
      <c r="CB56">
        <v>1014</v>
      </c>
      <c r="CC56">
        <v>1014</v>
      </c>
      <c r="CD56">
        <v>1014</v>
      </c>
      <c r="CE56">
        <v>1014</v>
      </c>
      <c r="CF56">
        <v>1014</v>
      </c>
      <c r="CG56">
        <v>1014</v>
      </c>
      <c r="CH56">
        <v>1014</v>
      </c>
      <c r="CI56">
        <v>1014</v>
      </c>
      <c r="CJ56">
        <v>1014</v>
      </c>
      <c r="CK56">
        <v>1014</v>
      </c>
      <c r="CL56">
        <v>1015</v>
      </c>
      <c r="CM56">
        <v>1015</v>
      </c>
      <c r="CN56">
        <v>1015</v>
      </c>
      <c r="CO56">
        <v>1015</v>
      </c>
      <c r="CP56">
        <v>1015</v>
      </c>
      <c r="CQ56">
        <v>1015</v>
      </c>
      <c r="CR56">
        <v>1015</v>
      </c>
      <c r="CS56">
        <v>1015</v>
      </c>
      <c r="CT56">
        <v>1015</v>
      </c>
      <c r="CU56" s="1">
        <v>1015</v>
      </c>
      <c r="CV56" s="1">
        <v>1015</v>
      </c>
      <c r="CW56" s="1">
        <v>1015</v>
      </c>
      <c r="CX56" s="1">
        <v>1015</v>
      </c>
      <c r="CY56" s="1">
        <v>1015</v>
      </c>
      <c r="CZ56" s="1">
        <v>1015</v>
      </c>
      <c r="DA56" s="1">
        <v>1015</v>
      </c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</row>
    <row r="57" spans="1:198" x14ac:dyDescent="0.4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  <c r="BS57">
        <v>74</v>
      </c>
      <c r="BT57">
        <v>74</v>
      </c>
      <c r="BU57">
        <v>74</v>
      </c>
      <c r="BV57">
        <v>74</v>
      </c>
      <c r="BW57">
        <v>74</v>
      </c>
      <c r="BX57">
        <v>74</v>
      </c>
      <c r="BY57">
        <v>74</v>
      </c>
      <c r="BZ57">
        <v>74</v>
      </c>
      <c r="CA57">
        <v>74</v>
      </c>
      <c r="CB57">
        <v>74</v>
      </c>
      <c r="CC57">
        <v>79</v>
      </c>
      <c r="CD57">
        <v>79</v>
      </c>
      <c r="CE57">
        <v>79</v>
      </c>
      <c r="CF57">
        <v>83</v>
      </c>
      <c r="CG57">
        <v>83</v>
      </c>
      <c r="CH57">
        <v>91</v>
      </c>
      <c r="CI57">
        <v>94</v>
      </c>
      <c r="CJ57">
        <v>94</v>
      </c>
      <c r="CK57">
        <v>103</v>
      </c>
      <c r="CL57">
        <v>104</v>
      </c>
      <c r="CM57">
        <v>104</v>
      </c>
      <c r="CN57">
        <v>104</v>
      </c>
      <c r="CO57">
        <v>108</v>
      </c>
      <c r="CP57">
        <v>108</v>
      </c>
      <c r="CQ57">
        <v>108</v>
      </c>
      <c r="CR57">
        <v>114</v>
      </c>
      <c r="CS57">
        <v>121</v>
      </c>
      <c r="CT57">
        <v>129</v>
      </c>
      <c r="CU57" s="1">
        <v>145</v>
      </c>
      <c r="CV57" s="1">
        <v>146</v>
      </c>
      <c r="CW57" s="1">
        <v>150</v>
      </c>
      <c r="CX57" s="1">
        <v>152</v>
      </c>
      <c r="CY57" s="1">
        <v>154</v>
      </c>
      <c r="CZ57" s="1">
        <v>154</v>
      </c>
      <c r="DA57" s="1">
        <v>156</v>
      </c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</row>
    <row r="58" spans="1:198" x14ac:dyDescent="0.4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  <c r="BS58">
        <v>631</v>
      </c>
      <c r="BT58">
        <v>631</v>
      </c>
      <c r="BU58">
        <v>631</v>
      </c>
      <c r="BV58">
        <v>631</v>
      </c>
      <c r="BW58">
        <v>632</v>
      </c>
      <c r="BX58">
        <v>632</v>
      </c>
      <c r="BY58">
        <v>633</v>
      </c>
      <c r="BZ58">
        <v>633</v>
      </c>
      <c r="CA58">
        <v>633</v>
      </c>
      <c r="CB58">
        <v>633</v>
      </c>
      <c r="CC58">
        <v>633</v>
      </c>
      <c r="CD58">
        <v>634</v>
      </c>
      <c r="CE58">
        <v>636</v>
      </c>
      <c r="CF58">
        <v>638</v>
      </c>
      <c r="CG58">
        <v>638</v>
      </c>
      <c r="CH58">
        <v>641</v>
      </c>
      <c r="CI58">
        <v>642</v>
      </c>
      <c r="CJ58">
        <v>642</v>
      </c>
      <c r="CK58">
        <v>643</v>
      </c>
      <c r="CL58">
        <v>643</v>
      </c>
      <c r="CM58">
        <v>643</v>
      </c>
      <c r="CN58">
        <v>643</v>
      </c>
      <c r="CO58">
        <v>644</v>
      </c>
      <c r="CP58">
        <v>645</v>
      </c>
      <c r="CQ58">
        <v>646</v>
      </c>
      <c r="CR58">
        <v>646</v>
      </c>
      <c r="CS58">
        <v>646</v>
      </c>
      <c r="CT58">
        <v>646</v>
      </c>
      <c r="CU58" s="1">
        <v>646</v>
      </c>
      <c r="CV58" s="1">
        <v>647</v>
      </c>
      <c r="CW58" s="1">
        <v>648</v>
      </c>
      <c r="CX58" s="1">
        <v>650</v>
      </c>
      <c r="CY58" s="1">
        <v>650</v>
      </c>
      <c r="CZ58" s="1">
        <v>650</v>
      </c>
      <c r="DA58" s="1">
        <v>650</v>
      </c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</row>
    <row r="59" spans="1:198" x14ac:dyDescent="0.4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  <c r="BS59">
        <v>935</v>
      </c>
      <c r="BT59">
        <v>935</v>
      </c>
      <c r="BU59">
        <v>935</v>
      </c>
      <c r="BV59">
        <v>935</v>
      </c>
      <c r="BW59">
        <v>935</v>
      </c>
      <c r="BX59">
        <v>935</v>
      </c>
      <c r="BY59">
        <v>935</v>
      </c>
      <c r="BZ59">
        <v>935</v>
      </c>
      <c r="CA59">
        <v>935</v>
      </c>
      <c r="CB59">
        <v>935</v>
      </c>
      <c r="CC59">
        <v>935</v>
      </c>
      <c r="CD59">
        <v>936</v>
      </c>
      <c r="CE59">
        <v>936</v>
      </c>
      <c r="CF59">
        <v>936</v>
      </c>
      <c r="CG59">
        <v>936</v>
      </c>
      <c r="CH59">
        <v>936</v>
      </c>
      <c r="CI59">
        <v>936</v>
      </c>
      <c r="CJ59">
        <v>936</v>
      </c>
      <c r="CK59">
        <v>936</v>
      </c>
      <c r="CL59">
        <v>936</v>
      </c>
      <c r="CM59">
        <v>936</v>
      </c>
      <c r="CN59">
        <v>936</v>
      </c>
      <c r="CO59">
        <v>936</v>
      </c>
      <c r="CP59">
        <v>936</v>
      </c>
      <c r="CQ59">
        <v>936</v>
      </c>
      <c r="CR59">
        <v>936</v>
      </c>
      <c r="CS59">
        <v>936</v>
      </c>
      <c r="CT59">
        <v>936</v>
      </c>
      <c r="CU59" s="1">
        <v>936</v>
      </c>
      <c r="CV59" s="1">
        <v>936</v>
      </c>
      <c r="CW59" s="1">
        <v>936</v>
      </c>
      <c r="CX59" s="1">
        <v>936</v>
      </c>
      <c r="CY59" s="1">
        <v>936</v>
      </c>
      <c r="CZ59" s="1">
        <v>936</v>
      </c>
      <c r="DA59" s="1">
        <v>936</v>
      </c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</row>
    <row r="60" spans="1:198" x14ac:dyDescent="0.4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  <c r="BS60">
        <v>92</v>
      </c>
      <c r="BT60">
        <v>92</v>
      </c>
      <c r="BU60">
        <v>92</v>
      </c>
      <c r="BV60">
        <v>92</v>
      </c>
      <c r="BW60">
        <v>92</v>
      </c>
      <c r="BX60">
        <v>92</v>
      </c>
      <c r="BY60">
        <v>92</v>
      </c>
      <c r="BZ60">
        <v>92</v>
      </c>
      <c r="CA60">
        <v>92</v>
      </c>
      <c r="CB60">
        <v>93</v>
      </c>
      <c r="CC60">
        <v>93</v>
      </c>
      <c r="CD60">
        <v>95</v>
      </c>
      <c r="CE60">
        <v>96</v>
      </c>
      <c r="CF60">
        <v>96</v>
      </c>
      <c r="CG60">
        <v>96</v>
      </c>
      <c r="CH60">
        <v>96</v>
      </c>
      <c r="CI60">
        <v>96</v>
      </c>
      <c r="CJ60">
        <v>96</v>
      </c>
      <c r="CK60">
        <v>97</v>
      </c>
      <c r="CL60">
        <v>97</v>
      </c>
      <c r="CM60">
        <v>97</v>
      </c>
      <c r="CN60">
        <v>97</v>
      </c>
      <c r="CO60">
        <v>97</v>
      </c>
      <c r="CP60">
        <v>98</v>
      </c>
      <c r="CQ60">
        <v>99</v>
      </c>
      <c r="CR60">
        <v>99</v>
      </c>
      <c r="CS60">
        <v>99</v>
      </c>
      <c r="CT60">
        <v>99</v>
      </c>
      <c r="CU60" s="1">
        <v>99</v>
      </c>
      <c r="CV60" s="1">
        <v>99</v>
      </c>
      <c r="CW60" s="1">
        <v>99</v>
      </c>
      <c r="CX60" s="1">
        <v>101</v>
      </c>
      <c r="CY60" s="1">
        <v>102</v>
      </c>
      <c r="CZ60" s="1">
        <v>102</v>
      </c>
      <c r="DA60" s="1">
        <v>103</v>
      </c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</row>
    <row r="61" spans="1:198" x14ac:dyDescent="0.4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  <c r="BS61">
        <v>124</v>
      </c>
      <c r="BT61">
        <v>124</v>
      </c>
      <c r="BU61">
        <v>124</v>
      </c>
      <c r="BV61">
        <v>124</v>
      </c>
      <c r="BW61">
        <v>124</v>
      </c>
      <c r="BX61">
        <v>125</v>
      </c>
      <c r="BY61">
        <v>126</v>
      </c>
      <c r="BZ61">
        <v>128</v>
      </c>
      <c r="CA61">
        <v>130</v>
      </c>
      <c r="CB61">
        <v>131</v>
      </c>
      <c r="CC61">
        <v>132</v>
      </c>
      <c r="CD61">
        <v>132</v>
      </c>
      <c r="CE61">
        <v>133</v>
      </c>
      <c r="CF61">
        <v>136</v>
      </c>
      <c r="CG61">
        <v>136</v>
      </c>
      <c r="CH61">
        <v>138</v>
      </c>
      <c r="CI61">
        <v>138</v>
      </c>
      <c r="CJ61">
        <v>140</v>
      </c>
      <c r="CK61">
        <v>140</v>
      </c>
      <c r="CL61">
        <v>142</v>
      </c>
      <c r="CM61">
        <v>142</v>
      </c>
      <c r="CN61">
        <v>143</v>
      </c>
      <c r="CO61">
        <v>143</v>
      </c>
      <c r="CP61">
        <v>143</v>
      </c>
      <c r="CQ61">
        <v>143</v>
      </c>
      <c r="CR61">
        <v>143</v>
      </c>
      <c r="CS61">
        <v>143</v>
      </c>
      <c r="CT61">
        <v>143</v>
      </c>
      <c r="CU61" s="1">
        <v>143</v>
      </c>
      <c r="CV61" s="1">
        <v>143</v>
      </c>
      <c r="CW61" s="1">
        <v>143</v>
      </c>
      <c r="CX61" s="1">
        <v>143</v>
      </c>
      <c r="CY61" s="1">
        <v>144</v>
      </c>
      <c r="CZ61" s="1">
        <v>144</v>
      </c>
      <c r="DA61" s="1">
        <v>144</v>
      </c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</row>
    <row r="62" spans="1:198" x14ac:dyDescent="0.4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  <c r="BS62">
        <v>10</v>
      </c>
      <c r="BT62">
        <v>10</v>
      </c>
      <c r="BU62">
        <v>10</v>
      </c>
      <c r="BV62">
        <v>10</v>
      </c>
      <c r="BW62">
        <v>10</v>
      </c>
      <c r="BX62">
        <v>10</v>
      </c>
      <c r="BY62">
        <v>10</v>
      </c>
      <c r="BZ62">
        <v>10</v>
      </c>
      <c r="CA62">
        <v>10</v>
      </c>
      <c r="CB62">
        <v>10</v>
      </c>
      <c r="CC62">
        <v>10</v>
      </c>
      <c r="CD62">
        <v>10</v>
      </c>
      <c r="CE62">
        <v>10</v>
      </c>
      <c r="CF62">
        <v>13</v>
      </c>
      <c r="CG62">
        <v>13</v>
      </c>
      <c r="CH62">
        <v>13</v>
      </c>
      <c r="CI62">
        <v>16</v>
      </c>
      <c r="CJ62">
        <v>16</v>
      </c>
      <c r="CK62">
        <v>16</v>
      </c>
      <c r="CL62">
        <v>17</v>
      </c>
      <c r="CM62">
        <v>20</v>
      </c>
      <c r="CN62">
        <v>22</v>
      </c>
      <c r="CO62">
        <v>24</v>
      </c>
      <c r="CP62">
        <v>26</v>
      </c>
      <c r="CQ62">
        <v>27</v>
      </c>
      <c r="CR62">
        <v>27</v>
      </c>
      <c r="CS62">
        <v>28</v>
      </c>
      <c r="CT62">
        <v>31</v>
      </c>
      <c r="CU62" s="1">
        <v>32</v>
      </c>
      <c r="CV62" s="1">
        <v>33</v>
      </c>
      <c r="CW62" s="1">
        <v>34</v>
      </c>
      <c r="CX62" s="1">
        <v>35</v>
      </c>
      <c r="CY62" s="1">
        <v>35</v>
      </c>
      <c r="CZ62" s="1">
        <v>37</v>
      </c>
      <c r="DA62" s="1">
        <v>39</v>
      </c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</row>
    <row r="63" spans="1:198" x14ac:dyDescent="0.4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  <c r="BS63">
        <v>75</v>
      </c>
      <c r="BT63">
        <v>75</v>
      </c>
      <c r="BU63">
        <v>75</v>
      </c>
      <c r="BV63">
        <v>75</v>
      </c>
      <c r="BW63">
        <v>75</v>
      </c>
      <c r="BX63">
        <v>75</v>
      </c>
      <c r="BY63">
        <v>75</v>
      </c>
      <c r="BZ63">
        <v>75</v>
      </c>
      <c r="CA63">
        <v>75</v>
      </c>
      <c r="CB63">
        <v>75</v>
      </c>
      <c r="CC63">
        <v>75</v>
      </c>
      <c r="CD63">
        <v>75</v>
      </c>
      <c r="CE63">
        <v>75</v>
      </c>
      <c r="CF63">
        <v>75</v>
      </c>
      <c r="CG63">
        <v>75</v>
      </c>
      <c r="CH63">
        <v>75</v>
      </c>
      <c r="CI63">
        <v>75</v>
      </c>
      <c r="CJ63">
        <v>75</v>
      </c>
      <c r="CK63">
        <v>75</v>
      </c>
      <c r="CL63">
        <v>75</v>
      </c>
      <c r="CM63">
        <v>75</v>
      </c>
      <c r="CN63">
        <v>75</v>
      </c>
      <c r="CO63">
        <v>75</v>
      </c>
      <c r="CP63">
        <v>75</v>
      </c>
      <c r="CQ63">
        <v>75</v>
      </c>
      <c r="CR63">
        <v>75</v>
      </c>
      <c r="CS63">
        <v>75</v>
      </c>
      <c r="CT63">
        <v>75</v>
      </c>
      <c r="CU63" s="1">
        <v>75</v>
      </c>
      <c r="CV63" s="1">
        <v>75</v>
      </c>
      <c r="CW63" s="1">
        <v>75</v>
      </c>
      <c r="CX63" s="1">
        <v>75</v>
      </c>
      <c r="CY63" s="1">
        <v>75</v>
      </c>
      <c r="CZ63" s="1">
        <v>75</v>
      </c>
      <c r="DA63" s="1">
        <v>75</v>
      </c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</row>
    <row r="64" spans="1:198" x14ac:dyDescent="0.4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  <c r="BS64">
        <v>18</v>
      </c>
      <c r="BT64">
        <v>18</v>
      </c>
      <c r="BU64">
        <v>18</v>
      </c>
      <c r="BV64">
        <v>18</v>
      </c>
      <c r="BW64">
        <v>18</v>
      </c>
      <c r="BX64">
        <v>18</v>
      </c>
      <c r="BY64">
        <v>18</v>
      </c>
      <c r="BZ64">
        <v>18</v>
      </c>
      <c r="CA64">
        <v>18</v>
      </c>
      <c r="CB64">
        <v>18</v>
      </c>
      <c r="CC64">
        <v>18</v>
      </c>
      <c r="CD64">
        <v>18</v>
      </c>
      <c r="CE64">
        <v>18</v>
      </c>
      <c r="CF64">
        <v>18</v>
      </c>
      <c r="CG64">
        <v>18</v>
      </c>
      <c r="CH64">
        <v>18</v>
      </c>
      <c r="CI64">
        <v>18</v>
      </c>
      <c r="CJ64">
        <v>18</v>
      </c>
      <c r="CK64">
        <v>18</v>
      </c>
      <c r="CL64">
        <v>18</v>
      </c>
      <c r="CM64">
        <v>18</v>
      </c>
      <c r="CN64">
        <v>18</v>
      </c>
      <c r="CO64">
        <v>18</v>
      </c>
      <c r="CP64">
        <v>18</v>
      </c>
      <c r="CQ64">
        <v>18</v>
      </c>
      <c r="CR64">
        <v>18</v>
      </c>
      <c r="CS64">
        <v>18</v>
      </c>
      <c r="CT64">
        <v>18</v>
      </c>
      <c r="CU64" s="1">
        <v>18</v>
      </c>
      <c r="CV64" s="1">
        <v>18</v>
      </c>
      <c r="CW64" s="1">
        <v>18</v>
      </c>
      <c r="CX64" s="1">
        <v>18</v>
      </c>
      <c r="CY64" s="1">
        <v>18</v>
      </c>
      <c r="CZ64" s="1">
        <v>18</v>
      </c>
      <c r="DA64" s="1">
        <v>18</v>
      </c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</row>
    <row r="65" spans="1:198" x14ac:dyDescent="0.4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  <c r="BS65">
        <v>242</v>
      </c>
      <c r="BT65">
        <v>242</v>
      </c>
      <c r="BU65">
        <v>242</v>
      </c>
      <c r="BV65">
        <v>242</v>
      </c>
      <c r="BW65">
        <v>244</v>
      </c>
      <c r="BX65">
        <v>245</v>
      </c>
      <c r="BY65">
        <v>245</v>
      </c>
      <c r="BZ65">
        <v>246</v>
      </c>
      <c r="CA65">
        <v>246</v>
      </c>
      <c r="CB65">
        <v>246</v>
      </c>
      <c r="CC65">
        <v>246</v>
      </c>
      <c r="CD65">
        <v>246</v>
      </c>
      <c r="CE65">
        <v>248</v>
      </c>
      <c r="CF65">
        <v>248</v>
      </c>
      <c r="CG65">
        <v>248</v>
      </c>
      <c r="CH65">
        <v>248</v>
      </c>
      <c r="CI65">
        <v>251</v>
      </c>
      <c r="CJ65">
        <v>251</v>
      </c>
      <c r="CK65">
        <v>252</v>
      </c>
      <c r="CL65">
        <v>252</v>
      </c>
      <c r="CM65">
        <v>252</v>
      </c>
      <c r="CN65">
        <v>252</v>
      </c>
      <c r="CO65">
        <v>253</v>
      </c>
      <c r="CP65">
        <v>253</v>
      </c>
      <c r="CQ65">
        <v>253</v>
      </c>
      <c r="CR65">
        <v>253</v>
      </c>
      <c r="CS65">
        <v>253</v>
      </c>
      <c r="CT65">
        <v>253</v>
      </c>
      <c r="CU65" s="1">
        <v>253</v>
      </c>
      <c r="CV65" s="1">
        <v>253</v>
      </c>
      <c r="CW65" s="1">
        <v>253</v>
      </c>
      <c r="CX65" s="1">
        <v>254</v>
      </c>
      <c r="CY65" s="1">
        <v>254</v>
      </c>
      <c r="CZ65" s="1">
        <v>255</v>
      </c>
      <c r="DA65" s="1">
        <v>263</v>
      </c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</row>
    <row r="66" spans="1:198" x14ac:dyDescent="0.4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  <c r="BS66">
        <v>753</v>
      </c>
      <c r="BT66">
        <v>753</v>
      </c>
      <c r="BU66">
        <v>753</v>
      </c>
      <c r="BV66">
        <v>753</v>
      </c>
      <c r="BW66">
        <v>754</v>
      </c>
      <c r="BX66">
        <v>755</v>
      </c>
      <c r="BY66">
        <v>755</v>
      </c>
      <c r="BZ66">
        <v>755</v>
      </c>
      <c r="CA66">
        <v>755</v>
      </c>
      <c r="CB66">
        <v>755</v>
      </c>
      <c r="CC66">
        <v>756</v>
      </c>
      <c r="CD66">
        <v>756</v>
      </c>
      <c r="CE66">
        <v>757</v>
      </c>
      <c r="CF66">
        <v>757</v>
      </c>
      <c r="CG66">
        <v>758</v>
      </c>
      <c r="CH66">
        <v>759</v>
      </c>
      <c r="CI66">
        <v>761</v>
      </c>
      <c r="CJ66">
        <v>761</v>
      </c>
      <c r="CK66">
        <v>761</v>
      </c>
      <c r="CL66">
        <v>765</v>
      </c>
      <c r="CM66">
        <v>765</v>
      </c>
      <c r="CN66">
        <v>765</v>
      </c>
      <c r="CO66">
        <v>765</v>
      </c>
      <c r="CP66">
        <v>766</v>
      </c>
      <c r="CQ66">
        <v>766</v>
      </c>
      <c r="CR66">
        <v>767</v>
      </c>
      <c r="CS66">
        <v>767</v>
      </c>
      <c r="CT66">
        <v>768</v>
      </c>
      <c r="CU66" s="1">
        <v>768</v>
      </c>
      <c r="CV66" s="1">
        <v>771</v>
      </c>
      <c r="CW66" s="1">
        <v>772</v>
      </c>
      <c r="CX66" s="1">
        <v>772</v>
      </c>
      <c r="CY66" s="1">
        <v>772</v>
      </c>
      <c r="CZ66" s="1">
        <v>772</v>
      </c>
      <c r="DA66" s="1">
        <v>773</v>
      </c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</row>
    <row r="67" spans="1:198" x14ac:dyDescent="0.4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  <c r="BS67">
        <v>338</v>
      </c>
      <c r="BT67">
        <v>341</v>
      </c>
      <c r="BU67">
        <v>341</v>
      </c>
      <c r="BV67">
        <v>343</v>
      </c>
      <c r="BW67">
        <v>348</v>
      </c>
      <c r="BX67">
        <v>356</v>
      </c>
      <c r="BY67">
        <v>383</v>
      </c>
      <c r="BZ67">
        <v>389</v>
      </c>
      <c r="CA67">
        <v>406</v>
      </c>
      <c r="CB67">
        <v>418</v>
      </c>
      <c r="CC67">
        <v>422</v>
      </c>
      <c r="CD67">
        <v>435</v>
      </c>
      <c r="CE67">
        <v>438</v>
      </c>
      <c r="CF67">
        <v>446</v>
      </c>
      <c r="CG67">
        <v>446</v>
      </c>
      <c r="CH67">
        <v>468</v>
      </c>
      <c r="CI67">
        <v>485</v>
      </c>
      <c r="CJ67">
        <v>489</v>
      </c>
      <c r="CK67">
        <v>512</v>
      </c>
      <c r="CL67">
        <v>512</v>
      </c>
      <c r="CM67">
        <v>521</v>
      </c>
      <c r="CN67">
        <v>530</v>
      </c>
      <c r="CO67">
        <v>530</v>
      </c>
      <c r="CP67">
        <v>534</v>
      </c>
      <c r="CQ67">
        <v>533</v>
      </c>
      <c r="CR67">
        <v>558</v>
      </c>
      <c r="CS67">
        <v>558</v>
      </c>
      <c r="CT67">
        <v>568</v>
      </c>
      <c r="CU67" s="1">
        <v>581</v>
      </c>
      <c r="CV67" s="1">
        <v>584</v>
      </c>
      <c r="CW67" s="1">
        <v>597</v>
      </c>
      <c r="CX67" s="1">
        <v>599</v>
      </c>
      <c r="CY67" s="1">
        <v>612</v>
      </c>
      <c r="CZ67" s="1">
        <v>612</v>
      </c>
      <c r="DA67" s="1">
        <v>615</v>
      </c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</row>
    <row r="68" spans="1:198" x14ac:dyDescent="0.4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  <c r="BS68">
        <v>133</v>
      </c>
      <c r="BT68">
        <v>133</v>
      </c>
      <c r="BU68">
        <v>133</v>
      </c>
      <c r="BV68">
        <v>133</v>
      </c>
      <c r="BW68">
        <v>133</v>
      </c>
      <c r="BX68">
        <v>133</v>
      </c>
      <c r="BY68">
        <v>133</v>
      </c>
      <c r="BZ68">
        <v>133</v>
      </c>
      <c r="CA68">
        <v>133</v>
      </c>
      <c r="CB68">
        <v>134</v>
      </c>
      <c r="CC68">
        <v>134</v>
      </c>
      <c r="CD68">
        <v>134</v>
      </c>
      <c r="CE68">
        <v>135</v>
      </c>
      <c r="CF68">
        <v>135</v>
      </c>
      <c r="CG68">
        <v>135</v>
      </c>
      <c r="CH68">
        <v>135</v>
      </c>
      <c r="CI68">
        <v>135</v>
      </c>
      <c r="CJ68">
        <v>135</v>
      </c>
      <c r="CK68">
        <v>135</v>
      </c>
      <c r="CL68">
        <v>135</v>
      </c>
      <c r="CM68">
        <v>135</v>
      </c>
      <c r="CN68">
        <v>135</v>
      </c>
      <c r="CO68">
        <v>140</v>
      </c>
      <c r="CP68">
        <v>140</v>
      </c>
      <c r="CQ68">
        <v>142</v>
      </c>
      <c r="CR68">
        <v>149</v>
      </c>
      <c r="CS68">
        <v>154</v>
      </c>
      <c r="CT68">
        <v>157</v>
      </c>
      <c r="CU68" s="1">
        <v>160</v>
      </c>
      <c r="CV68" s="1">
        <v>160</v>
      </c>
      <c r="CW68" s="1">
        <v>164</v>
      </c>
      <c r="CX68" s="1">
        <v>172</v>
      </c>
      <c r="CY68" s="1">
        <v>172</v>
      </c>
      <c r="CZ68" s="1">
        <v>176</v>
      </c>
      <c r="DA68" s="1">
        <v>180</v>
      </c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</row>
    <row r="69" spans="1:198" x14ac:dyDescent="0.4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  <c r="BS69">
        <v>536</v>
      </c>
      <c r="BT69">
        <v>536</v>
      </c>
      <c r="BU69">
        <v>537</v>
      </c>
      <c r="BV69">
        <v>537</v>
      </c>
      <c r="BW69">
        <v>537</v>
      </c>
      <c r="BX69">
        <v>538</v>
      </c>
      <c r="BY69">
        <v>539</v>
      </c>
      <c r="BZ69">
        <v>540</v>
      </c>
      <c r="CA69">
        <v>541</v>
      </c>
      <c r="CB69">
        <v>541</v>
      </c>
      <c r="CC69">
        <v>541</v>
      </c>
      <c r="CD69">
        <v>546</v>
      </c>
      <c r="CE69">
        <v>547</v>
      </c>
      <c r="CF69">
        <v>547</v>
      </c>
      <c r="CG69">
        <v>548</v>
      </c>
      <c r="CH69">
        <v>548</v>
      </c>
      <c r="CI69">
        <v>550</v>
      </c>
      <c r="CJ69">
        <v>552</v>
      </c>
      <c r="CK69">
        <v>552</v>
      </c>
      <c r="CL69">
        <v>553</v>
      </c>
      <c r="CM69">
        <v>554</v>
      </c>
      <c r="CN69">
        <v>554</v>
      </c>
      <c r="CO69">
        <v>554</v>
      </c>
      <c r="CP69">
        <v>556</v>
      </c>
      <c r="CQ69">
        <v>558</v>
      </c>
      <c r="CR69">
        <v>558</v>
      </c>
      <c r="CS69">
        <v>558</v>
      </c>
      <c r="CT69">
        <v>558</v>
      </c>
      <c r="CU69" s="1">
        <v>558</v>
      </c>
      <c r="CV69" s="1">
        <v>558</v>
      </c>
      <c r="CW69" s="1">
        <v>558</v>
      </c>
      <c r="CX69" s="1">
        <v>558</v>
      </c>
      <c r="CY69" s="1">
        <v>558</v>
      </c>
      <c r="CZ69" s="1">
        <v>558</v>
      </c>
      <c r="DA69" s="1">
        <v>558</v>
      </c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</row>
    <row r="70" spans="1:198" x14ac:dyDescent="0.4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  <c r="BS70">
        <v>133</v>
      </c>
      <c r="BT70">
        <v>135</v>
      </c>
      <c r="BU70">
        <v>135</v>
      </c>
      <c r="BV70">
        <v>135</v>
      </c>
      <c r="BW70">
        <v>140</v>
      </c>
      <c r="BX70">
        <v>144</v>
      </c>
      <c r="BY70">
        <v>144</v>
      </c>
      <c r="BZ70">
        <v>144</v>
      </c>
      <c r="CA70">
        <v>151</v>
      </c>
      <c r="CB70">
        <v>152</v>
      </c>
      <c r="CC70">
        <v>152</v>
      </c>
      <c r="CD70">
        <v>158</v>
      </c>
      <c r="CE70">
        <v>161</v>
      </c>
      <c r="CF70">
        <v>161</v>
      </c>
      <c r="CG70">
        <v>164</v>
      </c>
      <c r="CH70">
        <v>168</v>
      </c>
      <c r="CI70">
        <v>171</v>
      </c>
      <c r="CJ70">
        <v>172</v>
      </c>
      <c r="CK70">
        <v>173</v>
      </c>
      <c r="CL70">
        <v>173</v>
      </c>
      <c r="CM70">
        <v>174</v>
      </c>
      <c r="CN70">
        <v>174</v>
      </c>
      <c r="CO70">
        <v>176</v>
      </c>
      <c r="CP70">
        <v>176</v>
      </c>
      <c r="CQ70">
        <v>179</v>
      </c>
      <c r="CR70">
        <v>181</v>
      </c>
      <c r="CS70">
        <v>182</v>
      </c>
      <c r="CT70">
        <v>182</v>
      </c>
      <c r="CU70" s="1">
        <v>182</v>
      </c>
      <c r="CV70" s="1">
        <v>183</v>
      </c>
      <c r="CW70" s="1">
        <v>183</v>
      </c>
      <c r="CX70" s="1">
        <v>184</v>
      </c>
      <c r="CY70" s="1">
        <v>185</v>
      </c>
      <c r="CZ70" s="1">
        <v>185</v>
      </c>
      <c r="DA70" s="1">
        <v>186</v>
      </c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</row>
    <row r="71" spans="1:198" x14ac:dyDescent="0.4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  <c r="CG71">
        <v>1</v>
      </c>
      <c r="CH71">
        <v>1</v>
      </c>
      <c r="CI71">
        <v>1</v>
      </c>
      <c r="CJ71">
        <v>1</v>
      </c>
      <c r="CK71">
        <v>1</v>
      </c>
      <c r="CL71">
        <v>1</v>
      </c>
      <c r="CM71">
        <v>1</v>
      </c>
      <c r="CN71">
        <v>1</v>
      </c>
      <c r="CO71">
        <v>1</v>
      </c>
      <c r="CP71">
        <v>1</v>
      </c>
      <c r="CQ71">
        <v>1</v>
      </c>
      <c r="CR71">
        <v>1</v>
      </c>
      <c r="CS71">
        <v>1</v>
      </c>
      <c r="CT71">
        <v>1</v>
      </c>
      <c r="CU71" s="1">
        <v>1</v>
      </c>
      <c r="CV71" s="1">
        <v>1</v>
      </c>
      <c r="CW71" s="1">
        <v>1</v>
      </c>
      <c r="CX71" s="1">
        <v>1</v>
      </c>
      <c r="CY71" s="1">
        <v>1</v>
      </c>
      <c r="CZ71" s="1">
        <v>1</v>
      </c>
      <c r="DA71" s="1">
        <v>1</v>
      </c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</row>
    <row r="72" spans="1:198" x14ac:dyDescent="0.4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  <c r="BS72">
        <v>73</v>
      </c>
      <c r="BT72">
        <v>73</v>
      </c>
      <c r="BU72">
        <v>73</v>
      </c>
      <c r="BV72">
        <v>73</v>
      </c>
      <c r="BW72">
        <v>73</v>
      </c>
      <c r="BX72">
        <v>73</v>
      </c>
      <c r="BY72">
        <v>73</v>
      </c>
      <c r="BZ72">
        <v>73</v>
      </c>
      <c r="CA72">
        <v>73</v>
      </c>
      <c r="CB72">
        <v>73</v>
      </c>
      <c r="CC72">
        <v>73</v>
      </c>
      <c r="CD72">
        <v>73</v>
      </c>
      <c r="CE72">
        <v>73</v>
      </c>
      <c r="CF72">
        <v>73</v>
      </c>
      <c r="CG72">
        <v>73</v>
      </c>
      <c r="CH72">
        <v>73</v>
      </c>
      <c r="CI72">
        <v>73</v>
      </c>
      <c r="CJ72">
        <v>73</v>
      </c>
      <c r="CK72">
        <v>73</v>
      </c>
      <c r="CL72">
        <v>73</v>
      </c>
      <c r="CM72">
        <v>73</v>
      </c>
      <c r="CN72">
        <v>73</v>
      </c>
      <c r="CO72">
        <v>73</v>
      </c>
      <c r="CP72">
        <v>73</v>
      </c>
      <c r="CQ72">
        <v>73</v>
      </c>
      <c r="CR72">
        <v>73</v>
      </c>
      <c r="CS72">
        <v>73</v>
      </c>
      <c r="CT72">
        <v>73</v>
      </c>
      <c r="CU72" s="1">
        <v>73</v>
      </c>
      <c r="CV72" s="1">
        <v>73</v>
      </c>
      <c r="CW72" s="1">
        <v>73</v>
      </c>
      <c r="CX72" s="1">
        <v>73</v>
      </c>
      <c r="CY72" s="1">
        <v>73</v>
      </c>
      <c r="CZ72" s="1">
        <v>73</v>
      </c>
      <c r="DA72" s="1">
        <v>73</v>
      </c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</row>
    <row r="73" spans="1:198" x14ac:dyDescent="0.4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  <c r="BS73">
        <v>172</v>
      </c>
      <c r="BT73">
        <v>172</v>
      </c>
      <c r="BU73">
        <v>172</v>
      </c>
      <c r="BV73">
        <v>172</v>
      </c>
      <c r="BW73">
        <v>172</v>
      </c>
      <c r="BX73">
        <v>172</v>
      </c>
      <c r="BY73">
        <v>172</v>
      </c>
      <c r="BZ73">
        <v>172</v>
      </c>
      <c r="CA73">
        <v>173</v>
      </c>
      <c r="CB73">
        <v>173</v>
      </c>
      <c r="CC73">
        <v>173</v>
      </c>
      <c r="CD73">
        <v>173</v>
      </c>
      <c r="CE73">
        <v>174</v>
      </c>
      <c r="CF73">
        <v>174</v>
      </c>
      <c r="CG73">
        <v>174</v>
      </c>
      <c r="CH73">
        <v>175</v>
      </c>
      <c r="CI73">
        <v>176</v>
      </c>
      <c r="CJ73">
        <v>176</v>
      </c>
      <c r="CK73">
        <v>177</v>
      </c>
      <c r="CL73">
        <v>177</v>
      </c>
      <c r="CM73">
        <v>178</v>
      </c>
      <c r="CN73">
        <v>178</v>
      </c>
      <c r="CO73">
        <v>178</v>
      </c>
      <c r="CP73">
        <v>178</v>
      </c>
      <c r="CQ73">
        <v>180</v>
      </c>
      <c r="CR73">
        <v>180</v>
      </c>
      <c r="CS73">
        <v>181</v>
      </c>
      <c r="CT73">
        <v>181</v>
      </c>
      <c r="CU73" s="1">
        <v>181</v>
      </c>
      <c r="CV73" s="1">
        <v>181</v>
      </c>
      <c r="CW73" s="1">
        <v>181</v>
      </c>
      <c r="CX73" s="1">
        <v>181</v>
      </c>
      <c r="CY73" s="1">
        <v>181</v>
      </c>
      <c r="CZ73" s="1">
        <v>181</v>
      </c>
      <c r="DA73" s="1">
        <v>181</v>
      </c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</row>
    <row r="74" spans="1:198" x14ac:dyDescent="0.4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  <c r="BS74">
        <v>1225</v>
      </c>
      <c r="BT74">
        <v>1226</v>
      </c>
      <c r="BU74">
        <v>1226</v>
      </c>
      <c r="BV74">
        <v>1228</v>
      </c>
      <c r="BW74">
        <v>1228</v>
      </c>
      <c r="BX74">
        <v>1229</v>
      </c>
      <c r="BY74">
        <v>1230</v>
      </c>
      <c r="BZ74">
        <v>1230</v>
      </c>
      <c r="CA74">
        <v>1230</v>
      </c>
      <c r="CB74">
        <v>1232</v>
      </c>
      <c r="CC74">
        <v>1235</v>
      </c>
      <c r="CD74">
        <v>1235</v>
      </c>
      <c r="CE74">
        <v>1236</v>
      </c>
      <c r="CF74">
        <v>1238</v>
      </c>
      <c r="CG74">
        <v>1239</v>
      </c>
      <c r="CH74">
        <v>1242</v>
      </c>
      <c r="CI74">
        <v>1244</v>
      </c>
      <c r="CJ74">
        <v>1244</v>
      </c>
      <c r="CK74">
        <v>1246</v>
      </c>
      <c r="CL74">
        <v>1246</v>
      </c>
      <c r="CM74">
        <v>1247</v>
      </c>
      <c r="CN74">
        <v>1249</v>
      </c>
      <c r="CO74">
        <v>1251</v>
      </c>
      <c r="CP74">
        <v>1252</v>
      </c>
      <c r="CQ74">
        <v>1256</v>
      </c>
      <c r="CR74">
        <v>1256</v>
      </c>
      <c r="CS74">
        <v>1257</v>
      </c>
      <c r="CT74">
        <v>1258</v>
      </c>
      <c r="CU74" s="1">
        <v>1261</v>
      </c>
      <c r="CV74" s="1">
        <v>1262</v>
      </c>
      <c r="CW74" s="1">
        <v>1263</v>
      </c>
      <c r="CX74" s="1">
        <v>1264</v>
      </c>
      <c r="CY74" s="1">
        <v>1265</v>
      </c>
      <c r="CZ74" s="1">
        <v>1265</v>
      </c>
      <c r="DA74" s="1">
        <v>1265</v>
      </c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</row>
    <row r="75" spans="1:198" x14ac:dyDescent="0.4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  <c r="BS75">
        <v>15</v>
      </c>
      <c r="BT75">
        <v>31</v>
      </c>
      <c r="BU75">
        <v>39</v>
      </c>
      <c r="BV75">
        <v>55</v>
      </c>
      <c r="BW75">
        <v>55</v>
      </c>
      <c r="BX75">
        <v>85</v>
      </c>
      <c r="BY75">
        <v>88</v>
      </c>
      <c r="BZ75">
        <v>88</v>
      </c>
      <c r="CA75">
        <v>100</v>
      </c>
      <c r="CB75">
        <v>123</v>
      </c>
      <c r="CC75">
        <v>174</v>
      </c>
      <c r="CD75">
        <v>197</v>
      </c>
      <c r="CE75">
        <v>214</v>
      </c>
      <c r="CF75">
        <v>270</v>
      </c>
      <c r="CG75">
        <v>319</v>
      </c>
      <c r="CH75">
        <v>354</v>
      </c>
      <c r="CI75">
        <v>452</v>
      </c>
      <c r="CJ75">
        <v>550</v>
      </c>
      <c r="CK75">
        <v>634</v>
      </c>
      <c r="CL75">
        <v>634</v>
      </c>
      <c r="CM75">
        <v>711</v>
      </c>
      <c r="CN75">
        <v>804</v>
      </c>
      <c r="CO75">
        <v>804</v>
      </c>
      <c r="CP75">
        <v>870</v>
      </c>
      <c r="CQ75">
        <v>927</v>
      </c>
      <c r="CR75">
        <v>1003</v>
      </c>
      <c r="CS75">
        <v>1067</v>
      </c>
      <c r="CT75">
        <v>1133</v>
      </c>
      <c r="CU75" s="1">
        <v>1210</v>
      </c>
      <c r="CV75" s="1">
        <v>1268</v>
      </c>
      <c r="CW75" s="1">
        <v>1411</v>
      </c>
      <c r="CX75" s="1">
        <v>1439</v>
      </c>
      <c r="CY75" s="1">
        <v>1551</v>
      </c>
      <c r="CZ75" s="1">
        <v>1666</v>
      </c>
      <c r="DA75" s="1">
        <v>1722</v>
      </c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</row>
    <row r="76" spans="1:198" x14ac:dyDescent="0.4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2</v>
      </c>
      <c r="BW76">
        <v>2</v>
      </c>
      <c r="BX76">
        <v>2</v>
      </c>
      <c r="BY76">
        <v>2</v>
      </c>
      <c r="BZ76">
        <v>2</v>
      </c>
      <c r="CA76">
        <v>2</v>
      </c>
      <c r="CB76">
        <v>2</v>
      </c>
      <c r="CC76">
        <v>5</v>
      </c>
      <c r="CD76">
        <v>5</v>
      </c>
      <c r="CE76">
        <v>5</v>
      </c>
      <c r="CF76">
        <v>5</v>
      </c>
      <c r="CG76">
        <v>5</v>
      </c>
      <c r="CH76">
        <v>5</v>
      </c>
      <c r="CI76">
        <v>11</v>
      </c>
      <c r="CJ76">
        <v>11</v>
      </c>
      <c r="CK76">
        <v>11</v>
      </c>
      <c r="CL76">
        <v>11</v>
      </c>
      <c r="CM76">
        <v>11</v>
      </c>
      <c r="CN76">
        <v>16</v>
      </c>
      <c r="CO76">
        <v>16</v>
      </c>
      <c r="CP76">
        <v>16</v>
      </c>
      <c r="CQ76">
        <v>16</v>
      </c>
      <c r="CR76">
        <v>19</v>
      </c>
      <c r="CS76">
        <v>19</v>
      </c>
      <c r="CT76">
        <v>19</v>
      </c>
      <c r="CU76" s="1">
        <v>19</v>
      </c>
      <c r="CV76" s="1">
        <v>19</v>
      </c>
      <c r="CW76" s="1">
        <v>19</v>
      </c>
      <c r="CX76" s="1">
        <v>19</v>
      </c>
      <c r="CY76" s="1">
        <v>25</v>
      </c>
      <c r="CZ76" s="1">
        <v>25</v>
      </c>
      <c r="DA76" s="1">
        <v>25</v>
      </c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</row>
    <row r="77" spans="1:198" x14ac:dyDescent="0.4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  <c r="BS77">
        <v>2</v>
      </c>
      <c r="BT77">
        <v>2</v>
      </c>
      <c r="BU77">
        <v>3</v>
      </c>
      <c r="BV77">
        <v>3</v>
      </c>
      <c r="BW77">
        <v>3</v>
      </c>
      <c r="BX77">
        <v>3</v>
      </c>
      <c r="BY77">
        <v>3</v>
      </c>
      <c r="BZ77">
        <v>5</v>
      </c>
      <c r="CA77">
        <v>9</v>
      </c>
      <c r="CB77">
        <v>9</v>
      </c>
      <c r="CC77">
        <v>9</v>
      </c>
      <c r="CD77">
        <v>13</v>
      </c>
      <c r="CE77">
        <v>16</v>
      </c>
      <c r="CF77">
        <v>16</v>
      </c>
      <c r="CG77">
        <v>17</v>
      </c>
      <c r="CH77">
        <v>20</v>
      </c>
      <c r="CI77">
        <v>21</v>
      </c>
      <c r="CJ77">
        <v>23</v>
      </c>
      <c r="CK77">
        <v>25</v>
      </c>
      <c r="CL77">
        <v>26</v>
      </c>
      <c r="CM77">
        <v>26</v>
      </c>
      <c r="CN77">
        <v>27</v>
      </c>
      <c r="CO77">
        <v>35</v>
      </c>
      <c r="CP77">
        <v>45</v>
      </c>
      <c r="CQ77">
        <v>47</v>
      </c>
      <c r="CR77">
        <v>48</v>
      </c>
      <c r="CS77">
        <v>49</v>
      </c>
      <c r="CT77">
        <v>50</v>
      </c>
      <c r="CU77" s="1">
        <v>50</v>
      </c>
      <c r="CV77" s="1">
        <v>56</v>
      </c>
      <c r="CW77" s="1">
        <v>59</v>
      </c>
      <c r="CX77" s="1">
        <v>73</v>
      </c>
      <c r="CY77" s="1">
        <v>75</v>
      </c>
      <c r="CZ77" s="1">
        <v>75</v>
      </c>
      <c r="DA77" s="1">
        <v>75</v>
      </c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</row>
    <row r="78" spans="1:198" x14ac:dyDescent="0.4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  <c r="BS78">
        <v>4</v>
      </c>
      <c r="BT78">
        <v>4</v>
      </c>
      <c r="BU78">
        <v>4</v>
      </c>
      <c r="BV78">
        <v>6</v>
      </c>
      <c r="BW78">
        <v>11</v>
      </c>
      <c r="BX78">
        <v>13</v>
      </c>
      <c r="BY78">
        <v>16</v>
      </c>
      <c r="BZ78">
        <v>18</v>
      </c>
      <c r="CA78">
        <v>24</v>
      </c>
      <c r="CB78">
        <v>29</v>
      </c>
      <c r="CC78">
        <v>30</v>
      </c>
      <c r="CD78">
        <v>42</v>
      </c>
      <c r="CE78">
        <v>49</v>
      </c>
      <c r="CF78">
        <v>56</v>
      </c>
      <c r="CG78">
        <v>62</v>
      </c>
      <c r="CH78">
        <v>66</v>
      </c>
      <c r="CI78">
        <v>67</v>
      </c>
      <c r="CJ78">
        <v>74</v>
      </c>
      <c r="CK78">
        <v>88</v>
      </c>
      <c r="CL78">
        <v>97</v>
      </c>
      <c r="CM78">
        <v>112</v>
      </c>
      <c r="CN78">
        <v>124</v>
      </c>
      <c r="CO78">
        <v>150</v>
      </c>
      <c r="CP78">
        <v>180</v>
      </c>
      <c r="CQ78">
        <v>196</v>
      </c>
      <c r="CR78">
        <v>216</v>
      </c>
      <c r="CS78">
        <v>242</v>
      </c>
      <c r="CT78">
        <v>264</v>
      </c>
      <c r="CU78" s="1">
        <v>287</v>
      </c>
      <c r="CV78" s="1">
        <v>306</v>
      </c>
      <c r="CW78" s="1">
        <v>323</v>
      </c>
      <c r="CX78" s="1">
        <v>338</v>
      </c>
      <c r="CY78" s="1">
        <v>355</v>
      </c>
      <c r="CZ78" s="1">
        <v>372</v>
      </c>
      <c r="DA78" s="1">
        <v>386</v>
      </c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</row>
    <row r="79" spans="1:198" x14ac:dyDescent="0.4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  <c r="BS79">
        <v>6</v>
      </c>
      <c r="BT79">
        <v>7</v>
      </c>
      <c r="BU79">
        <v>9</v>
      </c>
      <c r="BV79">
        <v>15</v>
      </c>
      <c r="BW79">
        <v>19</v>
      </c>
      <c r="BX79">
        <v>25</v>
      </c>
      <c r="BY79">
        <v>37</v>
      </c>
      <c r="BZ79">
        <v>41</v>
      </c>
      <c r="CA79">
        <v>41</v>
      </c>
      <c r="CB79">
        <v>48</v>
      </c>
      <c r="CC79">
        <v>52</v>
      </c>
      <c r="CD79">
        <v>52</v>
      </c>
      <c r="CE79">
        <v>58</v>
      </c>
      <c r="CF79">
        <v>85</v>
      </c>
      <c r="CG79">
        <v>89</v>
      </c>
      <c r="CH79">
        <v>114</v>
      </c>
      <c r="CI79">
        <v>114</v>
      </c>
      <c r="CJ79">
        <v>146</v>
      </c>
      <c r="CK79">
        <v>193</v>
      </c>
      <c r="CL79">
        <v>239</v>
      </c>
      <c r="CM79">
        <v>260</v>
      </c>
      <c r="CN79">
        <v>260</v>
      </c>
      <c r="CO79">
        <v>303</v>
      </c>
      <c r="CP79">
        <v>310</v>
      </c>
      <c r="CQ79">
        <v>359</v>
      </c>
      <c r="CR79">
        <v>419</v>
      </c>
      <c r="CS79">
        <v>419</v>
      </c>
      <c r="CT79">
        <v>468</v>
      </c>
      <c r="CU79" s="1">
        <v>499</v>
      </c>
      <c r="CV79" s="1">
        <v>525</v>
      </c>
      <c r="CW79" s="1">
        <v>557</v>
      </c>
      <c r="CX79" s="1">
        <v>574</v>
      </c>
      <c r="CY79" s="1">
        <v>597</v>
      </c>
      <c r="CZ79" s="1">
        <v>622</v>
      </c>
      <c r="DA79" s="1">
        <v>653</v>
      </c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</row>
    <row r="80" spans="1:198" x14ac:dyDescent="0.4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  <c r="BS80">
        <v>67</v>
      </c>
      <c r="BT80">
        <v>67</v>
      </c>
      <c r="BU80">
        <v>73</v>
      </c>
      <c r="BV80">
        <v>88</v>
      </c>
      <c r="BW80">
        <v>92</v>
      </c>
      <c r="BX80">
        <v>119</v>
      </c>
      <c r="BY80">
        <v>125</v>
      </c>
      <c r="BZ80">
        <v>130</v>
      </c>
      <c r="CA80">
        <v>167</v>
      </c>
      <c r="CB80">
        <v>179</v>
      </c>
      <c r="CC80">
        <v>219</v>
      </c>
      <c r="CD80">
        <v>231</v>
      </c>
      <c r="CE80">
        <v>323</v>
      </c>
      <c r="CF80">
        <v>373</v>
      </c>
      <c r="CG80">
        <v>400</v>
      </c>
      <c r="CH80">
        <v>415</v>
      </c>
      <c r="CI80">
        <v>473</v>
      </c>
      <c r="CJ80">
        <v>529</v>
      </c>
      <c r="CK80">
        <v>600</v>
      </c>
      <c r="CL80">
        <v>615</v>
      </c>
      <c r="CM80">
        <v>709</v>
      </c>
      <c r="CN80">
        <v>771</v>
      </c>
      <c r="CO80">
        <v>801</v>
      </c>
      <c r="CP80">
        <v>869</v>
      </c>
      <c r="CQ80">
        <v>883</v>
      </c>
      <c r="CR80">
        <v>982</v>
      </c>
      <c r="CS80">
        <v>1034</v>
      </c>
      <c r="CT80">
        <v>1103</v>
      </c>
      <c r="CU80" s="1">
        <v>1166</v>
      </c>
      <c r="CV80" s="1">
        <v>1232</v>
      </c>
      <c r="CW80" s="1">
        <v>1288</v>
      </c>
      <c r="CX80" s="1">
        <v>1348</v>
      </c>
      <c r="CY80" s="1">
        <v>1421</v>
      </c>
      <c r="CZ80" s="1">
        <v>1463</v>
      </c>
      <c r="DA80" s="1">
        <v>1489</v>
      </c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</row>
    <row r="81" spans="1:198" x14ac:dyDescent="0.4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  <c r="BS81">
        <v>603</v>
      </c>
      <c r="BT81">
        <v>603</v>
      </c>
      <c r="BU81">
        <v>603</v>
      </c>
      <c r="BV81">
        <v>619</v>
      </c>
      <c r="BW81">
        <v>619</v>
      </c>
      <c r="BX81">
        <v>619</v>
      </c>
      <c r="BY81">
        <v>619</v>
      </c>
      <c r="BZ81">
        <v>619</v>
      </c>
      <c r="CA81">
        <v>619</v>
      </c>
      <c r="CB81">
        <v>619</v>
      </c>
      <c r="CC81">
        <v>619</v>
      </c>
      <c r="CD81">
        <v>619</v>
      </c>
      <c r="CE81">
        <v>619</v>
      </c>
      <c r="CF81">
        <v>619</v>
      </c>
      <c r="CG81">
        <v>619</v>
      </c>
      <c r="CH81">
        <v>639</v>
      </c>
      <c r="CI81">
        <v>639</v>
      </c>
      <c r="CJ81">
        <v>644</v>
      </c>
      <c r="CK81">
        <v>644</v>
      </c>
      <c r="CL81">
        <v>644</v>
      </c>
      <c r="CM81">
        <v>644</v>
      </c>
      <c r="CN81">
        <v>644</v>
      </c>
      <c r="CO81">
        <v>644</v>
      </c>
      <c r="CP81">
        <v>644</v>
      </c>
      <c r="CQ81">
        <v>645</v>
      </c>
      <c r="CR81">
        <v>645</v>
      </c>
      <c r="CS81">
        <v>645</v>
      </c>
      <c r="CT81">
        <v>645</v>
      </c>
      <c r="CU81" s="1">
        <v>645</v>
      </c>
      <c r="CV81" s="1">
        <v>645</v>
      </c>
      <c r="CW81" s="1">
        <v>645</v>
      </c>
      <c r="CX81" s="1">
        <v>645</v>
      </c>
      <c r="CY81" s="1">
        <v>645</v>
      </c>
      <c r="CZ81" s="1">
        <v>645</v>
      </c>
      <c r="DA81" s="1">
        <v>645</v>
      </c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</row>
    <row r="82" spans="1:198" x14ac:dyDescent="0.4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  <c r="BS82">
        <v>4</v>
      </c>
      <c r="BT82">
        <v>8</v>
      </c>
      <c r="BU82">
        <v>12</v>
      </c>
      <c r="BV82">
        <v>13</v>
      </c>
      <c r="BW82">
        <v>15</v>
      </c>
      <c r="BX82">
        <v>15</v>
      </c>
      <c r="BY82">
        <v>15</v>
      </c>
      <c r="BZ82">
        <v>18</v>
      </c>
      <c r="CA82">
        <v>27</v>
      </c>
      <c r="CB82">
        <v>27</v>
      </c>
      <c r="CC82">
        <v>28</v>
      </c>
      <c r="CD82">
        <v>51</v>
      </c>
      <c r="CE82">
        <v>77</v>
      </c>
      <c r="CF82">
        <v>92</v>
      </c>
      <c r="CG82">
        <v>121</v>
      </c>
      <c r="CH82">
        <v>132</v>
      </c>
      <c r="CI82">
        <v>151</v>
      </c>
      <c r="CJ82">
        <v>171</v>
      </c>
      <c r="CK82">
        <v>192</v>
      </c>
      <c r="CL82">
        <v>227</v>
      </c>
      <c r="CM82">
        <v>255</v>
      </c>
      <c r="CN82">
        <v>285</v>
      </c>
      <c r="CO82">
        <v>309</v>
      </c>
      <c r="CP82">
        <v>341</v>
      </c>
      <c r="CQ82">
        <v>365</v>
      </c>
      <c r="CR82">
        <v>416</v>
      </c>
      <c r="CS82">
        <v>437</v>
      </c>
      <c r="CT82">
        <v>501</v>
      </c>
      <c r="CU82" s="1">
        <v>525</v>
      </c>
      <c r="CV82" s="1">
        <v>575</v>
      </c>
      <c r="CW82" s="1">
        <v>617</v>
      </c>
      <c r="CX82" s="1">
        <v>681</v>
      </c>
      <c r="CY82" s="1">
        <v>714</v>
      </c>
      <c r="CZ82" s="1">
        <v>765</v>
      </c>
      <c r="DA82" s="1">
        <v>827</v>
      </c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</row>
    <row r="83" spans="1:198" x14ac:dyDescent="0.4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  <c r="BS83">
        <v>22</v>
      </c>
      <c r="BT83">
        <v>23</v>
      </c>
      <c r="BU83">
        <v>28</v>
      </c>
      <c r="BV83">
        <v>28</v>
      </c>
      <c r="BW83">
        <v>28</v>
      </c>
      <c r="BX83">
        <v>33</v>
      </c>
      <c r="BY83">
        <v>37</v>
      </c>
      <c r="BZ83">
        <v>45</v>
      </c>
      <c r="CA83">
        <v>47</v>
      </c>
      <c r="CB83">
        <v>52</v>
      </c>
      <c r="CC83">
        <v>53</v>
      </c>
      <c r="CD83">
        <v>58</v>
      </c>
      <c r="CE83">
        <v>61</v>
      </c>
      <c r="CF83">
        <v>65</v>
      </c>
      <c r="CG83">
        <v>65</v>
      </c>
      <c r="CH83">
        <v>65</v>
      </c>
      <c r="CI83">
        <v>65</v>
      </c>
      <c r="CJ83">
        <v>77</v>
      </c>
      <c r="CK83">
        <v>77</v>
      </c>
      <c r="CL83">
        <v>79</v>
      </c>
      <c r="CM83">
        <v>81</v>
      </c>
      <c r="CN83">
        <v>81</v>
      </c>
      <c r="CO83">
        <v>98</v>
      </c>
      <c r="CP83">
        <v>98</v>
      </c>
      <c r="CQ83">
        <v>98</v>
      </c>
      <c r="CR83">
        <v>98</v>
      </c>
      <c r="CS83">
        <v>148</v>
      </c>
      <c r="CT83">
        <v>148</v>
      </c>
      <c r="CU83" s="1">
        <v>148</v>
      </c>
      <c r="CV83" s="1">
        <v>148</v>
      </c>
      <c r="CW83" s="1">
        <v>148</v>
      </c>
      <c r="CX83" s="1">
        <v>296</v>
      </c>
      <c r="CY83" s="1">
        <v>296</v>
      </c>
      <c r="CZ83" s="1">
        <v>296</v>
      </c>
      <c r="DA83" s="1">
        <v>296</v>
      </c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</row>
    <row r="84" spans="1:198" x14ac:dyDescent="0.4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  <c r="BS84">
        <v>25</v>
      </c>
      <c r="BT84">
        <v>45</v>
      </c>
      <c r="BU84">
        <v>61</v>
      </c>
      <c r="BV84">
        <v>67</v>
      </c>
      <c r="BW84">
        <v>72</v>
      </c>
      <c r="BX84">
        <v>78</v>
      </c>
      <c r="BY84">
        <v>96</v>
      </c>
      <c r="BZ84">
        <v>121</v>
      </c>
      <c r="CA84">
        <v>172</v>
      </c>
      <c r="CB84">
        <v>233</v>
      </c>
      <c r="CC84">
        <v>301</v>
      </c>
      <c r="CD84">
        <v>346</v>
      </c>
      <c r="CE84">
        <v>411</v>
      </c>
      <c r="CF84">
        <v>464</v>
      </c>
      <c r="CG84">
        <v>519</v>
      </c>
      <c r="CH84">
        <v>642</v>
      </c>
      <c r="CI84">
        <v>819</v>
      </c>
      <c r="CJ84">
        <v>972</v>
      </c>
      <c r="CK84">
        <v>1174</v>
      </c>
      <c r="CL84">
        <v>1227</v>
      </c>
      <c r="CM84">
        <v>1298</v>
      </c>
      <c r="CN84">
        <v>1559</v>
      </c>
      <c r="CO84">
        <v>1753</v>
      </c>
      <c r="CP84">
        <v>1989</v>
      </c>
      <c r="CQ84">
        <v>2152</v>
      </c>
      <c r="CR84">
        <v>2371</v>
      </c>
      <c r="CS84">
        <v>2453</v>
      </c>
      <c r="CT84">
        <v>2545</v>
      </c>
      <c r="CU84" s="1">
        <v>2826</v>
      </c>
      <c r="CV84" s="1">
        <v>2948</v>
      </c>
      <c r="CW84" s="1">
        <v>3108</v>
      </c>
      <c r="CX84" s="1">
        <v>3314</v>
      </c>
      <c r="CY84" s="1">
        <v>3372</v>
      </c>
      <c r="CZ84" s="1">
        <v>3461</v>
      </c>
      <c r="DA84" s="1">
        <v>3587</v>
      </c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</row>
    <row r="85" spans="1:198" x14ac:dyDescent="0.4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  <c r="BS85">
        <v>70</v>
      </c>
      <c r="BT85">
        <v>74</v>
      </c>
      <c r="BU85">
        <v>75</v>
      </c>
      <c r="BV85">
        <v>81</v>
      </c>
      <c r="BW85">
        <v>91</v>
      </c>
      <c r="BX85">
        <v>93</v>
      </c>
      <c r="BY85">
        <v>99</v>
      </c>
      <c r="BZ85">
        <v>107</v>
      </c>
      <c r="CA85">
        <v>120</v>
      </c>
      <c r="CB85">
        <v>131</v>
      </c>
      <c r="CC85">
        <v>136</v>
      </c>
      <c r="CD85">
        <v>145</v>
      </c>
      <c r="CE85">
        <v>145</v>
      </c>
      <c r="CF85">
        <v>157</v>
      </c>
      <c r="CG85">
        <v>157</v>
      </c>
      <c r="CH85">
        <v>163</v>
      </c>
      <c r="CI85">
        <v>166</v>
      </c>
      <c r="CJ85">
        <v>169</v>
      </c>
      <c r="CK85">
        <v>171</v>
      </c>
      <c r="CL85">
        <v>173</v>
      </c>
      <c r="CM85">
        <v>176</v>
      </c>
      <c r="CN85">
        <v>176</v>
      </c>
      <c r="CO85">
        <v>178</v>
      </c>
      <c r="CP85">
        <v>178</v>
      </c>
      <c r="CQ85">
        <v>178</v>
      </c>
      <c r="CR85">
        <v>178</v>
      </c>
      <c r="CS85">
        <v>178</v>
      </c>
      <c r="CT85">
        <v>178</v>
      </c>
      <c r="CU85" s="1">
        <v>178</v>
      </c>
      <c r="CV85" s="1">
        <v>181</v>
      </c>
      <c r="CW85" s="1">
        <v>181</v>
      </c>
      <c r="CX85" s="1">
        <v>184</v>
      </c>
      <c r="CY85" s="1">
        <v>184</v>
      </c>
      <c r="CZ85" s="1">
        <v>184</v>
      </c>
      <c r="DA85" s="1">
        <v>185</v>
      </c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</row>
    <row r="86" spans="1:198" x14ac:dyDescent="0.4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  <c r="BS86">
        <v>2</v>
      </c>
      <c r="BT86">
        <v>2</v>
      </c>
      <c r="BU86">
        <v>2</v>
      </c>
      <c r="BV86">
        <v>2</v>
      </c>
      <c r="BW86">
        <v>3</v>
      </c>
      <c r="BX86">
        <v>3</v>
      </c>
      <c r="BY86">
        <v>3</v>
      </c>
      <c r="BZ86">
        <v>4</v>
      </c>
      <c r="CA86">
        <v>10</v>
      </c>
      <c r="CB86">
        <v>11</v>
      </c>
      <c r="CC86">
        <v>11</v>
      </c>
      <c r="CD86">
        <v>11</v>
      </c>
      <c r="CE86">
        <v>11</v>
      </c>
      <c r="CF86">
        <v>11</v>
      </c>
      <c r="CG86">
        <v>11</v>
      </c>
      <c r="CH86">
        <v>11</v>
      </c>
      <c r="CI86">
        <v>11</v>
      </c>
      <c r="CJ86">
        <v>11</v>
      </c>
      <c r="CK86">
        <v>11</v>
      </c>
      <c r="CL86">
        <v>11</v>
      </c>
      <c r="CM86">
        <v>11</v>
      </c>
      <c r="CN86">
        <v>11</v>
      </c>
      <c r="CO86">
        <v>11</v>
      </c>
      <c r="CP86">
        <v>11</v>
      </c>
      <c r="CQ86">
        <v>11</v>
      </c>
      <c r="CR86">
        <v>11</v>
      </c>
      <c r="CS86">
        <v>11</v>
      </c>
      <c r="CT86">
        <v>11</v>
      </c>
      <c r="CU86" s="1">
        <v>11</v>
      </c>
      <c r="CV86" s="1">
        <v>11</v>
      </c>
      <c r="CW86" s="1">
        <v>11</v>
      </c>
      <c r="CX86" s="1">
        <v>11</v>
      </c>
      <c r="CY86" s="1">
        <v>11</v>
      </c>
      <c r="CZ86" s="1">
        <v>11</v>
      </c>
      <c r="DA86" s="1">
        <v>11</v>
      </c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</row>
    <row r="87" spans="1:198" x14ac:dyDescent="0.4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  <c r="BU87">
        <v>894</v>
      </c>
      <c r="BV87">
        <v>1089</v>
      </c>
      <c r="BW87">
        <v>1193</v>
      </c>
      <c r="BX87">
        <v>1283</v>
      </c>
      <c r="BY87">
        <v>1327</v>
      </c>
      <c r="BZ87">
        <v>1378</v>
      </c>
      <c r="CA87">
        <v>1491</v>
      </c>
      <c r="CB87">
        <v>1621</v>
      </c>
      <c r="CC87">
        <v>1736</v>
      </c>
      <c r="CD87">
        <v>1773</v>
      </c>
      <c r="CE87">
        <v>1955</v>
      </c>
      <c r="CF87">
        <v>2123</v>
      </c>
      <c r="CG87">
        <v>2235</v>
      </c>
      <c r="CH87">
        <v>2515</v>
      </c>
      <c r="CI87">
        <v>2748</v>
      </c>
      <c r="CJ87">
        <v>3023</v>
      </c>
      <c r="CK87">
        <v>3389</v>
      </c>
      <c r="CL87">
        <v>3847</v>
      </c>
      <c r="CM87">
        <v>4141</v>
      </c>
      <c r="CN87">
        <v>4312</v>
      </c>
      <c r="CO87">
        <v>4700</v>
      </c>
      <c r="CP87">
        <v>5087</v>
      </c>
      <c r="CQ87">
        <v>5384</v>
      </c>
      <c r="CR87">
        <v>5526</v>
      </c>
      <c r="CS87">
        <v>5669</v>
      </c>
      <c r="CT87">
        <v>5805</v>
      </c>
      <c r="CU87" s="1">
        <v>5959</v>
      </c>
      <c r="CV87" s="1">
        <v>6121</v>
      </c>
      <c r="CW87" s="1">
        <v>6366</v>
      </c>
      <c r="CX87" s="1">
        <v>6546</v>
      </c>
      <c r="CY87" s="1">
        <v>6729</v>
      </c>
      <c r="CZ87" s="1">
        <v>6889</v>
      </c>
      <c r="DA87" s="1">
        <v>6987</v>
      </c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</row>
    <row r="88" spans="1:198" x14ac:dyDescent="0.4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8</v>
      </c>
      <c r="BX88">
        <v>8</v>
      </c>
      <c r="BY88">
        <v>9</v>
      </c>
      <c r="BZ88">
        <v>9</v>
      </c>
      <c r="CA88">
        <v>9</v>
      </c>
      <c r="CB88">
        <v>25</v>
      </c>
      <c r="CC88">
        <v>25</v>
      </c>
      <c r="CD88">
        <v>36</v>
      </c>
      <c r="CE88">
        <v>36</v>
      </c>
      <c r="CF88">
        <v>36</v>
      </c>
      <c r="CG88">
        <v>41</v>
      </c>
      <c r="CH88">
        <v>53</v>
      </c>
      <c r="CI88">
        <v>71</v>
      </c>
      <c r="CJ88">
        <v>73</v>
      </c>
      <c r="CK88">
        <v>76</v>
      </c>
      <c r="CL88">
        <v>76</v>
      </c>
      <c r="CM88">
        <v>102</v>
      </c>
      <c r="CN88">
        <v>102</v>
      </c>
      <c r="CO88">
        <v>112</v>
      </c>
      <c r="CP88">
        <v>183</v>
      </c>
      <c r="CQ88">
        <v>252</v>
      </c>
      <c r="CR88">
        <v>330</v>
      </c>
      <c r="CS88">
        <v>373</v>
      </c>
      <c r="CT88">
        <v>411</v>
      </c>
      <c r="CU88" s="1">
        <v>477</v>
      </c>
      <c r="CV88" s="1">
        <v>498</v>
      </c>
      <c r="CW88" s="1">
        <v>599</v>
      </c>
      <c r="CX88" s="1">
        <v>642</v>
      </c>
      <c r="CY88" s="1">
        <v>672</v>
      </c>
      <c r="CZ88" s="1">
        <v>686</v>
      </c>
      <c r="DA88" s="1">
        <v>686</v>
      </c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</row>
    <row r="89" spans="1:198" x14ac:dyDescent="0.4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1</v>
      </c>
      <c r="CA89">
        <v>1</v>
      </c>
      <c r="CB89">
        <v>1</v>
      </c>
      <c r="CC89">
        <v>1</v>
      </c>
      <c r="CD89">
        <v>5</v>
      </c>
      <c r="CE89">
        <v>5</v>
      </c>
      <c r="CF89">
        <v>8</v>
      </c>
      <c r="CG89">
        <v>8</v>
      </c>
      <c r="CH89">
        <v>8</v>
      </c>
      <c r="CI89">
        <v>8</v>
      </c>
      <c r="CJ89">
        <v>8</v>
      </c>
      <c r="CK89">
        <v>8</v>
      </c>
      <c r="CL89">
        <v>8</v>
      </c>
      <c r="CM89">
        <v>8</v>
      </c>
      <c r="CN89">
        <v>8</v>
      </c>
      <c r="CO89">
        <v>8</v>
      </c>
      <c r="CP89">
        <v>9</v>
      </c>
      <c r="CQ89">
        <v>9</v>
      </c>
      <c r="CR89">
        <v>10</v>
      </c>
      <c r="CS89">
        <v>13</v>
      </c>
      <c r="CT89">
        <v>13</v>
      </c>
      <c r="CU89" s="1">
        <v>13</v>
      </c>
      <c r="CV89" s="1">
        <v>13</v>
      </c>
      <c r="CW89" s="1">
        <v>13</v>
      </c>
      <c r="CX89" s="1">
        <v>13</v>
      </c>
      <c r="CY89" s="1">
        <v>13</v>
      </c>
      <c r="CZ89" s="1">
        <v>13</v>
      </c>
      <c r="DA89" s="1">
        <v>13</v>
      </c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</row>
    <row r="90" spans="1:198" x14ac:dyDescent="0.4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  <c r="BS90">
        <v>4</v>
      </c>
      <c r="BT90">
        <v>5</v>
      </c>
      <c r="BU90">
        <v>9</v>
      </c>
      <c r="BV90">
        <v>16</v>
      </c>
      <c r="BW90">
        <v>16</v>
      </c>
      <c r="BX90">
        <v>16</v>
      </c>
      <c r="BY90">
        <v>17</v>
      </c>
      <c r="BZ90">
        <v>33</v>
      </c>
      <c r="CA90">
        <v>36</v>
      </c>
      <c r="CB90">
        <v>50</v>
      </c>
      <c r="CC90">
        <v>80</v>
      </c>
      <c r="CD90">
        <v>98</v>
      </c>
      <c r="CE90">
        <v>108</v>
      </c>
      <c r="CF90">
        <v>131</v>
      </c>
      <c r="CG90">
        <v>152</v>
      </c>
      <c r="CH90">
        <v>162</v>
      </c>
      <c r="CI90">
        <v>208</v>
      </c>
      <c r="CJ90">
        <v>215</v>
      </c>
      <c r="CK90">
        <v>268</v>
      </c>
      <c r="CL90">
        <v>312</v>
      </c>
      <c r="CM90">
        <v>363</v>
      </c>
      <c r="CN90">
        <v>416</v>
      </c>
      <c r="CO90">
        <v>463</v>
      </c>
      <c r="CP90">
        <v>581</v>
      </c>
      <c r="CQ90">
        <v>581</v>
      </c>
      <c r="CR90">
        <v>763</v>
      </c>
      <c r="CS90">
        <v>822</v>
      </c>
      <c r="CT90">
        <v>910</v>
      </c>
      <c r="CU90" s="1">
        <v>993</v>
      </c>
      <c r="CV90" s="1">
        <v>1165</v>
      </c>
      <c r="CW90" s="1">
        <v>1228</v>
      </c>
      <c r="CX90" s="1">
        <v>1301</v>
      </c>
      <c r="CY90" s="1">
        <v>1387</v>
      </c>
      <c r="CZ90" s="1">
        <v>1481</v>
      </c>
      <c r="DA90" s="1">
        <v>1606</v>
      </c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</row>
    <row r="91" spans="1:198" x14ac:dyDescent="0.4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  <c r="BS91">
        <v>3</v>
      </c>
      <c r="BT91">
        <v>54</v>
      </c>
      <c r="BU91">
        <v>58</v>
      </c>
      <c r="BV91">
        <v>65</v>
      </c>
      <c r="BW91">
        <v>65</v>
      </c>
      <c r="BX91">
        <v>100</v>
      </c>
      <c r="BY91">
        <v>100</v>
      </c>
      <c r="BZ91">
        <v>100</v>
      </c>
      <c r="CA91">
        <v>100</v>
      </c>
      <c r="CB91">
        <v>140</v>
      </c>
      <c r="CC91">
        <v>339</v>
      </c>
      <c r="CD91">
        <v>368</v>
      </c>
      <c r="CE91">
        <v>411</v>
      </c>
      <c r="CF91">
        <v>501</v>
      </c>
      <c r="CG91">
        <v>597</v>
      </c>
      <c r="CH91">
        <v>696</v>
      </c>
      <c r="CI91">
        <v>780</v>
      </c>
      <c r="CJ91">
        <v>838</v>
      </c>
      <c r="CK91">
        <v>838</v>
      </c>
      <c r="CL91">
        <v>1008</v>
      </c>
      <c r="CM91">
        <v>1061</v>
      </c>
      <c r="CN91">
        <v>1150</v>
      </c>
      <c r="CO91">
        <v>1207</v>
      </c>
      <c r="CP91">
        <v>1262</v>
      </c>
      <c r="CQ91">
        <v>1328</v>
      </c>
      <c r="CR91">
        <v>1366</v>
      </c>
      <c r="CS91">
        <v>1366</v>
      </c>
      <c r="CT91">
        <v>1366</v>
      </c>
      <c r="CU91" s="1">
        <v>1557</v>
      </c>
      <c r="CV91" s="1">
        <v>1557</v>
      </c>
      <c r="CW91" s="1">
        <v>1557</v>
      </c>
      <c r="CX91" s="1">
        <v>1558</v>
      </c>
      <c r="CY91" s="1">
        <v>1913</v>
      </c>
      <c r="CZ91" s="1">
        <v>2132</v>
      </c>
      <c r="DA91" s="1">
        <v>3300</v>
      </c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</row>
    <row r="92" spans="1:198" x14ac:dyDescent="0.4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  <c r="BS92">
        <v>150</v>
      </c>
      <c r="BT92">
        <v>157</v>
      </c>
      <c r="BU92">
        <v>179</v>
      </c>
      <c r="BV92">
        <v>201</v>
      </c>
      <c r="BW92">
        <v>216</v>
      </c>
      <c r="BX92">
        <v>241</v>
      </c>
      <c r="BY92">
        <v>247</v>
      </c>
      <c r="BZ92">
        <v>259</v>
      </c>
      <c r="CA92">
        <v>276</v>
      </c>
      <c r="CB92">
        <v>305</v>
      </c>
      <c r="CC92">
        <v>348</v>
      </c>
      <c r="CD92">
        <v>384</v>
      </c>
      <c r="CE92">
        <v>426</v>
      </c>
      <c r="CF92">
        <v>589</v>
      </c>
      <c r="CG92">
        <v>589</v>
      </c>
      <c r="CH92">
        <v>589</v>
      </c>
      <c r="CI92">
        <v>589</v>
      </c>
      <c r="CJ92">
        <v>596</v>
      </c>
      <c r="CK92">
        <v>646</v>
      </c>
      <c r="CL92">
        <v>701</v>
      </c>
      <c r="CM92">
        <v>732</v>
      </c>
      <c r="CN92">
        <v>821</v>
      </c>
      <c r="CO92">
        <v>870</v>
      </c>
      <c r="CP92">
        <v>935</v>
      </c>
      <c r="CQ92">
        <v>1004</v>
      </c>
      <c r="CR92">
        <v>1075</v>
      </c>
      <c r="CS92">
        <v>1114</v>
      </c>
      <c r="CT92">
        <v>1176</v>
      </c>
      <c r="CU92" s="1">
        <v>1236</v>
      </c>
      <c r="CV92" s="1">
        <v>1304</v>
      </c>
      <c r="CW92" s="1">
        <v>1335</v>
      </c>
      <c r="CX92" s="1">
        <v>1381</v>
      </c>
      <c r="CY92" s="1">
        <v>1460</v>
      </c>
      <c r="CZ92" s="1">
        <v>1522</v>
      </c>
      <c r="DA92" s="1">
        <v>1562</v>
      </c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</row>
    <row r="93" spans="1:198" x14ac:dyDescent="0.4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2</v>
      </c>
      <c r="BY93">
        <v>2</v>
      </c>
      <c r="BZ93">
        <v>5</v>
      </c>
      <c r="CA93">
        <v>5</v>
      </c>
      <c r="CB93">
        <v>9</v>
      </c>
      <c r="CC93">
        <v>14</v>
      </c>
      <c r="CD93">
        <v>15</v>
      </c>
      <c r="CE93">
        <v>19</v>
      </c>
      <c r="CF93">
        <v>21</v>
      </c>
      <c r="CG93">
        <v>22</v>
      </c>
      <c r="CH93">
        <v>25</v>
      </c>
      <c r="CI93">
        <v>30</v>
      </c>
      <c r="CJ93">
        <v>33</v>
      </c>
      <c r="CK93">
        <v>38</v>
      </c>
      <c r="CL93">
        <v>43</v>
      </c>
      <c r="CM93">
        <v>44</v>
      </c>
      <c r="CN93">
        <v>46</v>
      </c>
      <c r="CO93">
        <v>48</v>
      </c>
      <c r="CP93">
        <v>63</v>
      </c>
      <c r="CQ93">
        <v>67</v>
      </c>
      <c r="CR93">
        <v>75</v>
      </c>
      <c r="CS93">
        <v>75</v>
      </c>
      <c r="CT93">
        <v>83</v>
      </c>
      <c r="CU93" s="1">
        <v>89</v>
      </c>
      <c r="CV93" s="1">
        <v>97</v>
      </c>
      <c r="CW93" s="1">
        <v>106</v>
      </c>
      <c r="CX93" s="1">
        <v>119</v>
      </c>
      <c r="CY93" s="1">
        <v>124</v>
      </c>
      <c r="CZ93" s="1">
        <v>141</v>
      </c>
      <c r="DA93" s="1">
        <v>154</v>
      </c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</row>
    <row r="94" spans="1:198" x14ac:dyDescent="0.4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1</v>
      </c>
      <c r="BU94">
        <v>1</v>
      </c>
      <c r="BV94">
        <v>1</v>
      </c>
      <c r="BW94">
        <v>1</v>
      </c>
      <c r="BX94">
        <v>1</v>
      </c>
      <c r="BY94">
        <v>1</v>
      </c>
      <c r="BZ94">
        <v>3</v>
      </c>
      <c r="CA94">
        <v>3</v>
      </c>
      <c r="CB94">
        <v>3</v>
      </c>
      <c r="CC94">
        <v>3</v>
      </c>
      <c r="CD94">
        <v>3</v>
      </c>
      <c r="CE94">
        <v>3</v>
      </c>
      <c r="CF94">
        <v>3</v>
      </c>
      <c r="CG94">
        <v>4</v>
      </c>
      <c r="CH94">
        <v>4</v>
      </c>
      <c r="CI94">
        <v>4</v>
      </c>
      <c r="CJ94">
        <v>4</v>
      </c>
      <c r="CK94">
        <v>4</v>
      </c>
      <c r="CL94">
        <v>4</v>
      </c>
      <c r="CM94">
        <v>4</v>
      </c>
      <c r="CN94">
        <v>7</v>
      </c>
      <c r="CO94">
        <v>7</v>
      </c>
      <c r="CP94">
        <v>7</v>
      </c>
      <c r="CQ94">
        <v>7</v>
      </c>
      <c r="CR94">
        <v>7</v>
      </c>
      <c r="CS94">
        <v>7</v>
      </c>
      <c r="CT94">
        <v>8</v>
      </c>
      <c r="CU94" s="1">
        <v>9</v>
      </c>
      <c r="CV94" s="1">
        <v>9</v>
      </c>
      <c r="CW94" s="1">
        <v>9</v>
      </c>
      <c r="CX94" s="1">
        <v>9</v>
      </c>
      <c r="CY94" s="1">
        <v>9</v>
      </c>
      <c r="CZ94" s="1">
        <v>9</v>
      </c>
      <c r="DA94" s="1">
        <v>9</v>
      </c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</row>
    <row r="95" spans="1:198" x14ac:dyDescent="0.4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3</v>
      </c>
      <c r="CM95">
        <v>3</v>
      </c>
      <c r="CN95">
        <v>3</v>
      </c>
      <c r="CO95">
        <v>6</v>
      </c>
      <c r="CP95">
        <v>6</v>
      </c>
      <c r="CQ95">
        <v>6</v>
      </c>
      <c r="CR95">
        <v>11</v>
      </c>
      <c r="CS95">
        <v>13</v>
      </c>
      <c r="CT95">
        <v>13</v>
      </c>
      <c r="CU95" s="1">
        <v>13</v>
      </c>
      <c r="CV95" s="1">
        <v>19</v>
      </c>
      <c r="CW95" s="1">
        <v>19</v>
      </c>
      <c r="CX95" s="1">
        <v>26</v>
      </c>
      <c r="CY95" s="1">
        <v>26</v>
      </c>
      <c r="CZ95" s="1">
        <v>26</v>
      </c>
      <c r="DA95" s="1">
        <v>26</v>
      </c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</row>
    <row r="96" spans="1:198" x14ac:dyDescent="0.4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  <c r="BS96">
        <v>20</v>
      </c>
      <c r="BT96">
        <v>26</v>
      </c>
      <c r="BU96">
        <v>33</v>
      </c>
      <c r="BV96">
        <v>45</v>
      </c>
      <c r="BW96">
        <v>48</v>
      </c>
      <c r="BX96">
        <v>59</v>
      </c>
      <c r="BY96">
        <v>62</v>
      </c>
      <c r="BZ96">
        <v>62</v>
      </c>
      <c r="CA96">
        <v>69</v>
      </c>
      <c r="CB96">
        <v>72</v>
      </c>
      <c r="CC96">
        <v>83</v>
      </c>
      <c r="CD96">
        <v>93</v>
      </c>
      <c r="CE96">
        <v>93</v>
      </c>
      <c r="CF96">
        <v>98</v>
      </c>
      <c r="CG96">
        <v>102</v>
      </c>
      <c r="CH96">
        <v>115</v>
      </c>
      <c r="CI96">
        <v>117</v>
      </c>
      <c r="CJ96">
        <v>133</v>
      </c>
      <c r="CK96">
        <v>145</v>
      </c>
      <c r="CL96">
        <v>162</v>
      </c>
      <c r="CM96">
        <v>164</v>
      </c>
      <c r="CN96">
        <v>165</v>
      </c>
      <c r="CO96">
        <v>169</v>
      </c>
      <c r="CP96">
        <v>184</v>
      </c>
      <c r="CQ96">
        <v>192</v>
      </c>
      <c r="CR96">
        <v>206</v>
      </c>
      <c r="CS96">
        <v>228</v>
      </c>
      <c r="CT96">
        <v>233</v>
      </c>
      <c r="CU96" s="1">
        <v>233</v>
      </c>
      <c r="CV96" s="1">
        <v>240</v>
      </c>
      <c r="CW96" s="1">
        <v>236</v>
      </c>
      <c r="CX96" s="1">
        <v>249</v>
      </c>
      <c r="CY96" s="1">
        <v>253</v>
      </c>
      <c r="CZ96" s="1">
        <v>256</v>
      </c>
      <c r="DA96" s="1">
        <v>259</v>
      </c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</row>
    <row r="97" spans="1:198" x14ac:dyDescent="0.4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4</v>
      </c>
      <c r="CA97">
        <v>4</v>
      </c>
      <c r="CB97">
        <v>7</v>
      </c>
      <c r="CC97">
        <v>7</v>
      </c>
      <c r="CD97">
        <v>7</v>
      </c>
      <c r="CE97">
        <v>7</v>
      </c>
      <c r="CF97">
        <v>7</v>
      </c>
      <c r="CG97">
        <v>7</v>
      </c>
      <c r="CH97">
        <v>8</v>
      </c>
      <c r="CI97">
        <v>8</v>
      </c>
      <c r="CJ97">
        <v>8</v>
      </c>
      <c r="CK97">
        <v>8</v>
      </c>
      <c r="CL97">
        <v>8</v>
      </c>
      <c r="CM97">
        <v>8</v>
      </c>
      <c r="CN97">
        <v>8</v>
      </c>
      <c r="CO97">
        <v>8</v>
      </c>
      <c r="CP97">
        <v>8</v>
      </c>
      <c r="CQ97">
        <v>8</v>
      </c>
      <c r="CR97">
        <v>10</v>
      </c>
      <c r="CS97">
        <v>10</v>
      </c>
      <c r="CT97">
        <v>10</v>
      </c>
      <c r="CU97" s="1">
        <v>10</v>
      </c>
      <c r="CV97" s="1">
        <v>10</v>
      </c>
      <c r="CW97" s="1">
        <v>10</v>
      </c>
      <c r="CX97" s="1">
        <v>12</v>
      </c>
      <c r="CY97" s="1">
        <v>12</v>
      </c>
      <c r="CZ97" s="1">
        <v>12</v>
      </c>
      <c r="DA97" s="1">
        <v>12</v>
      </c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</row>
    <row r="98" spans="1:198" x14ac:dyDescent="0.4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  <c r="BS98">
        <v>4</v>
      </c>
      <c r="BT98">
        <v>2</v>
      </c>
      <c r="BU98">
        <v>2</v>
      </c>
      <c r="BV98">
        <v>3</v>
      </c>
      <c r="BW98">
        <v>3</v>
      </c>
      <c r="BX98">
        <v>4</v>
      </c>
      <c r="BY98">
        <v>4</v>
      </c>
      <c r="BZ98">
        <v>4</v>
      </c>
      <c r="CA98">
        <v>4</v>
      </c>
      <c r="CB98">
        <v>4</v>
      </c>
      <c r="CC98">
        <v>4</v>
      </c>
      <c r="CD98">
        <v>4</v>
      </c>
      <c r="CE98">
        <v>10</v>
      </c>
      <c r="CF98">
        <v>10</v>
      </c>
      <c r="CG98">
        <v>14</v>
      </c>
      <c r="CH98">
        <v>14</v>
      </c>
      <c r="CI98">
        <v>15</v>
      </c>
      <c r="CJ98">
        <v>15</v>
      </c>
      <c r="CK98">
        <v>15</v>
      </c>
      <c r="CL98">
        <v>16</v>
      </c>
      <c r="CM98">
        <v>16</v>
      </c>
      <c r="CN98">
        <v>16</v>
      </c>
      <c r="CO98">
        <v>16</v>
      </c>
      <c r="CP98">
        <v>21</v>
      </c>
      <c r="CQ98">
        <v>21</v>
      </c>
      <c r="CR98">
        <v>25</v>
      </c>
      <c r="CS98">
        <v>29</v>
      </c>
      <c r="CT98">
        <v>41</v>
      </c>
      <c r="CU98" s="1">
        <v>50</v>
      </c>
      <c r="CV98" s="1">
        <v>50</v>
      </c>
      <c r="CW98" s="1">
        <v>58</v>
      </c>
      <c r="CX98" s="1">
        <v>59</v>
      </c>
      <c r="CY98" s="1">
        <v>66</v>
      </c>
      <c r="CZ98" s="1">
        <v>69</v>
      </c>
      <c r="DA98" s="1">
        <v>75</v>
      </c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</row>
    <row r="99" spans="1:198" x14ac:dyDescent="0.4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3</v>
      </c>
      <c r="CO99">
        <v>3</v>
      </c>
      <c r="CP99">
        <v>8</v>
      </c>
      <c r="CQ99">
        <v>8</v>
      </c>
      <c r="CR99">
        <v>10</v>
      </c>
      <c r="CS99">
        <v>10</v>
      </c>
      <c r="CT99">
        <v>12</v>
      </c>
      <c r="CU99" s="1">
        <v>12</v>
      </c>
      <c r="CV99" s="1">
        <v>12</v>
      </c>
      <c r="CW99" s="1">
        <v>12</v>
      </c>
      <c r="CX99" s="1">
        <v>12</v>
      </c>
      <c r="CY99" s="1">
        <v>12</v>
      </c>
      <c r="CZ99" s="1">
        <v>14</v>
      </c>
      <c r="DA99" s="1">
        <v>14</v>
      </c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</row>
    <row r="100" spans="1:198" x14ac:dyDescent="0.4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  <c r="BS100">
        <v>10</v>
      </c>
      <c r="BT100">
        <v>10</v>
      </c>
      <c r="BU100">
        <v>10</v>
      </c>
      <c r="BV100">
        <v>300</v>
      </c>
      <c r="BW100">
        <v>300</v>
      </c>
      <c r="BX100">
        <v>300</v>
      </c>
      <c r="BY100">
        <v>300</v>
      </c>
      <c r="BZ100">
        <v>300</v>
      </c>
      <c r="CA100">
        <v>300</v>
      </c>
      <c r="CB100">
        <v>300</v>
      </c>
      <c r="CC100">
        <v>300</v>
      </c>
      <c r="CD100">
        <v>300</v>
      </c>
      <c r="CE100">
        <v>300</v>
      </c>
      <c r="CF100">
        <v>300</v>
      </c>
      <c r="CG100">
        <v>300</v>
      </c>
      <c r="CH100">
        <v>300</v>
      </c>
      <c r="CI100">
        <v>300</v>
      </c>
      <c r="CJ100">
        <v>1700</v>
      </c>
      <c r="CK100">
        <v>1700</v>
      </c>
      <c r="CL100">
        <v>1700</v>
      </c>
      <c r="CM100">
        <v>1700</v>
      </c>
      <c r="CN100">
        <v>2000</v>
      </c>
      <c r="CO100">
        <v>2000</v>
      </c>
      <c r="CP100">
        <v>2000</v>
      </c>
      <c r="CQ100">
        <v>2000</v>
      </c>
      <c r="CR100">
        <v>2500</v>
      </c>
      <c r="CS100">
        <v>2500</v>
      </c>
      <c r="CT100">
        <v>2500</v>
      </c>
      <c r="CU100" s="1">
        <v>2500</v>
      </c>
      <c r="CV100" s="1">
        <v>2800</v>
      </c>
      <c r="CW100" s="1">
        <v>2800</v>
      </c>
      <c r="CX100" s="1">
        <v>3000</v>
      </c>
      <c r="CY100" s="1">
        <v>3000</v>
      </c>
      <c r="CZ100" s="1">
        <v>3000</v>
      </c>
      <c r="DA100" s="1">
        <v>3000</v>
      </c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</row>
    <row r="101" spans="1:198" x14ac:dyDescent="0.4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  <c r="BS101">
        <v>6</v>
      </c>
      <c r="BT101">
        <v>6</v>
      </c>
      <c r="BU101">
        <v>15</v>
      </c>
      <c r="BV101">
        <v>15</v>
      </c>
      <c r="BW101">
        <v>22</v>
      </c>
      <c r="BX101">
        <v>22</v>
      </c>
      <c r="BY101">
        <v>22</v>
      </c>
      <c r="BZ101">
        <v>34</v>
      </c>
      <c r="CA101">
        <v>34</v>
      </c>
      <c r="CB101">
        <v>34</v>
      </c>
      <c r="CC101">
        <v>43</v>
      </c>
      <c r="CD101">
        <v>43</v>
      </c>
      <c r="CE101">
        <v>43</v>
      </c>
      <c r="CF101">
        <v>51</v>
      </c>
      <c r="CG101">
        <v>51</v>
      </c>
      <c r="CH101">
        <v>51</v>
      </c>
      <c r="CI101">
        <v>51</v>
      </c>
      <c r="CJ101">
        <v>51</v>
      </c>
      <c r="CK101">
        <v>61</v>
      </c>
      <c r="CL101">
        <v>64</v>
      </c>
      <c r="CM101">
        <v>64</v>
      </c>
      <c r="CN101">
        <v>69</v>
      </c>
      <c r="CO101">
        <v>76</v>
      </c>
      <c r="CP101">
        <v>83</v>
      </c>
      <c r="CQ101">
        <v>84</v>
      </c>
      <c r="CR101">
        <v>87</v>
      </c>
      <c r="CS101">
        <v>87</v>
      </c>
      <c r="CT101">
        <v>87</v>
      </c>
      <c r="CU101" s="1">
        <v>87</v>
      </c>
      <c r="CV101" s="1">
        <v>93</v>
      </c>
      <c r="CW101" s="1">
        <v>93</v>
      </c>
      <c r="CX101" s="1">
        <v>94</v>
      </c>
      <c r="CY101" s="1">
        <v>98</v>
      </c>
      <c r="CZ101" s="1">
        <v>98</v>
      </c>
      <c r="DA101" s="1">
        <v>98</v>
      </c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</row>
    <row r="102" spans="1:198" x14ac:dyDescent="0.4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2</v>
      </c>
      <c r="CM102">
        <v>2</v>
      </c>
      <c r="CN102">
        <v>19</v>
      </c>
      <c r="CO102">
        <v>19</v>
      </c>
      <c r="CP102">
        <v>35</v>
      </c>
      <c r="CQ102">
        <v>36</v>
      </c>
      <c r="CR102">
        <v>41</v>
      </c>
      <c r="CS102">
        <v>41</v>
      </c>
      <c r="CT102">
        <v>41</v>
      </c>
      <c r="CU102" s="1">
        <v>43</v>
      </c>
      <c r="CV102" s="1">
        <v>49</v>
      </c>
      <c r="CW102" s="1">
        <v>50</v>
      </c>
      <c r="CX102" s="1">
        <v>50</v>
      </c>
      <c r="CY102" s="1">
        <v>51</v>
      </c>
      <c r="CZ102" s="1">
        <v>51</v>
      </c>
      <c r="DA102" s="1">
        <v>51</v>
      </c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</row>
    <row r="103" spans="1:198" x14ac:dyDescent="0.4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  <c r="BS103">
        <v>17</v>
      </c>
      <c r="BT103">
        <v>22</v>
      </c>
      <c r="BU103">
        <v>24</v>
      </c>
      <c r="BV103">
        <v>24</v>
      </c>
      <c r="BW103">
        <v>24</v>
      </c>
      <c r="BX103">
        <v>24</v>
      </c>
      <c r="BY103">
        <v>31</v>
      </c>
      <c r="BZ103">
        <v>31</v>
      </c>
      <c r="CA103">
        <v>31</v>
      </c>
      <c r="CB103">
        <v>43</v>
      </c>
      <c r="CC103">
        <v>43</v>
      </c>
      <c r="CD103">
        <v>67</v>
      </c>
      <c r="CE103">
        <v>67</v>
      </c>
      <c r="CF103">
        <v>67</v>
      </c>
      <c r="CG103">
        <v>67</v>
      </c>
      <c r="CH103">
        <v>67</v>
      </c>
      <c r="CI103">
        <v>67</v>
      </c>
      <c r="CJ103">
        <v>67</v>
      </c>
      <c r="CK103">
        <v>67</v>
      </c>
      <c r="CL103">
        <v>73</v>
      </c>
      <c r="CM103">
        <v>73</v>
      </c>
      <c r="CN103">
        <v>73</v>
      </c>
      <c r="CO103">
        <v>73</v>
      </c>
      <c r="CP103">
        <v>73</v>
      </c>
      <c r="CQ103">
        <v>76</v>
      </c>
      <c r="CR103">
        <v>82</v>
      </c>
      <c r="CS103">
        <v>82</v>
      </c>
      <c r="CT103">
        <v>82</v>
      </c>
      <c r="CU103" s="1">
        <v>82</v>
      </c>
      <c r="CV103" s="1">
        <v>82</v>
      </c>
      <c r="CW103" s="1">
        <v>82</v>
      </c>
      <c r="CX103" s="1">
        <v>95</v>
      </c>
      <c r="CY103" s="1">
        <v>95</v>
      </c>
      <c r="CZ103" s="1">
        <v>95</v>
      </c>
      <c r="DA103" s="1">
        <v>95</v>
      </c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</row>
    <row r="104" spans="1:198" x14ac:dyDescent="0.4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27</v>
      </c>
      <c r="BU104">
        <v>27</v>
      </c>
      <c r="BV104">
        <v>27</v>
      </c>
      <c r="BW104">
        <v>27</v>
      </c>
      <c r="BX104">
        <v>27</v>
      </c>
      <c r="BY104">
        <v>50</v>
      </c>
      <c r="BZ104">
        <v>50</v>
      </c>
      <c r="CA104">
        <v>50</v>
      </c>
      <c r="CB104">
        <v>50</v>
      </c>
      <c r="CC104">
        <v>50</v>
      </c>
      <c r="CD104">
        <v>50</v>
      </c>
      <c r="CE104">
        <v>50</v>
      </c>
      <c r="CF104">
        <v>50</v>
      </c>
      <c r="CG104">
        <v>50</v>
      </c>
      <c r="CH104">
        <v>50</v>
      </c>
      <c r="CI104">
        <v>73</v>
      </c>
      <c r="CJ104">
        <v>73</v>
      </c>
      <c r="CK104">
        <v>73</v>
      </c>
      <c r="CL104">
        <v>73</v>
      </c>
      <c r="CM104">
        <v>73</v>
      </c>
      <c r="CN104">
        <v>73</v>
      </c>
      <c r="CO104">
        <v>73</v>
      </c>
      <c r="CP104">
        <v>73</v>
      </c>
      <c r="CQ104">
        <v>73</v>
      </c>
      <c r="CR104">
        <v>77</v>
      </c>
      <c r="CS104">
        <v>77</v>
      </c>
      <c r="CT104">
        <v>77</v>
      </c>
      <c r="CU104" s="1">
        <v>77</v>
      </c>
      <c r="CV104" s="1">
        <v>83</v>
      </c>
      <c r="CW104" s="1">
        <v>83</v>
      </c>
      <c r="CX104" s="1">
        <v>83</v>
      </c>
      <c r="CY104" s="1">
        <v>83</v>
      </c>
      <c r="CZ104" s="1">
        <v>83</v>
      </c>
      <c r="DA104" s="1">
        <v>83</v>
      </c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</row>
    <row r="105" spans="1:198" x14ac:dyDescent="0.4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10</v>
      </c>
      <c r="BT105">
        <v>10</v>
      </c>
      <c r="BU105">
        <v>10</v>
      </c>
      <c r="BV105">
        <v>10</v>
      </c>
      <c r="BW105">
        <v>10</v>
      </c>
      <c r="BX105">
        <v>14</v>
      </c>
      <c r="BY105">
        <v>14</v>
      </c>
      <c r="BZ105">
        <v>14</v>
      </c>
      <c r="CA105">
        <v>22</v>
      </c>
      <c r="CB105">
        <v>22</v>
      </c>
      <c r="CC105">
        <v>22</v>
      </c>
      <c r="CD105">
        <v>50</v>
      </c>
      <c r="CE105">
        <v>59</v>
      </c>
      <c r="CF105">
        <v>59</v>
      </c>
      <c r="CG105">
        <v>59</v>
      </c>
      <c r="CH105">
        <v>69</v>
      </c>
      <c r="CI105">
        <v>69</v>
      </c>
      <c r="CJ105">
        <v>69</v>
      </c>
      <c r="CK105">
        <v>117</v>
      </c>
      <c r="CL105">
        <v>117</v>
      </c>
      <c r="CM105">
        <v>117</v>
      </c>
      <c r="CN105">
        <v>117</v>
      </c>
      <c r="CO105">
        <v>117</v>
      </c>
      <c r="CP105">
        <v>125</v>
      </c>
      <c r="CQ105">
        <v>125</v>
      </c>
      <c r="CR105">
        <v>144</v>
      </c>
      <c r="CS105">
        <v>144</v>
      </c>
      <c r="CT105">
        <v>144</v>
      </c>
      <c r="CU105" s="1">
        <v>144</v>
      </c>
      <c r="CV105" s="1">
        <v>235</v>
      </c>
      <c r="CW105" s="1">
        <v>235</v>
      </c>
      <c r="CX105" s="1">
        <v>235</v>
      </c>
      <c r="CY105" s="1">
        <v>235</v>
      </c>
      <c r="CZ105" s="1">
        <v>235</v>
      </c>
      <c r="DA105" s="1">
        <v>235</v>
      </c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</row>
    <row r="106" spans="1:198" x14ac:dyDescent="0.4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1</v>
      </c>
      <c r="BW106">
        <v>1</v>
      </c>
      <c r="BX106">
        <v>1</v>
      </c>
      <c r="BY106">
        <v>1</v>
      </c>
      <c r="BZ106">
        <v>1</v>
      </c>
      <c r="CA106">
        <v>1</v>
      </c>
      <c r="CB106">
        <v>1</v>
      </c>
      <c r="CC106">
        <v>1</v>
      </c>
      <c r="CD106">
        <v>1</v>
      </c>
      <c r="CE106">
        <v>1</v>
      </c>
      <c r="CF106">
        <v>1</v>
      </c>
      <c r="CG106">
        <v>1</v>
      </c>
      <c r="CH106">
        <v>1</v>
      </c>
      <c r="CI106">
        <v>1</v>
      </c>
      <c r="CJ106">
        <v>1</v>
      </c>
      <c r="CK106">
        <v>14</v>
      </c>
      <c r="CL106">
        <v>14</v>
      </c>
      <c r="CM106">
        <v>15</v>
      </c>
      <c r="CN106">
        <v>15</v>
      </c>
      <c r="CO106">
        <v>17</v>
      </c>
      <c r="CP106">
        <v>17</v>
      </c>
      <c r="CQ106">
        <v>17</v>
      </c>
      <c r="CR106">
        <v>17</v>
      </c>
      <c r="CS106">
        <v>17</v>
      </c>
      <c r="CT106">
        <v>17</v>
      </c>
      <c r="CU106" s="1">
        <v>17</v>
      </c>
      <c r="CV106" s="1">
        <v>17</v>
      </c>
      <c r="CW106" s="1">
        <v>17</v>
      </c>
      <c r="CX106" s="1">
        <v>17</v>
      </c>
      <c r="CY106" s="1">
        <v>17</v>
      </c>
      <c r="CZ106" s="1">
        <v>17</v>
      </c>
      <c r="DA106" s="1">
        <v>17</v>
      </c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</row>
    <row r="107" spans="1:198" x14ac:dyDescent="0.4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U107">
        <v>40</v>
      </c>
      <c r="BV107">
        <v>40</v>
      </c>
      <c r="BW107">
        <v>40</v>
      </c>
      <c r="BX107">
        <v>40</v>
      </c>
      <c r="BY107">
        <v>40</v>
      </c>
      <c r="BZ107">
        <v>40</v>
      </c>
      <c r="CA107">
        <v>40</v>
      </c>
      <c r="CB107">
        <v>40</v>
      </c>
      <c r="CC107">
        <v>40</v>
      </c>
      <c r="CD107">
        <v>40</v>
      </c>
      <c r="CE107">
        <v>40</v>
      </c>
      <c r="CF107">
        <v>40</v>
      </c>
      <c r="CG107">
        <v>40</v>
      </c>
      <c r="CH107">
        <v>40</v>
      </c>
      <c r="CI107">
        <v>237</v>
      </c>
      <c r="CJ107">
        <v>237</v>
      </c>
      <c r="CK107">
        <v>237</v>
      </c>
      <c r="CL107">
        <v>237</v>
      </c>
      <c r="CM107">
        <v>237</v>
      </c>
      <c r="CN107">
        <v>237</v>
      </c>
      <c r="CO107">
        <v>238</v>
      </c>
      <c r="CP107">
        <v>238</v>
      </c>
      <c r="CQ107">
        <v>238</v>
      </c>
      <c r="CR107">
        <v>300</v>
      </c>
      <c r="CS107">
        <v>300</v>
      </c>
      <c r="CT107">
        <v>300</v>
      </c>
      <c r="CU107" s="1">
        <v>300</v>
      </c>
      <c r="CV107" s="1">
        <v>300</v>
      </c>
      <c r="CW107" s="1">
        <v>300</v>
      </c>
      <c r="CX107" s="1">
        <v>300</v>
      </c>
      <c r="CY107" s="1">
        <v>300</v>
      </c>
      <c r="CZ107" s="1">
        <v>300</v>
      </c>
      <c r="DA107" s="1">
        <v>300</v>
      </c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</row>
    <row r="108" spans="1:198" x14ac:dyDescent="0.4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1</v>
      </c>
      <c r="BT108">
        <v>1</v>
      </c>
      <c r="BU108">
        <v>1</v>
      </c>
      <c r="BV108">
        <v>1</v>
      </c>
      <c r="BW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4</v>
      </c>
      <c r="CG108">
        <v>4</v>
      </c>
      <c r="CH108">
        <v>4</v>
      </c>
      <c r="CI108">
        <v>4</v>
      </c>
      <c r="CJ108">
        <v>4</v>
      </c>
      <c r="CK108">
        <v>4</v>
      </c>
      <c r="CL108">
        <v>5</v>
      </c>
      <c r="CM108">
        <v>5</v>
      </c>
      <c r="CN108">
        <v>5</v>
      </c>
      <c r="CO108">
        <v>6</v>
      </c>
      <c r="CP108">
        <v>6</v>
      </c>
      <c r="CQ108">
        <v>6</v>
      </c>
      <c r="CR108">
        <v>6</v>
      </c>
      <c r="CS108">
        <v>6</v>
      </c>
      <c r="CT108">
        <v>6</v>
      </c>
      <c r="CU108" s="1">
        <v>6</v>
      </c>
      <c r="CV108" s="1">
        <v>6</v>
      </c>
      <c r="CW108" s="1">
        <v>6</v>
      </c>
      <c r="CX108" s="1">
        <v>6</v>
      </c>
      <c r="CY108" s="1">
        <v>6</v>
      </c>
      <c r="CZ108" s="1">
        <v>6</v>
      </c>
      <c r="DA108" s="1">
        <v>6</v>
      </c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</row>
    <row r="109" spans="1:198" x14ac:dyDescent="0.4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2</v>
      </c>
      <c r="BT109">
        <v>2</v>
      </c>
      <c r="BU109">
        <v>2</v>
      </c>
      <c r="BV109">
        <v>2</v>
      </c>
      <c r="BW109">
        <v>2</v>
      </c>
      <c r="BX109">
        <v>5</v>
      </c>
      <c r="BY109">
        <v>7</v>
      </c>
      <c r="BZ109">
        <v>7</v>
      </c>
      <c r="CA109">
        <v>7</v>
      </c>
      <c r="CB109">
        <v>7</v>
      </c>
      <c r="CC109">
        <v>7</v>
      </c>
      <c r="CD109">
        <v>11</v>
      </c>
      <c r="CE109">
        <v>11</v>
      </c>
      <c r="CF109">
        <v>11</v>
      </c>
      <c r="CG109">
        <v>11</v>
      </c>
      <c r="CH109">
        <v>11</v>
      </c>
      <c r="CI109">
        <v>13</v>
      </c>
      <c r="CJ109">
        <v>13</v>
      </c>
      <c r="CK109">
        <v>13</v>
      </c>
      <c r="CL109">
        <v>19</v>
      </c>
      <c r="CM109">
        <v>19</v>
      </c>
      <c r="CN109">
        <v>19</v>
      </c>
      <c r="CO109">
        <v>19</v>
      </c>
      <c r="CP109">
        <v>19</v>
      </c>
      <c r="CQ109">
        <v>19</v>
      </c>
      <c r="CR109">
        <v>24</v>
      </c>
      <c r="CS109">
        <v>24</v>
      </c>
      <c r="CT109">
        <v>24</v>
      </c>
      <c r="CU109" s="1">
        <v>24</v>
      </c>
      <c r="CV109" s="1">
        <v>24</v>
      </c>
      <c r="CW109" s="1">
        <v>24</v>
      </c>
      <c r="CX109" s="1">
        <v>24</v>
      </c>
      <c r="CY109" s="1">
        <v>27</v>
      </c>
      <c r="CZ109" s="1">
        <v>27</v>
      </c>
      <c r="DA109" s="1">
        <v>27</v>
      </c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</row>
    <row r="110" spans="1:198" x14ac:dyDescent="0.4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  <c r="BS110">
        <v>7927</v>
      </c>
      <c r="BT110">
        <v>9444</v>
      </c>
      <c r="BU110">
        <v>10934</v>
      </c>
      <c r="BV110">
        <v>12428</v>
      </c>
      <c r="BW110">
        <v>14008</v>
      </c>
      <c r="BX110">
        <v>15438</v>
      </c>
      <c r="BY110">
        <v>16183</v>
      </c>
      <c r="BZ110">
        <v>17250</v>
      </c>
      <c r="CA110">
        <v>19337</v>
      </c>
      <c r="CB110">
        <v>21254</v>
      </c>
      <c r="CC110">
        <v>23206</v>
      </c>
      <c r="CD110">
        <v>24932</v>
      </c>
      <c r="CE110">
        <v>26391</v>
      </c>
      <c r="CF110">
        <v>27186</v>
      </c>
      <c r="CG110">
        <v>27718</v>
      </c>
      <c r="CH110">
        <v>28512</v>
      </c>
      <c r="CI110">
        <v>30440</v>
      </c>
      <c r="CJ110">
        <v>32297</v>
      </c>
      <c r="CK110">
        <v>33834</v>
      </c>
      <c r="CL110">
        <v>35379</v>
      </c>
      <c r="CM110">
        <v>35973</v>
      </c>
      <c r="CN110">
        <v>36782</v>
      </c>
      <c r="CO110">
        <v>38543</v>
      </c>
      <c r="CP110">
        <v>39988</v>
      </c>
      <c r="CQ110">
        <v>41414</v>
      </c>
      <c r="CR110">
        <v>42715</v>
      </c>
      <c r="CS110">
        <v>43816</v>
      </c>
      <c r="CT110">
        <v>44125</v>
      </c>
      <c r="CU110" s="1">
        <v>44733</v>
      </c>
      <c r="CV110" s="1">
        <v>45997</v>
      </c>
      <c r="CW110" s="1">
        <v>47338</v>
      </c>
      <c r="CX110" s="1">
        <v>48572</v>
      </c>
      <c r="CY110" s="1">
        <v>49300</v>
      </c>
      <c r="CZ110" s="1">
        <v>49751</v>
      </c>
      <c r="DA110" s="1">
        <v>49973</v>
      </c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</row>
    <row r="111" spans="1:198" x14ac:dyDescent="0.4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1</v>
      </c>
      <c r="BX111">
        <v>1</v>
      </c>
      <c r="BY111">
        <v>1</v>
      </c>
      <c r="BZ111">
        <v>1</v>
      </c>
      <c r="CA111">
        <v>1</v>
      </c>
      <c r="CB111">
        <v>1</v>
      </c>
      <c r="CC111">
        <v>1</v>
      </c>
      <c r="CD111">
        <v>1</v>
      </c>
      <c r="CE111">
        <v>1</v>
      </c>
      <c r="CF111">
        <v>1</v>
      </c>
      <c r="CG111">
        <v>1</v>
      </c>
      <c r="CH111">
        <v>1</v>
      </c>
      <c r="CI111">
        <v>4</v>
      </c>
      <c r="CJ111">
        <v>4</v>
      </c>
      <c r="CK111">
        <v>7</v>
      </c>
      <c r="CL111">
        <v>7</v>
      </c>
      <c r="CM111">
        <v>7</v>
      </c>
      <c r="CN111">
        <v>7</v>
      </c>
      <c r="CO111">
        <v>16</v>
      </c>
      <c r="CP111">
        <v>24</v>
      </c>
      <c r="CQ111">
        <v>24</v>
      </c>
      <c r="CR111">
        <v>26</v>
      </c>
      <c r="CS111">
        <v>30</v>
      </c>
      <c r="CT111">
        <v>30</v>
      </c>
      <c r="CU111" s="1">
        <v>43</v>
      </c>
      <c r="CV111" s="1">
        <v>53</v>
      </c>
      <c r="CW111" s="1">
        <v>67</v>
      </c>
      <c r="CX111" s="1">
        <v>67</v>
      </c>
      <c r="CY111" s="1">
        <v>67</v>
      </c>
      <c r="CZ111" s="1">
        <v>85</v>
      </c>
      <c r="DA111" s="1">
        <v>85</v>
      </c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</row>
    <row r="112" spans="1:198" x14ac:dyDescent="0.45">
      <c r="A112" s="1" t="s">
        <v>2</v>
      </c>
      <c r="B112" s="1" t="s">
        <v>247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2</v>
      </c>
      <c r="BV112">
        <v>2</v>
      </c>
      <c r="BW112">
        <v>2</v>
      </c>
      <c r="BX112">
        <v>2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2</v>
      </c>
      <c r="CH112">
        <v>2</v>
      </c>
      <c r="CI112">
        <v>2</v>
      </c>
      <c r="CJ112">
        <v>2</v>
      </c>
      <c r="CK112">
        <v>2</v>
      </c>
      <c r="CL112">
        <v>2</v>
      </c>
      <c r="CM112">
        <v>2</v>
      </c>
      <c r="CN112">
        <v>2</v>
      </c>
      <c r="CO112">
        <v>2</v>
      </c>
      <c r="CP112">
        <v>2</v>
      </c>
      <c r="CQ112">
        <v>2</v>
      </c>
      <c r="CR112">
        <v>2</v>
      </c>
      <c r="CS112">
        <v>8</v>
      </c>
      <c r="CT112">
        <v>8</v>
      </c>
      <c r="CU112" s="1">
        <v>8</v>
      </c>
      <c r="CV112" s="1">
        <v>8</v>
      </c>
      <c r="CW112" s="1">
        <v>8</v>
      </c>
      <c r="CX112" s="1">
        <v>8</v>
      </c>
      <c r="CY112" s="1">
        <v>8</v>
      </c>
      <c r="CZ112" s="1">
        <v>9</v>
      </c>
      <c r="DA112" s="1">
        <v>9</v>
      </c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</row>
    <row r="113" spans="1:198" x14ac:dyDescent="0.4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  <c r="BS113">
        <v>20</v>
      </c>
      <c r="BT113">
        <v>21</v>
      </c>
      <c r="BU113">
        <v>23</v>
      </c>
      <c r="BV113">
        <v>26</v>
      </c>
      <c r="BW113">
        <v>28</v>
      </c>
      <c r="BX113">
        <v>36</v>
      </c>
      <c r="BY113">
        <v>36</v>
      </c>
      <c r="BZ113">
        <v>39</v>
      </c>
      <c r="CA113">
        <v>46</v>
      </c>
      <c r="CB113">
        <v>50</v>
      </c>
      <c r="CC113">
        <v>51</v>
      </c>
      <c r="CD113">
        <v>54</v>
      </c>
      <c r="CE113">
        <v>60</v>
      </c>
      <c r="CF113">
        <v>67</v>
      </c>
      <c r="CG113">
        <v>68</v>
      </c>
      <c r="CH113">
        <v>69</v>
      </c>
      <c r="CI113">
        <v>71</v>
      </c>
      <c r="CJ113">
        <v>76</v>
      </c>
      <c r="CK113">
        <v>79</v>
      </c>
      <c r="CL113">
        <v>86</v>
      </c>
      <c r="CM113">
        <v>93</v>
      </c>
      <c r="CN113">
        <v>95</v>
      </c>
      <c r="CO113">
        <v>97</v>
      </c>
      <c r="CP113">
        <v>107</v>
      </c>
      <c r="CQ113">
        <v>111</v>
      </c>
      <c r="CR113">
        <v>132</v>
      </c>
      <c r="CS113">
        <v>139</v>
      </c>
      <c r="CT113">
        <v>149</v>
      </c>
      <c r="CU113" s="1">
        <v>156</v>
      </c>
      <c r="CV113" s="1">
        <v>168</v>
      </c>
      <c r="CW113" s="1">
        <v>178</v>
      </c>
      <c r="CX113" s="1">
        <v>184</v>
      </c>
      <c r="CY113" s="1">
        <v>207</v>
      </c>
      <c r="CZ113" s="1">
        <v>207</v>
      </c>
      <c r="DA113" s="1">
        <v>223</v>
      </c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</row>
    <row r="114" spans="1:198" x14ac:dyDescent="0.4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  <c r="BS114">
        <v>13500</v>
      </c>
      <c r="BT114">
        <v>16100</v>
      </c>
      <c r="BU114">
        <v>18700</v>
      </c>
      <c r="BV114">
        <v>22440</v>
      </c>
      <c r="BW114">
        <v>24575</v>
      </c>
      <c r="BX114">
        <v>26400</v>
      </c>
      <c r="BY114">
        <v>28700</v>
      </c>
      <c r="BZ114">
        <v>28700</v>
      </c>
      <c r="CA114">
        <v>36081</v>
      </c>
      <c r="CB114">
        <v>46300</v>
      </c>
      <c r="CC114">
        <v>52407</v>
      </c>
      <c r="CD114">
        <v>53913</v>
      </c>
      <c r="CE114">
        <v>57400</v>
      </c>
      <c r="CF114">
        <v>60300</v>
      </c>
      <c r="CG114">
        <v>64300</v>
      </c>
      <c r="CH114">
        <v>68200</v>
      </c>
      <c r="CI114">
        <v>72600</v>
      </c>
      <c r="CJ114">
        <v>77000</v>
      </c>
      <c r="CK114">
        <v>83114</v>
      </c>
      <c r="CL114">
        <v>85400</v>
      </c>
      <c r="CM114">
        <v>88000</v>
      </c>
      <c r="CN114">
        <v>91500</v>
      </c>
      <c r="CO114">
        <v>95200</v>
      </c>
      <c r="CP114">
        <v>99400</v>
      </c>
      <c r="CQ114">
        <v>103300</v>
      </c>
      <c r="CR114">
        <v>109800</v>
      </c>
      <c r="CS114">
        <v>109800</v>
      </c>
      <c r="CT114">
        <v>112000</v>
      </c>
      <c r="CU114" s="1">
        <v>114500</v>
      </c>
      <c r="CV114" s="1">
        <v>117400</v>
      </c>
      <c r="CW114" s="1">
        <v>120400</v>
      </c>
      <c r="CX114" s="1">
        <v>123500</v>
      </c>
      <c r="CY114" s="1">
        <v>126900</v>
      </c>
      <c r="CZ114" s="1">
        <v>129000</v>
      </c>
      <c r="DA114" s="1">
        <v>130600</v>
      </c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</row>
    <row r="115" spans="1:198" x14ac:dyDescent="0.4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  <c r="BS115">
        <v>2</v>
      </c>
      <c r="BT115">
        <v>31</v>
      </c>
      <c r="BU115">
        <v>31</v>
      </c>
      <c r="BV115">
        <v>31</v>
      </c>
      <c r="BW115">
        <v>31</v>
      </c>
      <c r="BX115">
        <v>31</v>
      </c>
      <c r="BY115">
        <v>31</v>
      </c>
      <c r="BZ115">
        <v>31</v>
      </c>
      <c r="CA115">
        <v>31</v>
      </c>
      <c r="CB115">
        <v>34</v>
      </c>
      <c r="CC115">
        <v>3</v>
      </c>
      <c r="CD115">
        <v>4</v>
      </c>
      <c r="CE115">
        <v>4</v>
      </c>
      <c r="CF115">
        <v>4</v>
      </c>
      <c r="CG115">
        <v>4</v>
      </c>
      <c r="CH115">
        <v>17</v>
      </c>
      <c r="CI115">
        <v>17</v>
      </c>
      <c r="CJ115">
        <v>83</v>
      </c>
      <c r="CK115">
        <v>83</v>
      </c>
      <c r="CL115">
        <v>99</v>
      </c>
      <c r="CM115">
        <v>99</v>
      </c>
      <c r="CN115">
        <v>99</v>
      </c>
      <c r="CO115">
        <v>99</v>
      </c>
      <c r="CP115">
        <v>99</v>
      </c>
      <c r="CQ115">
        <v>99</v>
      </c>
      <c r="CR115">
        <v>134</v>
      </c>
      <c r="CS115">
        <v>134</v>
      </c>
      <c r="CT115">
        <v>155</v>
      </c>
      <c r="CU115" s="1">
        <v>155</v>
      </c>
      <c r="CV115" s="1">
        <v>188</v>
      </c>
      <c r="CW115" s="1">
        <v>188</v>
      </c>
      <c r="CX115" s="1">
        <v>212</v>
      </c>
      <c r="CY115" s="1">
        <v>212</v>
      </c>
      <c r="CZ115" s="1">
        <v>229</v>
      </c>
      <c r="DA115" s="1">
        <v>229</v>
      </c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</row>
    <row r="116" spans="1:198" x14ac:dyDescent="0.4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6</v>
      </c>
      <c r="CL116">
        <v>6</v>
      </c>
      <c r="CM116">
        <v>6</v>
      </c>
      <c r="CN116">
        <v>6</v>
      </c>
      <c r="CO116">
        <v>6</v>
      </c>
      <c r="CP116">
        <v>6</v>
      </c>
      <c r="CQ116">
        <v>6</v>
      </c>
      <c r="CR116">
        <v>7</v>
      </c>
      <c r="CS116">
        <v>7</v>
      </c>
      <c r="CT116">
        <v>7</v>
      </c>
      <c r="CU116" s="1">
        <v>7</v>
      </c>
      <c r="CV116" s="1">
        <v>10</v>
      </c>
      <c r="CW116" s="1">
        <v>13</v>
      </c>
      <c r="CX116" s="1">
        <v>13</v>
      </c>
      <c r="CY116" s="1">
        <v>13</v>
      </c>
      <c r="CZ116" s="1">
        <v>13</v>
      </c>
      <c r="DA116" s="1">
        <v>13</v>
      </c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</row>
    <row r="117" spans="1:198" x14ac:dyDescent="0.4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  <c r="BS117">
        <v>52</v>
      </c>
      <c r="BT117">
        <v>52</v>
      </c>
      <c r="BU117">
        <v>52</v>
      </c>
      <c r="BV117">
        <v>61</v>
      </c>
      <c r="BW117">
        <v>78</v>
      </c>
      <c r="BX117">
        <v>78</v>
      </c>
      <c r="BY117">
        <v>78</v>
      </c>
      <c r="BZ117">
        <v>269</v>
      </c>
      <c r="CA117">
        <v>269</v>
      </c>
      <c r="CB117">
        <v>269</v>
      </c>
      <c r="CC117">
        <v>269</v>
      </c>
      <c r="CD117">
        <v>269</v>
      </c>
      <c r="CE117">
        <v>269</v>
      </c>
      <c r="CF117">
        <v>269</v>
      </c>
      <c r="CG117">
        <v>269</v>
      </c>
      <c r="CH117">
        <v>269</v>
      </c>
      <c r="CI117">
        <v>269</v>
      </c>
      <c r="CJ117">
        <v>269</v>
      </c>
      <c r="CK117">
        <v>269</v>
      </c>
      <c r="CL117">
        <v>269</v>
      </c>
      <c r="CM117">
        <v>269</v>
      </c>
      <c r="CN117">
        <v>269</v>
      </c>
      <c r="CO117">
        <v>577</v>
      </c>
      <c r="CP117">
        <v>577</v>
      </c>
      <c r="CQ117">
        <v>577</v>
      </c>
      <c r="CR117">
        <v>577</v>
      </c>
      <c r="CS117">
        <v>577</v>
      </c>
      <c r="CT117">
        <v>577</v>
      </c>
      <c r="CU117" s="1">
        <v>577</v>
      </c>
      <c r="CV117" s="1">
        <v>577</v>
      </c>
      <c r="CW117" s="1">
        <v>577</v>
      </c>
      <c r="CX117" s="1">
        <v>1374</v>
      </c>
      <c r="CY117" s="1">
        <v>1374</v>
      </c>
      <c r="CZ117" s="1">
        <v>1374</v>
      </c>
      <c r="DA117" s="1">
        <v>1374</v>
      </c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</row>
    <row r="118" spans="1:198" x14ac:dyDescent="0.4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  <c r="BS118">
        <v>10</v>
      </c>
      <c r="BT118">
        <v>12</v>
      </c>
      <c r="BU118">
        <v>12</v>
      </c>
      <c r="BV118">
        <v>12</v>
      </c>
      <c r="BW118">
        <v>12</v>
      </c>
      <c r="BX118">
        <v>15</v>
      </c>
      <c r="BY118">
        <v>15</v>
      </c>
      <c r="BZ118">
        <v>15</v>
      </c>
      <c r="CA118">
        <v>17</v>
      </c>
      <c r="CB118">
        <v>17</v>
      </c>
      <c r="CC118">
        <v>17</v>
      </c>
      <c r="CD118">
        <v>17</v>
      </c>
      <c r="CE118">
        <v>19</v>
      </c>
      <c r="CF118">
        <v>19</v>
      </c>
      <c r="CG118">
        <v>19</v>
      </c>
      <c r="CH118">
        <v>19</v>
      </c>
      <c r="CI118">
        <v>19</v>
      </c>
      <c r="CJ118">
        <v>19</v>
      </c>
      <c r="CK118">
        <v>21</v>
      </c>
      <c r="CL118">
        <v>21</v>
      </c>
      <c r="CM118">
        <v>21</v>
      </c>
      <c r="CN118">
        <v>21</v>
      </c>
      <c r="CO118">
        <v>24</v>
      </c>
      <c r="CP118">
        <v>24</v>
      </c>
      <c r="CQ118">
        <v>30</v>
      </c>
      <c r="CR118">
        <v>30</v>
      </c>
      <c r="CS118">
        <v>45</v>
      </c>
      <c r="CT118">
        <v>49</v>
      </c>
      <c r="CU118" s="1">
        <v>49</v>
      </c>
      <c r="CV118" s="1">
        <v>49</v>
      </c>
      <c r="CW118" s="1">
        <v>62</v>
      </c>
      <c r="CX118" s="1">
        <v>66</v>
      </c>
      <c r="CY118" s="1">
        <v>72</v>
      </c>
      <c r="CZ118" s="1">
        <v>72</v>
      </c>
      <c r="DA118" s="1">
        <v>72</v>
      </c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</row>
    <row r="119" spans="1:198" x14ac:dyDescent="0.4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2</v>
      </c>
      <c r="BX119">
        <v>5</v>
      </c>
      <c r="BY119">
        <v>5</v>
      </c>
      <c r="BZ119">
        <v>5</v>
      </c>
      <c r="CA119">
        <v>5</v>
      </c>
      <c r="CB119">
        <v>5</v>
      </c>
      <c r="CC119">
        <v>11</v>
      </c>
      <c r="CD119">
        <v>15</v>
      </c>
      <c r="CE119">
        <v>17</v>
      </c>
      <c r="CF119">
        <v>17</v>
      </c>
      <c r="CG119">
        <v>17</v>
      </c>
      <c r="CH119">
        <v>31</v>
      </c>
      <c r="CI119">
        <v>31</v>
      </c>
      <c r="CJ119">
        <v>49</v>
      </c>
      <c r="CK119">
        <v>59</v>
      </c>
      <c r="CL119">
        <v>65</v>
      </c>
      <c r="CM119">
        <v>87</v>
      </c>
      <c r="CN119">
        <v>122</v>
      </c>
      <c r="CO119">
        <v>127</v>
      </c>
      <c r="CP119">
        <v>164</v>
      </c>
      <c r="CQ119">
        <v>170</v>
      </c>
      <c r="CR119">
        <v>191</v>
      </c>
      <c r="CS119">
        <v>208</v>
      </c>
      <c r="CT119">
        <v>208</v>
      </c>
      <c r="CU119" s="1">
        <v>246</v>
      </c>
      <c r="CV119" s="1">
        <v>269</v>
      </c>
      <c r="CW119" s="1">
        <v>313</v>
      </c>
      <c r="CX119" s="1">
        <v>329</v>
      </c>
      <c r="CY119" s="1">
        <v>342</v>
      </c>
      <c r="CZ119" s="1">
        <v>405</v>
      </c>
      <c r="DA119" s="1">
        <v>405</v>
      </c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</row>
    <row r="120" spans="1:198" x14ac:dyDescent="0.45">
      <c r="A120" s="1" t="s">
        <v>2</v>
      </c>
      <c r="B120" s="1" t="s">
        <v>252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3</v>
      </c>
      <c r="CN120">
        <v>3</v>
      </c>
      <c r="CO120">
        <v>3</v>
      </c>
      <c r="CP120">
        <v>3</v>
      </c>
      <c r="CQ120">
        <v>3</v>
      </c>
      <c r="CR120">
        <v>3</v>
      </c>
      <c r="CS120">
        <v>3</v>
      </c>
      <c r="CT120">
        <v>3</v>
      </c>
      <c r="CU120" s="1">
        <v>18</v>
      </c>
      <c r="CV120" s="1">
        <v>18</v>
      </c>
      <c r="CW120" s="1">
        <v>19</v>
      </c>
      <c r="CX120" s="1">
        <v>19</v>
      </c>
      <c r="CY120" s="1">
        <v>19</v>
      </c>
      <c r="CZ120" s="1">
        <v>19</v>
      </c>
      <c r="DA120" s="1">
        <v>19</v>
      </c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</row>
    <row r="121" spans="1:198" x14ac:dyDescent="0.4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8</v>
      </c>
      <c r="CA121">
        <v>8</v>
      </c>
      <c r="CB121">
        <v>8</v>
      </c>
      <c r="CC121">
        <v>8</v>
      </c>
      <c r="CD121">
        <v>8</v>
      </c>
      <c r="CE121">
        <v>8</v>
      </c>
      <c r="CF121">
        <v>8</v>
      </c>
      <c r="CG121">
        <v>8</v>
      </c>
      <c r="CH121">
        <v>8</v>
      </c>
      <c r="CI121">
        <v>8</v>
      </c>
      <c r="CJ121">
        <v>8</v>
      </c>
      <c r="CK121">
        <v>9</v>
      </c>
      <c r="CL121">
        <v>9</v>
      </c>
      <c r="CM121">
        <v>9</v>
      </c>
      <c r="CN121">
        <v>9</v>
      </c>
      <c r="CO121">
        <v>9</v>
      </c>
      <c r="CP121">
        <v>9</v>
      </c>
      <c r="CQ121">
        <v>9</v>
      </c>
      <c r="CR121">
        <v>12</v>
      </c>
      <c r="CS121">
        <v>12</v>
      </c>
      <c r="CT121">
        <v>12</v>
      </c>
      <c r="CU121" s="1">
        <v>15</v>
      </c>
      <c r="CV121" s="1">
        <v>15</v>
      </c>
      <c r="CW121" s="1">
        <v>18</v>
      </c>
      <c r="CX121" s="1">
        <v>22</v>
      </c>
      <c r="CY121" s="1">
        <v>22</v>
      </c>
      <c r="CZ121" s="1">
        <v>22</v>
      </c>
      <c r="DA121" s="1">
        <v>22</v>
      </c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</row>
    <row r="122" spans="1:198" x14ac:dyDescent="0.4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2</v>
      </c>
      <c r="CQ122">
        <v>2</v>
      </c>
      <c r="CR122">
        <v>2</v>
      </c>
      <c r="CS122">
        <v>6</v>
      </c>
      <c r="CT122">
        <v>7</v>
      </c>
      <c r="CU122" s="1">
        <v>8</v>
      </c>
      <c r="CV122" s="1">
        <v>8</v>
      </c>
      <c r="CW122" s="1">
        <v>8</v>
      </c>
      <c r="CX122" s="1">
        <v>8</v>
      </c>
      <c r="CY122" s="1">
        <v>10</v>
      </c>
      <c r="CZ122" s="1">
        <v>10</v>
      </c>
      <c r="DA122" s="1">
        <v>10</v>
      </c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</row>
    <row r="123" spans="1:198" x14ac:dyDescent="0.4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2</v>
      </c>
      <c r="CC123">
        <v>2</v>
      </c>
      <c r="CD123">
        <v>2</v>
      </c>
      <c r="CE123">
        <v>2</v>
      </c>
      <c r="CF123">
        <v>2</v>
      </c>
      <c r="CG123">
        <v>2</v>
      </c>
      <c r="CH123">
        <v>2</v>
      </c>
      <c r="CI123">
        <v>2</v>
      </c>
      <c r="CJ123">
        <v>2</v>
      </c>
      <c r="CK123">
        <v>2</v>
      </c>
      <c r="CL123">
        <v>2</v>
      </c>
      <c r="CM123">
        <v>2</v>
      </c>
      <c r="CN123">
        <v>2</v>
      </c>
      <c r="CO123">
        <v>2</v>
      </c>
      <c r="CP123">
        <v>2</v>
      </c>
      <c r="CQ123">
        <v>2</v>
      </c>
      <c r="CR123">
        <v>2</v>
      </c>
      <c r="CS123">
        <v>2</v>
      </c>
      <c r="CT123">
        <v>2</v>
      </c>
      <c r="CU123" s="1">
        <v>2</v>
      </c>
      <c r="CV123" s="1">
        <v>2</v>
      </c>
      <c r="CW123" s="1">
        <v>2</v>
      </c>
      <c r="CX123" s="1">
        <v>2</v>
      </c>
      <c r="CY123" s="1">
        <v>2</v>
      </c>
      <c r="CZ123" s="1">
        <v>2</v>
      </c>
      <c r="DA123" s="1">
        <v>2</v>
      </c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</row>
    <row r="124" spans="1:198" x14ac:dyDescent="0.4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  <c r="BS124">
        <v>3</v>
      </c>
      <c r="BT124">
        <v>3</v>
      </c>
      <c r="BU124">
        <v>3</v>
      </c>
      <c r="BV124">
        <v>3</v>
      </c>
      <c r="BW124">
        <v>3</v>
      </c>
      <c r="BX124">
        <v>3</v>
      </c>
      <c r="BY124">
        <v>6</v>
      </c>
      <c r="BZ124">
        <v>6</v>
      </c>
      <c r="CA124">
        <v>6</v>
      </c>
      <c r="CB124">
        <v>6</v>
      </c>
      <c r="CC124">
        <v>6</v>
      </c>
      <c r="CD124">
        <v>7</v>
      </c>
      <c r="CE124">
        <v>7</v>
      </c>
      <c r="CF124">
        <v>7</v>
      </c>
      <c r="CG124">
        <v>7</v>
      </c>
      <c r="CH124">
        <v>7</v>
      </c>
      <c r="CI124">
        <v>9</v>
      </c>
      <c r="CJ124">
        <v>9</v>
      </c>
      <c r="CK124">
        <v>10</v>
      </c>
      <c r="CL124">
        <v>10</v>
      </c>
      <c r="CM124">
        <v>15</v>
      </c>
      <c r="CN124">
        <v>25</v>
      </c>
      <c r="CO124">
        <v>29</v>
      </c>
      <c r="CP124">
        <v>30</v>
      </c>
      <c r="CQ124">
        <v>31</v>
      </c>
      <c r="CR124">
        <v>58</v>
      </c>
      <c r="CS124">
        <v>65</v>
      </c>
      <c r="CT124">
        <v>65</v>
      </c>
      <c r="CU124" s="1">
        <v>79</v>
      </c>
      <c r="CV124" s="1">
        <v>79</v>
      </c>
      <c r="CW124" s="1">
        <v>73</v>
      </c>
      <c r="CX124" s="1">
        <v>79</v>
      </c>
      <c r="CY124" s="1">
        <v>112</v>
      </c>
      <c r="CZ124" s="1">
        <v>116</v>
      </c>
      <c r="DA124" s="1">
        <v>118</v>
      </c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</row>
    <row r="125" spans="1:198" x14ac:dyDescent="0.4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  <c r="BS125">
        <v>34</v>
      </c>
      <c r="BT125">
        <v>37</v>
      </c>
      <c r="BU125">
        <v>40</v>
      </c>
      <c r="BV125">
        <v>42</v>
      </c>
      <c r="BW125">
        <v>43</v>
      </c>
      <c r="BX125">
        <v>58</v>
      </c>
      <c r="BY125">
        <v>66</v>
      </c>
      <c r="BZ125">
        <v>67</v>
      </c>
      <c r="CA125">
        <v>71</v>
      </c>
      <c r="CB125">
        <v>94</v>
      </c>
      <c r="CC125">
        <v>96</v>
      </c>
      <c r="CD125">
        <v>112</v>
      </c>
      <c r="CE125">
        <v>115</v>
      </c>
      <c r="CF125">
        <v>118</v>
      </c>
      <c r="CG125">
        <v>120</v>
      </c>
      <c r="CH125">
        <v>122</v>
      </c>
      <c r="CI125">
        <v>192</v>
      </c>
      <c r="CJ125">
        <v>199</v>
      </c>
      <c r="CK125">
        <v>207</v>
      </c>
      <c r="CL125">
        <v>231</v>
      </c>
      <c r="CM125">
        <v>250</v>
      </c>
      <c r="CN125">
        <v>267</v>
      </c>
      <c r="CO125">
        <v>287</v>
      </c>
      <c r="CP125">
        <v>295</v>
      </c>
      <c r="CQ125">
        <v>390</v>
      </c>
      <c r="CR125">
        <v>458</v>
      </c>
      <c r="CS125">
        <v>458</v>
      </c>
      <c r="CT125">
        <v>485</v>
      </c>
      <c r="CU125" s="1">
        <v>498</v>
      </c>
      <c r="CV125" s="1">
        <v>516</v>
      </c>
      <c r="CW125" s="1">
        <v>536</v>
      </c>
      <c r="CX125" s="1">
        <v>581</v>
      </c>
      <c r="CY125" s="1">
        <v>609</v>
      </c>
      <c r="CZ125" s="1">
        <v>625</v>
      </c>
      <c r="DA125" s="1">
        <v>629</v>
      </c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</row>
    <row r="126" spans="1:198" x14ac:dyDescent="0.4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  <c r="BS126">
        <v>157</v>
      </c>
      <c r="BT126">
        <v>198</v>
      </c>
      <c r="BU126">
        <v>225</v>
      </c>
      <c r="BV126">
        <v>284</v>
      </c>
      <c r="BW126">
        <v>309</v>
      </c>
      <c r="BX126">
        <v>396</v>
      </c>
      <c r="BY126">
        <v>428</v>
      </c>
      <c r="BZ126">
        <v>460</v>
      </c>
      <c r="CA126">
        <v>559</v>
      </c>
      <c r="CB126">
        <v>633</v>
      </c>
      <c r="CC126">
        <v>688</v>
      </c>
      <c r="CD126">
        <v>751</v>
      </c>
      <c r="CE126">
        <v>841</v>
      </c>
      <c r="CF126">
        <v>889</v>
      </c>
      <c r="CG126">
        <v>933</v>
      </c>
      <c r="CH126">
        <v>989</v>
      </c>
      <c r="CI126">
        <v>1077</v>
      </c>
      <c r="CJ126">
        <v>1144</v>
      </c>
      <c r="CK126">
        <v>1224</v>
      </c>
      <c r="CL126">
        <v>1291</v>
      </c>
      <c r="CM126">
        <v>1291</v>
      </c>
      <c r="CN126">
        <v>1362</v>
      </c>
      <c r="CO126">
        <v>1417</v>
      </c>
      <c r="CP126">
        <v>1462</v>
      </c>
      <c r="CQ126">
        <v>1509</v>
      </c>
      <c r="CR126">
        <v>1542</v>
      </c>
      <c r="CS126">
        <v>1570</v>
      </c>
      <c r="CT126">
        <v>1608</v>
      </c>
      <c r="CU126" s="1">
        <v>1624</v>
      </c>
      <c r="CV126" s="1">
        <v>1636</v>
      </c>
      <c r="CW126" s="1">
        <v>1656</v>
      </c>
      <c r="CX126" s="1">
        <v>1670</v>
      </c>
      <c r="CY126" s="1">
        <v>1689</v>
      </c>
      <c r="CZ126" s="1">
        <v>1706</v>
      </c>
      <c r="DA126" s="1">
        <v>1717</v>
      </c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</row>
    <row r="127" spans="1:198" x14ac:dyDescent="0.4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  <c r="BS127">
        <v>102</v>
      </c>
      <c r="BT127">
        <v>123</v>
      </c>
      <c r="BU127">
        <v>148</v>
      </c>
      <c r="BV127">
        <v>191</v>
      </c>
      <c r="BW127">
        <v>192</v>
      </c>
      <c r="BX127">
        <v>229</v>
      </c>
      <c r="BY127">
        <v>229</v>
      </c>
      <c r="BZ127">
        <v>375</v>
      </c>
      <c r="CA127">
        <v>421</v>
      </c>
      <c r="CB127">
        <v>506</v>
      </c>
      <c r="CC127">
        <v>620</v>
      </c>
      <c r="CD127">
        <v>774</v>
      </c>
      <c r="CE127">
        <v>969</v>
      </c>
      <c r="CF127">
        <v>1080</v>
      </c>
      <c r="CG127">
        <v>1181</v>
      </c>
      <c r="CH127">
        <v>1359</v>
      </c>
      <c r="CI127">
        <v>1432</v>
      </c>
      <c r="CJ127">
        <v>1768</v>
      </c>
      <c r="CK127">
        <v>2041</v>
      </c>
      <c r="CL127">
        <v>2463</v>
      </c>
      <c r="CM127">
        <v>2854</v>
      </c>
      <c r="CN127">
        <v>3273</v>
      </c>
      <c r="CO127">
        <v>3975</v>
      </c>
      <c r="CP127">
        <v>4370</v>
      </c>
      <c r="CQ127">
        <v>5012</v>
      </c>
      <c r="CR127">
        <v>5498</v>
      </c>
      <c r="CS127">
        <v>5939</v>
      </c>
      <c r="CT127">
        <v>6523</v>
      </c>
      <c r="CU127" s="1">
        <v>7137</v>
      </c>
      <c r="CV127" s="1">
        <v>7747</v>
      </c>
      <c r="CW127" s="1">
        <v>8437</v>
      </c>
      <c r="CX127" s="1">
        <v>9068</v>
      </c>
      <c r="CY127" s="1">
        <v>10007</v>
      </c>
      <c r="CZ127" s="1">
        <v>10819</v>
      </c>
      <c r="DA127" s="1">
        <v>11775</v>
      </c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</row>
    <row r="128" spans="1:198" x14ac:dyDescent="0.4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  <c r="BS128">
        <v>75</v>
      </c>
      <c r="BT128">
        <v>81</v>
      </c>
      <c r="BU128">
        <v>103</v>
      </c>
      <c r="BV128">
        <v>112</v>
      </c>
      <c r="BW128">
        <v>134</v>
      </c>
      <c r="BX128">
        <v>150</v>
      </c>
      <c r="BY128">
        <v>164</v>
      </c>
      <c r="BZ128">
        <v>192</v>
      </c>
      <c r="CA128">
        <v>204</v>
      </c>
      <c r="CB128">
        <v>222</v>
      </c>
      <c r="CC128">
        <v>252</v>
      </c>
      <c r="CD128">
        <v>282</v>
      </c>
      <c r="CE128">
        <v>286</v>
      </c>
      <c r="CF128">
        <v>359</v>
      </c>
      <c r="CG128">
        <v>380</v>
      </c>
      <c r="CH128">
        <v>426</v>
      </c>
      <c r="CI128">
        <v>446</v>
      </c>
      <c r="CJ128">
        <v>548</v>
      </c>
      <c r="CK128">
        <v>607</v>
      </c>
      <c r="CL128">
        <v>631</v>
      </c>
      <c r="CM128">
        <v>686</v>
      </c>
      <c r="CN128">
        <v>747</v>
      </c>
      <c r="CO128">
        <v>842</v>
      </c>
      <c r="CP128">
        <v>913</v>
      </c>
      <c r="CQ128">
        <v>960</v>
      </c>
      <c r="CR128">
        <v>1002</v>
      </c>
      <c r="CS128">
        <v>1042</v>
      </c>
      <c r="CT128">
        <v>1107</v>
      </c>
      <c r="CU128" s="1">
        <v>1151</v>
      </c>
      <c r="CV128" s="1">
        <v>1254</v>
      </c>
      <c r="CW128" s="1">
        <v>1391</v>
      </c>
      <c r="CX128" s="1">
        <v>1522</v>
      </c>
      <c r="CY128" s="1">
        <v>1591</v>
      </c>
      <c r="CZ128" s="1">
        <v>1665</v>
      </c>
      <c r="DA128" s="1">
        <v>1876</v>
      </c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</row>
    <row r="129" spans="1:198" x14ac:dyDescent="0.4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  <c r="BS129">
        <v>13911</v>
      </c>
      <c r="BT129">
        <v>14656</v>
      </c>
      <c r="BU129">
        <v>15473</v>
      </c>
      <c r="BV129">
        <v>16711</v>
      </c>
      <c r="BW129">
        <v>17935</v>
      </c>
      <c r="BX129">
        <v>19736</v>
      </c>
      <c r="BY129">
        <v>19736</v>
      </c>
      <c r="BZ129">
        <v>24236</v>
      </c>
      <c r="CA129">
        <v>27039</v>
      </c>
      <c r="CB129">
        <v>29812</v>
      </c>
      <c r="CC129">
        <v>32309</v>
      </c>
      <c r="CD129">
        <v>35465</v>
      </c>
      <c r="CE129">
        <v>41947</v>
      </c>
      <c r="CF129">
        <v>43894</v>
      </c>
      <c r="CG129">
        <v>45983</v>
      </c>
      <c r="CH129">
        <v>48129</v>
      </c>
      <c r="CI129">
        <v>49933</v>
      </c>
      <c r="CJ129">
        <v>52229</v>
      </c>
      <c r="CK129">
        <v>54064</v>
      </c>
      <c r="CL129">
        <v>55987</v>
      </c>
      <c r="CM129">
        <v>57023</v>
      </c>
      <c r="CN129">
        <v>59273</v>
      </c>
      <c r="CO129">
        <v>60965</v>
      </c>
      <c r="CP129">
        <v>63113</v>
      </c>
      <c r="CQ129">
        <v>64843</v>
      </c>
      <c r="CR129">
        <v>66599</v>
      </c>
      <c r="CS129">
        <v>68193</v>
      </c>
      <c r="CT129">
        <v>69657</v>
      </c>
      <c r="CU129" s="1">
        <v>70933</v>
      </c>
      <c r="CV129" s="1">
        <v>72439</v>
      </c>
      <c r="CW129" s="1">
        <v>73791</v>
      </c>
      <c r="CX129" s="1">
        <v>75103</v>
      </c>
      <c r="CY129" s="1">
        <v>76318</v>
      </c>
      <c r="CZ129" s="1">
        <v>77350</v>
      </c>
      <c r="DA129" s="1">
        <v>78422</v>
      </c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</row>
    <row r="130" spans="1:198" x14ac:dyDescent="0.4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  <c r="BS130">
        <v>152</v>
      </c>
      <c r="BT130">
        <v>170</v>
      </c>
      <c r="BU130">
        <v>182</v>
      </c>
      <c r="BV130">
        <v>202</v>
      </c>
      <c r="BW130">
        <v>226</v>
      </c>
      <c r="BX130">
        <v>259</v>
      </c>
      <c r="BY130">
        <v>279</v>
      </c>
      <c r="BZ130">
        <v>344</v>
      </c>
      <c r="CA130">
        <v>373</v>
      </c>
      <c r="CB130">
        <v>452</v>
      </c>
      <c r="CC130">
        <v>496</v>
      </c>
      <c r="CD130">
        <v>550</v>
      </c>
      <c r="CE130">
        <v>601</v>
      </c>
      <c r="CF130">
        <v>640</v>
      </c>
      <c r="CG130">
        <v>717</v>
      </c>
      <c r="CH130">
        <v>766</v>
      </c>
      <c r="CI130">
        <v>812</v>
      </c>
      <c r="CJ130">
        <v>856</v>
      </c>
      <c r="CK130">
        <v>906</v>
      </c>
      <c r="CL130">
        <v>953</v>
      </c>
      <c r="CM130">
        <v>1009</v>
      </c>
      <c r="CN130">
        <v>1043</v>
      </c>
      <c r="CO130">
        <v>1096</v>
      </c>
      <c r="CP130">
        <v>1146</v>
      </c>
      <c r="CQ130">
        <v>1171</v>
      </c>
      <c r="CR130">
        <v>1204</v>
      </c>
      <c r="CS130">
        <v>1224</v>
      </c>
      <c r="CT130">
        <v>1263</v>
      </c>
      <c r="CU130" s="1">
        <v>1286</v>
      </c>
      <c r="CV130" s="1">
        <v>1319</v>
      </c>
      <c r="CW130" s="1">
        <v>1346</v>
      </c>
      <c r="CX130" s="1">
        <v>1375</v>
      </c>
      <c r="CY130" s="1">
        <v>1414</v>
      </c>
      <c r="CZ130" s="1">
        <v>1473</v>
      </c>
      <c r="DA130" s="1">
        <v>1490</v>
      </c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</row>
    <row r="131" spans="1:198" x14ac:dyDescent="0.4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  <c r="BS131">
        <v>5</v>
      </c>
      <c r="BT131">
        <v>5</v>
      </c>
      <c r="BU131">
        <v>5</v>
      </c>
      <c r="BV131">
        <v>5</v>
      </c>
      <c r="BW131">
        <v>5</v>
      </c>
      <c r="BX131">
        <v>25</v>
      </c>
      <c r="BY131">
        <v>25</v>
      </c>
      <c r="BZ131">
        <v>25</v>
      </c>
      <c r="CA131">
        <v>25</v>
      </c>
      <c r="CB131">
        <v>25</v>
      </c>
      <c r="CC131">
        <v>25</v>
      </c>
      <c r="CD131">
        <v>25</v>
      </c>
      <c r="CE131">
        <v>25</v>
      </c>
      <c r="CF131">
        <v>25</v>
      </c>
      <c r="CG131">
        <v>25</v>
      </c>
      <c r="CH131">
        <v>25</v>
      </c>
      <c r="CI131">
        <v>77</v>
      </c>
      <c r="CJ131">
        <v>77</v>
      </c>
      <c r="CK131">
        <v>77</v>
      </c>
      <c r="CL131">
        <v>77</v>
      </c>
      <c r="CM131">
        <v>77</v>
      </c>
      <c r="CN131">
        <v>77</v>
      </c>
      <c r="CO131">
        <v>9233</v>
      </c>
      <c r="CP131">
        <v>9233</v>
      </c>
      <c r="CQ131">
        <v>9233</v>
      </c>
      <c r="CR131">
        <v>9233</v>
      </c>
      <c r="CS131">
        <v>9233</v>
      </c>
      <c r="CT131">
        <v>9233</v>
      </c>
      <c r="CU131" s="1">
        <v>9233</v>
      </c>
      <c r="CV131" s="1">
        <v>9233</v>
      </c>
      <c r="CW131" s="1">
        <v>13386</v>
      </c>
      <c r="CX131" s="1">
        <v>13386</v>
      </c>
      <c r="CY131" s="1">
        <v>13386</v>
      </c>
      <c r="CZ131" s="1">
        <v>13386</v>
      </c>
      <c r="DA131" s="1">
        <v>13386</v>
      </c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</row>
    <row r="132" spans="1:198" x14ac:dyDescent="0.4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  <c r="BS132">
        <v>161</v>
      </c>
      <c r="BT132">
        <v>224</v>
      </c>
      <c r="BU132">
        <v>241</v>
      </c>
      <c r="BV132">
        <v>338</v>
      </c>
      <c r="BW132">
        <v>403</v>
      </c>
      <c r="BX132">
        <v>427</v>
      </c>
      <c r="BY132">
        <v>477</v>
      </c>
      <c r="BZ132">
        <v>585</v>
      </c>
      <c r="CA132">
        <v>770</v>
      </c>
      <c r="CB132">
        <v>801</v>
      </c>
      <c r="CC132">
        <v>1011</v>
      </c>
      <c r="CD132">
        <v>1183</v>
      </c>
      <c r="CE132">
        <v>1341</v>
      </c>
      <c r="CF132">
        <v>1627</v>
      </c>
      <c r="CG132">
        <v>1855</v>
      </c>
      <c r="CH132">
        <v>2195</v>
      </c>
      <c r="CI132">
        <v>2563</v>
      </c>
      <c r="CJ132">
        <v>2818</v>
      </c>
      <c r="CK132">
        <v>3126</v>
      </c>
      <c r="CL132">
        <v>3456</v>
      </c>
      <c r="CM132">
        <v>3754</v>
      </c>
      <c r="CN132">
        <v>4049</v>
      </c>
      <c r="CO132">
        <v>4507</v>
      </c>
      <c r="CP132">
        <v>5215</v>
      </c>
      <c r="CQ132">
        <v>5611</v>
      </c>
      <c r="CR132">
        <v>6003</v>
      </c>
      <c r="CS132">
        <v>6435</v>
      </c>
      <c r="CT132">
        <v>6731</v>
      </c>
      <c r="CU132" s="1">
        <v>7200</v>
      </c>
      <c r="CV132" s="1">
        <v>7746</v>
      </c>
      <c r="CW132" s="1">
        <v>8233</v>
      </c>
      <c r="CX132" s="1">
        <v>8561</v>
      </c>
      <c r="CY132" s="1">
        <v>9156</v>
      </c>
      <c r="CZ132" s="1">
        <v>9593</v>
      </c>
      <c r="DA132" s="1">
        <v>9749</v>
      </c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</row>
    <row r="133" spans="1:198" x14ac:dyDescent="0.4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  <c r="BS133">
        <v>14620</v>
      </c>
      <c r="BT133">
        <v>15729</v>
      </c>
      <c r="BU133">
        <v>16847</v>
      </c>
      <c r="BV133">
        <v>18278</v>
      </c>
      <c r="BW133">
        <v>19758</v>
      </c>
      <c r="BX133">
        <v>20996</v>
      </c>
      <c r="BY133">
        <v>21815</v>
      </c>
      <c r="BZ133">
        <v>22837</v>
      </c>
      <c r="CA133">
        <v>24392</v>
      </c>
      <c r="CB133">
        <v>26491</v>
      </c>
      <c r="CC133">
        <v>28470</v>
      </c>
      <c r="CD133">
        <v>30455</v>
      </c>
      <c r="CE133">
        <v>32534</v>
      </c>
      <c r="CF133">
        <v>34211</v>
      </c>
      <c r="CG133">
        <v>35435</v>
      </c>
      <c r="CH133">
        <v>37130</v>
      </c>
      <c r="CI133">
        <v>38092</v>
      </c>
      <c r="CJ133">
        <v>40164</v>
      </c>
      <c r="CK133">
        <v>42727</v>
      </c>
      <c r="CL133">
        <v>44927</v>
      </c>
      <c r="CM133">
        <v>47055</v>
      </c>
      <c r="CN133">
        <v>48877</v>
      </c>
      <c r="CO133">
        <v>51600</v>
      </c>
      <c r="CP133">
        <v>54543</v>
      </c>
      <c r="CQ133">
        <v>57576</v>
      </c>
      <c r="CR133">
        <v>60498</v>
      </c>
      <c r="CS133">
        <v>63120</v>
      </c>
      <c r="CT133">
        <v>64928</v>
      </c>
      <c r="CU133" s="1">
        <v>66624</v>
      </c>
      <c r="CV133" s="1">
        <v>68941</v>
      </c>
      <c r="CW133" s="1">
        <v>71252</v>
      </c>
      <c r="CX133" s="1">
        <v>75945</v>
      </c>
      <c r="CY133" s="1">
        <v>78249</v>
      </c>
      <c r="CZ133" s="1">
        <v>79914</v>
      </c>
      <c r="DA133" s="1">
        <v>81654</v>
      </c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</row>
    <row r="134" spans="1:198" x14ac:dyDescent="0.4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  <c r="BS134">
        <v>2</v>
      </c>
      <c r="BT134">
        <v>2</v>
      </c>
      <c r="BU134">
        <v>2</v>
      </c>
      <c r="BV134">
        <v>2</v>
      </c>
      <c r="BW134">
        <v>2</v>
      </c>
      <c r="BX134">
        <v>7</v>
      </c>
      <c r="BY134">
        <v>8</v>
      </c>
      <c r="BZ134">
        <v>8</v>
      </c>
      <c r="CA134">
        <v>8</v>
      </c>
      <c r="CB134">
        <v>10</v>
      </c>
      <c r="CC134">
        <v>12</v>
      </c>
      <c r="CD134">
        <v>13</v>
      </c>
      <c r="CE134">
        <v>13</v>
      </c>
      <c r="CF134">
        <v>13</v>
      </c>
      <c r="CG134">
        <v>19</v>
      </c>
      <c r="CH134">
        <v>19</v>
      </c>
      <c r="CI134">
        <v>21</v>
      </c>
      <c r="CJ134">
        <v>21</v>
      </c>
      <c r="CK134">
        <v>25</v>
      </c>
      <c r="CL134">
        <v>25</v>
      </c>
      <c r="CM134">
        <v>27</v>
      </c>
      <c r="CN134">
        <v>27</v>
      </c>
      <c r="CO134">
        <v>27</v>
      </c>
      <c r="CP134">
        <v>27</v>
      </c>
      <c r="CQ134">
        <v>28</v>
      </c>
      <c r="CR134">
        <v>28</v>
      </c>
      <c r="CS134">
        <v>28</v>
      </c>
      <c r="CT134">
        <v>28</v>
      </c>
      <c r="CU134" s="1">
        <v>29</v>
      </c>
      <c r="CV134" s="1">
        <v>29</v>
      </c>
      <c r="CW134" s="1">
        <v>29</v>
      </c>
      <c r="CX134" s="1">
        <v>29</v>
      </c>
      <c r="CY134" s="1">
        <v>31</v>
      </c>
      <c r="CZ134" s="1">
        <v>33</v>
      </c>
      <c r="DA134" s="1">
        <v>38</v>
      </c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</row>
    <row r="135" spans="1:198" x14ac:dyDescent="0.4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  <c r="BS135">
        <v>424</v>
      </c>
      <c r="BT135">
        <v>424</v>
      </c>
      <c r="BU135">
        <v>472</v>
      </c>
      <c r="BV135">
        <v>472</v>
      </c>
      <c r="BW135">
        <v>514</v>
      </c>
      <c r="BX135">
        <v>514</v>
      </c>
      <c r="BY135">
        <v>514</v>
      </c>
      <c r="BZ135">
        <v>575</v>
      </c>
      <c r="CA135">
        <v>592</v>
      </c>
      <c r="CB135">
        <v>622</v>
      </c>
      <c r="CC135">
        <v>632</v>
      </c>
      <c r="CD135">
        <v>685</v>
      </c>
      <c r="CE135">
        <v>762</v>
      </c>
      <c r="CF135">
        <v>762</v>
      </c>
      <c r="CG135">
        <v>784</v>
      </c>
      <c r="CH135">
        <v>799</v>
      </c>
      <c r="CI135">
        <v>853</v>
      </c>
      <c r="CJ135">
        <v>901</v>
      </c>
      <c r="CK135">
        <v>935</v>
      </c>
      <c r="CL135">
        <v>1069</v>
      </c>
      <c r="CM135">
        <v>1159</v>
      </c>
      <c r="CN135">
        <v>1159</v>
      </c>
      <c r="CO135">
        <v>1239</v>
      </c>
      <c r="CP135">
        <v>1356</v>
      </c>
      <c r="CQ135">
        <v>1494</v>
      </c>
      <c r="CR135">
        <v>1530</v>
      </c>
      <c r="CS135">
        <v>1656</v>
      </c>
      <c r="CT135">
        <v>1809</v>
      </c>
      <c r="CU135" s="1">
        <v>1899</v>
      </c>
      <c r="CV135" s="1">
        <v>1899</v>
      </c>
      <c r="CW135" s="1">
        <v>2368</v>
      </c>
      <c r="CX135" s="1">
        <v>2460</v>
      </c>
      <c r="CY135" s="1">
        <v>2975</v>
      </c>
      <c r="CZ135" s="1">
        <v>3205</v>
      </c>
      <c r="DA135" s="1">
        <v>3981</v>
      </c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</row>
    <row r="136" spans="1:198" x14ac:dyDescent="0.4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  <c r="BS136">
        <v>26</v>
      </c>
      <c r="BT136">
        <v>30</v>
      </c>
      <c r="BU136">
        <v>36</v>
      </c>
      <c r="BV136">
        <v>45</v>
      </c>
      <c r="BW136">
        <v>58</v>
      </c>
      <c r="BX136">
        <v>74</v>
      </c>
      <c r="BY136">
        <v>110</v>
      </c>
      <c r="BZ136">
        <v>126</v>
      </c>
      <c r="CA136">
        <v>138</v>
      </c>
      <c r="CB136">
        <v>150</v>
      </c>
      <c r="CC136">
        <v>161</v>
      </c>
      <c r="CD136">
        <v>170</v>
      </c>
      <c r="CE136">
        <v>177</v>
      </c>
      <c r="CF136">
        <v>201</v>
      </c>
      <c r="CG136">
        <v>215</v>
      </c>
      <c r="CH136">
        <v>235</v>
      </c>
      <c r="CI136">
        <v>250</v>
      </c>
      <c r="CJ136">
        <v>259</v>
      </c>
      <c r="CK136">
        <v>265</v>
      </c>
      <c r="CL136">
        <v>269</v>
      </c>
      <c r="CM136">
        <v>276</v>
      </c>
      <c r="CN136">
        <v>282</v>
      </c>
      <c r="CO136">
        <v>297</v>
      </c>
      <c r="CP136">
        <v>315</v>
      </c>
      <c r="CQ136">
        <v>318</v>
      </c>
      <c r="CR136">
        <v>326</v>
      </c>
      <c r="CS136">
        <v>332</v>
      </c>
      <c r="CT136">
        <v>337</v>
      </c>
      <c r="CU136" s="1">
        <v>342</v>
      </c>
      <c r="CV136" s="1">
        <v>348</v>
      </c>
      <c r="CW136" s="1">
        <v>356</v>
      </c>
      <c r="CX136" s="1">
        <v>362</v>
      </c>
      <c r="CY136" s="1">
        <v>364</v>
      </c>
      <c r="CZ136" s="1">
        <v>367</v>
      </c>
      <c r="DA136" s="1">
        <v>367</v>
      </c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</row>
    <row r="137" spans="1:198" x14ac:dyDescent="0.4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  <c r="BS137">
        <v>21</v>
      </c>
      <c r="BT137">
        <v>24</v>
      </c>
      <c r="BU137">
        <v>26</v>
      </c>
      <c r="BV137">
        <v>27</v>
      </c>
      <c r="BW137">
        <v>29</v>
      </c>
      <c r="BX137">
        <v>36</v>
      </c>
      <c r="BY137">
        <v>42</v>
      </c>
      <c r="BZ137">
        <v>46</v>
      </c>
      <c r="CA137">
        <v>51</v>
      </c>
      <c r="CB137">
        <v>54</v>
      </c>
      <c r="CC137">
        <v>60</v>
      </c>
      <c r="CD137">
        <v>64</v>
      </c>
      <c r="CE137">
        <v>81</v>
      </c>
      <c r="CF137">
        <v>99</v>
      </c>
      <c r="CG137">
        <v>138</v>
      </c>
      <c r="CH137">
        <v>203</v>
      </c>
      <c r="CI137">
        <v>240</v>
      </c>
      <c r="CJ137">
        <v>277</v>
      </c>
      <c r="CK137">
        <v>347</v>
      </c>
      <c r="CL137">
        <v>377</v>
      </c>
      <c r="CM137">
        <v>400</v>
      </c>
      <c r="CN137">
        <v>447</v>
      </c>
      <c r="CO137">
        <v>489</v>
      </c>
      <c r="CP137">
        <v>515</v>
      </c>
      <c r="CQ137">
        <v>560</v>
      </c>
      <c r="CR137">
        <v>604</v>
      </c>
      <c r="CS137">
        <v>646</v>
      </c>
      <c r="CT137">
        <v>682</v>
      </c>
      <c r="CU137" s="1">
        <v>720</v>
      </c>
      <c r="CV137" s="1">
        <v>774</v>
      </c>
      <c r="CW137" s="1">
        <v>819</v>
      </c>
      <c r="CX137" s="1">
        <v>866</v>
      </c>
      <c r="CY137" s="1">
        <v>922</v>
      </c>
      <c r="CZ137" s="1">
        <v>985</v>
      </c>
      <c r="DA137" s="1">
        <v>1084</v>
      </c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</row>
    <row r="138" spans="1:198" x14ac:dyDescent="0.4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  <c r="BT138">
        <v>1</v>
      </c>
      <c r="BU138">
        <v>3</v>
      </c>
      <c r="BV138">
        <v>4</v>
      </c>
      <c r="BW138">
        <v>4</v>
      </c>
      <c r="BX138">
        <v>4</v>
      </c>
      <c r="BY138">
        <v>4</v>
      </c>
      <c r="BZ138">
        <v>4</v>
      </c>
      <c r="CA138">
        <v>7</v>
      </c>
      <c r="CB138">
        <v>9</v>
      </c>
      <c r="CC138">
        <v>12</v>
      </c>
      <c r="CD138">
        <v>22</v>
      </c>
      <c r="CE138">
        <v>24</v>
      </c>
      <c r="CF138">
        <v>25</v>
      </c>
      <c r="CG138">
        <v>40</v>
      </c>
      <c r="CH138">
        <v>41</v>
      </c>
      <c r="CI138">
        <v>53</v>
      </c>
      <c r="CJ138">
        <v>53</v>
      </c>
      <c r="CK138">
        <v>53</v>
      </c>
      <c r="CL138">
        <v>60</v>
      </c>
      <c r="CM138">
        <v>67</v>
      </c>
      <c r="CN138">
        <v>69</v>
      </c>
      <c r="CO138">
        <v>74</v>
      </c>
      <c r="CP138">
        <v>74</v>
      </c>
      <c r="CQ138">
        <v>89</v>
      </c>
      <c r="CR138">
        <v>94</v>
      </c>
      <c r="CS138">
        <v>98</v>
      </c>
      <c r="CT138">
        <v>106</v>
      </c>
      <c r="CU138" s="1">
        <v>114</v>
      </c>
      <c r="CV138" s="1">
        <v>124</v>
      </c>
      <c r="CW138" s="1">
        <v>129</v>
      </c>
      <c r="CX138" s="1">
        <v>144</v>
      </c>
      <c r="CY138" s="1">
        <v>150</v>
      </c>
      <c r="CZ138" s="1">
        <v>152</v>
      </c>
      <c r="DA138" s="1">
        <v>167</v>
      </c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</row>
    <row r="139" spans="1:198" x14ac:dyDescent="0.4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  <c r="BS139">
        <v>5228</v>
      </c>
      <c r="BT139">
        <v>5408</v>
      </c>
      <c r="BU139">
        <v>5567</v>
      </c>
      <c r="BV139">
        <v>5828</v>
      </c>
      <c r="BW139">
        <v>6021</v>
      </c>
      <c r="BX139">
        <v>6325</v>
      </c>
      <c r="BY139">
        <v>6463</v>
      </c>
      <c r="BZ139">
        <v>6598</v>
      </c>
      <c r="CA139">
        <v>6694</v>
      </c>
      <c r="CB139">
        <v>6776</v>
      </c>
      <c r="CC139">
        <v>6973</v>
      </c>
      <c r="CD139">
        <v>7117</v>
      </c>
      <c r="CE139">
        <v>7243</v>
      </c>
      <c r="CF139">
        <v>7368</v>
      </c>
      <c r="CG139">
        <v>7447</v>
      </c>
      <c r="CH139">
        <v>7534</v>
      </c>
      <c r="CI139">
        <v>7616</v>
      </c>
      <c r="CJ139">
        <v>7757</v>
      </c>
      <c r="CK139">
        <v>7829</v>
      </c>
      <c r="CL139">
        <v>7937</v>
      </c>
      <c r="CM139">
        <v>8042</v>
      </c>
      <c r="CN139">
        <v>8114</v>
      </c>
      <c r="CO139">
        <v>8213</v>
      </c>
      <c r="CP139">
        <v>8277</v>
      </c>
      <c r="CQ139">
        <v>8501</v>
      </c>
      <c r="CR139">
        <v>8635</v>
      </c>
      <c r="CS139">
        <v>8717</v>
      </c>
      <c r="CT139">
        <v>8764</v>
      </c>
      <c r="CU139" s="1">
        <v>8854</v>
      </c>
      <c r="CV139" s="1">
        <v>8922</v>
      </c>
      <c r="CW139" s="1">
        <v>9059</v>
      </c>
      <c r="CX139" s="1">
        <v>9072</v>
      </c>
      <c r="CY139" s="1">
        <v>9123</v>
      </c>
      <c r="CZ139" s="1">
        <v>9183</v>
      </c>
      <c r="DA139" s="1">
        <v>9217</v>
      </c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</row>
    <row r="140" spans="1:198" x14ac:dyDescent="0.4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  <c r="BS140">
        <v>72</v>
      </c>
      <c r="BT140">
        <v>73</v>
      </c>
      <c r="BU140">
        <v>80</v>
      </c>
      <c r="BV140">
        <v>81</v>
      </c>
      <c r="BW140">
        <v>82</v>
      </c>
      <c r="BX140">
        <v>93</v>
      </c>
      <c r="BY140">
        <v>99</v>
      </c>
      <c r="BZ140">
        <v>103</v>
      </c>
      <c r="CA140">
        <v>105</v>
      </c>
      <c r="CB140">
        <v>111</v>
      </c>
      <c r="CC140">
        <v>111</v>
      </c>
      <c r="CD140">
        <v>123</v>
      </c>
      <c r="CE140">
        <v>133</v>
      </c>
      <c r="CF140">
        <v>142</v>
      </c>
      <c r="CG140">
        <v>150</v>
      </c>
      <c r="CH140">
        <v>176</v>
      </c>
      <c r="CI140">
        <v>206</v>
      </c>
      <c r="CJ140">
        <v>225</v>
      </c>
      <c r="CK140">
        <v>258</v>
      </c>
      <c r="CL140">
        <v>280</v>
      </c>
      <c r="CM140">
        <v>305</v>
      </c>
      <c r="CN140">
        <v>367</v>
      </c>
      <c r="CO140">
        <v>412</v>
      </c>
      <c r="CP140">
        <v>443</v>
      </c>
      <c r="CQ140">
        <v>498</v>
      </c>
      <c r="CR140">
        <v>613</v>
      </c>
      <c r="CS140">
        <v>656</v>
      </c>
      <c r="CT140">
        <v>806</v>
      </c>
      <c r="CU140" s="1">
        <v>1012</v>
      </c>
      <c r="CV140" s="1">
        <v>1176</v>
      </c>
      <c r="CW140" s="1">
        <v>1389</v>
      </c>
      <c r="CX140" s="1">
        <v>1539</v>
      </c>
      <c r="CY140" s="1">
        <v>1602</v>
      </c>
      <c r="CZ140" s="1">
        <v>1703</v>
      </c>
      <c r="DA140" s="1">
        <v>1776</v>
      </c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</row>
    <row r="141" spans="1:198" x14ac:dyDescent="0.4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3</v>
      </c>
      <c r="BT141">
        <v>3</v>
      </c>
      <c r="BU141">
        <v>3</v>
      </c>
      <c r="BV141">
        <v>5</v>
      </c>
      <c r="BW141">
        <v>6</v>
      </c>
      <c r="BX141">
        <v>9</v>
      </c>
      <c r="BY141">
        <v>9</v>
      </c>
      <c r="BZ141">
        <v>33</v>
      </c>
      <c r="CA141">
        <v>33</v>
      </c>
      <c r="CB141">
        <v>33</v>
      </c>
      <c r="CC141">
        <v>35</v>
      </c>
      <c r="CD141">
        <v>35</v>
      </c>
      <c r="CE141">
        <v>44</v>
      </c>
      <c r="CF141">
        <v>54</v>
      </c>
      <c r="CG141">
        <v>67</v>
      </c>
      <c r="CH141">
        <v>71</v>
      </c>
      <c r="CI141">
        <v>78</v>
      </c>
      <c r="CJ141">
        <v>91</v>
      </c>
      <c r="CK141">
        <v>114</v>
      </c>
      <c r="CL141">
        <v>130</v>
      </c>
      <c r="CM141">
        <v>133</v>
      </c>
      <c r="CN141">
        <v>201</v>
      </c>
      <c r="CO141">
        <v>216</v>
      </c>
      <c r="CP141">
        <v>254</v>
      </c>
      <c r="CQ141">
        <v>302</v>
      </c>
      <c r="CR141">
        <v>345</v>
      </c>
      <c r="CS141">
        <v>345</v>
      </c>
      <c r="CT141">
        <v>370</v>
      </c>
      <c r="CU141" s="1">
        <v>395</v>
      </c>
      <c r="CV141" s="1">
        <v>416</v>
      </c>
      <c r="CW141" s="1">
        <v>437</v>
      </c>
      <c r="CX141" s="1">
        <v>462</v>
      </c>
      <c r="CY141" s="1">
        <v>504</v>
      </c>
      <c r="CZ141" s="1">
        <v>527</v>
      </c>
      <c r="DA141" s="1">
        <v>564</v>
      </c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</row>
    <row r="142" spans="1:198" x14ac:dyDescent="0.4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  <c r="BT142">
        <v>1</v>
      </c>
      <c r="BU142">
        <v>1</v>
      </c>
      <c r="BV142">
        <v>31</v>
      </c>
      <c r="BW142">
        <v>1</v>
      </c>
      <c r="BX142">
        <v>1</v>
      </c>
      <c r="BY142">
        <v>1</v>
      </c>
      <c r="BZ142">
        <v>16</v>
      </c>
      <c r="CA142">
        <v>16</v>
      </c>
      <c r="CB142">
        <v>16</v>
      </c>
      <c r="CC142">
        <v>16</v>
      </c>
      <c r="CD142">
        <v>16</v>
      </c>
      <c r="CE142">
        <v>16</v>
      </c>
      <c r="CF142">
        <v>16</v>
      </c>
      <c r="CG142">
        <v>16</v>
      </c>
      <c r="CH142">
        <v>16</v>
      </c>
      <c r="CI142">
        <v>44</v>
      </c>
      <c r="CJ142">
        <v>57</v>
      </c>
      <c r="CK142">
        <v>88</v>
      </c>
      <c r="CL142">
        <v>88</v>
      </c>
      <c r="CM142">
        <v>88</v>
      </c>
      <c r="CN142">
        <v>88</v>
      </c>
      <c r="CO142">
        <v>133</v>
      </c>
      <c r="CP142">
        <v>133</v>
      </c>
      <c r="CQ142">
        <v>133</v>
      </c>
      <c r="CR142">
        <v>267</v>
      </c>
      <c r="CS142">
        <v>267</v>
      </c>
      <c r="CT142">
        <v>267</v>
      </c>
      <c r="CU142" s="1">
        <v>267</v>
      </c>
      <c r="CV142" s="1">
        <v>267</v>
      </c>
      <c r="CW142" s="1">
        <v>348</v>
      </c>
      <c r="CX142" s="1">
        <v>348</v>
      </c>
      <c r="CY142" s="1">
        <v>348</v>
      </c>
      <c r="CZ142" s="1">
        <v>348</v>
      </c>
      <c r="DA142" s="1">
        <v>348</v>
      </c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</row>
    <row r="143" spans="1:198" x14ac:dyDescent="0.4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  <c r="BS143">
        <v>35</v>
      </c>
      <c r="BT143">
        <v>37</v>
      </c>
      <c r="BU143">
        <v>43</v>
      </c>
      <c r="BV143">
        <v>46</v>
      </c>
      <c r="BW143">
        <v>50</v>
      </c>
      <c r="BX143">
        <v>54</v>
      </c>
      <c r="BY143">
        <v>54</v>
      </c>
      <c r="BZ143">
        <v>60</v>
      </c>
      <c r="CA143">
        <v>62</v>
      </c>
      <c r="CB143">
        <v>62</v>
      </c>
      <c r="CC143">
        <v>67</v>
      </c>
      <c r="CD143">
        <v>76</v>
      </c>
      <c r="CE143">
        <v>77</v>
      </c>
      <c r="CF143">
        <v>80</v>
      </c>
      <c r="CG143">
        <v>80</v>
      </c>
      <c r="CH143">
        <v>80</v>
      </c>
      <c r="CI143">
        <v>85</v>
      </c>
      <c r="CJ143">
        <v>86</v>
      </c>
      <c r="CK143">
        <v>86</v>
      </c>
      <c r="CL143">
        <v>99</v>
      </c>
      <c r="CM143">
        <v>102</v>
      </c>
      <c r="CN143">
        <v>103</v>
      </c>
      <c r="CO143">
        <v>108</v>
      </c>
      <c r="CP143">
        <v>113</v>
      </c>
      <c r="CQ143">
        <v>140</v>
      </c>
      <c r="CR143">
        <v>140</v>
      </c>
      <c r="CS143">
        <v>143</v>
      </c>
      <c r="CT143">
        <v>145</v>
      </c>
      <c r="CU143" s="1">
        <v>145</v>
      </c>
      <c r="CV143" s="1">
        <v>145</v>
      </c>
      <c r="CW143" s="1">
        <v>150</v>
      </c>
      <c r="CX143" s="1">
        <v>150</v>
      </c>
      <c r="CY143" s="1">
        <v>192</v>
      </c>
      <c r="CZ143" s="1">
        <v>197</v>
      </c>
      <c r="DA143" s="1">
        <v>200</v>
      </c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</row>
    <row r="144" spans="1:198" x14ac:dyDescent="0.4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3</v>
      </c>
      <c r="BY144">
        <v>3</v>
      </c>
      <c r="BZ144">
        <v>3</v>
      </c>
      <c r="CA144">
        <v>3</v>
      </c>
      <c r="CB144">
        <v>3</v>
      </c>
      <c r="CC144">
        <v>3</v>
      </c>
      <c r="CD144">
        <v>3</v>
      </c>
      <c r="CE144">
        <v>3</v>
      </c>
      <c r="CF144">
        <v>3</v>
      </c>
      <c r="CG144">
        <v>4</v>
      </c>
      <c r="CH144">
        <v>4</v>
      </c>
      <c r="CI144">
        <v>4</v>
      </c>
      <c r="CJ144">
        <v>4</v>
      </c>
      <c r="CK144">
        <v>7</v>
      </c>
      <c r="CL144">
        <v>7</v>
      </c>
      <c r="CM144">
        <v>7</v>
      </c>
      <c r="CN144">
        <v>7</v>
      </c>
      <c r="CO144">
        <v>7</v>
      </c>
      <c r="CP144">
        <v>20</v>
      </c>
      <c r="CQ144">
        <v>20</v>
      </c>
      <c r="CR144">
        <v>25</v>
      </c>
      <c r="CS144">
        <v>25</v>
      </c>
      <c r="CT144">
        <v>25</v>
      </c>
      <c r="CU144" s="1">
        <v>25</v>
      </c>
      <c r="CV144" s="1">
        <v>45</v>
      </c>
      <c r="CW144" s="1">
        <v>45</v>
      </c>
      <c r="CX144" s="1">
        <v>45</v>
      </c>
      <c r="CY144" s="1">
        <v>45</v>
      </c>
      <c r="CZ144" s="1">
        <v>48</v>
      </c>
      <c r="DA144" s="1">
        <v>58</v>
      </c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</row>
    <row r="145" spans="1:198" x14ac:dyDescent="0.45">
      <c r="A145" s="1" t="s">
        <v>2</v>
      </c>
      <c r="B145" s="1" t="s">
        <v>250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1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1</v>
      </c>
      <c r="CA145">
        <v>1</v>
      </c>
      <c r="CB145">
        <v>8</v>
      </c>
      <c r="CC145">
        <v>8</v>
      </c>
      <c r="CD145">
        <v>8</v>
      </c>
      <c r="CE145">
        <v>8</v>
      </c>
      <c r="CF145">
        <v>9</v>
      </c>
      <c r="CG145">
        <v>9</v>
      </c>
      <c r="CH145">
        <v>9</v>
      </c>
      <c r="CI145">
        <v>9</v>
      </c>
      <c r="CJ145">
        <v>11</v>
      </c>
      <c r="CK145">
        <v>11</v>
      </c>
      <c r="CL145">
        <v>11</v>
      </c>
      <c r="CM145">
        <v>11</v>
      </c>
      <c r="CN145">
        <v>15</v>
      </c>
      <c r="CO145">
        <v>15</v>
      </c>
      <c r="CP145">
        <v>15</v>
      </c>
      <c r="CQ145">
        <v>15</v>
      </c>
      <c r="CR145">
        <v>18</v>
      </c>
      <c r="CS145">
        <v>18</v>
      </c>
      <c r="CT145">
        <v>18</v>
      </c>
      <c r="CU145" s="1">
        <v>18</v>
      </c>
      <c r="CV145" s="1">
        <v>18</v>
      </c>
      <c r="CW145" s="1">
        <v>18</v>
      </c>
      <c r="CX145" s="1">
        <v>18</v>
      </c>
      <c r="CY145" s="1">
        <v>18</v>
      </c>
      <c r="CZ145" s="1">
        <v>22</v>
      </c>
      <c r="DA145" s="1">
        <v>22</v>
      </c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</row>
    <row r="146" spans="1:198" x14ac:dyDescent="0.4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55</v>
      </c>
      <c r="CA146">
        <v>55</v>
      </c>
      <c r="CB146">
        <v>55</v>
      </c>
      <c r="CC146">
        <v>55</v>
      </c>
      <c r="CD146">
        <v>55</v>
      </c>
      <c r="CE146">
        <v>55</v>
      </c>
      <c r="CF146">
        <v>55</v>
      </c>
      <c r="CG146">
        <v>55</v>
      </c>
      <c r="CH146">
        <v>55</v>
      </c>
      <c r="CI146">
        <v>55</v>
      </c>
      <c r="CJ146">
        <v>55</v>
      </c>
      <c r="CK146">
        <v>55</v>
      </c>
      <c r="CL146">
        <v>55</v>
      </c>
      <c r="CM146">
        <v>55</v>
      </c>
      <c r="CN146">
        <v>55</v>
      </c>
      <c r="CO146">
        <v>55</v>
      </c>
      <c r="CP146">
        <v>55</v>
      </c>
      <c r="CQ146">
        <v>55</v>
      </c>
      <c r="CR146">
        <v>55</v>
      </c>
      <c r="CS146">
        <v>55</v>
      </c>
      <c r="CT146">
        <v>55</v>
      </c>
      <c r="CU146" s="1">
        <v>55</v>
      </c>
      <c r="CV146" s="1">
        <v>55</v>
      </c>
      <c r="CW146" s="1">
        <v>55</v>
      </c>
      <c r="CX146" s="1">
        <v>55</v>
      </c>
      <c r="CY146" s="1">
        <v>55</v>
      </c>
      <c r="CZ146" s="1">
        <v>55</v>
      </c>
      <c r="DA146" s="1">
        <v>55</v>
      </c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</row>
    <row r="147" spans="1:198" x14ac:dyDescent="0.4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7</v>
      </c>
      <c r="BT147">
        <v>7</v>
      </c>
      <c r="BU147">
        <v>7</v>
      </c>
      <c r="BV147">
        <v>7</v>
      </c>
      <c r="BW147">
        <v>7</v>
      </c>
      <c r="BX147">
        <v>7</v>
      </c>
      <c r="BY147">
        <v>7</v>
      </c>
      <c r="BZ147">
        <v>8</v>
      </c>
      <c r="CA147">
        <v>8</v>
      </c>
      <c r="CB147">
        <v>8</v>
      </c>
      <c r="CC147">
        <v>8</v>
      </c>
      <c r="CD147">
        <v>54</v>
      </c>
      <c r="CE147">
        <v>54</v>
      </c>
      <c r="CF147">
        <v>97</v>
      </c>
      <c r="CG147">
        <v>101</v>
      </c>
      <c r="CH147">
        <v>101</v>
      </c>
      <c r="CI147">
        <v>138</v>
      </c>
      <c r="CJ147">
        <v>178</v>
      </c>
      <c r="CK147">
        <v>210</v>
      </c>
      <c r="CL147">
        <v>228</v>
      </c>
      <c r="CM147">
        <v>242</v>
      </c>
      <c r="CN147">
        <v>242</v>
      </c>
      <c r="CO147">
        <v>298</v>
      </c>
      <c r="CP147">
        <v>357</v>
      </c>
      <c r="CQ147">
        <v>399</v>
      </c>
      <c r="CR147">
        <v>430</v>
      </c>
      <c r="CS147">
        <v>460</v>
      </c>
      <c r="CT147">
        <v>467</v>
      </c>
      <c r="CU147" s="1">
        <v>474</v>
      </c>
      <c r="CV147" s="1">
        <v>536</v>
      </c>
      <c r="CW147" s="1">
        <v>563</v>
      </c>
      <c r="CX147" s="1">
        <v>589</v>
      </c>
      <c r="CY147" s="1">
        <v>594</v>
      </c>
      <c r="CZ147" s="1">
        <v>632</v>
      </c>
      <c r="DA147" s="1">
        <v>635</v>
      </c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</row>
    <row r="148" spans="1:198" x14ac:dyDescent="0.4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  <c r="BS148">
        <v>40</v>
      </c>
      <c r="BT148">
        <v>80</v>
      </c>
      <c r="BU148">
        <v>80</v>
      </c>
      <c r="BV148">
        <v>80</v>
      </c>
      <c r="BW148">
        <v>500</v>
      </c>
      <c r="BX148">
        <v>500</v>
      </c>
      <c r="BY148">
        <v>500</v>
      </c>
      <c r="BZ148">
        <v>500</v>
      </c>
      <c r="CA148">
        <v>500</v>
      </c>
      <c r="CB148">
        <v>500</v>
      </c>
      <c r="CC148">
        <v>500</v>
      </c>
      <c r="CD148">
        <v>500</v>
      </c>
      <c r="CE148">
        <v>500</v>
      </c>
      <c r="CF148">
        <v>500</v>
      </c>
      <c r="CG148">
        <v>500</v>
      </c>
      <c r="CH148">
        <v>500</v>
      </c>
      <c r="CI148">
        <v>526</v>
      </c>
      <c r="CJ148">
        <v>552</v>
      </c>
      <c r="CK148">
        <v>579</v>
      </c>
      <c r="CL148">
        <v>601</v>
      </c>
      <c r="CM148">
        <v>627</v>
      </c>
      <c r="CN148">
        <v>637</v>
      </c>
      <c r="CO148">
        <v>670</v>
      </c>
      <c r="CP148">
        <v>711</v>
      </c>
      <c r="CQ148">
        <v>728</v>
      </c>
      <c r="CR148">
        <v>3007</v>
      </c>
      <c r="CS148">
        <v>3088</v>
      </c>
      <c r="CT148">
        <v>3104</v>
      </c>
      <c r="CU148" s="1">
        <v>3123</v>
      </c>
      <c r="CV148" s="1">
        <v>3123</v>
      </c>
      <c r="CW148" s="1">
        <v>3134</v>
      </c>
      <c r="CX148" s="1">
        <v>3213</v>
      </c>
      <c r="CY148" s="1">
        <v>3213</v>
      </c>
      <c r="CZ148" s="1">
        <v>3318</v>
      </c>
      <c r="DA148" s="1">
        <v>3379</v>
      </c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</row>
    <row r="149" spans="1:198" x14ac:dyDescent="0.4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2</v>
      </c>
      <c r="BZ149">
        <v>2</v>
      </c>
      <c r="CA149">
        <v>7</v>
      </c>
      <c r="CB149">
        <v>11</v>
      </c>
      <c r="CC149">
        <v>11</v>
      </c>
      <c r="CD149">
        <v>11</v>
      </c>
      <c r="CE149">
        <v>11</v>
      </c>
      <c r="CF149">
        <v>20</v>
      </c>
      <c r="CG149">
        <v>21</v>
      </c>
      <c r="CH149">
        <v>23</v>
      </c>
      <c r="CI149">
        <v>29</v>
      </c>
      <c r="CJ149">
        <v>33</v>
      </c>
      <c r="CK149">
        <v>33</v>
      </c>
      <c r="CL149">
        <v>35</v>
      </c>
      <c r="CM149">
        <v>39</v>
      </c>
      <c r="CN149">
        <v>41</v>
      </c>
      <c r="CO149">
        <v>44</v>
      </c>
      <c r="CP149">
        <v>52</v>
      </c>
      <c r="CQ149">
        <v>58</v>
      </c>
      <c r="CR149">
        <v>61</v>
      </c>
      <c r="CS149">
        <v>62</v>
      </c>
      <c r="CT149">
        <v>71</v>
      </c>
      <c r="CU149" s="1">
        <v>75</v>
      </c>
      <c r="CV149" s="1">
        <v>82</v>
      </c>
      <c r="CW149" s="1">
        <v>90</v>
      </c>
      <c r="CX149" s="1">
        <v>92</v>
      </c>
      <c r="CY149" s="1">
        <v>94</v>
      </c>
      <c r="CZ149" s="1">
        <v>97</v>
      </c>
      <c r="DA149" s="1">
        <v>98</v>
      </c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</row>
    <row r="150" spans="1:198" x14ac:dyDescent="0.4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  <c r="BS150">
        <v>479</v>
      </c>
      <c r="BT150">
        <v>537</v>
      </c>
      <c r="BU150">
        <v>645</v>
      </c>
      <c r="BV150">
        <v>767</v>
      </c>
      <c r="BW150">
        <v>827</v>
      </c>
      <c r="BX150">
        <v>915</v>
      </c>
      <c r="BY150">
        <v>1005</v>
      </c>
      <c r="BZ150">
        <v>1241</v>
      </c>
      <c r="CA150">
        <v>1321</v>
      </c>
      <c r="CB150">
        <v>1487</v>
      </c>
      <c r="CC150">
        <v>1608</v>
      </c>
      <c r="CD150">
        <v>1830</v>
      </c>
      <c r="CE150">
        <v>1995</v>
      </c>
      <c r="CF150">
        <v>2108</v>
      </c>
      <c r="CG150">
        <v>2276</v>
      </c>
      <c r="CH150">
        <v>2478</v>
      </c>
      <c r="CI150">
        <v>2647</v>
      </c>
      <c r="CJ150">
        <v>2766</v>
      </c>
      <c r="CK150">
        <v>2967</v>
      </c>
      <c r="CL150">
        <v>3102</v>
      </c>
      <c r="CM150">
        <v>3197</v>
      </c>
      <c r="CN150">
        <v>3295</v>
      </c>
      <c r="CO150">
        <v>3349</v>
      </c>
      <c r="CP150">
        <v>3452</v>
      </c>
      <c r="CQ150">
        <v>3542</v>
      </c>
      <c r="CR150">
        <v>3663</v>
      </c>
      <c r="CS150">
        <v>3762</v>
      </c>
      <c r="CT150">
        <v>3862</v>
      </c>
      <c r="CU150" s="1">
        <v>3957</v>
      </c>
      <c r="CV150" s="1">
        <v>4032</v>
      </c>
      <c r="CW150" s="1">
        <v>4087</v>
      </c>
      <c r="CX150" s="1">
        <v>4171</v>
      </c>
      <c r="CY150" s="1">
        <v>4210</v>
      </c>
      <c r="CZ150" s="1">
        <v>4326</v>
      </c>
      <c r="DA150" s="1">
        <v>4413</v>
      </c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</row>
    <row r="151" spans="1:198" x14ac:dyDescent="0.4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  <c r="BS151">
        <v>13</v>
      </c>
      <c r="BT151">
        <v>13</v>
      </c>
      <c r="BU151">
        <v>13</v>
      </c>
      <c r="BV151">
        <v>13</v>
      </c>
      <c r="BW151">
        <v>13</v>
      </c>
      <c r="BX151">
        <v>13</v>
      </c>
      <c r="BY151">
        <v>13</v>
      </c>
      <c r="BZ151">
        <v>13</v>
      </c>
      <c r="CA151">
        <v>13</v>
      </c>
      <c r="CB151">
        <v>13</v>
      </c>
      <c r="CC151">
        <v>13</v>
      </c>
      <c r="CD151">
        <v>13</v>
      </c>
      <c r="CE151">
        <v>13</v>
      </c>
      <c r="CF151">
        <v>14</v>
      </c>
      <c r="CG151">
        <v>14</v>
      </c>
      <c r="CH151">
        <v>16</v>
      </c>
      <c r="CI151">
        <v>16</v>
      </c>
      <c r="CJ151">
        <v>16</v>
      </c>
      <c r="CK151">
        <v>16</v>
      </c>
      <c r="CL151">
        <v>16</v>
      </c>
      <c r="CM151">
        <v>16</v>
      </c>
      <c r="CN151">
        <v>16</v>
      </c>
      <c r="CO151">
        <v>16</v>
      </c>
      <c r="CP151">
        <v>16</v>
      </c>
      <c r="CQ151">
        <v>16</v>
      </c>
      <c r="CR151">
        <v>16</v>
      </c>
      <c r="CS151">
        <v>17</v>
      </c>
      <c r="CT151">
        <v>17</v>
      </c>
      <c r="CU151" s="1">
        <v>17</v>
      </c>
      <c r="CV151" s="1">
        <v>17</v>
      </c>
      <c r="CW151" s="1">
        <v>17</v>
      </c>
      <c r="CX151" s="1">
        <v>17</v>
      </c>
      <c r="CY151" s="1">
        <v>17</v>
      </c>
      <c r="CZ151" s="1">
        <v>18</v>
      </c>
      <c r="DA151" s="1">
        <v>18</v>
      </c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</row>
    <row r="152" spans="1:198" x14ac:dyDescent="0.45">
      <c r="A152" s="1" t="s">
        <v>2</v>
      </c>
      <c r="B152" s="1" t="s">
        <v>253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1</v>
      </c>
      <c r="BY152">
        <v>1</v>
      </c>
      <c r="BZ152">
        <v>9</v>
      </c>
      <c r="CA152">
        <v>12</v>
      </c>
      <c r="CB152">
        <v>16</v>
      </c>
      <c r="CC152">
        <v>22</v>
      </c>
      <c r="CD152">
        <v>22</v>
      </c>
      <c r="CE152">
        <v>22</v>
      </c>
      <c r="CF152">
        <v>22</v>
      </c>
      <c r="CG152">
        <v>26</v>
      </c>
      <c r="CH152">
        <v>34</v>
      </c>
      <c r="CI152">
        <v>34</v>
      </c>
      <c r="CJ152">
        <v>34</v>
      </c>
      <c r="CK152">
        <v>34</v>
      </c>
      <c r="CL152">
        <v>41</v>
      </c>
      <c r="CM152">
        <v>42</v>
      </c>
      <c r="CN152">
        <v>56</v>
      </c>
      <c r="CO152">
        <v>57</v>
      </c>
      <c r="CP152">
        <v>73</v>
      </c>
      <c r="CQ152">
        <v>77</v>
      </c>
      <c r="CR152">
        <v>87</v>
      </c>
      <c r="CS152">
        <v>91</v>
      </c>
      <c r="CT152">
        <v>112</v>
      </c>
      <c r="CU152" s="1">
        <v>113</v>
      </c>
      <c r="CV152" s="1">
        <v>122</v>
      </c>
      <c r="CW152" s="1">
        <v>129</v>
      </c>
      <c r="CX152" s="1">
        <v>135</v>
      </c>
      <c r="CY152" s="1">
        <v>196</v>
      </c>
      <c r="CZ152" s="1">
        <v>206</v>
      </c>
      <c r="DA152" s="1">
        <v>213</v>
      </c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</row>
    <row r="153" spans="1:198" x14ac:dyDescent="0.4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  <c r="BT153">
        <v>2</v>
      </c>
      <c r="BU153">
        <v>2</v>
      </c>
      <c r="BV153">
        <v>2</v>
      </c>
      <c r="BW153">
        <v>2</v>
      </c>
      <c r="BX153">
        <v>2</v>
      </c>
      <c r="BY153">
        <v>5</v>
      </c>
      <c r="BZ153">
        <v>5</v>
      </c>
      <c r="CA153">
        <v>5</v>
      </c>
      <c r="CB153">
        <v>16</v>
      </c>
      <c r="CC153">
        <v>16</v>
      </c>
      <c r="CD153">
        <v>16</v>
      </c>
      <c r="CE153">
        <v>16</v>
      </c>
      <c r="CF153">
        <v>44</v>
      </c>
      <c r="CG153">
        <v>44</v>
      </c>
      <c r="CH153">
        <v>44</v>
      </c>
      <c r="CI153">
        <v>44</v>
      </c>
      <c r="CJ153">
        <v>82</v>
      </c>
      <c r="CK153">
        <v>91</v>
      </c>
      <c r="CL153">
        <v>99</v>
      </c>
      <c r="CM153">
        <v>118</v>
      </c>
      <c r="CN153">
        <v>126</v>
      </c>
      <c r="CO153">
        <v>150</v>
      </c>
      <c r="CP153">
        <v>165</v>
      </c>
      <c r="CQ153">
        <v>204</v>
      </c>
      <c r="CR153">
        <v>223</v>
      </c>
      <c r="CS153">
        <v>249</v>
      </c>
      <c r="CT153">
        <v>282</v>
      </c>
      <c r="CU153" s="1">
        <v>286</v>
      </c>
      <c r="CV153" s="1">
        <v>303</v>
      </c>
      <c r="CW153" s="1">
        <v>339</v>
      </c>
      <c r="CX153" s="1">
        <v>351</v>
      </c>
      <c r="CY153" s="1">
        <v>383</v>
      </c>
      <c r="CZ153" s="1">
        <v>379</v>
      </c>
      <c r="DA153" s="1">
        <v>392</v>
      </c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</row>
    <row r="154" spans="1:198" x14ac:dyDescent="0.4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  <c r="BS154">
        <v>2</v>
      </c>
      <c r="BT154">
        <v>2</v>
      </c>
      <c r="BU154">
        <v>2</v>
      </c>
      <c r="BV154">
        <v>2</v>
      </c>
      <c r="BW154">
        <v>2</v>
      </c>
      <c r="BX154">
        <v>2</v>
      </c>
      <c r="BY154">
        <v>2</v>
      </c>
      <c r="BZ154">
        <v>2</v>
      </c>
      <c r="CA154">
        <v>2</v>
      </c>
      <c r="CB154">
        <v>2</v>
      </c>
      <c r="CC154">
        <v>2</v>
      </c>
      <c r="CD154">
        <v>2</v>
      </c>
      <c r="CE154">
        <v>2</v>
      </c>
      <c r="CF154">
        <v>2</v>
      </c>
      <c r="CG154">
        <v>2</v>
      </c>
      <c r="CH154">
        <v>2</v>
      </c>
      <c r="CI154">
        <v>2</v>
      </c>
      <c r="CJ154">
        <v>2</v>
      </c>
      <c r="CK154">
        <v>2</v>
      </c>
      <c r="CL154">
        <v>2</v>
      </c>
      <c r="CM154">
        <v>6</v>
      </c>
      <c r="CN154">
        <v>6</v>
      </c>
      <c r="CO154">
        <v>6</v>
      </c>
      <c r="CP154">
        <v>6</v>
      </c>
      <c r="CQ154">
        <v>6</v>
      </c>
      <c r="CR154">
        <v>6</v>
      </c>
      <c r="CS154">
        <v>6</v>
      </c>
      <c r="CT154">
        <v>6</v>
      </c>
      <c r="CU154" s="1">
        <v>6</v>
      </c>
      <c r="CV154" s="1">
        <v>6</v>
      </c>
      <c r="CW154" s="1">
        <v>6</v>
      </c>
      <c r="CX154" s="1">
        <v>6</v>
      </c>
      <c r="CY154" s="1">
        <v>6</v>
      </c>
      <c r="CZ154" s="1">
        <v>6</v>
      </c>
      <c r="DA154" s="1">
        <v>6</v>
      </c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</row>
    <row r="155" spans="1:198" x14ac:dyDescent="0.4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7</v>
      </c>
      <c r="BY155">
        <v>7</v>
      </c>
      <c r="BZ155">
        <v>7</v>
      </c>
      <c r="CA155">
        <v>8</v>
      </c>
      <c r="CB155">
        <v>19</v>
      </c>
      <c r="CC155">
        <v>23</v>
      </c>
      <c r="CD155">
        <v>23</v>
      </c>
      <c r="CE155">
        <v>28</v>
      </c>
      <c r="CF155">
        <v>42</v>
      </c>
      <c r="CG155">
        <v>42</v>
      </c>
      <c r="CH155">
        <v>51</v>
      </c>
      <c r="CI155">
        <v>65</v>
      </c>
      <c r="CJ155">
        <v>81</v>
      </c>
      <c r="CK155">
        <v>108</v>
      </c>
      <c r="CL155">
        <v>180</v>
      </c>
      <c r="CM155">
        <v>208</v>
      </c>
      <c r="CN155">
        <v>224</v>
      </c>
      <c r="CO155">
        <v>243</v>
      </c>
      <c r="CP155">
        <v>261</v>
      </c>
      <c r="CQ155">
        <v>266</v>
      </c>
      <c r="CR155">
        <v>285</v>
      </c>
      <c r="CS155">
        <v>295</v>
      </c>
      <c r="CT155">
        <v>299</v>
      </c>
      <c r="CU155" s="1">
        <v>302</v>
      </c>
      <c r="CV155" s="1">
        <v>303</v>
      </c>
      <c r="CW155" s="1">
        <v>306</v>
      </c>
      <c r="CX155" s="1">
        <v>310</v>
      </c>
      <c r="CY155" s="1">
        <v>312</v>
      </c>
      <c r="CZ155" s="1">
        <v>314</v>
      </c>
      <c r="DA155" s="1">
        <v>315</v>
      </c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</row>
    <row r="156" spans="1:198" x14ac:dyDescent="0.4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35</v>
      </c>
      <c r="BT156">
        <v>35</v>
      </c>
      <c r="BU156">
        <v>35</v>
      </c>
      <c r="BV156">
        <v>35</v>
      </c>
      <c r="BW156">
        <v>633</v>
      </c>
      <c r="BX156">
        <v>633</v>
      </c>
      <c r="BY156">
        <v>633</v>
      </c>
      <c r="BZ156">
        <v>633</v>
      </c>
      <c r="CA156">
        <v>633</v>
      </c>
      <c r="CB156">
        <v>633</v>
      </c>
      <c r="CC156">
        <v>633</v>
      </c>
      <c r="CD156">
        <v>633</v>
      </c>
      <c r="CE156">
        <v>633</v>
      </c>
      <c r="CF156">
        <v>1772</v>
      </c>
      <c r="CG156">
        <v>1843</v>
      </c>
      <c r="CH156">
        <v>1964</v>
      </c>
      <c r="CI156">
        <v>2125</v>
      </c>
      <c r="CJ156">
        <v>2125</v>
      </c>
      <c r="CK156">
        <v>2125</v>
      </c>
      <c r="CL156">
        <v>2125</v>
      </c>
      <c r="CM156">
        <v>2627</v>
      </c>
      <c r="CN156">
        <v>2627</v>
      </c>
      <c r="CO156">
        <v>2627</v>
      </c>
      <c r="CP156">
        <v>2627</v>
      </c>
      <c r="CQ156">
        <v>2627</v>
      </c>
      <c r="CR156">
        <v>2627</v>
      </c>
      <c r="CS156">
        <v>7149</v>
      </c>
      <c r="CT156">
        <v>8354</v>
      </c>
      <c r="CU156" s="1">
        <v>9086</v>
      </c>
      <c r="CV156" s="1">
        <v>11423</v>
      </c>
      <c r="CW156" s="1">
        <v>11423</v>
      </c>
      <c r="CX156" s="1">
        <v>11423</v>
      </c>
      <c r="CY156" s="1">
        <v>12377</v>
      </c>
      <c r="CZ156" s="1">
        <v>12377</v>
      </c>
      <c r="DA156" s="1">
        <v>13447</v>
      </c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</row>
    <row r="157" spans="1:198" x14ac:dyDescent="0.4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15</v>
      </c>
      <c r="BT157">
        <v>18</v>
      </c>
      <c r="BU157">
        <v>23</v>
      </c>
      <c r="BV157">
        <v>23</v>
      </c>
      <c r="BW157">
        <v>26</v>
      </c>
      <c r="BX157">
        <v>29</v>
      </c>
      <c r="BY157">
        <v>30</v>
      </c>
      <c r="BZ157">
        <v>37</v>
      </c>
      <c r="CA157">
        <v>40</v>
      </c>
      <c r="CB157">
        <v>40</v>
      </c>
      <c r="CC157">
        <v>50</v>
      </c>
      <c r="CD157">
        <v>56</v>
      </c>
      <c r="CE157">
        <v>75</v>
      </c>
      <c r="CF157">
        <v>94</v>
      </c>
      <c r="CG157">
        <v>107</v>
      </c>
      <c r="CH157">
        <v>134</v>
      </c>
      <c r="CI157">
        <v>171</v>
      </c>
      <c r="CJ157">
        <v>235</v>
      </c>
      <c r="CK157">
        <v>276</v>
      </c>
      <c r="CL157">
        <v>391</v>
      </c>
      <c r="CM157">
        <v>457</v>
      </c>
      <c r="CN157">
        <v>457</v>
      </c>
      <c r="CO157">
        <v>505</v>
      </c>
      <c r="CP157">
        <v>560</v>
      </c>
      <c r="CQ157">
        <v>661</v>
      </c>
      <c r="CR157">
        <v>755</v>
      </c>
      <c r="CS157">
        <v>825</v>
      </c>
      <c r="CT157">
        <v>895</v>
      </c>
      <c r="CU157" s="1">
        <v>925</v>
      </c>
      <c r="CV157" s="1">
        <v>975</v>
      </c>
      <c r="CW157" s="1">
        <v>1114</v>
      </c>
      <c r="CX157" s="1">
        <v>1182</v>
      </c>
      <c r="CY157" s="1">
        <v>1272</v>
      </c>
      <c r="CZ157" s="1">
        <v>1334</v>
      </c>
      <c r="DA157" s="1">
        <v>1382</v>
      </c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</row>
    <row r="158" spans="1:198" x14ac:dyDescent="0.4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2</v>
      </c>
      <c r="BU158">
        <v>2</v>
      </c>
      <c r="BV158">
        <v>2</v>
      </c>
      <c r="BW158">
        <v>3</v>
      </c>
      <c r="BX158">
        <v>3</v>
      </c>
      <c r="BY158">
        <v>3</v>
      </c>
      <c r="BZ158">
        <v>4</v>
      </c>
      <c r="CA158">
        <v>4</v>
      </c>
      <c r="CB158">
        <v>4</v>
      </c>
      <c r="CC158">
        <v>5</v>
      </c>
      <c r="CD158">
        <v>5</v>
      </c>
      <c r="CE158">
        <v>5</v>
      </c>
      <c r="CF158">
        <v>6</v>
      </c>
      <c r="CG158">
        <v>6</v>
      </c>
      <c r="CH158">
        <v>6</v>
      </c>
      <c r="CI158">
        <v>12</v>
      </c>
      <c r="CJ158">
        <v>12</v>
      </c>
      <c r="CK158">
        <v>20</v>
      </c>
      <c r="CL158">
        <v>22</v>
      </c>
      <c r="CM158">
        <v>22</v>
      </c>
      <c r="CN158">
        <v>23</v>
      </c>
      <c r="CO158">
        <v>26</v>
      </c>
      <c r="CP158">
        <v>26</v>
      </c>
      <c r="CQ158">
        <v>35</v>
      </c>
      <c r="CR158">
        <v>41</v>
      </c>
      <c r="CS158">
        <v>42</v>
      </c>
      <c r="CT158">
        <v>42</v>
      </c>
      <c r="CU158" s="1">
        <v>42</v>
      </c>
      <c r="CV158" s="1">
        <v>50</v>
      </c>
      <c r="CW158" s="1">
        <v>58</v>
      </c>
      <c r="CX158" s="1">
        <v>64</v>
      </c>
      <c r="CY158" s="1">
        <v>73</v>
      </c>
      <c r="CZ158" s="1">
        <v>78</v>
      </c>
      <c r="DA158" s="1">
        <v>78</v>
      </c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</row>
    <row r="159" spans="1:198" x14ac:dyDescent="0.4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4</v>
      </c>
      <c r="CB159">
        <v>4</v>
      </c>
      <c r="CC159">
        <v>4</v>
      </c>
      <c r="CD159">
        <v>4</v>
      </c>
      <c r="CE159">
        <v>4</v>
      </c>
      <c r="CF159">
        <v>4</v>
      </c>
      <c r="CG159">
        <v>4</v>
      </c>
      <c r="CH159">
        <v>5</v>
      </c>
      <c r="CI159">
        <v>5</v>
      </c>
      <c r="CJ159">
        <v>5</v>
      </c>
      <c r="CK159">
        <v>5</v>
      </c>
      <c r="CL159">
        <v>5</v>
      </c>
      <c r="CM159">
        <v>7</v>
      </c>
      <c r="CN159">
        <v>7</v>
      </c>
      <c r="CO159">
        <v>8</v>
      </c>
      <c r="CP159">
        <v>8</v>
      </c>
      <c r="CQ159">
        <v>9</v>
      </c>
      <c r="CR159">
        <v>9</v>
      </c>
      <c r="CS159">
        <v>9</v>
      </c>
      <c r="CT159">
        <v>9</v>
      </c>
      <c r="CU159" s="1">
        <v>10</v>
      </c>
      <c r="CV159" s="1">
        <v>10</v>
      </c>
      <c r="CW159" s="1">
        <v>10</v>
      </c>
      <c r="CX159" s="1">
        <v>10</v>
      </c>
      <c r="CY159" s="1">
        <v>10</v>
      </c>
      <c r="CZ159" s="1">
        <v>10</v>
      </c>
      <c r="DA159" s="1">
        <v>10</v>
      </c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</row>
    <row r="160" spans="1:198" x14ac:dyDescent="0.4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1</v>
      </c>
      <c r="BX160">
        <v>1</v>
      </c>
      <c r="BY160">
        <v>1</v>
      </c>
      <c r="BZ160">
        <v>1</v>
      </c>
      <c r="CA160">
        <v>4</v>
      </c>
      <c r="CB160">
        <v>4</v>
      </c>
      <c r="CC160">
        <v>4</v>
      </c>
      <c r="CD160">
        <v>4</v>
      </c>
      <c r="CE160">
        <v>5</v>
      </c>
      <c r="CF160">
        <v>5</v>
      </c>
      <c r="CG160">
        <v>5</v>
      </c>
      <c r="CH160">
        <v>46</v>
      </c>
      <c r="CI160">
        <v>55</v>
      </c>
      <c r="CJ160">
        <v>55</v>
      </c>
      <c r="CK160">
        <v>55</v>
      </c>
      <c r="CL160">
        <v>55</v>
      </c>
      <c r="CM160">
        <v>55</v>
      </c>
      <c r="CN160">
        <v>88</v>
      </c>
      <c r="CO160">
        <v>101</v>
      </c>
      <c r="CP160">
        <v>116</v>
      </c>
      <c r="CQ160">
        <v>123</v>
      </c>
      <c r="CR160">
        <v>123</v>
      </c>
      <c r="CS160">
        <v>153</v>
      </c>
      <c r="CT160">
        <v>153</v>
      </c>
      <c r="CU160" s="1">
        <v>189</v>
      </c>
      <c r="CV160" s="1">
        <v>199</v>
      </c>
      <c r="CW160" s="1">
        <v>203</v>
      </c>
      <c r="CX160" s="1">
        <v>214</v>
      </c>
      <c r="CY160" s="1">
        <v>233</v>
      </c>
      <c r="CZ160" s="1">
        <v>245</v>
      </c>
      <c r="DA160" s="1">
        <v>249</v>
      </c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</row>
    <row r="161" spans="1:198" x14ac:dyDescent="0.4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  <c r="BS161">
        <v>15</v>
      </c>
      <c r="BT161">
        <v>24</v>
      </c>
      <c r="BU161">
        <v>29</v>
      </c>
      <c r="BV161">
        <v>31</v>
      </c>
      <c r="BW161">
        <v>57</v>
      </c>
      <c r="BX161">
        <v>66</v>
      </c>
      <c r="BY161">
        <v>76</v>
      </c>
      <c r="BZ161">
        <v>81</v>
      </c>
      <c r="CA161">
        <v>93</v>
      </c>
      <c r="CB161">
        <v>97</v>
      </c>
      <c r="CC161">
        <v>109</v>
      </c>
      <c r="CD161">
        <v>122</v>
      </c>
      <c r="CE161">
        <v>146</v>
      </c>
      <c r="CF161">
        <v>177</v>
      </c>
      <c r="CG161">
        <v>203</v>
      </c>
      <c r="CH161">
        <v>217</v>
      </c>
      <c r="CI161">
        <v>229</v>
      </c>
      <c r="CJ161">
        <v>249</v>
      </c>
      <c r="CK161">
        <v>281</v>
      </c>
      <c r="CL161">
        <v>314</v>
      </c>
      <c r="CM161">
        <v>327</v>
      </c>
      <c r="CN161">
        <v>350</v>
      </c>
      <c r="CO161">
        <v>393</v>
      </c>
      <c r="CP161">
        <v>417</v>
      </c>
      <c r="CQ161">
        <v>456</v>
      </c>
      <c r="CR161">
        <v>486</v>
      </c>
      <c r="CS161">
        <v>537</v>
      </c>
      <c r="CT161">
        <v>593</v>
      </c>
      <c r="CU161" s="1">
        <v>695</v>
      </c>
      <c r="CV161" s="1">
        <v>778</v>
      </c>
      <c r="CW161" s="1">
        <v>928</v>
      </c>
      <c r="CX161" s="1">
        <v>984</v>
      </c>
      <c r="CY161" s="1">
        <v>1083</v>
      </c>
      <c r="CZ161" s="1">
        <v>1256</v>
      </c>
      <c r="DA161" s="1">
        <v>1438</v>
      </c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</row>
    <row r="162" spans="1:198" x14ac:dyDescent="0.4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2</v>
      </c>
      <c r="CE162">
        <v>2</v>
      </c>
      <c r="CF162">
        <v>2</v>
      </c>
      <c r="CG162">
        <v>2</v>
      </c>
      <c r="CH162">
        <v>2</v>
      </c>
      <c r="CI162">
        <v>2</v>
      </c>
      <c r="CJ162">
        <v>2</v>
      </c>
      <c r="CK162">
        <v>2</v>
      </c>
      <c r="CL162">
        <v>4</v>
      </c>
      <c r="CM162">
        <v>8</v>
      </c>
      <c r="CN162">
        <v>8</v>
      </c>
      <c r="CO162">
        <v>8</v>
      </c>
      <c r="CP162">
        <v>8</v>
      </c>
      <c r="CQ162">
        <v>9</v>
      </c>
      <c r="CR162">
        <v>12</v>
      </c>
      <c r="CS162">
        <v>12</v>
      </c>
      <c r="CT162">
        <v>12</v>
      </c>
      <c r="CU162" s="1">
        <v>12</v>
      </c>
      <c r="CV162" s="1">
        <v>12</v>
      </c>
      <c r="CW162" s="1">
        <v>12</v>
      </c>
      <c r="CX162" s="1">
        <v>12</v>
      </c>
      <c r="CY162" s="1">
        <v>12</v>
      </c>
      <c r="CZ162" s="1">
        <v>18</v>
      </c>
      <c r="DA162" s="1">
        <v>19</v>
      </c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</row>
    <row r="163" spans="1:198" x14ac:dyDescent="0.4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3</v>
      </c>
      <c r="BW163">
        <v>3</v>
      </c>
      <c r="BX163">
        <v>3</v>
      </c>
      <c r="BY163">
        <v>3</v>
      </c>
      <c r="BZ163">
        <v>3</v>
      </c>
      <c r="CA163">
        <v>3</v>
      </c>
      <c r="CB163">
        <v>3</v>
      </c>
      <c r="CC163">
        <v>3</v>
      </c>
      <c r="CD163">
        <v>3</v>
      </c>
      <c r="CE163">
        <v>3</v>
      </c>
      <c r="CF163">
        <v>3</v>
      </c>
      <c r="CG163">
        <v>3</v>
      </c>
      <c r="CH163">
        <v>3</v>
      </c>
      <c r="CI163">
        <v>3</v>
      </c>
      <c r="CJ163">
        <v>4</v>
      </c>
      <c r="CK163">
        <v>4</v>
      </c>
      <c r="CL163">
        <v>6</v>
      </c>
      <c r="CM163">
        <v>6</v>
      </c>
      <c r="CN163">
        <v>6</v>
      </c>
      <c r="CO163">
        <v>6</v>
      </c>
      <c r="CP163">
        <v>6</v>
      </c>
      <c r="CQ163">
        <v>7</v>
      </c>
      <c r="CR163">
        <v>7</v>
      </c>
      <c r="CS163">
        <v>7</v>
      </c>
      <c r="CT163">
        <v>8</v>
      </c>
      <c r="CU163" s="1">
        <v>8</v>
      </c>
      <c r="CV163" s="1">
        <v>8</v>
      </c>
      <c r="CW163" s="1">
        <v>8</v>
      </c>
      <c r="CX163" s="1">
        <v>8</v>
      </c>
      <c r="CY163" s="1">
        <v>8</v>
      </c>
      <c r="CZ163" s="1">
        <v>8</v>
      </c>
      <c r="DA163" s="1">
        <v>8</v>
      </c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</row>
    <row r="164" spans="1:198" x14ac:dyDescent="0.4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1</v>
      </c>
      <c r="BW164">
        <v>1</v>
      </c>
      <c r="BX164">
        <v>1</v>
      </c>
      <c r="BY164">
        <v>1</v>
      </c>
      <c r="BZ164">
        <v>1</v>
      </c>
      <c r="CA164">
        <v>1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1</v>
      </c>
      <c r="CJ164">
        <v>2</v>
      </c>
      <c r="CK164">
        <v>2</v>
      </c>
      <c r="CL164">
        <v>2</v>
      </c>
      <c r="CM164">
        <v>4</v>
      </c>
      <c r="CN164">
        <v>4</v>
      </c>
      <c r="CO164">
        <v>4</v>
      </c>
      <c r="CP164">
        <v>7</v>
      </c>
      <c r="CQ164">
        <v>10</v>
      </c>
      <c r="CR164">
        <v>11</v>
      </c>
      <c r="CS164">
        <v>12</v>
      </c>
      <c r="CT164">
        <v>16</v>
      </c>
      <c r="CU164" s="1">
        <v>16</v>
      </c>
      <c r="CV164" s="1">
        <v>16</v>
      </c>
      <c r="CW164" s="1">
        <v>16</v>
      </c>
      <c r="CX164" s="1">
        <v>16</v>
      </c>
      <c r="CY164" s="1">
        <v>16</v>
      </c>
      <c r="CZ164" s="1">
        <v>16</v>
      </c>
      <c r="DA164" s="1">
        <v>16</v>
      </c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</row>
    <row r="165" spans="1:198" x14ac:dyDescent="0.4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  <c r="BU165">
        <v>1</v>
      </c>
      <c r="BV165">
        <v>1</v>
      </c>
      <c r="BW165">
        <v>1</v>
      </c>
      <c r="BX165">
        <v>1</v>
      </c>
      <c r="BY165">
        <v>1</v>
      </c>
      <c r="BZ165">
        <v>2</v>
      </c>
      <c r="CA165">
        <v>14</v>
      </c>
      <c r="CB165">
        <v>14</v>
      </c>
      <c r="CC165">
        <v>20</v>
      </c>
      <c r="CD165">
        <v>27</v>
      </c>
      <c r="CE165">
        <v>29</v>
      </c>
      <c r="CF165">
        <v>32</v>
      </c>
      <c r="CG165">
        <v>32</v>
      </c>
      <c r="CH165">
        <v>32</v>
      </c>
      <c r="CI165">
        <v>39</v>
      </c>
      <c r="CJ165">
        <v>39</v>
      </c>
      <c r="CK165">
        <v>43</v>
      </c>
      <c r="CL165">
        <v>44</v>
      </c>
      <c r="CM165">
        <v>49</v>
      </c>
      <c r="CN165">
        <v>49</v>
      </c>
      <c r="CO165">
        <v>51</v>
      </c>
      <c r="CP165">
        <v>68</v>
      </c>
      <c r="CQ165">
        <v>68</v>
      </c>
      <c r="CR165">
        <v>69</v>
      </c>
      <c r="CS165">
        <v>69</v>
      </c>
      <c r="CT165">
        <v>73</v>
      </c>
      <c r="CU165" s="1">
        <v>73</v>
      </c>
      <c r="CV165" s="1">
        <v>73</v>
      </c>
      <c r="CW165" s="1">
        <v>73</v>
      </c>
      <c r="CX165" s="1">
        <v>79</v>
      </c>
      <c r="CY165" s="1">
        <v>81</v>
      </c>
      <c r="CZ165" s="1">
        <v>81</v>
      </c>
      <c r="DA165" s="1">
        <v>81</v>
      </c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</row>
    <row r="166" spans="1:198" x14ac:dyDescent="0.4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3</v>
      </c>
      <c r="BV166">
        <v>3</v>
      </c>
      <c r="BW166">
        <v>3</v>
      </c>
      <c r="BX166">
        <v>5</v>
      </c>
      <c r="BY166">
        <v>5</v>
      </c>
      <c r="BZ166">
        <v>5</v>
      </c>
      <c r="CA166">
        <v>7</v>
      </c>
      <c r="CB166">
        <v>7</v>
      </c>
      <c r="CC166">
        <v>7</v>
      </c>
      <c r="CD166">
        <v>7</v>
      </c>
      <c r="CE166">
        <v>7</v>
      </c>
      <c r="CF166">
        <v>8</v>
      </c>
      <c r="CG166">
        <v>8</v>
      </c>
      <c r="CH166">
        <v>10</v>
      </c>
      <c r="CI166">
        <v>10</v>
      </c>
      <c r="CJ166">
        <v>10</v>
      </c>
      <c r="CK166">
        <v>10</v>
      </c>
      <c r="CL166">
        <v>11</v>
      </c>
      <c r="CM166">
        <v>11</v>
      </c>
      <c r="CN166">
        <v>11</v>
      </c>
      <c r="CO166">
        <v>11</v>
      </c>
      <c r="CP166">
        <v>11</v>
      </c>
      <c r="CQ166">
        <v>11</v>
      </c>
      <c r="CR166">
        <v>11</v>
      </c>
      <c r="CS166">
        <v>11</v>
      </c>
      <c r="CT166">
        <v>11</v>
      </c>
      <c r="CU166" s="1">
        <v>11</v>
      </c>
      <c r="CV166" s="1">
        <v>11</v>
      </c>
      <c r="CW166" s="1">
        <v>13</v>
      </c>
      <c r="CX166" s="1">
        <v>13</v>
      </c>
      <c r="CY166" s="1">
        <v>13</v>
      </c>
      <c r="CZ166" s="1">
        <v>13</v>
      </c>
      <c r="DA166" s="1">
        <v>13</v>
      </c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</row>
    <row r="167" spans="1:198" x14ac:dyDescent="0.4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6</v>
      </c>
      <c r="BV167">
        <v>6</v>
      </c>
      <c r="BW167">
        <v>6</v>
      </c>
      <c r="BX167">
        <v>6</v>
      </c>
      <c r="BY167">
        <v>1</v>
      </c>
      <c r="BZ167">
        <v>1</v>
      </c>
      <c r="CA167">
        <v>1</v>
      </c>
      <c r="CB167">
        <v>1</v>
      </c>
      <c r="CC167">
        <v>1</v>
      </c>
      <c r="CD167">
        <v>3</v>
      </c>
      <c r="CE167">
        <v>5</v>
      </c>
      <c r="CF167">
        <v>5</v>
      </c>
      <c r="CG167">
        <v>5</v>
      </c>
      <c r="CH167">
        <v>5</v>
      </c>
      <c r="CI167">
        <v>5</v>
      </c>
      <c r="CJ167">
        <v>12</v>
      </c>
      <c r="CK167">
        <v>12</v>
      </c>
      <c r="CL167">
        <v>12</v>
      </c>
      <c r="CM167">
        <v>12</v>
      </c>
      <c r="CN167">
        <v>12</v>
      </c>
      <c r="CO167">
        <v>12</v>
      </c>
      <c r="CP167">
        <v>22</v>
      </c>
      <c r="CQ167">
        <v>22</v>
      </c>
      <c r="CR167">
        <v>22</v>
      </c>
      <c r="CS167">
        <v>22</v>
      </c>
      <c r="CT167">
        <v>33</v>
      </c>
      <c r="CU167" s="1">
        <v>33</v>
      </c>
      <c r="CV167" s="1">
        <v>33</v>
      </c>
      <c r="CW167" s="1">
        <v>33</v>
      </c>
      <c r="CX167" s="1">
        <v>33</v>
      </c>
      <c r="CY167" s="1">
        <v>44</v>
      </c>
      <c r="CZ167" s="1">
        <v>44</v>
      </c>
      <c r="DA167" s="1">
        <v>44</v>
      </c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</row>
    <row r="168" spans="1:198" x14ac:dyDescent="0.4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  <c r="BS168">
        <v>250</v>
      </c>
      <c r="BT168">
        <v>250</v>
      </c>
      <c r="BU168">
        <v>250</v>
      </c>
      <c r="BV168">
        <v>250</v>
      </c>
      <c r="BW168">
        <v>250</v>
      </c>
      <c r="BX168">
        <v>250</v>
      </c>
      <c r="BY168">
        <v>250</v>
      </c>
      <c r="BZ168">
        <v>250</v>
      </c>
      <c r="CA168">
        <v>250</v>
      </c>
      <c r="CB168">
        <v>250</v>
      </c>
      <c r="CC168">
        <v>250</v>
      </c>
      <c r="CD168">
        <v>250</v>
      </c>
      <c r="CE168">
        <v>250</v>
      </c>
      <c r="CF168">
        <v>250</v>
      </c>
      <c r="CG168">
        <v>250</v>
      </c>
      <c r="CH168">
        <v>250</v>
      </c>
      <c r="CI168">
        <v>250</v>
      </c>
      <c r="CJ168">
        <v>250</v>
      </c>
      <c r="CK168">
        <v>250</v>
      </c>
      <c r="CL168">
        <v>250</v>
      </c>
      <c r="CM168">
        <v>250</v>
      </c>
      <c r="CN168">
        <v>250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 s="1">
        <v>0</v>
      </c>
      <c r="CV168" s="1">
        <v>0</v>
      </c>
      <c r="CW168" s="1">
        <v>0</v>
      </c>
      <c r="CX168" s="1">
        <v>0</v>
      </c>
      <c r="CY168" s="1">
        <v>0</v>
      </c>
      <c r="CZ168" s="1">
        <v>0</v>
      </c>
      <c r="DA168" s="1">
        <v>0</v>
      </c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</row>
    <row r="169" spans="1:198" x14ac:dyDescent="0.4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  <c r="BS169">
        <v>63</v>
      </c>
      <c r="BT169">
        <v>74</v>
      </c>
      <c r="BU169">
        <v>83</v>
      </c>
      <c r="BV169">
        <v>92</v>
      </c>
      <c r="BW169">
        <v>103</v>
      </c>
      <c r="BX169">
        <v>127</v>
      </c>
      <c r="BY169">
        <v>156</v>
      </c>
      <c r="BZ169">
        <v>176</v>
      </c>
      <c r="CA169">
        <v>241</v>
      </c>
      <c r="CB169">
        <v>282</v>
      </c>
      <c r="CC169">
        <v>317</v>
      </c>
      <c r="CD169">
        <v>373</v>
      </c>
      <c r="CE169">
        <v>422</v>
      </c>
      <c r="CF169">
        <v>471</v>
      </c>
      <c r="CG169">
        <v>546</v>
      </c>
      <c r="CH169">
        <v>628</v>
      </c>
      <c r="CI169">
        <v>728</v>
      </c>
      <c r="CJ169">
        <v>770</v>
      </c>
      <c r="CK169">
        <v>816</v>
      </c>
      <c r="CL169">
        <v>867</v>
      </c>
      <c r="CM169">
        <v>912</v>
      </c>
      <c r="CN169">
        <v>974</v>
      </c>
      <c r="CO169">
        <v>1006</v>
      </c>
      <c r="CP169">
        <v>1036</v>
      </c>
      <c r="CQ169">
        <v>1095</v>
      </c>
      <c r="CR169">
        <v>1118</v>
      </c>
      <c r="CS169">
        <v>1142</v>
      </c>
      <c r="CT169">
        <v>1180</v>
      </c>
      <c r="CU169" s="1">
        <v>1214</v>
      </c>
      <c r="CV169" s="1">
        <v>1229</v>
      </c>
      <c r="CW169" s="1">
        <v>1241</v>
      </c>
      <c r="CX169" s="1">
        <v>1252</v>
      </c>
      <c r="CY169" s="1">
        <v>1263</v>
      </c>
      <c r="CZ169" s="1">
        <v>1266</v>
      </c>
      <c r="DA169" s="1">
        <v>1276</v>
      </c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</row>
    <row r="170" spans="1:198" x14ac:dyDescent="0.4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4</v>
      </c>
      <c r="CG170">
        <v>4</v>
      </c>
      <c r="CH170">
        <v>4</v>
      </c>
      <c r="CI170">
        <v>4</v>
      </c>
      <c r="CJ170">
        <v>4</v>
      </c>
      <c r="CK170">
        <v>4</v>
      </c>
      <c r="CL170">
        <v>6</v>
      </c>
      <c r="CM170">
        <v>6</v>
      </c>
      <c r="CN170">
        <v>6</v>
      </c>
      <c r="CO170">
        <v>7</v>
      </c>
      <c r="CP170">
        <v>7</v>
      </c>
      <c r="CQ170">
        <v>7</v>
      </c>
      <c r="CR170">
        <v>7</v>
      </c>
      <c r="CS170">
        <v>7</v>
      </c>
      <c r="CT170">
        <v>7</v>
      </c>
      <c r="CU170" s="1">
        <v>7</v>
      </c>
      <c r="CV170" s="1">
        <v>7</v>
      </c>
      <c r="CW170" s="1">
        <v>7</v>
      </c>
      <c r="CX170" s="1">
        <v>7</v>
      </c>
      <c r="CY170" s="1">
        <v>7</v>
      </c>
      <c r="CZ170" s="1">
        <v>7</v>
      </c>
      <c r="DA170" s="1">
        <v>7</v>
      </c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</row>
    <row r="171" spans="1:198" x14ac:dyDescent="0.4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13</v>
      </c>
      <c r="BZ171">
        <v>26</v>
      </c>
      <c r="CA171">
        <v>26</v>
      </c>
      <c r="CB171">
        <v>28</v>
      </c>
      <c r="CC171">
        <v>40</v>
      </c>
      <c r="CD171">
        <v>41</v>
      </c>
      <c r="CE171">
        <v>41</v>
      </c>
      <c r="CF171">
        <v>75</v>
      </c>
      <c r="CG171">
        <v>75</v>
      </c>
      <c r="CH171">
        <v>90</v>
      </c>
      <c r="CI171">
        <v>90</v>
      </c>
      <c r="CJ171">
        <v>90</v>
      </c>
      <c r="CK171">
        <v>110</v>
      </c>
      <c r="CL171">
        <v>113</v>
      </c>
      <c r="CM171">
        <v>117</v>
      </c>
      <c r="CN171">
        <v>117</v>
      </c>
      <c r="CO171">
        <v>127</v>
      </c>
      <c r="CP171">
        <v>193</v>
      </c>
      <c r="CQ171">
        <v>256</v>
      </c>
      <c r="CR171">
        <v>289</v>
      </c>
      <c r="CS171">
        <v>325</v>
      </c>
      <c r="CT171">
        <v>350</v>
      </c>
      <c r="CU171" s="1">
        <v>385</v>
      </c>
      <c r="CV171" s="1">
        <v>403</v>
      </c>
      <c r="CW171" s="1">
        <v>435</v>
      </c>
      <c r="CX171" s="1">
        <v>452</v>
      </c>
      <c r="CY171" s="1">
        <v>478</v>
      </c>
      <c r="CZ171" s="1">
        <v>507</v>
      </c>
      <c r="DA171" s="1">
        <v>518</v>
      </c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</row>
    <row r="172" spans="1:198" x14ac:dyDescent="0.4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  <c r="BS172">
        <v>8</v>
      </c>
      <c r="BT172">
        <v>8</v>
      </c>
      <c r="BU172">
        <v>9</v>
      </c>
      <c r="BV172">
        <v>20</v>
      </c>
      <c r="BW172">
        <v>25</v>
      </c>
      <c r="BX172">
        <v>25</v>
      </c>
      <c r="BY172">
        <v>33</v>
      </c>
      <c r="BZ172">
        <v>35</v>
      </c>
      <c r="CA172">
        <v>44</v>
      </c>
      <c r="CB172">
        <v>44</v>
      </c>
      <c r="CC172">
        <v>51</v>
      </c>
      <c r="CD172">
        <v>58</v>
      </c>
      <c r="CE172">
        <v>70</v>
      </c>
      <c r="CF172">
        <v>85</v>
      </c>
      <c r="CG172">
        <v>91</v>
      </c>
      <c r="CH172">
        <v>99</v>
      </c>
      <c r="CI172">
        <v>128</v>
      </c>
      <c r="CJ172">
        <v>152</v>
      </c>
      <c r="CK172">
        <v>159</v>
      </c>
      <c r="CL172">
        <v>166</v>
      </c>
      <c r="CM172">
        <v>170</v>
      </c>
      <c r="CN172">
        <v>188</v>
      </c>
      <c r="CO172">
        <v>188</v>
      </c>
      <c r="CP172">
        <v>197</v>
      </c>
      <c r="CQ172">
        <v>197</v>
      </c>
      <c r="CR172">
        <v>208</v>
      </c>
      <c r="CS172">
        <v>222</v>
      </c>
      <c r="CT172">
        <v>239</v>
      </c>
      <c r="CU172" s="1">
        <v>255</v>
      </c>
      <c r="CV172" s="1">
        <v>255</v>
      </c>
      <c r="CW172" s="1">
        <v>307</v>
      </c>
      <c r="CX172" s="1">
        <v>319</v>
      </c>
      <c r="CY172" s="1">
        <v>351</v>
      </c>
      <c r="CZ172" s="1">
        <v>351</v>
      </c>
      <c r="DA172" s="1">
        <v>400</v>
      </c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</row>
    <row r="173" spans="1:198" x14ac:dyDescent="0.4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  <c r="BS173">
        <v>12</v>
      </c>
      <c r="BT173">
        <v>12</v>
      </c>
      <c r="BU173">
        <v>17</v>
      </c>
      <c r="BV173">
        <v>17</v>
      </c>
      <c r="BW173">
        <v>20</v>
      </c>
      <c r="BX173">
        <v>20</v>
      </c>
      <c r="BY173">
        <v>23</v>
      </c>
      <c r="BZ173">
        <v>30</v>
      </c>
      <c r="CA173">
        <v>30</v>
      </c>
      <c r="CB173">
        <v>35</v>
      </c>
      <c r="CC173">
        <v>37</v>
      </c>
      <c r="CD173">
        <v>41</v>
      </c>
      <c r="CE173">
        <v>41</v>
      </c>
      <c r="CF173">
        <v>41</v>
      </c>
      <c r="CG173">
        <v>44</v>
      </c>
      <c r="CH173">
        <v>86</v>
      </c>
      <c r="CI173">
        <v>98</v>
      </c>
      <c r="CJ173">
        <v>121</v>
      </c>
      <c r="CK173">
        <v>139</v>
      </c>
      <c r="CL173">
        <v>164</v>
      </c>
      <c r="CM173">
        <v>179</v>
      </c>
      <c r="CN173">
        <v>200</v>
      </c>
      <c r="CO173">
        <v>224</v>
      </c>
      <c r="CP173">
        <v>272</v>
      </c>
      <c r="CQ173">
        <v>301</v>
      </c>
      <c r="CR173">
        <v>337</v>
      </c>
      <c r="CS173">
        <v>374</v>
      </c>
      <c r="CT173">
        <v>500</v>
      </c>
      <c r="CU173" s="1">
        <v>553</v>
      </c>
      <c r="CV173" s="1">
        <v>589</v>
      </c>
      <c r="CW173" s="1">
        <v>627</v>
      </c>
      <c r="CX173" s="1">
        <v>738</v>
      </c>
      <c r="CY173" s="1">
        <v>807</v>
      </c>
      <c r="CZ173" s="1">
        <v>852</v>
      </c>
      <c r="DA173" s="1">
        <v>945</v>
      </c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</row>
    <row r="174" spans="1:198" x14ac:dyDescent="0.4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  <c r="BS174">
        <v>12</v>
      </c>
      <c r="BT174">
        <v>13</v>
      </c>
      <c r="BU174">
        <v>13</v>
      </c>
      <c r="BV174">
        <v>32</v>
      </c>
      <c r="BW174">
        <v>32</v>
      </c>
      <c r="BX174">
        <v>32</v>
      </c>
      <c r="BY174">
        <v>32</v>
      </c>
      <c r="BZ174">
        <v>32</v>
      </c>
      <c r="CA174">
        <v>32</v>
      </c>
      <c r="CB174">
        <v>32</v>
      </c>
      <c r="CC174">
        <v>32</v>
      </c>
      <c r="CD174">
        <v>32</v>
      </c>
      <c r="CE174">
        <v>32</v>
      </c>
      <c r="CF174">
        <v>32</v>
      </c>
      <c r="CG174">
        <v>32</v>
      </c>
      <c r="CH174">
        <v>32</v>
      </c>
      <c r="CI174">
        <v>32</v>
      </c>
      <c r="CJ174">
        <v>32</v>
      </c>
      <c r="CK174">
        <v>32</v>
      </c>
      <c r="CL174">
        <v>32</v>
      </c>
      <c r="CM174">
        <v>32</v>
      </c>
      <c r="CN174">
        <v>32</v>
      </c>
      <c r="CO174">
        <v>32</v>
      </c>
      <c r="CP174">
        <v>32</v>
      </c>
      <c r="CQ174">
        <v>32</v>
      </c>
      <c r="CR174">
        <v>32</v>
      </c>
      <c r="CS174">
        <v>32</v>
      </c>
      <c r="CT174">
        <v>32</v>
      </c>
      <c r="CU174" s="1">
        <v>32</v>
      </c>
      <c r="CV174" s="1">
        <v>32</v>
      </c>
      <c r="CW174" s="1">
        <v>32</v>
      </c>
      <c r="CX174" s="1">
        <v>32</v>
      </c>
      <c r="CY174" s="1">
        <v>32</v>
      </c>
      <c r="CZ174" s="1">
        <v>32</v>
      </c>
      <c r="DA174" s="1">
        <v>32</v>
      </c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</row>
    <row r="175" spans="1:198" x14ac:dyDescent="0.4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  <c r="BS175">
        <v>29</v>
      </c>
      <c r="BT175">
        <v>34</v>
      </c>
      <c r="BU175">
        <v>34</v>
      </c>
      <c r="BV175">
        <v>57</v>
      </c>
      <c r="BW175">
        <v>57</v>
      </c>
      <c r="BX175">
        <v>61</v>
      </c>
      <c r="BY175">
        <v>61</v>
      </c>
      <c r="BZ175">
        <v>61</v>
      </c>
      <c r="CA175">
        <v>67</v>
      </c>
      <c r="CB175">
        <v>72</v>
      </c>
      <c r="CC175">
        <v>109</v>
      </c>
      <c r="CD175">
        <v>109</v>
      </c>
      <c r="CE175">
        <v>109</v>
      </c>
      <c r="CF175">
        <v>109</v>
      </c>
      <c r="CG175">
        <v>124</v>
      </c>
      <c r="CH175">
        <v>130</v>
      </c>
      <c r="CI175">
        <v>131</v>
      </c>
      <c r="CJ175">
        <v>176</v>
      </c>
      <c r="CK175">
        <v>176</v>
      </c>
      <c r="CL175">
        <v>176</v>
      </c>
      <c r="CM175">
        <v>233</v>
      </c>
      <c r="CN175">
        <v>238</v>
      </c>
      <c r="CO175">
        <v>238</v>
      </c>
      <c r="CP175">
        <v>238</v>
      </c>
      <c r="CQ175">
        <v>307</v>
      </c>
      <c r="CR175">
        <v>325</v>
      </c>
      <c r="CS175">
        <v>329</v>
      </c>
      <c r="CT175">
        <v>333</v>
      </c>
      <c r="CU175" s="1">
        <v>364</v>
      </c>
      <c r="CV175" s="1">
        <v>364</v>
      </c>
      <c r="CW175" s="1">
        <v>364</v>
      </c>
      <c r="CX175" s="1">
        <v>495</v>
      </c>
      <c r="CY175" s="1">
        <v>495</v>
      </c>
      <c r="CZ175" s="1">
        <v>750</v>
      </c>
      <c r="DA175" s="1">
        <v>750</v>
      </c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</row>
    <row r="176" spans="1:198" x14ac:dyDescent="0.4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  <c r="BS176">
        <v>76</v>
      </c>
      <c r="BT176">
        <v>76</v>
      </c>
      <c r="BU176">
        <v>94</v>
      </c>
      <c r="BV176">
        <v>125</v>
      </c>
      <c r="BW176">
        <v>126</v>
      </c>
      <c r="BX176">
        <v>131</v>
      </c>
      <c r="BY176">
        <v>211</v>
      </c>
      <c r="BZ176">
        <v>259</v>
      </c>
      <c r="CA176">
        <v>429</v>
      </c>
      <c r="CB176">
        <v>467</v>
      </c>
      <c r="CC176">
        <v>572</v>
      </c>
      <c r="CD176">
        <v>727</v>
      </c>
      <c r="CE176">
        <v>762</v>
      </c>
      <c r="CF176">
        <v>1028</v>
      </c>
      <c r="CG176">
        <v>1095</v>
      </c>
      <c r="CH176">
        <v>1378</v>
      </c>
      <c r="CI176">
        <v>1446</v>
      </c>
      <c r="CJ176">
        <v>1645</v>
      </c>
      <c r="CK176">
        <v>1765</v>
      </c>
      <c r="CL176">
        <v>1832</v>
      </c>
      <c r="CM176">
        <v>1868</v>
      </c>
      <c r="CN176">
        <v>1970</v>
      </c>
      <c r="CO176">
        <v>2073</v>
      </c>
      <c r="CP176">
        <v>2156</v>
      </c>
      <c r="CQ176">
        <v>2527</v>
      </c>
      <c r="CR176">
        <v>2755</v>
      </c>
      <c r="CS176">
        <v>2866</v>
      </c>
      <c r="CT176">
        <v>2936</v>
      </c>
      <c r="CU176" s="1">
        <v>3029</v>
      </c>
      <c r="CV176" s="1">
        <v>3233</v>
      </c>
      <c r="CW176" s="1">
        <v>3425</v>
      </c>
      <c r="CX176" s="1">
        <v>4315</v>
      </c>
      <c r="CY176" s="1">
        <v>4715</v>
      </c>
      <c r="CZ176" s="1">
        <v>4817</v>
      </c>
      <c r="DA176" s="1">
        <v>5114</v>
      </c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</row>
    <row r="177" spans="1:198" x14ac:dyDescent="0.4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  <c r="BS177">
        <v>4</v>
      </c>
      <c r="BT177">
        <v>9</v>
      </c>
      <c r="BU177">
        <v>9</v>
      </c>
      <c r="BV177">
        <v>9</v>
      </c>
      <c r="BW177">
        <v>10</v>
      </c>
      <c r="BX177">
        <v>13</v>
      </c>
      <c r="BY177">
        <v>13</v>
      </c>
      <c r="BZ177">
        <v>13</v>
      </c>
      <c r="CA177">
        <v>14</v>
      </c>
      <c r="CB177">
        <v>16</v>
      </c>
      <c r="CC177">
        <v>16</v>
      </c>
      <c r="CD177">
        <v>16</v>
      </c>
      <c r="CE177">
        <v>17</v>
      </c>
      <c r="CF177">
        <v>23</v>
      </c>
      <c r="CG177">
        <v>29</v>
      </c>
      <c r="CH177">
        <v>61</v>
      </c>
      <c r="CI177">
        <v>72</v>
      </c>
      <c r="CJ177">
        <v>75</v>
      </c>
      <c r="CK177">
        <v>98</v>
      </c>
      <c r="CL177">
        <v>122</v>
      </c>
      <c r="CM177">
        <v>140</v>
      </c>
      <c r="CN177">
        <v>165</v>
      </c>
      <c r="CO177">
        <v>204</v>
      </c>
      <c r="CP177">
        <v>231</v>
      </c>
      <c r="CQ177">
        <v>271</v>
      </c>
      <c r="CR177">
        <v>319</v>
      </c>
      <c r="CS177">
        <v>338</v>
      </c>
      <c r="CT177">
        <v>338</v>
      </c>
      <c r="CU177" s="1">
        <v>455</v>
      </c>
      <c r="CV177" s="1">
        <v>455</v>
      </c>
      <c r="CW177" s="1">
        <v>527</v>
      </c>
      <c r="CX177" s="1">
        <v>576</v>
      </c>
      <c r="CY177" s="1">
        <v>622</v>
      </c>
      <c r="CZ177" s="1">
        <v>641</v>
      </c>
      <c r="DA177" s="1">
        <v>641</v>
      </c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</row>
    <row r="178" spans="1:198" x14ac:dyDescent="0.4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 s="1">
        <v>0</v>
      </c>
      <c r="CV178" s="1">
        <v>0</v>
      </c>
      <c r="CW178" s="1">
        <v>0</v>
      </c>
      <c r="CX178" s="1">
        <v>0</v>
      </c>
      <c r="CY178" s="1">
        <v>0</v>
      </c>
      <c r="CZ178" s="1">
        <v>0</v>
      </c>
      <c r="DA178" s="1">
        <v>0</v>
      </c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</row>
    <row r="179" spans="1:198" x14ac:dyDescent="0.4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  <c r="BS179">
        <v>1</v>
      </c>
      <c r="BT179">
        <v>1</v>
      </c>
      <c r="BU179">
        <v>1</v>
      </c>
      <c r="BV179">
        <v>2</v>
      </c>
      <c r="BW179">
        <v>6</v>
      </c>
      <c r="BX179">
        <v>12</v>
      </c>
      <c r="BY179">
        <v>12</v>
      </c>
      <c r="BZ179">
        <v>12</v>
      </c>
      <c r="CA179">
        <v>15</v>
      </c>
      <c r="CB179">
        <v>15</v>
      </c>
      <c r="CC179">
        <v>18</v>
      </c>
      <c r="CD179">
        <v>18</v>
      </c>
      <c r="CE179">
        <v>18</v>
      </c>
      <c r="CF179">
        <v>22</v>
      </c>
      <c r="CG179">
        <v>22</v>
      </c>
      <c r="CH179">
        <v>22</v>
      </c>
      <c r="CI179">
        <v>23</v>
      </c>
      <c r="CJ179">
        <v>30</v>
      </c>
      <c r="CK179">
        <v>30</v>
      </c>
      <c r="CL179">
        <v>35</v>
      </c>
      <c r="CM179">
        <v>41</v>
      </c>
      <c r="CN179">
        <v>46</v>
      </c>
      <c r="CO179">
        <v>53</v>
      </c>
      <c r="CP179">
        <v>62</v>
      </c>
      <c r="CQ179">
        <v>67</v>
      </c>
      <c r="CR179">
        <v>78</v>
      </c>
      <c r="CS179">
        <v>85</v>
      </c>
      <c r="CT179">
        <v>85</v>
      </c>
      <c r="CU179" s="1">
        <v>93</v>
      </c>
      <c r="CV179" s="1">
        <v>102</v>
      </c>
      <c r="CW179" s="1">
        <v>102</v>
      </c>
      <c r="CX179" s="1">
        <v>113</v>
      </c>
      <c r="CY179" s="1">
        <v>115</v>
      </c>
      <c r="CZ179" s="1">
        <v>119</v>
      </c>
      <c r="DA179" s="1">
        <v>126</v>
      </c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</row>
    <row r="180" spans="1:198" x14ac:dyDescent="0.4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  <c r="BS180">
        <v>53</v>
      </c>
      <c r="BT180">
        <v>394</v>
      </c>
      <c r="BU180">
        <v>394</v>
      </c>
      <c r="BV180">
        <v>537</v>
      </c>
      <c r="BW180">
        <v>537</v>
      </c>
      <c r="BX180">
        <v>914</v>
      </c>
      <c r="BY180">
        <v>989</v>
      </c>
      <c r="BZ180">
        <v>997</v>
      </c>
      <c r="CA180">
        <v>1301</v>
      </c>
      <c r="CB180">
        <v>1333</v>
      </c>
      <c r="CC180">
        <v>1438</v>
      </c>
      <c r="CD180">
        <v>1569</v>
      </c>
      <c r="CE180">
        <v>1739</v>
      </c>
      <c r="CF180">
        <v>1798</v>
      </c>
      <c r="CG180">
        <v>2642</v>
      </c>
      <c r="CH180">
        <v>2869</v>
      </c>
      <c r="CI180">
        <v>3108</v>
      </c>
      <c r="CJ180">
        <v>6120</v>
      </c>
      <c r="CK180">
        <v>6541</v>
      </c>
      <c r="CL180">
        <v>6684</v>
      </c>
      <c r="CM180">
        <v>6811</v>
      </c>
      <c r="CN180">
        <v>6968</v>
      </c>
      <c r="CO180">
        <v>6982</v>
      </c>
      <c r="CP180">
        <v>7027</v>
      </c>
      <c r="CQ180">
        <v>7422</v>
      </c>
      <c r="CR180">
        <v>7496</v>
      </c>
      <c r="CS180">
        <v>7797</v>
      </c>
      <c r="CT180">
        <v>8088</v>
      </c>
      <c r="CU180" s="1">
        <v>8425</v>
      </c>
      <c r="CV180" s="1">
        <v>9179</v>
      </c>
      <c r="CW180" s="1">
        <v>10037</v>
      </c>
      <c r="CX180" s="1">
        <v>10405</v>
      </c>
      <c r="CY180" s="1">
        <v>11129</v>
      </c>
      <c r="CZ180" s="1">
        <v>12434</v>
      </c>
      <c r="DA180" s="1">
        <v>13550</v>
      </c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</row>
    <row r="181" spans="1:198" x14ac:dyDescent="0.4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  <c r="BS181">
        <v>42</v>
      </c>
      <c r="BT181">
        <v>49</v>
      </c>
      <c r="BU181">
        <v>50</v>
      </c>
      <c r="BV181">
        <v>51</v>
      </c>
      <c r="BW181">
        <v>52</v>
      </c>
      <c r="BX181">
        <v>57</v>
      </c>
      <c r="BY181">
        <v>64</v>
      </c>
      <c r="BZ181">
        <v>73</v>
      </c>
      <c r="CA181">
        <v>84</v>
      </c>
      <c r="CB181">
        <v>96</v>
      </c>
      <c r="CC181">
        <v>124</v>
      </c>
      <c r="CD181">
        <v>140</v>
      </c>
      <c r="CE181">
        <v>157</v>
      </c>
      <c r="CF181">
        <v>197</v>
      </c>
      <c r="CG181">
        <v>242</v>
      </c>
      <c r="CH181">
        <v>295</v>
      </c>
      <c r="CI181">
        <v>353</v>
      </c>
      <c r="CJ181">
        <v>435</v>
      </c>
      <c r="CK181">
        <v>487</v>
      </c>
      <c r="CL181">
        <v>516</v>
      </c>
      <c r="CM181">
        <v>572</v>
      </c>
      <c r="CN181">
        <v>613</v>
      </c>
      <c r="CO181">
        <v>654</v>
      </c>
      <c r="CP181">
        <v>693</v>
      </c>
      <c r="CQ181">
        <v>722</v>
      </c>
      <c r="CR181">
        <v>762</v>
      </c>
      <c r="CS181">
        <v>792</v>
      </c>
      <c r="CT181">
        <v>862</v>
      </c>
      <c r="CU181" s="1">
        <v>932</v>
      </c>
      <c r="CV181" s="1">
        <v>975</v>
      </c>
      <c r="CW181" s="1">
        <v>1023</v>
      </c>
      <c r="CX181" s="1">
        <v>1043</v>
      </c>
      <c r="CY181" s="1">
        <v>1084</v>
      </c>
      <c r="CZ181" s="1">
        <v>1124</v>
      </c>
      <c r="DA181" s="1">
        <v>1214</v>
      </c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</row>
    <row r="182" spans="1:198" x14ac:dyDescent="0.4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  <c r="BS182">
        <v>7</v>
      </c>
      <c r="BT182">
        <v>7</v>
      </c>
      <c r="BU182">
        <v>47</v>
      </c>
      <c r="BV182">
        <v>56</v>
      </c>
      <c r="BW182">
        <v>56</v>
      </c>
      <c r="BX182">
        <v>116</v>
      </c>
      <c r="BY182">
        <v>134</v>
      </c>
      <c r="BZ182">
        <v>162</v>
      </c>
      <c r="CA182">
        <v>191</v>
      </c>
      <c r="CB182">
        <v>222</v>
      </c>
      <c r="CC182">
        <v>284</v>
      </c>
      <c r="CD182">
        <v>318</v>
      </c>
      <c r="CE182">
        <v>375</v>
      </c>
      <c r="CF182">
        <v>439</v>
      </c>
      <c r="CG182">
        <v>487</v>
      </c>
      <c r="CH182">
        <v>618</v>
      </c>
      <c r="CI182">
        <v>668</v>
      </c>
      <c r="CJ182">
        <v>774</v>
      </c>
      <c r="CK182">
        <v>866</v>
      </c>
      <c r="CL182">
        <v>981</v>
      </c>
      <c r="CM182">
        <v>1040</v>
      </c>
      <c r="CN182">
        <v>1133</v>
      </c>
      <c r="CO182">
        <v>1297</v>
      </c>
      <c r="CP182">
        <v>1513</v>
      </c>
      <c r="CQ182">
        <v>1740</v>
      </c>
      <c r="CR182">
        <v>1944</v>
      </c>
      <c r="CS182">
        <v>2126</v>
      </c>
      <c r="CT182">
        <v>2265</v>
      </c>
      <c r="CU182" s="1">
        <v>2466</v>
      </c>
      <c r="CV182" s="1">
        <v>2655</v>
      </c>
      <c r="CW182" s="1">
        <v>3025</v>
      </c>
      <c r="CX182" s="1">
        <v>3236</v>
      </c>
      <c r="CY182" s="1">
        <v>3491</v>
      </c>
      <c r="CZ182" s="1">
        <v>3762</v>
      </c>
      <c r="DA182" s="1">
        <v>3945</v>
      </c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</row>
    <row r="183" spans="1:198" x14ac:dyDescent="0.4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  <c r="BS183">
        <v>43</v>
      </c>
      <c r="BT183">
        <v>43</v>
      </c>
      <c r="BU183">
        <v>43</v>
      </c>
      <c r="BV183">
        <v>68</v>
      </c>
      <c r="BW183">
        <v>68</v>
      </c>
      <c r="BX183">
        <v>75</v>
      </c>
      <c r="BY183">
        <v>75</v>
      </c>
      <c r="BZ183">
        <v>140</v>
      </c>
      <c r="CA183">
        <v>184</v>
      </c>
      <c r="CB183">
        <v>196</v>
      </c>
      <c r="CC183">
        <v>205</v>
      </c>
      <c r="CD183">
        <v>233</v>
      </c>
      <c r="CE183">
        <v>266</v>
      </c>
      <c r="CF183">
        <v>277</v>
      </c>
      <c r="CG183">
        <v>277</v>
      </c>
      <c r="CH183">
        <v>347</v>
      </c>
      <c r="CI183">
        <v>383</v>
      </c>
      <c r="CJ183">
        <v>493</v>
      </c>
      <c r="CK183">
        <v>519</v>
      </c>
      <c r="CL183">
        <v>610</v>
      </c>
      <c r="CM183">
        <v>610</v>
      </c>
      <c r="CN183">
        <v>610</v>
      </c>
      <c r="CO183">
        <v>917</v>
      </c>
      <c r="CP183">
        <v>1143</v>
      </c>
      <c r="CQ183">
        <v>1201</v>
      </c>
      <c r="CR183">
        <v>1228</v>
      </c>
      <c r="CS183">
        <v>1277</v>
      </c>
      <c r="CT183">
        <v>1329</v>
      </c>
      <c r="CU183" s="1">
        <v>1357</v>
      </c>
      <c r="CV183" s="1">
        <v>1389</v>
      </c>
      <c r="CW183" s="1">
        <v>1470</v>
      </c>
      <c r="CX183" s="1">
        <v>1519</v>
      </c>
      <c r="CY183" s="1">
        <v>1647</v>
      </c>
      <c r="CZ183" s="1">
        <v>1671</v>
      </c>
      <c r="DA183" s="1">
        <v>1689</v>
      </c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</row>
    <row r="184" spans="1:198" x14ac:dyDescent="0.4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  <c r="BS184">
        <v>51</v>
      </c>
      <c r="BT184">
        <v>62</v>
      </c>
      <c r="BU184">
        <v>71</v>
      </c>
      <c r="BV184">
        <v>72</v>
      </c>
      <c r="BW184">
        <v>93</v>
      </c>
      <c r="BX184">
        <v>109</v>
      </c>
      <c r="BY184">
        <v>123</v>
      </c>
      <c r="BZ184">
        <v>131</v>
      </c>
      <c r="CA184">
        <v>150</v>
      </c>
      <c r="CB184">
        <v>178</v>
      </c>
      <c r="CC184">
        <v>206</v>
      </c>
      <c r="CD184">
        <v>227</v>
      </c>
      <c r="CE184">
        <v>247</v>
      </c>
      <c r="CF184">
        <v>275</v>
      </c>
      <c r="CG184">
        <v>334</v>
      </c>
      <c r="CH184">
        <v>373</v>
      </c>
      <c r="CI184">
        <v>406</v>
      </c>
      <c r="CJ184">
        <v>415</v>
      </c>
      <c r="CK184">
        <v>464</v>
      </c>
      <c r="CL184">
        <v>510</v>
      </c>
      <c r="CM184">
        <v>518</v>
      </c>
      <c r="CN184">
        <v>555</v>
      </c>
      <c r="CO184">
        <v>614</v>
      </c>
      <c r="CP184">
        <v>689</v>
      </c>
      <c r="CQ184">
        <v>750</v>
      </c>
      <c r="CR184">
        <v>809</v>
      </c>
      <c r="CS184">
        <v>929</v>
      </c>
      <c r="CT184">
        <v>1012</v>
      </c>
      <c r="CU184" s="1">
        <v>1066</v>
      </c>
      <c r="CV184" s="1">
        <v>1134</v>
      </c>
      <c r="CW184" s="1">
        <v>1243</v>
      </c>
      <c r="CX184" s="1">
        <v>1372</v>
      </c>
      <c r="CY184" s="1">
        <v>1436</v>
      </c>
      <c r="CZ184" s="1">
        <v>1534</v>
      </c>
      <c r="DA184" s="1">
        <v>1664</v>
      </c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</row>
    <row r="185" spans="1:198" x14ac:dyDescent="0.4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  <c r="BS185">
        <v>209</v>
      </c>
      <c r="BT185">
        <v>220</v>
      </c>
      <c r="BU185">
        <v>252</v>
      </c>
      <c r="BV185">
        <v>267</v>
      </c>
      <c r="BW185">
        <v>283</v>
      </c>
      <c r="BX185">
        <v>329</v>
      </c>
      <c r="BY185">
        <v>374</v>
      </c>
      <c r="BZ185">
        <v>406</v>
      </c>
      <c r="CA185">
        <v>460</v>
      </c>
      <c r="CB185">
        <v>528</v>
      </c>
      <c r="CC185">
        <v>647</v>
      </c>
      <c r="CD185">
        <v>729</v>
      </c>
      <c r="CE185">
        <v>758</v>
      </c>
      <c r="CF185">
        <v>852</v>
      </c>
      <c r="CG185">
        <v>914</v>
      </c>
      <c r="CH185">
        <v>1051</v>
      </c>
      <c r="CI185">
        <v>1217</v>
      </c>
      <c r="CJ185">
        <v>1357</v>
      </c>
      <c r="CK185">
        <v>1508</v>
      </c>
      <c r="CL185">
        <v>1730</v>
      </c>
      <c r="CM185">
        <v>1892</v>
      </c>
      <c r="CN185">
        <v>2017</v>
      </c>
      <c r="CO185">
        <v>2153</v>
      </c>
      <c r="CP185">
        <v>2406</v>
      </c>
      <c r="CQ185">
        <v>2478</v>
      </c>
      <c r="CR185">
        <v>2817</v>
      </c>
      <c r="CS185">
        <v>2890</v>
      </c>
      <c r="CT185">
        <v>3054</v>
      </c>
      <c r="CU185" s="1">
        <v>3141</v>
      </c>
      <c r="CV185" s="1">
        <v>3404</v>
      </c>
      <c r="CW185" s="1">
        <v>3569</v>
      </c>
      <c r="CX185" s="1">
        <v>4017</v>
      </c>
      <c r="CY185" s="1">
        <v>4328</v>
      </c>
      <c r="CZ185" s="1">
        <v>4547</v>
      </c>
      <c r="DA185" s="1">
        <v>4869</v>
      </c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</row>
    <row r="186" spans="1:198" x14ac:dyDescent="0.4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  <c r="BS186">
        <v>66</v>
      </c>
      <c r="BT186">
        <v>121</v>
      </c>
      <c r="BU186">
        <v>190</v>
      </c>
      <c r="BV186">
        <v>235</v>
      </c>
      <c r="BW186">
        <v>281</v>
      </c>
      <c r="BX186">
        <v>333</v>
      </c>
      <c r="BY186">
        <v>355</v>
      </c>
      <c r="BZ186">
        <v>406</v>
      </c>
      <c r="CA186">
        <v>494</v>
      </c>
      <c r="CB186">
        <v>580</v>
      </c>
      <c r="CC186">
        <v>698</v>
      </c>
      <c r="CD186">
        <v>795</v>
      </c>
      <c r="CE186">
        <v>1045</v>
      </c>
      <c r="CF186">
        <v>1291</v>
      </c>
      <c r="CG186">
        <v>1470</v>
      </c>
      <c r="CH186">
        <v>1694</v>
      </c>
      <c r="CI186">
        <v>1986</v>
      </c>
      <c r="CJ186">
        <v>2304</v>
      </c>
      <c r="CK186">
        <v>2590</v>
      </c>
      <c r="CL186">
        <v>3057</v>
      </c>
      <c r="CM186">
        <v>3291</v>
      </c>
      <c r="CN186">
        <v>3446</v>
      </c>
      <c r="CO186">
        <v>3873</v>
      </c>
      <c r="CP186">
        <v>4420</v>
      </c>
      <c r="CQ186">
        <v>4891</v>
      </c>
      <c r="CR186">
        <v>5568</v>
      </c>
      <c r="CS186">
        <v>6250</v>
      </c>
      <c r="CT186">
        <v>6767</v>
      </c>
      <c r="CU186" s="1">
        <v>7346</v>
      </c>
      <c r="CV186" s="1">
        <v>8456</v>
      </c>
      <c r="CW186" s="1">
        <v>10286</v>
      </c>
      <c r="CX186" s="1">
        <v>11619</v>
      </c>
      <c r="CY186" s="1">
        <v>13220</v>
      </c>
      <c r="CZ186" s="1">
        <v>15013</v>
      </c>
      <c r="DA186" s="1">
        <v>16639</v>
      </c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</row>
    <row r="187" spans="1:198" x14ac:dyDescent="0.4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4</v>
      </c>
      <c r="BZ187">
        <v>4</v>
      </c>
      <c r="CA187">
        <v>7</v>
      </c>
      <c r="CB187">
        <v>7</v>
      </c>
      <c r="CC187">
        <v>7</v>
      </c>
      <c r="CD187">
        <v>7</v>
      </c>
      <c r="CE187">
        <v>18</v>
      </c>
      <c r="CF187">
        <v>25</v>
      </c>
      <c r="CG187">
        <v>42</v>
      </c>
      <c r="CH187">
        <v>49</v>
      </c>
      <c r="CI187">
        <v>54</v>
      </c>
      <c r="CJ187">
        <v>60</v>
      </c>
      <c r="CK187">
        <v>65</v>
      </c>
      <c r="CL187">
        <v>69</v>
      </c>
      <c r="CM187">
        <v>76</v>
      </c>
      <c r="CN187">
        <v>76</v>
      </c>
      <c r="CO187">
        <v>84</v>
      </c>
      <c r="CP187">
        <v>84</v>
      </c>
      <c r="CQ187">
        <v>87</v>
      </c>
      <c r="CR187">
        <v>87</v>
      </c>
      <c r="CS187">
        <v>88</v>
      </c>
      <c r="CT187">
        <v>92</v>
      </c>
      <c r="CU187" s="1">
        <v>93</v>
      </c>
      <c r="CV187" s="1">
        <v>95</v>
      </c>
      <c r="CW187" s="1">
        <v>98</v>
      </c>
      <c r="CX187" s="1">
        <v>104</v>
      </c>
      <c r="CY187" s="1">
        <v>109</v>
      </c>
      <c r="CZ187" s="1">
        <v>120</v>
      </c>
      <c r="DA187" s="1">
        <v>124</v>
      </c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</row>
    <row r="188" spans="1:198" x14ac:dyDescent="0.45">
      <c r="A188" s="1" t="s">
        <v>2</v>
      </c>
      <c r="B188" s="1" t="s">
        <v>254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1</v>
      </c>
      <c r="CQ188">
        <v>1</v>
      </c>
      <c r="CR188">
        <v>2</v>
      </c>
      <c r="CS188">
        <v>2</v>
      </c>
      <c r="CT188">
        <v>2</v>
      </c>
      <c r="CU188" s="1">
        <v>2</v>
      </c>
      <c r="CV188" s="1">
        <v>4</v>
      </c>
      <c r="CW188" s="1">
        <v>4</v>
      </c>
      <c r="CX188" s="1">
        <v>6</v>
      </c>
      <c r="CY188" s="1">
        <v>8</v>
      </c>
      <c r="CZ188" s="1">
        <v>8</v>
      </c>
      <c r="DA188" s="1">
        <v>8</v>
      </c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</row>
    <row r="189" spans="1:198" x14ac:dyDescent="0.4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  <c r="BS189">
        <v>1</v>
      </c>
      <c r="BT189">
        <v>1</v>
      </c>
      <c r="BU189">
        <v>1</v>
      </c>
      <c r="BV189">
        <v>1</v>
      </c>
      <c r="BW189">
        <v>1</v>
      </c>
      <c r="BX189">
        <v>1</v>
      </c>
      <c r="BY189">
        <v>1</v>
      </c>
      <c r="BZ189">
        <v>1</v>
      </c>
      <c r="CA189">
        <v>1</v>
      </c>
      <c r="CB189">
        <v>1</v>
      </c>
      <c r="CC189">
        <v>1</v>
      </c>
      <c r="CD189">
        <v>1</v>
      </c>
      <c r="CE189">
        <v>1</v>
      </c>
      <c r="CF189">
        <v>4</v>
      </c>
      <c r="CG189">
        <v>4</v>
      </c>
      <c r="CH189">
        <v>11</v>
      </c>
      <c r="CI189">
        <v>11</v>
      </c>
      <c r="CJ189">
        <v>11</v>
      </c>
      <c r="CK189">
        <v>11</v>
      </c>
      <c r="CL189">
        <v>11</v>
      </c>
      <c r="CM189">
        <v>11</v>
      </c>
      <c r="CN189">
        <v>13</v>
      </c>
      <c r="CO189">
        <v>13</v>
      </c>
      <c r="CP189">
        <v>15</v>
      </c>
      <c r="CQ189">
        <v>15</v>
      </c>
      <c r="CR189">
        <v>15</v>
      </c>
      <c r="CS189">
        <v>15</v>
      </c>
      <c r="CT189">
        <v>15</v>
      </c>
      <c r="CU189" s="1">
        <v>15</v>
      </c>
      <c r="CV189" s="1">
        <v>15</v>
      </c>
      <c r="CW189" s="1">
        <v>15</v>
      </c>
      <c r="CX189" s="1">
        <v>15</v>
      </c>
      <c r="CY189" s="1">
        <v>15</v>
      </c>
      <c r="CZ189" s="1">
        <v>15</v>
      </c>
      <c r="DA189" s="1">
        <v>15</v>
      </c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</row>
    <row r="190" spans="1:198" x14ac:dyDescent="0.4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  <c r="BS190">
        <v>1</v>
      </c>
      <c r="BT190">
        <v>1</v>
      </c>
      <c r="BU190">
        <v>1</v>
      </c>
      <c r="BV190">
        <v>1</v>
      </c>
      <c r="BW190">
        <v>1</v>
      </c>
      <c r="BX190">
        <v>1</v>
      </c>
      <c r="BY190">
        <v>1</v>
      </c>
      <c r="BZ190">
        <v>1</v>
      </c>
      <c r="CA190">
        <v>1</v>
      </c>
      <c r="CB190">
        <v>1</v>
      </c>
      <c r="CC190">
        <v>1</v>
      </c>
      <c r="CD190">
        <v>1</v>
      </c>
      <c r="CE190">
        <v>1</v>
      </c>
      <c r="CF190">
        <v>1</v>
      </c>
      <c r="CG190">
        <v>1</v>
      </c>
      <c r="CH190">
        <v>1</v>
      </c>
      <c r="CI190">
        <v>1</v>
      </c>
      <c r="CJ190">
        <v>1</v>
      </c>
      <c r="CK190">
        <v>1</v>
      </c>
      <c r="CL190">
        <v>1</v>
      </c>
      <c r="CM190">
        <v>1</v>
      </c>
      <c r="CN190">
        <v>1</v>
      </c>
      <c r="CO190">
        <v>2</v>
      </c>
      <c r="CP190">
        <v>3</v>
      </c>
      <c r="CQ190">
        <v>3</v>
      </c>
      <c r="CR190">
        <v>5</v>
      </c>
      <c r="CS190">
        <v>5</v>
      </c>
      <c r="CT190">
        <v>5</v>
      </c>
      <c r="CU190" s="1">
        <v>8</v>
      </c>
      <c r="CV190" s="1">
        <v>8</v>
      </c>
      <c r="CW190" s="1">
        <v>8</v>
      </c>
      <c r="CX190" s="1">
        <v>8</v>
      </c>
      <c r="CY190" s="1">
        <v>8</v>
      </c>
      <c r="CZ190" s="1">
        <v>8</v>
      </c>
      <c r="DA190" s="1">
        <v>8</v>
      </c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</row>
    <row r="191" spans="1:198" x14ac:dyDescent="0.4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  <c r="BS191">
        <v>13</v>
      </c>
      <c r="BT191">
        <v>13</v>
      </c>
      <c r="BU191">
        <v>13</v>
      </c>
      <c r="BV191">
        <v>21</v>
      </c>
      <c r="BW191">
        <v>21</v>
      </c>
      <c r="BX191">
        <v>27</v>
      </c>
      <c r="BY191">
        <v>35</v>
      </c>
      <c r="BZ191">
        <v>35</v>
      </c>
      <c r="CA191">
        <v>40</v>
      </c>
      <c r="CB191">
        <v>40</v>
      </c>
      <c r="CC191">
        <v>49</v>
      </c>
      <c r="CD191">
        <v>50</v>
      </c>
      <c r="CE191">
        <v>53</v>
      </c>
      <c r="CF191">
        <v>53</v>
      </c>
      <c r="CG191">
        <v>53</v>
      </c>
      <c r="CH191">
        <v>53</v>
      </c>
      <c r="CI191">
        <v>53</v>
      </c>
      <c r="CJ191">
        <v>55</v>
      </c>
      <c r="CK191">
        <v>57</v>
      </c>
      <c r="CL191">
        <v>60</v>
      </c>
      <c r="CM191">
        <v>60</v>
      </c>
      <c r="CN191">
        <v>61</v>
      </c>
      <c r="CO191">
        <v>62</v>
      </c>
      <c r="CP191">
        <v>62</v>
      </c>
      <c r="CQ191">
        <v>63</v>
      </c>
      <c r="CR191">
        <v>64</v>
      </c>
      <c r="CS191">
        <v>64</v>
      </c>
      <c r="CT191">
        <v>64</v>
      </c>
      <c r="CU191" s="1">
        <v>64</v>
      </c>
      <c r="CV191" s="1">
        <v>64</v>
      </c>
      <c r="CW191" s="1">
        <v>69</v>
      </c>
      <c r="CX191" s="1">
        <v>78</v>
      </c>
      <c r="CY191" s="1">
        <v>82</v>
      </c>
      <c r="CZ191" s="1">
        <v>83</v>
      </c>
      <c r="DA191" s="1">
        <v>86</v>
      </c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</row>
    <row r="192" spans="1:198" x14ac:dyDescent="0.4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  <c r="BS192">
        <v>115</v>
      </c>
      <c r="BT192">
        <v>165</v>
      </c>
      <c r="BU192">
        <v>264</v>
      </c>
      <c r="BV192">
        <v>328</v>
      </c>
      <c r="BW192">
        <v>351</v>
      </c>
      <c r="BX192">
        <v>420</v>
      </c>
      <c r="BY192">
        <v>488</v>
      </c>
      <c r="BZ192">
        <v>551</v>
      </c>
      <c r="CA192">
        <v>615</v>
      </c>
      <c r="CB192">
        <v>631</v>
      </c>
      <c r="CC192">
        <v>666</v>
      </c>
      <c r="CD192">
        <v>685</v>
      </c>
      <c r="CE192">
        <v>720</v>
      </c>
      <c r="CF192">
        <v>761</v>
      </c>
      <c r="CG192">
        <v>805</v>
      </c>
      <c r="CH192">
        <v>889</v>
      </c>
      <c r="CI192">
        <v>931</v>
      </c>
      <c r="CJ192">
        <v>990</v>
      </c>
      <c r="CK192">
        <v>1049</v>
      </c>
      <c r="CL192">
        <v>1329</v>
      </c>
      <c r="CM192">
        <v>1398</v>
      </c>
      <c r="CN192">
        <v>1490</v>
      </c>
      <c r="CO192">
        <v>1640</v>
      </c>
      <c r="CP192">
        <v>1812</v>
      </c>
      <c r="CQ192">
        <v>1925</v>
      </c>
      <c r="CR192">
        <v>2049</v>
      </c>
      <c r="CS192">
        <v>2215</v>
      </c>
      <c r="CT192">
        <v>2357</v>
      </c>
      <c r="CU192" s="1">
        <v>2531</v>
      </c>
      <c r="CV192" s="1">
        <v>2784</v>
      </c>
      <c r="CW192" s="1">
        <v>2953</v>
      </c>
      <c r="CX192" s="1">
        <v>3163</v>
      </c>
      <c r="CY192" s="1">
        <v>3555</v>
      </c>
      <c r="CZ192" s="1">
        <v>3765</v>
      </c>
      <c r="DA192" s="1">
        <v>4134</v>
      </c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</row>
    <row r="193" spans="1:198" x14ac:dyDescent="0.4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  <c r="BS193">
        <v>27</v>
      </c>
      <c r="BT193">
        <v>40</v>
      </c>
      <c r="BU193">
        <v>45</v>
      </c>
      <c r="BV193">
        <v>55</v>
      </c>
      <c r="BW193">
        <v>66</v>
      </c>
      <c r="BX193">
        <v>72</v>
      </c>
      <c r="BY193">
        <v>82</v>
      </c>
      <c r="BZ193">
        <v>92</v>
      </c>
      <c r="CA193">
        <v>105</v>
      </c>
      <c r="CB193">
        <v>113</v>
      </c>
      <c r="CC193">
        <v>123</v>
      </c>
      <c r="CD193">
        <v>137</v>
      </c>
      <c r="CE193">
        <v>152</v>
      </c>
      <c r="CF193">
        <v>171</v>
      </c>
      <c r="CG193">
        <v>178</v>
      </c>
      <c r="CH193">
        <v>183</v>
      </c>
      <c r="CI193">
        <v>190</v>
      </c>
      <c r="CJ193">
        <v>194</v>
      </c>
      <c r="CK193">
        <v>198</v>
      </c>
      <c r="CL193">
        <v>211</v>
      </c>
      <c r="CM193">
        <v>220</v>
      </c>
      <c r="CN193">
        <v>235</v>
      </c>
      <c r="CO193">
        <v>242</v>
      </c>
      <c r="CP193">
        <v>253</v>
      </c>
      <c r="CQ193">
        <v>257</v>
      </c>
      <c r="CR193">
        <v>262</v>
      </c>
      <c r="CS193">
        <v>276</v>
      </c>
      <c r="CT193">
        <v>283</v>
      </c>
      <c r="CU193" s="1">
        <v>284</v>
      </c>
      <c r="CV193" s="1">
        <v>296</v>
      </c>
      <c r="CW193" s="1">
        <v>315</v>
      </c>
      <c r="CX193" s="1">
        <v>334</v>
      </c>
      <c r="CY193" s="1">
        <v>356</v>
      </c>
      <c r="CZ193" s="1">
        <v>368</v>
      </c>
      <c r="DA193" s="1">
        <v>372</v>
      </c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</row>
    <row r="194" spans="1:198" x14ac:dyDescent="0.4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534</v>
      </c>
      <c r="CL194">
        <v>637</v>
      </c>
      <c r="CM194">
        <v>753</v>
      </c>
      <c r="CN194">
        <v>870</v>
      </c>
      <c r="CO194">
        <v>977</v>
      </c>
      <c r="CP194">
        <v>1025</v>
      </c>
      <c r="CQ194">
        <v>1067</v>
      </c>
      <c r="CR194">
        <v>1094</v>
      </c>
      <c r="CS194">
        <v>1152</v>
      </c>
      <c r="CT194">
        <v>1182</v>
      </c>
      <c r="CU194" s="1">
        <v>1209</v>
      </c>
      <c r="CV194" s="1">
        <v>1260</v>
      </c>
      <c r="CW194" s="1">
        <v>1292</v>
      </c>
      <c r="CX194" s="1">
        <v>1343</v>
      </c>
      <c r="CY194" s="1">
        <v>1343</v>
      </c>
      <c r="CZ194" s="1">
        <v>1426</v>
      </c>
      <c r="DA194" s="1">
        <v>1551</v>
      </c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</row>
    <row r="195" spans="1:198" x14ac:dyDescent="0.4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5</v>
      </c>
      <c r="CL195">
        <v>5</v>
      </c>
      <c r="CM195">
        <v>5</v>
      </c>
      <c r="CN195">
        <v>5</v>
      </c>
      <c r="CO195">
        <v>5</v>
      </c>
      <c r="CP195">
        <v>5</v>
      </c>
      <c r="CQ195">
        <v>6</v>
      </c>
      <c r="CR195">
        <v>6</v>
      </c>
      <c r="CS195">
        <v>6</v>
      </c>
      <c r="CT195">
        <v>6</v>
      </c>
      <c r="CU195" s="1">
        <v>6</v>
      </c>
      <c r="CV195" s="1">
        <v>6</v>
      </c>
      <c r="CW195" s="1">
        <v>6</v>
      </c>
      <c r="CX195" s="1">
        <v>6</v>
      </c>
      <c r="CY195" s="1">
        <v>6</v>
      </c>
      <c r="CZ195" s="1">
        <v>6</v>
      </c>
      <c r="DA195" s="1">
        <v>6</v>
      </c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</row>
    <row r="196" spans="1:198" x14ac:dyDescent="0.4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  <c r="BS196">
        <v>228</v>
      </c>
      <c r="BT196">
        <v>240</v>
      </c>
      <c r="BU196">
        <v>245</v>
      </c>
      <c r="BV196">
        <v>266</v>
      </c>
      <c r="BW196">
        <v>282</v>
      </c>
      <c r="BX196">
        <v>297</v>
      </c>
      <c r="BY196">
        <v>320</v>
      </c>
      <c r="BZ196">
        <v>344</v>
      </c>
      <c r="CA196">
        <v>377</v>
      </c>
      <c r="CB196">
        <v>406</v>
      </c>
      <c r="CC196">
        <v>460</v>
      </c>
      <c r="CD196">
        <v>492</v>
      </c>
      <c r="CE196">
        <v>528</v>
      </c>
      <c r="CF196">
        <v>560</v>
      </c>
      <c r="CG196">
        <v>586</v>
      </c>
      <c r="CH196">
        <v>611</v>
      </c>
      <c r="CI196">
        <v>652</v>
      </c>
      <c r="CJ196">
        <v>683</v>
      </c>
      <c r="CK196">
        <v>708</v>
      </c>
      <c r="CL196">
        <v>740</v>
      </c>
      <c r="CM196">
        <v>768</v>
      </c>
      <c r="CN196">
        <v>801</v>
      </c>
      <c r="CO196">
        <v>839</v>
      </c>
      <c r="CP196">
        <v>896</v>
      </c>
      <c r="CQ196">
        <v>924</v>
      </c>
      <c r="CR196">
        <v>956</v>
      </c>
      <c r="CS196">
        <v>1002</v>
      </c>
      <c r="CT196">
        <v>1060</v>
      </c>
      <c r="CU196" s="1">
        <v>1095</v>
      </c>
      <c r="CV196" s="1">
        <v>1128</v>
      </c>
      <c r="CW196" s="1">
        <v>1188</v>
      </c>
      <c r="CX196" s="1">
        <v>1244</v>
      </c>
      <c r="CY196" s="1">
        <v>1268</v>
      </c>
      <c r="CZ196" s="1">
        <v>1347</v>
      </c>
      <c r="DA196" s="1">
        <v>1408</v>
      </c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</row>
    <row r="197" spans="1:198" x14ac:dyDescent="0.4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  <c r="BS197">
        <v>7</v>
      </c>
      <c r="BT197">
        <v>3</v>
      </c>
      <c r="BU197">
        <v>3</v>
      </c>
      <c r="BV197">
        <v>5</v>
      </c>
      <c r="BW197">
        <v>10</v>
      </c>
      <c r="BX197">
        <v>10</v>
      </c>
      <c r="BY197">
        <v>10</v>
      </c>
      <c r="BZ197">
        <v>8</v>
      </c>
      <c r="CA197">
        <v>13</v>
      </c>
      <c r="CB197">
        <v>16</v>
      </c>
      <c r="CC197">
        <v>23</v>
      </c>
      <c r="CD197">
        <v>23</v>
      </c>
      <c r="CE197">
        <v>23</v>
      </c>
      <c r="CF197">
        <v>23</v>
      </c>
      <c r="CG197">
        <v>107</v>
      </c>
      <c r="CH197">
        <v>113</v>
      </c>
      <c r="CI197">
        <v>151</v>
      </c>
      <c r="CJ197">
        <v>167</v>
      </c>
      <c r="CK197">
        <v>175</v>
      </c>
      <c r="CL197">
        <v>213</v>
      </c>
      <c r="CM197">
        <v>229</v>
      </c>
      <c r="CN197">
        <v>251</v>
      </c>
      <c r="CO197">
        <v>258</v>
      </c>
      <c r="CP197">
        <v>284</v>
      </c>
      <c r="CQ197">
        <v>288</v>
      </c>
      <c r="CR197">
        <v>355</v>
      </c>
      <c r="CS197">
        <v>386</v>
      </c>
      <c r="CT197">
        <v>394</v>
      </c>
      <c r="CU197" s="1">
        <v>403</v>
      </c>
      <c r="CV197" s="1">
        <v>423</v>
      </c>
      <c r="CW197" s="1">
        <v>484</v>
      </c>
      <c r="CX197" s="1">
        <v>524</v>
      </c>
      <c r="CY197" s="1">
        <v>558</v>
      </c>
      <c r="CZ197" s="1">
        <v>608</v>
      </c>
      <c r="DA197" s="1">
        <v>619</v>
      </c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</row>
    <row r="198" spans="1:198" x14ac:dyDescent="0.4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  <c r="BS198">
        <v>10</v>
      </c>
      <c r="BT198">
        <v>10</v>
      </c>
      <c r="BU198">
        <v>10</v>
      </c>
      <c r="BV198">
        <v>70</v>
      </c>
      <c r="BW198">
        <v>70</v>
      </c>
      <c r="BX198">
        <v>79</v>
      </c>
      <c r="BY198">
        <v>79</v>
      </c>
      <c r="BZ198">
        <v>102</v>
      </c>
      <c r="CA198">
        <v>102</v>
      </c>
      <c r="CB198">
        <v>120</v>
      </c>
      <c r="CC198">
        <v>128</v>
      </c>
      <c r="CD198">
        <v>137</v>
      </c>
      <c r="CE198">
        <v>148</v>
      </c>
      <c r="CF198">
        <v>150</v>
      </c>
      <c r="CG198">
        <v>152</v>
      </c>
      <c r="CH198">
        <v>152</v>
      </c>
      <c r="CI198">
        <v>165</v>
      </c>
      <c r="CJ198">
        <v>174</v>
      </c>
      <c r="CK198">
        <v>174</v>
      </c>
      <c r="CL198">
        <v>190</v>
      </c>
      <c r="CM198">
        <v>192</v>
      </c>
      <c r="CN198">
        <v>193</v>
      </c>
      <c r="CO198">
        <v>197</v>
      </c>
      <c r="CP198">
        <v>205</v>
      </c>
      <c r="CQ198">
        <v>211</v>
      </c>
      <c r="CR198">
        <v>211</v>
      </c>
      <c r="CS198">
        <v>219</v>
      </c>
      <c r="CT198">
        <v>221</v>
      </c>
      <c r="CU198" s="1">
        <v>221</v>
      </c>
      <c r="CV198" s="1">
        <v>223</v>
      </c>
      <c r="CW198" s="1">
        <v>230</v>
      </c>
      <c r="CX198" s="1">
        <v>233</v>
      </c>
      <c r="CY198" s="1">
        <v>233</v>
      </c>
      <c r="CZ198" s="1">
        <v>239</v>
      </c>
      <c r="DA198" s="1">
        <v>241</v>
      </c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</row>
    <row r="199" spans="1:198" x14ac:dyDescent="0.4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1</v>
      </c>
      <c r="BU199">
        <v>1</v>
      </c>
      <c r="BV199">
        <v>1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1</v>
      </c>
      <c r="CC199">
        <v>1</v>
      </c>
      <c r="CD199">
        <v>1</v>
      </c>
      <c r="CE199">
        <v>1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2</v>
      </c>
      <c r="CL199">
        <v>2</v>
      </c>
      <c r="CM199">
        <v>3</v>
      </c>
      <c r="CN199">
        <v>4</v>
      </c>
      <c r="CO199">
        <v>4</v>
      </c>
      <c r="CP199">
        <v>4</v>
      </c>
      <c r="CQ199">
        <v>8</v>
      </c>
      <c r="CR199">
        <v>8</v>
      </c>
      <c r="CS199">
        <v>8</v>
      </c>
      <c r="CT199">
        <v>10</v>
      </c>
      <c r="CU199" s="1">
        <v>10</v>
      </c>
      <c r="CV199" s="1">
        <v>19</v>
      </c>
      <c r="CW199" s="1">
        <v>20</v>
      </c>
      <c r="CX199" s="1">
        <v>31</v>
      </c>
      <c r="CY199" s="1">
        <v>31</v>
      </c>
      <c r="CZ199" s="1">
        <v>34</v>
      </c>
      <c r="DA199" s="1">
        <v>44</v>
      </c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</row>
    <row r="200" spans="1:198" x14ac:dyDescent="0.4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  <c r="BS200">
        <v>31</v>
      </c>
      <c r="BT200">
        <v>31</v>
      </c>
      <c r="BU200">
        <v>50</v>
      </c>
      <c r="BV200">
        <v>50</v>
      </c>
      <c r="BW200">
        <v>95</v>
      </c>
      <c r="BX200">
        <v>95</v>
      </c>
      <c r="BY200">
        <v>95</v>
      </c>
      <c r="BZ200">
        <v>95</v>
      </c>
      <c r="CA200">
        <v>95</v>
      </c>
      <c r="CB200">
        <v>95</v>
      </c>
      <c r="CC200">
        <v>95</v>
      </c>
      <c r="CD200">
        <v>410</v>
      </c>
      <c r="CE200">
        <v>410</v>
      </c>
      <c r="CF200">
        <v>410</v>
      </c>
      <c r="CG200">
        <v>410</v>
      </c>
      <c r="CH200">
        <v>410</v>
      </c>
      <c r="CI200">
        <v>410</v>
      </c>
      <c r="CJ200">
        <v>903</v>
      </c>
      <c r="CK200">
        <v>903</v>
      </c>
      <c r="CL200">
        <v>903</v>
      </c>
      <c r="CM200">
        <v>903</v>
      </c>
      <c r="CN200">
        <v>1055</v>
      </c>
      <c r="CO200">
        <v>1055</v>
      </c>
      <c r="CP200">
        <v>1055</v>
      </c>
      <c r="CQ200">
        <v>1473</v>
      </c>
      <c r="CR200">
        <v>1473</v>
      </c>
      <c r="CS200">
        <v>1473</v>
      </c>
      <c r="CT200">
        <v>1473</v>
      </c>
      <c r="CU200" s="1">
        <v>1473</v>
      </c>
      <c r="CV200" s="1">
        <v>2073</v>
      </c>
      <c r="CW200" s="1">
        <v>2073</v>
      </c>
      <c r="CX200" s="1">
        <v>2073</v>
      </c>
      <c r="CY200" s="1">
        <v>2382</v>
      </c>
      <c r="CZ200" s="1">
        <v>2549</v>
      </c>
      <c r="DA200" s="1">
        <v>2549</v>
      </c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</row>
    <row r="201" spans="1:198" x14ac:dyDescent="0.4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  <c r="BS201">
        <v>16780</v>
      </c>
      <c r="BT201">
        <v>19259</v>
      </c>
      <c r="BU201">
        <v>22647</v>
      </c>
      <c r="BV201">
        <v>26743</v>
      </c>
      <c r="BW201">
        <v>30513</v>
      </c>
      <c r="BX201">
        <v>34219</v>
      </c>
      <c r="BY201">
        <v>38080</v>
      </c>
      <c r="BZ201">
        <v>40437</v>
      </c>
      <c r="CA201">
        <v>43208</v>
      </c>
      <c r="CB201">
        <v>48021</v>
      </c>
      <c r="CC201">
        <v>52165</v>
      </c>
      <c r="CD201">
        <v>55668</v>
      </c>
      <c r="CE201">
        <v>59109</v>
      </c>
      <c r="CF201">
        <v>62391</v>
      </c>
      <c r="CG201">
        <v>64727</v>
      </c>
      <c r="CH201">
        <v>67504</v>
      </c>
      <c r="CI201">
        <v>70853</v>
      </c>
      <c r="CJ201">
        <v>74797</v>
      </c>
      <c r="CK201">
        <v>74797</v>
      </c>
      <c r="CL201">
        <v>74797</v>
      </c>
      <c r="CM201">
        <v>77357</v>
      </c>
      <c r="CN201">
        <v>80587</v>
      </c>
      <c r="CO201">
        <v>82514</v>
      </c>
      <c r="CP201">
        <v>85915</v>
      </c>
      <c r="CQ201">
        <v>89250</v>
      </c>
      <c r="CR201">
        <v>92355</v>
      </c>
      <c r="CS201">
        <v>95708</v>
      </c>
      <c r="CT201">
        <v>98372</v>
      </c>
      <c r="CU201" s="1">
        <v>100875</v>
      </c>
      <c r="CV201" s="1">
        <v>102548</v>
      </c>
      <c r="CW201" s="1">
        <v>108947</v>
      </c>
      <c r="CX201" s="1">
        <v>112050</v>
      </c>
      <c r="CY201" s="1">
        <v>112050</v>
      </c>
      <c r="CZ201" s="1">
        <v>117248</v>
      </c>
      <c r="DA201" s="1">
        <v>118902</v>
      </c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</row>
    <row r="202" spans="1:198" x14ac:dyDescent="0.4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  <c r="BS202">
        <v>15</v>
      </c>
      <c r="BT202">
        <v>17</v>
      </c>
      <c r="BU202">
        <v>21</v>
      </c>
      <c r="BV202">
        <v>21</v>
      </c>
      <c r="BW202">
        <v>24</v>
      </c>
      <c r="BX202">
        <v>27</v>
      </c>
      <c r="BY202">
        <v>33</v>
      </c>
      <c r="BZ202">
        <v>38</v>
      </c>
      <c r="CA202">
        <v>42</v>
      </c>
      <c r="CB202">
        <v>44</v>
      </c>
      <c r="CC202">
        <v>49</v>
      </c>
      <c r="CD202">
        <v>54</v>
      </c>
      <c r="CE202">
        <v>54</v>
      </c>
      <c r="CF202">
        <v>56</v>
      </c>
      <c r="CG202">
        <v>56</v>
      </c>
      <c r="CH202">
        <v>61</v>
      </c>
      <c r="CI202">
        <v>63</v>
      </c>
      <c r="CJ202">
        <v>68</v>
      </c>
      <c r="CK202">
        <v>77</v>
      </c>
      <c r="CL202">
        <v>86</v>
      </c>
      <c r="CM202">
        <v>96</v>
      </c>
      <c r="CN202">
        <v>98</v>
      </c>
      <c r="CO202">
        <v>102</v>
      </c>
      <c r="CP202">
        <v>105</v>
      </c>
      <c r="CQ202">
        <v>107</v>
      </c>
      <c r="CR202">
        <v>109</v>
      </c>
      <c r="CS202">
        <v>118</v>
      </c>
      <c r="CT202">
        <v>120</v>
      </c>
      <c r="CU202" s="1">
        <v>126</v>
      </c>
      <c r="CV202" s="1">
        <v>134</v>
      </c>
      <c r="CW202" s="1">
        <v>136</v>
      </c>
      <c r="CX202" s="1">
        <v>154</v>
      </c>
      <c r="CY202" s="1">
        <v>162</v>
      </c>
      <c r="CZ202" s="1">
        <v>172</v>
      </c>
      <c r="DA202" s="1">
        <v>184</v>
      </c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</row>
    <row r="203" spans="1:198" x14ac:dyDescent="0.4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1</v>
      </c>
      <c r="BU203">
        <v>2</v>
      </c>
      <c r="BV203">
        <v>2</v>
      </c>
      <c r="BW203">
        <v>2</v>
      </c>
      <c r="BX203">
        <v>2</v>
      </c>
      <c r="BY203">
        <v>2</v>
      </c>
      <c r="BZ203">
        <v>2</v>
      </c>
      <c r="CA203">
        <v>2</v>
      </c>
      <c r="CB203">
        <v>2</v>
      </c>
      <c r="CC203">
        <v>2</v>
      </c>
      <c r="CD203">
        <v>2</v>
      </c>
      <c r="CE203">
        <v>2</v>
      </c>
      <c r="CF203">
        <v>2</v>
      </c>
      <c r="CG203">
        <v>4</v>
      </c>
      <c r="CH203">
        <v>4</v>
      </c>
      <c r="CI203">
        <v>4</v>
      </c>
      <c r="CJ203">
        <v>4</v>
      </c>
      <c r="CK203">
        <v>4</v>
      </c>
      <c r="CL203">
        <v>6</v>
      </c>
      <c r="CM203">
        <v>6</v>
      </c>
      <c r="CN203">
        <v>8</v>
      </c>
      <c r="CO203">
        <v>8</v>
      </c>
      <c r="CP203">
        <v>12</v>
      </c>
      <c r="CQ203">
        <v>14</v>
      </c>
      <c r="CR203">
        <v>14</v>
      </c>
      <c r="CS203">
        <v>19</v>
      </c>
      <c r="CT203">
        <v>20</v>
      </c>
      <c r="CU203" s="1">
        <v>21</v>
      </c>
      <c r="CV203" s="1">
        <v>31</v>
      </c>
      <c r="CW203" s="1">
        <v>32</v>
      </c>
      <c r="CX203" s="1">
        <v>39</v>
      </c>
      <c r="CY203" s="1">
        <v>46</v>
      </c>
      <c r="CZ203" s="1">
        <v>52</v>
      </c>
      <c r="DA203" s="1">
        <v>52</v>
      </c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</row>
    <row r="204" spans="1:198" x14ac:dyDescent="0.4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3</v>
      </c>
      <c r="CC204">
        <v>4</v>
      </c>
      <c r="CD204">
        <v>4</v>
      </c>
      <c r="CE204">
        <v>4</v>
      </c>
      <c r="CF204">
        <v>4</v>
      </c>
      <c r="CG204">
        <v>6</v>
      </c>
      <c r="CH204">
        <v>6</v>
      </c>
      <c r="CI204">
        <v>6</v>
      </c>
      <c r="CJ204">
        <v>6</v>
      </c>
      <c r="CK204">
        <v>6</v>
      </c>
      <c r="CL204">
        <v>6</v>
      </c>
      <c r="CM204">
        <v>6</v>
      </c>
      <c r="CN204">
        <v>6</v>
      </c>
      <c r="CO204">
        <v>6</v>
      </c>
      <c r="CP204">
        <v>6</v>
      </c>
      <c r="CQ204">
        <v>6</v>
      </c>
      <c r="CR204">
        <v>7</v>
      </c>
      <c r="CS204">
        <v>7</v>
      </c>
      <c r="CT204">
        <v>7</v>
      </c>
      <c r="CU204" s="1">
        <v>7</v>
      </c>
      <c r="CV204" s="1">
        <v>7</v>
      </c>
      <c r="CW204" s="1">
        <v>8</v>
      </c>
      <c r="CX204" s="1">
        <v>8</v>
      </c>
      <c r="CY204" s="1">
        <v>8</v>
      </c>
      <c r="CZ204" s="1">
        <v>8</v>
      </c>
      <c r="DA204" s="1">
        <v>9</v>
      </c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</row>
    <row r="205" spans="1:198" x14ac:dyDescent="0.4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  <c r="BS205">
        <v>16</v>
      </c>
      <c r="BT205">
        <v>16</v>
      </c>
      <c r="BU205">
        <v>103</v>
      </c>
      <c r="BV205">
        <v>103</v>
      </c>
      <c r="BW205">
        <v>205</v>
      </c>
      <c r="BX205">
        <v>205</v>
      </c>
      <c r="BY205">
        <v>205</v>
      </c>
      <c r="BZ205">
        <v>205</v>
      </c>
      <c r="CA205">
        <v>205</v>
      </c>
      <c r="CB205">
        <v>205</v>
      </c>
      <c r="CC205">
        <v>205</v>
      </c>
      <c r="CD205">
        <v>381</v>
      </c>
      <c r="CE205">
        <v>381</v>
      </c>
      <c r="CF205">
        <v>381</v>
      </c>
      <c r="CG205">
        <v>381</v>
      </c>
      <c r="CH205">
        <v>381</v>
      </c>
      <c r="CI205">
        <v>381</v>
      </c>
      <c r="CJ205">
        <v>550</v>
      </c>
      <c r="CK205">
        <v>550</v>
      </c>
      <c r="CL205">
        <v>550</v>
      </c>
      <c r="CM205">
        <v>550</v>
      </c>
      <c r="CN205">
        <v>550</v>
      </c>
      <c r="CO205">
        <v>550</v>
      </c>
      <c r="CP205">
        <v>550</v>
      </c>
      <c r="CQ205">
        <v>550</v>
      </c>
      <c r="CR205">
        <v>1005</v>
      </c>
      <c r="CS205">
        <v>1005</v>
      </c>
      <c r="CT205">
        <v>1005</v>
      </c>
      <c r="CU205" s="1">
        <v>1005</v>
      </c>
      <c r="CV205" s="1">
        <v>1005</v>
      </c>
      <c r="CW205" s="1">
        <v>1005</v>
      </c>
      <c r="CX205" s="1">
        <v>1005</v>
      </c>
      <c r="CY205" s="1">
        <v>1005</v>
      </c>
      <c r="CZ205" s="1">
        <v>1005</v>
      </c>
      <c r="DA205" s="1">
        <v>1005</v>
      </c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</row>
    <row r="206" spans="1:198" x14ac:dyDescent="0.4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  <c r="BS206">
        <v>1823</v>
      </c>
      <c r="BT206">
        <v>1823</v>
      </c>
      <c r="BU206">
        <v>2967</v>
      </c>
      <c r="BV206">
        <v>4013</v>
      </c>
      <c r="BW206">
        <v>4846</v>
      </c>
      <c r="BX206">
        <v>6415</v>
      </c>
      <c r="BY206">
        <v>6415</v>
      </c>
      <c r="BZ206">
        <v>8056</v>
      </c>
      <c r="CA206">
        <v>8704</v>
      </c>
      <c r="CB206">
        <v>9800</v>
      </c>
      <c r="CC206">
        <v>10600</v>
      </c>
      <c r="CD206">
        <v>11100</v>
      </c>
      <c r="CE206">
        <v>12100</v>
      </c>
      <c r="CF206">
        <v>12700</v>
      </c>
      <c r="CG206">
        <v>13700</v>
      </c>
      <c r="CH206">
        <v>13700</v>
      </c>
      <c r="CI206">
        <v>15400</v>
      </c>
      <c r="CJ206">
        <v>15900</v>
      </c>
      <c r="CK206">
        <v>16400</v>
      </c>
      <c r="CL206">
        <v>17100</v>
      </c>
      <c r="CM206">
        <v>17800</v>
      </c>
      <c r="CN206">
        <v>18600</v>
      </c>
      <c r="CO206">
        <v>19400</v>
      </c>
      <c r="CP206">
        <v>19900</v>
      </c>
      <c r="CQ206">
        <v>20600</v>
      </c>
      <c r="CR206">
        <v>21000</v>
      </c>
      <c r="CS206">
        <v>21300</v>
      </c>
      <c r="CT206">
        <v>21800</v>
      </c>
      <c r="CU206" s="1">
        <v>22200</v>
      </c>
      <c r="CV206" s="1">
        <v>22600</v>
      </c>
      <c r="CW206" s="1">
        <v>22600</v>
      </c>
      <c r="CX206" s="1">
        <v>23400</v>
      </c>
      <c r="CY206" s="1">
        <v>23900</v>
      </c>
      <c r="CZ206" s="1">
        <v>24200</v>
      </c>
      <c r="DA206" s="1">
        <v>24500</v>
      </c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</row>
    <row r="207" spans="1:198" x14ac:dyDescent="0.4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2</v>
      </c>
      <c r="BY207">
        <v>2</v>
      </c>
      <c r="BZ207">
        <v>2</v>
      </c>
      <c r="CA207">
        <v>3</v>
      </c>
      <c r="CB207">
        <v>4</v>
      </c>
      <c r="CC207">
        <v>4</v>
      </c>
      <c r="CD207">
        <v>4</v>
      </c>
      <c r="CE207">
        <v>5</v>
      </c>
      <c r="CF207">
        <v>5</v>
      </c>
      <c r="CG207">
        <v>5</v>
      </c>
      <c r="CH207">
        <v>5</v>
      </c>
      <c r="CI207">
        <v>5</v>
      </c>
      <c r="CJ207">
        <v>5</v>
      </c>
      <c r="CK207">
        <v>5</v>
      </c>
      <c r="CL207">
        <v>5</v>
      </c>
      <c r="CM207">
        <v>5</v>
      </c>
      <c r="CN207">
        <v>5</v>
      </c>
      <c r="CO207">
        <v>6</v>
      </c>
      <c r="CP207">
        <v>6</v>
      </c>
      <c r="CQ207">
        <v>6</v>
      </c>
      <c r="CR207">
        <v>6</v>
      </c>
      <c r="CS207">
        <v>11</v>
      </c>
      <c r="CT207">
        <v>14</v>
      </c>
      <c r="CU207" s="1">
        <v>19</v>
      </c>
      <c r="CV207" s="1">
        <v>21</v>
      </c>
      <c r="CW207" s="1">
        <v>21</v>
      </c>
      <c r="CX207" s="1">
        <v>21</v>
      </c>
      <c r="CY207" s="1">
        <v>27</v>
      </c>
      <c r="CZ207" s="1">
        <v>27</v>
      </c>
      <c r="DA207" s="1">
        <v>27</v>
      </c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</row>
    <row r="208" spans="1:198" x14ac:dyDescent="0.4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  <c r="BS208">
        <v>39</v>
      </c>
      <c r="BT208">
        <v>39</v>
      </c>
      <c r="BU208">
        <v>39</v>
      </c>
      <c r="BV208">
        <v>45</v>
      </c>
      <c r="BW208">
        <v>50</v>
      </c>
      <c r="BX208">
        <v>50</v>
      </c>
      <c r="BY208">
        <v>50</v>
      </c>
      <c r="BZ208">
        <v>57</v>
      </c>
      <c r="CA208">
        <v>57</v>
      </c>
      <c r="CB208">
        <v>61</v>
      </c>
      <c r="CC208">
        <v>67</v>
      </c>
      <c r="CD208">
        <v>91</v>
      </c>
      <c r="CE208">
        <v>99</v>
      </c>
      <c r="CF208">
        <v>109</v>
      </c>
      <c r="CG208">
        <v>109</v>
      </c>
      <c r="CH208">
        <v>124</v>
      </c>
      <c r="CI208">
        <v>124</v>
      </c>
      <c r="CJ208">
        <v>155</v>
      </c>
      <c r="CK208">
        <v>166</v>
      </c>
      <c r="CL208">
        <v>178</v>
      </c>
      <c r="CM208">
        <v>189</v>
      </c>
      <c r="CN208">
        <v>203</v>
      </c>
      <c r="CO208">
        <v>217</v>
      </c>
      <c r="CP208">
        <v>236</v>
      </c>
      <c r="CQ208">
        <v>253</v>
      </c>
      <c r="CR208">
        <v>264</v>
      </c>
      <c r="CS208">
        <v>275</v>
      </c>
      <c r="CT208">
        <v>281</v>
      </c>
      <c r="CU208" s="1">
        <v>290</v>
      </c>
      <c r="CV208" s="1">
        <v>307</v>
      </c>
      <c r="CW208" s="1">
        <v>311</v>
      </c>
      <c r="CX208" s="1">
        <v>322</v>
      </c>
      <c r="CY208" s="1">
        <v>324</v>
      </c>
      <c r="CZ208" s="1">
        <v>324</v>
      </c>
      <c r="DA208" s="1">
        <v>332</v>
      </c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</row>
    <row r="209" spans="1:198" x14ac:dyDescent="0.4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  <c r="BS209">
        <v>1</v>
      </c>
      <c r="BT209">
        <v>1</v>
      </c>
      <c r="BU209">
        <v>1</v>
      </c>
      <c r="BV209">
        <v>2</v>
      </c>
      <c r="BW209">
        <v>3</v>
      </c>
      <c r="BX209">
        <v>3</v>
      </c>
      <c r="BY209">
        <v>3</v>
      </c>
      <c r="BZ209">
        <v>3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5</v>
      </c>
      <c r="CG209">
        <v>7</v>
      </c>
      <c r="CH209">
        <v>7</v>
      </c>
      <c r="CI209">
        <v>11</v>
      </c>
      <c r="CJ209">
        <v>11</v>
      </c>
      <c r="CK209">
        <v>11</v>
      </c>
      <c r="CL209">
        <v>11</v>
      </c>
      <c r="CM209">
        <v>11</v>
      </c>
      <c r="CN209">
        <v>11</v>
      </c>
      <c r="CO209">
        <v>11</v>
      </c>
      <c r="CP209">
        <v>11</v>
      </c>
      <c r="CQ209">
        <v>11</v>
      </c>
      <c r="CR209">
        <v>48</v>
      </c>
      <c r="CS209">
        <v>48</v>
      </c>
      <c r="CT209">
        <v>48</v>
      </c>
      <c r="CU209" s="1">
        <v>48</v>
      </c>
      <c r="CV209" s="1">
        <v>48</v>
      </c>
      <c r="CW209" s="1">
        <v>167</v>
      </c>
      <c r="CX209" s="1">
        <v>167</v>
      </c>
      <c r="CY209" s="1">
        <v>167</v>
      </c>
      <c r="CZ209" s="1">
        <v>167</v>
      </c>
      <c r="DA209" s="1">
        <v>167</v>
      </c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</row>
    <row r="210" spans="1:198" x14ac:dyDescent="0.4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  <c r="BS210">
        <v>229</v>
      </c>
      <c r="BT210">
        <v>342</v>
      </c>
      <c r="BU210">
        <v>505</v>
      </c>
      <c r="BV210">
        <v>505</v>
      </c>
      <c r="BW210">
        <v>612</v>
      </c>
      <c r="BX210">
        <v>674</v>
      </c>
      <c r="BY210">
        <v>793</v>
      </c>
      <c r="BZ210">
        <v>793</v>
      </c>
      <c r="CA210">
        <v>888</v>
      </c>
      <c r="CB210">
        <v>888</v>
      </c>
      <c r="CC210">
        <v>940</v>
      </c>
      <c r="CD210">
        <v>1013</v>
      </c>
      <c r="CE210">
        <v>1135</v>
      </c>
      <c r="CF210">
        <v>1218</v>
      </c>
      <c r="CG210">
        <v>1288</v>
      </c>
      <c r="CH210">
        <v>1405</v>
      </c>
      <c r="CI210">
        <v>1497</v>
      </c>
      <c r="CJ210">
        <v>1593</v>
      </c>
      <c r="CK210">
        <v>1689</v>
      </c>
      <c r="CL210">
        <v>1787</v>
      </c>
      <c r="CM210">
        <v>1928</v>
      </c>
      <c r="CN210">
        <v>1999</v>
      </c>
      <c r="CO210">
        <v>2108</v>
      </c>
      <c r="CP210">
        <v>2352</v>
      </c>
      <c r="CQ210">
        <v>2430</v>
      </c>
      <c r="CR210">
        <v>2547</v>
      </c>
      <c r="CS210">
        <v>2547</v>
      </c>
      <c r="CT210">
        <v>2594</v>
      </c>
      <c r="CU210" s="1">
        <v>2609</v>
      </c>
      <c r="CV210" s="1">
        <v>2652</v>
      </c>
      <c r="CW210" s="1">
        <v>2665</v>
      </c>
      <c r="CX210" s="1">
        <v>2684</v>
      </c>
      <c r="CY210" s="1">
        <v>2719</v>
      </c>
      <c r="CZ210" s="1">
        <v>2732</v>
      </c>
      <c r="DA210" s="1">
        <v>2739</v>
      </c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</row>
    <row r="211" spans="1:198" x14ac:dyDescent="0.4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1</v>
      </c>
      <c r="CE211">
        <v>1</v>
      </c>
      <c r="CF211">
        <v>1</v>
      </c>
      <c r="CG211">
        <v>1</v>
      </c>
      <c r="CH211">
        <v>1</v>
      </c>
      <c r="CI211">
        <v>1</v>
      </c>
      <c r="CJ211">
        <v>1</v>
      </c>
      <c r="CK211">
        <v>1</v>
      </c>
      <c r="CL211">
        <v>1</v>
      </c>
      <c r="CM211">
        <v>1</v>
      </c>
      <c r="CN211">
        <v>1</v>
      </c>
      <c r="CO211">
        <v>1</v>
      </c>
      <c r="CP211">
        <v>1</v>
      </c>
      <c r="CQ211">
        <v>1</v>
      </c>
      <c r="CR211">
        <v>2</v>
      </c>
      <c r="CS211">
        <v>2</v>
      </c>
      <c r="CT211">
        <v>2</v>
      </c>
      <c r="CU211" s="1">
        <v>2</v>
      </c>
      <c r="CV211" s="1">
        <v>6</v>
      </c>
      <c r="CW211" s="1">
        <v>6</v>
      </c>
      <c r="CX211" s="1">
        <v>16</v>
      </c>
      <c r="CY211" s="1">
        <v>16</v>
      </c>
      <c r="CZ211" s="1">
        <v>16</v>
      </c>
      <c r="DA211" s="1">
        <v>16</v>
      </c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</row>
    <row r="212" spans="1:198" x14ac:dyDescent="0.4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  <c r="BT212">
        <v>10</v>
      </c>
      <c r="BU212">
        <v>10</v>
      </c>
      <c r="BV212">
        <v>17</v>
      </c>
      <c r="BW212">
        <v>17</v>
      </c>
      <c r="BX212">
        <v>17</v>
      </c>
      <c r="BY212">
        <v>20</v>
      </c>
      <c r="BZ212">
        <v>23</v>
      </c>
      <c r="CA212">
        <v>23</v>
      </c>
      <c r="CB212">
        <v>23</v>
      </c>
      <c r="CC212">
        <v>24</v>
      </c>
      <c r="CD212">
        <v>25</v>
      </c>
      <c r="CE212">
        <v>25</v>
      </c>
      <c r="CF212">
        <v>29</v>
      </c>
      <c r="CG212">
        <v>29</v>
      </c>
      <c r="CH212">
        <v>32</v>
      </c>
      <c r="CI212">
        <v>35</v>
      </c>
      <c r="CJ212">
        <v>45</v>
      </c>
      <c r="CK212">
        <v>48</v>
      </c>
      <c r="CL212">
        <v>49</v>
      </c>
      <c r="CM212">
        <v>52</v>
      </c>
      <c r="CN212">
        <v>53</v>
      </c>
      <c r="CO212">
        <v>56</v>
      </c>
      <c r="CP212">
        <v>56</v>
      </c>
      <c r="CQ212">
        <v>59</v>
      </c>
      <c r="CR212">
        <v>59</v>
      </c>
      <c r="CS212">
        <v>62</v>
      </c>
      <c r="CT212">
        <v>62</v>
      </c>
      <c r="CU212" s="1">
        <v>62</v>
      </c>
      <c r="CV212" s="1">
        <v>63</v>
      </c>
      <c r="CW212" s="1">
        <v>64</v>
      </c>
      <c r="CX212" s="1">
        <v>65</v>
      </c>
      <c r="CY212" s="1">
        <v>66</v>
      </c>
      <c r="CZ212" s="1">
        <v>66</v>
      </c>
      <c r="DA212" s="1">
        <v>67</v>
      </c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</row>
    <row r="213" spans="1:198" x14ac:dyDescent="0.4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  <c r="BS213">
        <v>1</v>
      </c>
      <c r="BT213">
        <v>1</v>
      </c>
      <c r="BU213">
        <v>1</v>
      </c>
      <c r="BV213">
        <v>1</v>
      </c>
      <c r="BW213">
        <v>1</v>
      </c>
      <c r="BX213">
        <v>1</v>
      </c>
      <c r="BY213">
        <v>1</v>
      </c>
      <c r="BZ213">
        <v>1</v>
      </c>
      <c r="CA213">
        <v>1</v>
      </c>
      <c r="CB213">
        <v>1</v>
      </c>
      <c r="CC213">
        <v>1</v>
      </c>
      <c r="CD213">
        <v>1</v>
      </c>
      <c r="CE213">
        <v>12</v>
      </c>
      <c r="CF213">
        <v>16</v>
      </c>
      <c r="CG213">
        <v>16</v>
      </c>
      <c r="CH213">
        <v>17</v>
      </c>
      <c r="CI213">
        <v>19</v>
      </c>
      <c r="CJ213">
        <v>20</v>
      </c>
      <c r="CK213">
        <v>20</v>
      </c>
      <c r="CL213">
        <v>21</v>
      </c>
      <c r="CM213">
        <v>21</v>
      </c>
      <c r="CN213">
        <v>22</v>
      </c>
      <c r="CO213">
        <v>28</v>
      </c>
      <c r="CP213">
        <v>37</v>
      </c>
      <c r="CQ213">
        <v>48</v>
      </c>
      <c r="CR213">
        <v>48</v>
      </c>
      <c r="CS213">
        <v>53</v>
      </c>
      <c r="CT213">
        <v>54</v>
      </c>
      <c r="CU213" s="1">
        <v>59</v>
      </c>
      <c r="CV213" s="1">
        <v>59</v>
      </c>
      <c r="CW213" s="1">
        <v>71</v>
      </c>
      <c r="CX213" s="1">
        <v>72</v>
      </c>
      <c r="CY213" s="1">
        <v>83</v>
      </c>
      <c r="CZ213" s="1">
        <v>88</v>
      </c>
      <c r="DA213" s="1">
        <v>93</v>
      </c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</row>
    <row r="214" spans="1:198" x14ac:dyDescent="0.4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  <c r="BS214">
        <v>3</v>
      </c>
      <c r="BT214">
        <v>3</v>
      </c>
      <c r="BU214">
        <v>5</v>
      </c>
      <c r="BV214">
        <v>5</v>
      </c>
      <c r="BW214">
        <v>5</v>
      </c>
      <c r="BX214">
        <v>5</v>
      </c>
      <c r="BY214">
        <v>5</v>
      </c>
      <c r="BZ214">
        <v>5</v>
      </c>
      <c r="CA214">
        <v>25</v>
      </c>
      <c r="CB214">
        <v>25</v>
      </c>
      <c r="CC214">
        <v>25</v>
      </c>
      <c r="CD214">
        <v>25</v>
      </c>
      <c r="CE214">
        <v>43</v>
      </c>
      <c r="CF214">
        <v>43</v>
      </c>
      <c r="CG214">
        <v>43</v>
      </c>
      <c r="CH214">
        <v>43</v>
      </c>
      <c r="CI214">
        <v>43</v>
      </c>
      <c r="CJ214">
        <v>43</v>
      </c>
      <c r="CK214">
        <v>43</v>
      </c>
      <c r="CL214">
        <v>43</v>
      </c>
      <c r="CM214">
        <v>43</v>
      </c>
      <c r="CN214">
        <v>148</v>
      </c>
      <c r="CO214">
        <v>148</v>
      </c>
      <c r="CP214">
        <v>190</v>
      </c>
      <c r="CQ214">
        <v>190</v>
      </c>
      <c r="CR214">
        <v>194</v>
      </c>
      <c r="CS214">
        <v>207</v>
      </c>
      <c r="CT214">
        <v>216</v>
      </c>
      <c r="CU214" s="1">
        <v>279</v>
      </c>
      <c r="CV214" s="1">
        <v>279</v>
      </c>
      <c r="CW214" s="1">
        <v>294</v>
      </c>
      <c r="CX214" s="1">
        <v>305</v>
      </c>
      <c r="CY214" s="1">
        <v>316</v>
      </c>
      <c r="CZ214" s="1">
        <v>323</v>
      </c>
      <c r="DA214" s="1">
        <v>328</v>
      </c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</row>
    <row r="215" spans="1:198" x14ac:dyDescent="0.4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  <c r="BS215">
        <v>162</v>
      </c>
      <c r="BT215">
        <v>243</v>
      </c>
      <c r="BU215">
        <v>333</v>
      </c>
      <c r="BV215">
        <v>415</v>
      </c>
      <c r="BW215">
        <v>484</v>
      </c>
      <c r="BX215">
        <v>786</v>
      </c>
      <c r="BY215">
        <v>1042</v>
      </c>
      <c r="BZ215">
        <v>1326</v>
      </c>
      <c r="CA215">
        <v>1582</v>
      </c>
      <c r="CB215">
        <v>1846</v>
      </c>
      <c r="CC215">
        <v>2142</v>
      </c>
      <c r="CD215">
        <v>2423</v>
      </c>
      <c r="CE215">
        <v>2965</v>
      </c>
      <c r="CF215">
        <v>3446</v>
      </c>
      <c r="CG215">
        <v>3957</v>
      </c>
      <c r="CH215">
        <v>4799</v>
      </c>
      <c r="CI215">
        <v>5674</v>
      </c>
      <c r="CJ215">
        <v>7089</v>
      </c>
      <c r="CK215">
        <v>8631</v>
      </c>
      <c r="CL215">
        <v>10453</v>
      </c>
      <c r="CM215">
        <v>11976</v>
      </c>
      <c r="CN215">
        <v>13430</v>
      </c>
      <c r="CO215">
        <v>14918</v>
      </c>
      <c r="CP215">
        <v>16477</v>
      </c>
      <c r="CQ215">
        <v>18491</v>
      </c>
      <c r="CR215">
        <v>21737</v>
      </c>
      <c r="CS215">
        <v>25582</v>
      </c>
      <c r="CT215">
        <v>29140</v>
      </c>
      <c r="CU215" s="1">
        <v>33791</v>
      </c>
      <c r="CV215" s="1">
        <v>38809</v>
      </c>
      <c r="CW215" s="1">
        <v>44040</v>
      </c>
      <c r="CX215" s="1">
        <v>48886</v>
      </c>
      <c r="CY215" s="1">
        <v>53808</v>
      </c>
      <c r="CZ215" s="1">
        <v>58259</v>
      </c>
      <c r="DA215" s="1">
        <v>63151</v>
      </c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</row>
    <row r="216" spans="1:198" x14ac:dyDescent="0.4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4</v>
      </c>
      <c r="CF216">
        <v>4</v>
      </c>
      <c r="CG216">
        <v>7</v>
      </c>
      <c r="CH216">
        <v>8</v>
      </c>
      <c r="CI216">
        <v>12</v>
      </c>
      <c r="CJ216">
        <v>20</v>
      </c>
      <c r="CK216">
        <v>20</v>
      </c>
      <c r="CL216">
        <v>22</v>
      </c>
      <c r="CM216">
        <v>28</v>
      </c>
      <c r="CN216">
        <v>38</v>
      </c>
      <c r="CO216">
        <v>38</v>
      </c>
      <c r="CP216">
        <v>45</v>
      </c>
      <c r="CQ216">
        <v>46</v>
      </c>
      <c r="CR216">
        <v>46</v>
      </c>
      <c r="CS216">
        <v>46</v>
      </c>
      <c r="CT216">
        <v>46</v>
      </c>
      <c r="CU216" s="1">
        <v>47</v>
      </c>
      <c r="CV216" s="1">
        <v>52</v>
      </c>
      <c r="CW216" s="1">
        <v>52</v>
      </c>
      <c r="CX216" s="1">
        <v>52</v>
      </c>
      <c r="CY216" s="1">
        <v>52</v>
      </c>
      <c r="CZ216" s="1">
        <v>52</v>
      </c>
      <c r="DA216" s="1">
        <v>52</v>
      </c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</row>
    <row r="217" spans="1:198" x14ac:dyDescent="0.4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  <c r="BS217">
        <v>8</v>
      </c>
      <c r="BT217">
        <v>10</v>
      </c>
      <c r="BU217">
        <v>13</v>
      </c>
      <c r="BV217">
        <v>19</v>
      </c>
      <c r="BW217">
        <v>22</v>
      </c>
      <c r="BX217">
        <v>25</v>
      </c>
      <c r="BY217">
        <v>28</v>
      </c>
      <c r="BZ217">
        <v>28</v>
      </c>
      <c r="CA217">
        <v>28</v>
      </c>
      <c r="CB217">
        <v>35</v>
      </c>
      <c r="CC217">
        <v>45</v>
      </c>
      <c r="CD217">
        <v>61</v>
      </c>
      <c r="CE217">
        <v>79</v>
      </c>
      <c r="CF217">
        <v>89</v>
      </c>
      <c r="CG217">
        <v>97</v>
      </c>
      <c r="CH217">
        <v>119</v>
      </c>
      <c r="CI217">
        <v>143</v>
      </c>
      <c r="CJ217">
        <v>186</v>
      </c>
      <c r="CK217">
        <v>246</v>
      </c>
      <c r="CL217">
        <v>275</v>
      </c>
      <c r="CM217">
        <v>347</v>
      </c>
      <c r="CN217">
        <v>359</v>
      </c>
      <c r="CO217">
        <v>367</v>
      </c>
      <c r="CP217">
        <v>424</v>
      </c>
      <c r="CQ217">
        <v>504</v>
      </c>
      <c r="CR217">
        <v>782</v>
      </c>
      <c r="CS217">
        <v>782</v>
      </c>
      <c r="CT217">
        <v>840</v>
      </c>
      <c r="CU217" s="1">
        <v>864</v>
      </c>
      <c r="CV217" s="1">
        <v>992</v>
      </c>
      <c r="CW217" s="1">
        <v>1103</v>
      </c>
      <c r="CX217" s="1">
        <v>1238</v>
      </c>
      <c r="CY217" s="1">
        <v>1413</v>
      </c>
      <c r="CZ217" s="1">
        <v>1498</v>
      </c>
      <c r="DA217" s="1">
        <v>1548</v>
      </c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</row>
    <row r="218" spans="1:198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  <c r="BS218">
        <v>61</v>
      </c>
      <c r="BT218">
        <v>61</v>
      </c>
      <c r="BU218">
        <v>61</v>
      </c>
      <c r="BV218">
        <v>96</v>
      </c>
      <c r="BW218">
        <v>108</v>
      </c>
      <c r="BX218">
        <v>125</v>
      </c>
      <c r="BY218">
        <v>144</v>
      </c>
      <c r="BZ218">
        <v>167</v>
      </c>
      <c r="CA218">
        <v>186</v>
      </c>
      <c r="CB218">
        <v>239</v>
      </c>
      <c r="CC218">
        <v>268</v>
      </c>
      <c r="CD218">
        <v>418</v>
      </c>
      <c r="CE218">
        <v>588</v>
      </c>
      <c r="CF218">
        <v>680</v>
      </c>
      <c r="CG218">
        <v>852</v>
      </c>
      <c r="CH218">
        <v>933</v>
      </c>
      <c r="CI218">
        <v>1034</v>
      </c>
      <c r="CJ218">
        <v>1095</v>
      </c>
      <c r="CK218">
        <v>1188</v>
      </c>
      <c r="CL218">
        <v>1188</v>
      </c>
      <c r="CM218">
        <v>1286</v>
      </c>
      <c r="CN218">
        <v>1360</v>
      </c>
      <c r="CO218">
        <v>1443</v>
      </c>
      <c r="CP218">
        <v>1546</v>
      </c>
      <c r="CQ218">
        <v>1637</v>
      </c>
      <c r="CR218">
        <v>1760</v>
      </c>
      <c r="CS218">
        <v>1887</v>
      </c>
      <c r="CT218">
        <v>1978</v>
      </c>
      <c r="CU218" s="1">
        <v>2090</v>
      </c>
      <c r="CV218" s="1">
        <v>2181</v>
      </c>
      <c r="CW218" s="1">
        <v>2329</v>
      </c>
      <c r="CX218" s="1">
        <v>2429</v>
      </c>
      <c r="CY218" s="1">
        <v>2543</v>
      </c>
      <c r="CZ218" s="1">
        <v>2664</v>
      </c>
      <c r="DA218" s="1">
        <v>2763</v>
      </c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</row>
    <row r="219" spans="1:198" x14ac:dyDescent="0.4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  <c r="BS219">
        <v>2</v>
      </c>
      <c r="BT219">
        <v>10</v>
      </c>
      <c r="BU219">
        <v>10</v>
      </c>
      <c r="BV219">
        <v>11</v>
      </c>
      <c r="BW219">
        <v>14</v>
      </c>
      <c r="BX219">
        <v>14</v>
      </c>
      <c r="BY219">
        <v>14</v>
      </c>
      <c r="BZ219">
        <v>17</v>
      </c>
      <c r="CA219">
        <v>17</v>
      </c>
      <c r="CB219">
        <v>23</v>
      </c>
      <c r="CC219">
        <v>25</v>
      </c>
      <c r="CD219">
        <v>25</v>
      </c>
      <c r="CE219">
        <v>25</v>
      </c>
      <c r="CF219">
        <v>29</v>
      </c>
      <c r="CG219">
        <v>30</v>
      </c>
      <c r="CH219">
        <v>30</v>
      </c>
      <c r="CI219">
        <v>33</v>
      </c>
      <c r="CJ219">
        <v>33</v>
      </c>
      <c r="CK219">
        <v>35</v>
      </c>
      <c r="CL219">
        <v>35</v>
      </c>
      <c r="CM219">
        <v>35</v>
      </c>
      <c r="CN219">
        <v>37</v>
      </c>
      <c r="CO219">
        <v>37</v>
      </c>
      <c r="CP219">
        <v>39</v>
      </c>
      <c r="CQ219">
        <v>39</v>
      </c>
      <c r="CR219">
        <v>39</v>
      </c>
      <c r="CS219">
        <v>39</v>
      </c>
      <c r="CT219">
        <v>39</v>
      </c>
      <c r="CU219" s="1">
        <v>44</v>
      </c>
      <c r="CV219" s="1">
        <v>44</v>
      </c>
      <c r="CW219" s="1">
        <v>48</v>
      </c>
      <c r="CX219" s="1">
        <v>48</v>
      </c>
      <c r="CY219" s="1">
        <v>48</v>
      </c>
      <c r="CZ219" s="1">
        <v>51</v>
      </c>
      <c r="DA219" s="1">
        <v>51</v>
      </c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</row>
    <row r="220" spans="1:198" x14ac:dyDescent="0.4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1</v>
      </c>
      <c r="BY220">
        <v>1</v>
      </c>
      <c r="BZ220">
        <v>1</v>
      </c>
      <c r="CA220">
        <v>6</v>
      </c>
      <c r="CB220">
        <v>6</v>
      </c>
      <c r="CC220">
        <v>6</v>
      </c>
      <c r="CD220">
        <v>6</v>
      </c>
      <c r="CE220">
        <v>6</v>
      </c>
      <c r="CF220">
        <v>6</v>
      </c>
      <c r="CG220">
        <v>6</v>
      </c>
      <c r="CH220">
        <v>6</v>
      </c>
      <c r="CI220">
        <v>6</v>
      </c>
      <c r="CJ220">
        <v>6</v>
      </c>
      <c r="CK220">
        <v>7</v>
      </c>
      <c r="CL220">
        <v>7</v>
      </c>
      <c r="CM220">
        <v>7</v>
      </c>
      <c r="CN220">
        <v>7</v>
      </c>
      <c r="CO220">
        <v>7</v>
      </c>
      <c r="CP220">
        <v>7</v>
      </c>
      <c r="CQ220">
        <v>7</v>
      </c>
      <c r="CR220">
        <v>8</v>
      </c>
      <c r="CS220">
        <v>8</v>
      </c>
      <c r="CT220">
        <v>8</v>
      </c>
      <c r="CU220" s="1">
        <v>8</v>
      </c>
      <c r="CV220" s="1">
        <v>10</v>
      </c>
      <c r="CW220" s="1">
        <v>10</v>
      </c>
      <c r="CX220" s="1">
        <v>10</v>
      </c>
      <c r="CY220" s="1">
        <v>10</v>
      </c>
      <c r="CZ220" s="1">
        <v>10</v>
      </c>
      <c r="DA220" s="1">
        <v>10</v>
      </c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</row>
    <row r="221" spans="1:198" x14ac:dyDescent="0.4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13</v>
      </c>
      <c r="BX221">
        <v>13</v>
      </c>
      <c r="BY221">
        <v>27</v>
      </c>
      <c r="BZ221">
        <v>27</v>
      </c>
      <c r="CA221">
        <v>34</v>
      </c>
      <c r="CB221">
        <v>38</v>
      </c>
      <c r="CC221">
        <v>40</v>
      </c>
      <c r="CD221">
        <v>40</v>
      </c>
      <c r="CE221">
        <v>48</v>
      </c>
      <c r="CF221">
        <v>48</v>
      </c>
      <c r="CG221">
        <v>48</v>
      </c>
      <c r="CH221">
        <v>48</v>
      </c>
      <c r="CI221">
        <v>69</v>
      </c>
      <c r="CJ221">
        <v>73</v>
      </c>
      <c r="CK221">
        <v>73</v>
      </c>
      <c r="CL221">
        <v>73</v>
      </c>
      <c r="CM221">
        <v>73</v>
      </c>
      <c r="CN221">
        <v>73</v>
      </c>
      <c r="CO221">
        <v>256</v>
      </c>
      <c r="CP221">
        <v>285</v>
      </c>
      <c r="CQ221">
        <v>295</v>
      </c>
      <c r="CR221">
        <v>295</v>
      </c>
      <c r="CS221">
        <v>332</v>
      </c>
      <c r="CT221">
        <v>332</v>
      </c>
      <c r="CU221" s="1">
        <v>352</v>
      </c>
      <c r="CV221" s="1">
        <v>352</v>
      </c>
      <c r="CW221" s="1">
        <v>386</v>
      </c>
      <c r="CX221" s="1">
        <v>386</v>
      </c>
      <c r="CY221" s="1">
        <v>406</v>
      </c>
      <c r="CZ221" s="1">
        <v>406</v>
      </c>
      <c r="DA221" s="1">
        <v>406</v>
      </c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</row>
    <row r="222" spans="1:198" x14ac:dyDescent="0.4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  <c r="BS222">
        <v>34</v>
      </c>
      <c r="BT222">
        <v>34</v>
      </c>
      <c r="BU222">
        <v>34</v>
      </c>
      <c r="BV222">
        <v>46</v>
      </c>
      <c r="BW222">
        <v>46</v>
      </c>
      <c r="BX222">
        <v>52</v>
      </c>
      <c r="BY222">
        <v>52</v>
      </c>
      <c r="BZ222">
        <v>52</v>
      </c>
      <c r="CA222">
        <v>60</v>
      </c>
      <c r="CB222">
        <v>60</v>
      </c>
      <c r="CC222">
        <v>60</v>
      </c>
      <c r="CD222">
        <v>69</v>
      </c>
      <c r="CE222">
        <v>84</v>
      </c>
      <c r="CF222">
        <v>84</v>
      </c>
      <c r="CG222">
        <v>84</v>
      </c>
      <c r="CH222">
        <v>93</v>
      </c>
      <c r="CI222">
        <v>104</v>
      </c>
      <c r="CJ222">
        <v>104</v>
      </c>
      <c r="CK222">
        <v>105</v>
      </c>
      <c r="CL222">
        <v>111</v>
      </c>
      <c r="CM222">
        <v>120</v>
      </c>
      <c r="CN222">
        <v>120</v>
      </c>
      <c r="CO222">
        <v>120</v>
      </c>
      <c r="CP222">
        <v>127</v>
      </c>
      <c r="CQ222">
        <v>129</v>
      </c>
      <c r="CR222">
        <v>131</v>
      </c>
      <c r="CS222">
        <v>131</v>
      </c>
      <c r="CT222">
        <v>131</v>
      </c>
      <c r="CU222" s="1">
        <v>131</v>
      </c>
      <c r="CV222" s="1">
        <v>131</v>
      </c>
      <c r="CW222" s="1">
        <v>131</v>
      </c>
      <c r="CX222" s="1">
        <v>131</v>
      </c>
      <c r="CY222" s="1">
        <v>131</v>
      </c>
      <c r="CZ222" s="1">
        <v>132</v>
      </c>
      <c r="DA222" s="1">
        <v>132</v>
      </c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</row>
    <row r="223" spans="1:198" x14ac:dyDescent="0.4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55</v>
      </c>
      <c r="CA223">
        <v>73</v>
      </c>
      <c r="CB223">
        <v>82</v>
      </c>
      <c r="CC223">
        <v>92</v>
      </c>
      <c r="CD223">
        <v>103</v>
      </c>
      <c r="CE223">
        <v>112</v>
      </c>
      <c r="CF223">
        <v>112</v>
      </c>
      <c r="CG223">
        <v>131</v>
      </c>
      <c r="CH223">
        <v>141</v>
      </c>
      <c r="CI223">
        <v>151</v>
      </c>
      <c r="CJ223">
        <v>154</v>
      </c>
      <c r="CK223">
        <v>169</v>
      </c>
      <c r="CL223">
        <v>180</v>
      </c>
      <c r="CM223">
        <v>193</v>
      </c>
      <c r="CN223">
        <v>200</v>
      </c>
      <c r="CO223">
        <v>209</v>
      </c>
      <c r="CP223">
        <v>212</v>
      </c>
      <c r="CQ223">
        <v>221</v>
      </c>
      <c r="CR223">
        <v>230</v>
      </c>
      <c r="CS223">
        <v>243</v>
      </c>
      <c r="CT223">
        <v>247</v>
      </c>
      <c r="CU223" s="1">
        <v>248</v>
      </c>
      <c r="CV223" s="1">
        <v>252</v>
      </c>
      <c r="CW223" s="1">
        <v>258</v>
      </c>
      <c r="CX223" s="1">
        <v>260</v>
      </c>
      <c r="CY223" s="1">
        <v>271</v>
      </c>
      <c r="CZ223" s="1">
        <v>271</v>
      </c>
      <c r="DA223" s="1">
        <v>271</v>
      </c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</row>
    <row r="224" spans="1:198" x14ac:dyDescent="0.4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1</v>
      </c>
      <c r="CH224">
        <v>1</v>
      </c>
      <c r="CI224">
        <v>1</v>
      </c>
      <c r="CJ224">
        <v>1</v>
      </c>
      <c r="CK224">
        <v>1</v>
      </c>
      <c r="CL224">
        <v>2</v>
      </c>
      <c r="CM224">
        <v>2</v>
      </c>
      <c r="CN224">
        <v>2</v>
      </c>
      <c r="CO224">
        <v>2</v>
      </c>
      <c r="CP224">
        <v>2</v>
      </c>
      <c r="CQ224">
        <v>2</v>
      </c>
      <c r="CR224">
        <v>2</v>
      </c>
      <c r="CS224">
        <v>2</v>
      </c>
      <c r="CT224">
        <v>2</v>
      </c>
      <c r="CU224" s="1">
        <v>2</v>
      </c>
      <c r="CV224" s="1">
        <v>2</v>
      </c>
      <c r="CW224" s="1">
        <v>2</v>
      </c>
      <c r="CX224" s="1">
        <v>2</v>
      </c>
      <c r="CY224" s="1">
        <v>2</v>
      </c>
      <c r="CZ224" s="1">
        <v>2</v>
      </c>
      <c r="DA224" s="1">
        <v>7</v>
      </c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</row>
    <row r="225" spans="1:198" x14ac:dyDescent="0.4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  <c r="BS225">
        <v>135</v>
      </c>
      <c r="BT225">
        <v>135</v>
      </c>
      <c r="BU225">
        <v>135</v>
      </c>
      <c r="BV225">
        <v>135</v>
      </c>
      <c r="BW225">
        <v>135</v>
      </c>
      <c r="BX225">
        <v>135</v>
      </c>
      <c r="BY225">
        <v>135</v>
      </c>
      <c r="BZ225">
        <v>135</v>
      </c>
      <c r="CA225">
        <v>135</v>
      </c>
      <c r="CB225">
        <v>135</v>
      </c>
      <c r="CC225">
        <v>135</v>
      </c>
      <c r="CD225">
        <v>344</v>
      </c>
      <c r="CE225">
        <v>344</v>
      </c>
      <c r="CF225">
        <v>344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 s="1">
        <v>0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A225" s="1">
        <v>0</v>
      </c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</row>
    <row r="226" spans="1:198" x14ac:dyDescent="0.4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41</v>
      </c>
      <c r="BU226">
        <v>41</v>
      </c>
      <c r="BV226">
        <v>62</v>
      </c>
      <c r="BW226">
        <v>68</v>
      </c>
      <c r="BX226">
        <v>93</v>
      </c>
      <c r="BY226">
        <v>93</v>
      </c>
      <c r="BZ226">
        <v>104</v>
      </c>
      <c r="CA226">
        <v>150</v>
      </c>
      <c r="CB226">
        <v>150</v>
      </c>
      <c r="CC226">
        <v>192</v>
      </c>
      <c r="CD226">
        <v>206</v>
      </c>
      <c r="CE226">
        <v>214</v>
      </c>
      <c r="CF226">
        <v>231</v>
      </c>
      <c r="CG226">
        <v>231</v>
      </c>
      <c r="CH226">
        <v>248</v>
      </c>
      <c r="CI226">
        <v>260</v>
      </c>
      <c r="CJ226">
        <v>286</v>
      </c>
      <c r="CK226">
        <v>286</v>
      </c>
      <c r="CL226">
        <v>294</v>
      </c>
      <c r="CM226">
        <v>298</v>
      </c>
      <c r="CN226">
        <v>313</v>
      </c>
      <c r="CO226">
        <v>313</v>
      </c>
      <c r="CP226">
        <v>324</v>
      </c>
      <c r="CQ226">
        <v>354</v>
      </c>
      <c r="CR226">
        <v>369</v>
      </c>
      <c r="CS226">
        <v>370</v>
      </c>
      <c r="CT226">
        <v>375</v>
      </c>
      <c r="CU226" s="1">
        <v>386</v>
      </c>
      <c r="CV226" s="1">
        <v>394</v>
      </c>
      <c r="CW226" s="1">
        <v>412</v>
      </c>
      <c r="CX226" s="1">
        <v>417</v>
      </c>
      <c r="CY226" s="1">
        <v>435</v>
      </c>
      <c r="CZ226" s="1">
        <v>440</v>
      </c>
      <c r="DA226" s="1">
        <v>442</v>
      </c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</row>
    <row r="227" spans="1:198" x14ac:dyDescent="0.4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  <c r="BS227">
        <v>5644</v>
      </c>
      <c r="BT227">
        <v>7024</v>
      </c>
      <c r="BU227">
        <v>8474</v>
      </c>
      <c r="BV227">
        <v>9001</v>
      </c>
      <c r="BW227">
        <v>9707</v>
      </c>
      <c r="BX227">
        <v>14652</v>
      </c>
      <c r="BY227">
        <v>17448</v>
      </c>
      <c r="BZ227">
        <v>19581</v>
      </c>
      <c r="CA227">
        <v>21763</v>
      </c>
      <c r="CB227">
        <v>23559</v>
      </c>
      <c r="CC227">
        <v>25410</v>
      </c>
      <c r="CD227">
        <v>28790</v>
      </c>
      <c r="CE227">
        <v>31270</v>
      </c>
      <c r="CF227">
        <v>32988</v>
      </c>
      <c r="CG227">
        <v>43482</v>
      </c>
      <c r="CH227">
        <v>47763</v>
      </c>
      <c r="CI227">
        <v>52096</v>
      </c>
      <c r="CJ227">
        <v>54703</v>
      </c>
      <c r="CK227">
        <v>58545</v>
      </c>
      <c r="CL227">
        <v>64840</v>
      </c>
      <c r="CM227">
        <v>70337</v>
      </c>
      <c r="CN227">
        <v>72329</v>
      </c>
      <c r="CO227">
        <v>75204</v>
      </c>
      <c r="CP227">
        <v>77366</v>
      </c>
      <c r="CQ227">
        <v>80203</v>
      </c>
      <c r="CR227">
        <v>99079</v>
      </c>
      <c r="CS227">
        <v>100372</v>
      </c>
      <c r="CT227">
        <v>106988</v>
      </c>
      <c r="CU227" s="1">
        <v>111424</v>
      </c>
      <c r="CV227" s="1">
        <v>115936</v>
      </c>
      <c r="CW227" s="1">
        <v>120720</v>
      </c>
      <c r="CX227" s="1">
        <v>153947</v>
      </c>
      <c r="CY227" s="1">
        <v>164015</v>
      </c>
      <c r="CZ227" s="1">
        <v>175382</v>
      </c>
      <c r="DA227" s="1">
        <v>180152</v>
      </c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</row>
    <row r="228" spans="1:198" x14ac:dyDescent="0.4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  <c r="BS228">
        <v>7</v>
      </c>
      <c r="BT228">
        <v>7</v>
      </c>
      <c r="BU228">
        <v>12</v>
      </c>
      <c r="BV228">
        <v>25</v>
      </c>
      <c r="BW228">
        <v>25</v>
      </c>
      <c r="BX228">
        <v>25</v>
      </c>
      <c r="BY228">
        <v>30</v>
      </c>
      <c r="BZ228">
        <v>30</v>
      </c>
      <c r="CA228">
        <v>30</v>
      </c>
      <c r="CB228">
        <v>30</v>
      </c>
      <c r="CC228">
        <v>38</v>
      </c>
      <c r="CD228">
        <v>42</v>
      </c>
      <c r="CE228">
        <v>42</v>
      </c>
      <c r="CF228">
        <v>66</v>
      </c>
      <c r="CG228">
        <v>85</v>
      </c>
      <c r="CH228">
        <v>99</v>
      </c>
      <c r="CI228">
        <v>107</v>
      </c>
      <c r="CJ228">
        <v>129</v>
      </c>
      <c r="CK228">
        <v>156</v>
      </c>
      <c r="CL228">
        <v>194</v>
      </c>
      <c r="CM228">
        <v>225</v>
      </c>
      <c r="CN228">
        <v>261</v>
      </c>
      <c r="CO228">
        <v>357</v>
      </c>
      <c r="CP228">
        <v>450</v>
      </c>
      <c r="CQ228">
        <v>561</v>
      </c>
      <c r="CR228">
        <v>621</v>
      </c>
      <c r="CS228">
        <v>707</v>
      </c>
      <c r="CT228">
        <v>789</v>
      </c>
      <c r="CU228" s="1">
        <v>892</v>
      </c>
      <c r="CV228" s="1">
        <v>992</v>
      </c>
      <c r="CW228" s="1">
        <v>1096</v>
      </c>
      <c r="CX228" s="1">
        <v>1133</v>
      </c>
      <c r="CY228" s="1">
        <v>1212</v>
      </c>
      <c r="CZ228" s="1">
        <v>1271</v>
      </c>
      <c r="DA228" s="1">
        <v>1319</v>
      </c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</row>
    <row r="229" spans="1:198" x14ac:dyDescent="0.4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  <c r="BS229">
        <v>39</v>
      </c>
      <c r="BT229">
        <v>39</v>
      </c>
      <c r="BU229">
        <v>41</v>
      </c>
      <c r="BV229">
        <v>43</v>
      </c>
      <c r="BW229">
        <v>52</v>
      </c>
      <c r="BX229">
        <v>52</v>
      </c>
      <c r="BY229">
        <v>52</v>
      </c>
      <c r="BZ229">
        <v>65</v>
      </c>
      <c r="CA229">
        <v>65</v>
      </c>
      <c r="CB229">
        <v>65</v>
      </c>
      <c r="CC229">
        <v>84</v>
      </c>
      <c r="CD229">
        <v>84</v>
      </c>
      <c r="CE229">
        <v>93</v>
      </c>
      <c r="CF229">
        <v>93</v>
      </c>
      <c r="CG229">
        <v>110</v>
      </c>
      <c r="CH229">
        <v>110</v>
      </c>
      <c r="CI229">
        <v>111</v>
      </c>
      <c r="CJ229">
        <v>111</v>
      </c>
      <c r="CK229">
        <v>111</v>
      </c>
      <c r="CL229">
        <v>113</v>
      </c>
      <c r="CM229">
        <v>117</v>
      </c>
      <c r="CN229">
        <v>117</v>
      </c>
      <c r="CO229">
        <v>117</v>
      </c>
      <c r="CP229">
        <v>122</v>
      </c>
      <c r="CQ229">
        <v>126</v>
      </c>
      <c r="CR229">
        <v>132</v>
      </c>
      <c r="CS229">
        <v>132</v>
      </c>
      <c r="CT229">
        <v>137</v>
      </c>
      <c r="CU229" s="1">
        <v>142</v>
      </c>
      <c r="CV229" s="1">
        <v>142</v>
      </c>
      <c r="CW229" s="1">
        <v>142</v>
      </c>
      <c r="CX229" s="1">
        <v>142</v>
      </c>
      <c r="CY229" s="1">
        <v>148</v>
      </c>
      <c r="CZ229" s="1">
        <v>148</v>
      </c>
      <c r="DA229" s="1">
        <v>158</v>
      </c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</row>
    <row r="230" spans="1:198" x14ac:dyDescent="0.4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  <c r="BS230">
        <v>55</v>
      </c>
      <c r="BT230">
        <v>58</v>
      </c>
      <c r="BU230">
        <v>63</v>
      </c>
      <c r="BV230">
        <v>75</v>
      </c>
      <c r="BW230">
        <v>85</v>
      </c>
      <c r="BX230">
        <v>90</v>
      </c>
      <c r="BY230">
        <v>90</v>
      </c>
      <c r="BZ230">
        <v>95</v>
      </c>
      <c r="CA230">
        <v>123</v>
      </c>
      <c r="CB230">
        <v>126</v>
      </c>
      <c r="CC230">
        <v>128</v>
      </c>
      <c r="CD230">
        <v>144</v>
      </c>
      <c r="CE230">
        <v>144</v>
      </c>
      <c r="CF230">
        <v>144</v>
      </c>
      <c r="CG230">
        <v>146</v>
      </c>
      <c r="CH230">
        <v>169</v>
      </c>
      <c r="CI230">
        <v>171</v>
      </c>
      <c r="CJ230">
        <v>177</v>
      </c>
      <c r="CK230">
        <v>198</v>
      </c>
      <c r="CL230">
        <v>201</v>
      </c>
      <c r="CM230">
        <v>202</v>
      </c>
      <c r="CN230">
        <v>214</v>
      </c>
      <c r="CO230">
        <v>216</v>
      </c>
      <c r="CP230">
        <v>223</v>
      </c>
      <c r="CQ230">
        <v>224</v>
      </c>
      <c r="CR230">
        <v>220</v>
      </c>
      <c r="CS230">
        <v>225</v>
      </c>
      <c r="CT230">
        <v>225</v>
      </c>
      <c r="CU230" s="1">
        <v>225</v>
      </c>
      <c r="CV230" s="1">
        <v>222</v>
      </c>
      <c r="CW230" s="1">
        <v>222</v>
      </c>
      <c r="CX230" s="1">
        <v>219</v>
      </c>
      <c r="CY230" s="1">
        <v>219</v>
      </c>
      <c r="CZ230" s="1">
        <v>219</v>
      </c>
      <c r="DA230" s="1">
        <v>219</v>
      </c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</row>
    <row r="231" spans="1:198" x14ac:dyDescent="0.4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2</v>
      </c>
      <c r="BX231">
        <v>2</v>
      </c>
      <c r="BY231">
        <v>3</v>
      </c>
      <c r="BZ231">
        <v>5</v>
      </c>
      <c r="CA231">
        <v>7</v>
      </c>
      <c r="CB231">
        <v>7</v>
      </c>
      <c r="CC231">
        <v>24</v>
      </c>
      <c r="CD231">
        <v>25</v>
      </c>
      <c r="CE231">
        <v>28</v>
      </c>
      <c r="CF231">
        <v>30</v>
      </c>
      <c r="CG231">
        <v>30</v>
      </c>
      <c r="CH231">
        <v>30</v>
      </c>
      <c r="CI231">
        <v>30</v>
      </c>
      <c r="CJ231">
        <v>30</v>
      </c>
      <c r="CK231">
        <v>30</v>
      </c>
      <c r="CL231">
        <v>33</v>
      </c>
      <c r="CM231">
        <v>33</v>
      </c>
      <c r="CN231">
        <v>35</v>
      </c>
      <c r="CO231">
        <v>35</v>
      </c>
      <c r="CP231">
        <v>35</v>
      </c>
      <c r="CQ231">
        <v>37</v>
      </c>
      <c r="CR231">
        <v>37</v>
      </c>
      <c r="CS231">
        <v>37</v>
      </c>
      <c r="CT231">
        <v>42</v>
      </c>
      <c r="CU231" s="1">
        <v>42</v>
      </c>
      <c r="CV231" s="1">
        <v>42</v>
      </c>
      <c r="CW231" s="1">
        <v>54</v>
      </c>
      <c r="CX231" s="1">
        <v>55</v>
      </c>
      <c r="CY231" s="1">
        <v>74</v>
      </c>
      <c r="CZ231" s="1">
        <v>75</v>
      </c>
      <c r="DA231" s="1">
        <v>78</v>
      </c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</row>
    <row r="232" spans="1:198" x14ac:dyDescent="0.4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1</v>
      </c>
      <c r="CJ232">
        <v>1</v>
      </c>
      <c r="CK232">
        <v>2</v>
      </c>
      <c r="CL232">
        <v>2</v>
      </c>
      <c r="CM232">
        <v>2</v>
      </c>
      <c r="CN232">
        <v>2</v>
      </c>
      <c r="CO232">
        <v>2</v>
      </c>
      <c r="CP232">
        <v>2</v>
      </c>
      <c r="CQ232">
        <v>2</v>
      </c>
      <c r="CR232">
        <v>2</v>
      </c>
      <c r="CS232">
        <v>2</v>
      </c>
      <c r="CT232">
        <v>2</v>
      </c>
      <c r="CU232" s="1">
        <v>5</v>
      </c>
      <c r="CV232" s="1">
        <v>5</v>
      </c>
      <c r="CW232" s="1">
        <v>5</v>
      </c>
      <c r="CX232" s="1">
        <v>5</v>
      </c>
      <c r="CY232" s="1">
        <v>5</v>
      </c>
      <c r="CZ232" s="1">
        <v>5</v>
      </c>
      <c r="DA232" s="1">
        <v>5</v>
      </c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</row>
    <row r="233" spans="1:198" x14ac:dyDescent="0.45">
      <c r="A233" s="1" t="s">
        <v>2</v>
      </c>
      <c r="B233" s="1" t="s">
        <v>251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  <c r="BS233">
        <v>18</v>
      </c>
      <c r="BT233">
        <v>18</v>
      </c>
      <c r="BU233">
        <v>18</v>
      </c>
      <c r="BV233">
        <v>18</v>
      </c>
      <c r="BW233">
        <v>21</v>
      </c>
      <c r="BX233">
        <v>21</v>
      </c>
      <c r="BY233">
        <v>25</v>
      </c>
      <c r="BZ233">
        <v>24</v>
      </c>
      <c r="CA233">
        <v>42</v>
      </c>
      <c r="CB233">
        <v>44</v>
      </c>
      <c r="CC233">
        <v>44</v>
      </c>
      <c r="CD233">
        <v>45</v>
      </c>
      <c r="CE233">
        <v>57</v>
      </c>
      <c r="CF233">
        <v>58</v>
      </c>
      <c r="CG233">
        <v>58</v>
      </c>
      <c r="CH233">
        <v>62</v>
      </c>
      <c r="CI233">
        <v>63</v>
      </c>
      <c r="CJ233">
        <v>63</v>
      </c>
      <c r="CK233">
        <v>69</v>
      </c>
      <c r="CL233">
        <v>69</v>
      </c>
      <c r="CM233">
        <v>71</v>
      </c>
      <c r="CN233">
        <v>71</v>
      </c>
      <c r="CO233">
        <v>71</v>
      </c>
      <c r="CP233">
        <v>71</v>
      </c>
      <c r="CQ233">
        <v>92</v>
      </c>
      <c r="CR233">
        <v>92</v>
      </c>
      <c r="CS233">
        <v>92</v>
      </c>
      <c r="CT233">
        <v>83</v>
      </c>
      <c r="CU233" s="1">
        <v>83</v>
      </c>
      <c r="CV233" s="1">
        <v>71</v>
      </c>
      <c r="CW233" s="1">
        <v>71</v>
      </c>
      <c r="CX233" s="1">
        <v>76</v>
      </c>
      <c r="CY233" s="1">
        <v>76</v>
      </c>
      <c r="CZ233" s="1">
        <v>76</v>
      </c>
      <c r="DA233" s="1">
        <v>77</v>
      </c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</row>
    <row r="234" spans="1:198" x14ac:dyDescent="0.45">
      <c r="A234" s="1" t="s">
        <v>2</v>
      </c>
      <c r="B234" s="1" t="s">
        <v>249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1</v>
      </c>
      <c r="CI234">
        <v>1</v>
      </c>
      <c r="CJ234">
        <v>2</v>
      </c>
      <c r="CK234">
        <v>2</v>
      </c>
      <c r="CL234">
        <v>2</v>
      </c>
      <c r="CM234">
        <v>2</v>
      </c>
      <c r="CN234">
        <v>2</v>
      </c>
      <c r="CO234">
        <v>2</v>
      </c>
      <c r="CP234">
        <v>4</v>
      </c>
      <c r="CQ234">
        <v>4</v>
      </c>
      <c r="CR234">
        <v>4</v>
      </c>
      <c r="CS234">
        <v>7</v>
      </c>
      <c r="CT234">
        <v>7</v>
      </c>
      <c r="CU234" s="1">
        <v>7</v>
      </c>
      <c r="CV234" s="1">
        <v>7</v>
      </c>
      <c r="CW234" s="1">
        <v>7</v>
      </c>
      <c r="CX234" s="1">
        <v>8</v>
      </c>
      <c r="CY234" s="1">
        <v>8</v>
      </c>
      <c r="CZ234" s="1">
        <v>9</v>
      </c>
      <c r="DA234" s="1">
        <v>9</v>
      </c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</row>
    <row r="235" spans="1:198" x14ac:dyDescent="0.4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  <c r="BS235">
        <v>1</v>
      </c>
      <c r="BT235">
        <v>6</v>
      </c>
      <c r="BU235">
        <v>10</v>
      </c>
      <c r="BV235">
        <v>10</v>
      </c>
      <c r="BW235">
        <v>10</v>
      </c>
      <c r="BX235">
        <v>16</v>
      </c>
      <c r="BY235">
        <v>23</v>
      </c>
      <c r="BZ235">
        <v>23</v>
      </c>
      <c r="CA235">
        <v>24</v>
      </c>
      <c r="CB235">
        <v>30</v>
      </c>
      <c r="CC235">
        <v>30</v>
      </c>
      <c r="CD235">
        <v>52</v>
      </c>
      <c r="CE235">
        <v>58</v>
      </c>
      <c r="CF235">
        <v>58</v>
      </c>
      <c r="CG235">
        <v>58</v>
      </c>
      <c r="CH235">
        <v>66</v>
      </c>
      <c r="CI235">
        <v>66</v>
      </c>
      <c r="CJ235">
        <v>79</v>
      </c>
      <c r="CK235">
        <v>84</v>
      </c>
      <c r="CL235">
        <v>93</v>
      </c>
      <c r="CM235">
        <v>102</v>
      </c>
      <c r="CN235">
        <v>123</v>
      </c>
      <c r="CO235">
        <v>128</v>
      </c>
      <c r="CP235">
        <v>138</v>
      </c>
      <c r="CQ235">
        <v>159</v>
      </c>
      <c r="CR235">
        <v>162</v>
      </c>
      <c r="CS235">
        <v>165</v>
      </c>
      <c r="CT235">
        <v>166</v>
      </c>
      <c r="CU235" s="1">
        <v>201</v>
      </c>
      <c r="CV235" s="1">
        <v>232</v>
      </c>
      <c r="CW235" s="1">
        <v>249</v>
      </c>
      <c r="CX235" s="1">
        <v>271</v>
      </c>
      <c r="CY235" s="1">
        <v>271</v>
      </c>
      <c r="CZ235" s="1">
        <v>336</v>
      </c>
      <c r="DA235" s="1">
        <v>381</v>
      </c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</row>
    <row r="236" spans="1:198" x14ac:dyDescent="0.45">
      <c r="A236" s="1" t="s">
        <v>2</v>
      </c>
      <c r="B236" s="1" t="s">
        <v>359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2</v>
      </c>
      <c r="CD236">
        <v>2</v>
      </c>
      <c r="CE236">
        <v>2</v>
      </c>
      <c r="CF236">
        <v>2</v>
      </c>
      <c r="CG236">
        <v>2</v>
      </c>
      <c r="CH236">
        <v>2</v>
      </c>
      <c r="CI236">
        <v>2</v>
      </c>
      <c r="CJ236">
        <v>2</v>
      </c>
      <c r="CK236">
        <v>5</v>
      </c>
      <c r="CL236">
        <v>5</v>
      </c>
      <c r="CM236">
        <v>7</v>
      </c>
      <c r="CN236">
        <v>7</v>
      </c>
      <c r="CO236">
        <v>7</v>
      </c>
      <c r="CP236">
        <v>7</v>
      </c>
      <c r="CQ236">
        <v>9</v>
      </c>
      <c r="CR236">
        <v>9</v>
      </c>
      <c r="CS236">
        <v>10</v>
      </c>
      <c r="CT236">
        <v>10</v>
      </c>
      <c r="CU236" s="1">
        <v>16</v>
      </c>
      <c r="CV236" s="1">
        <v>16</v>
      </c>
      <c r="CW236" s="1">
        <v>27</v>
      </c>
      <c r="CX236" s="1">
        <v>27</v>
      </c>
      <c r="CY236" s="1">
        <v>31</v>
      </c>
      <c r="CZ236" s="1">
        <v>37</v>
      </c>
      <c r="DA236" s="1">
        <v>43</v>
      </c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</row>
    <row r="237" spans="1:198" x14ac:dyDescent="0.45">
      <c r="A237" s="1" t="s">
        <v>360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1</v>
      </c>
      <c r="CH237">
        <v>1</v>
      </c>
      <c r="CI237">
        <v>1</v>
      </c>
      <c r="CJ237">
        <v>1</v>
      </c>
      <c r="CK237">
        <v>1</v>
      </c>
      <c r="CL237">
        <v>1</v>
      </c>
      <c r="CM237">
        <v>1</v>
      </c>
      <c r="CN237">
        <v>1</v>
      </c>
      <c r="CO237">
        <v>1</v>
      </c>
      <c r="CP237">
        <v>1</v>
      </c>
      <c r="CQ237">
        <v>1</v>
      </c>
      <c r="CR237">
        <v>1</v>
      </c>
      <c r="CS237">
        <v>1</v>
      </c>
      <c r="CT237">
        <v>1</v>
      </c>
      <c r="CU237" s="1">
        <v>3</v>
      </c>
      <c r="CV237" s="1">
        <v>3</v>
      </c>
      <c r="CW237" s="1">
        <v>3</v>
      </c>
      <c r="CX237" s="1">
        <v>3</v>
      </c>
      <c r="CY237" s="1">
        <v>3</v>
      </c>
      <c r="CZ237" s="1">
        <v>3</v>
      </c>
      <c r="DA237" s="1">
        <v>3</v>
      </c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</row>
    <row r="238" spans="1:198" x14ac:dyDescent="0.45">
      <c r="A238" s="1" t="s">
        <v>361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2</v>
      </c>
      <c r="CF238">
        <v>2</v>
      </c>
      <c r="CG238">
        <v>2</v>
      </c>
      <c r="CH238">
        <v>2</v>
      </c>
      <c r="CI238">
        <v>2</v>
      </c>
      <c r="CJ238">
        <v>2</v>
      </c>
      <c r="CK238">
        <v>2</v>
      </c>
      <c r="CL238">
        <v>2</v>
      </c>
      <c r="CM238">
        <v>2</v>
      </c>
      <c r="CN238">
        <v>3</v>
      </c>
      <c r="CO238">
        <v>3</v>
      </c>
      <c r="CP238">
        <v>3</v>
      </c>
      <c r="CQ238">
        <v>3</v>
      </c>
      <c r="CR238">
        <v>3</v>
      </c>
      <c r="CS238">
        <v>3</v>
      </c>
      <c r="CT238">
        <v>3</v>
      </c>
      <c r="CU238" s="1">
        <v>3</v>
      </c>
      <c r="CV238" s="1">
        <v>3</v>
      </c>
      <c r="CW238" s="1">
        <v>3</v>
      </c>
      <c r="CX238" s="1">
        <v>3</v>
      </c>
      <c r="CY238" s="1">
        <v>3</v>
      </c>
      <c r="CZ238" s="1">
        <v>3</v>
      </c>
      <c r="DA238" s="1">
        <v>3</v>
      </c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</row>
    <row r="239" spans="1:198" x14ac:dyDescent="0.45">
      <c r="A239" s="1" t="s">
        <v>362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4</v>
      </c>
      <c r="CQ239">
        <v>4</v>
      </c>
      <c r="CR239">
        <v>4</v>
      </c>
      <c r="CS239">
        <v>4</v>
      </c>
      <c r="CT239">
        <v>4</v>
      </c>
      <c r="CU239" s="1">
        <v>5</v>
      </c>
      <c r="CV239" s="1">
        <v>5</v>
      </c>
      <c r="CW239" s="1">
        <v>5</v>
      </c>
      <c r="CX239" s="1">
        <v>5</v>
      </c>
      <c r="CY239" s="1">
        <v>5</v>
      </c>
      <c r="CZ239" s="1">
        <v>5</v>
      </c>
      <c r="DA239" s="1">
        <v>5</v>
      </c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</row>
    <row r="240" spans="1:198" x14ac:dyDescent="0.45">
      <c r="A240" s="1" t="s">
        <v>2</v>
      </c>
      <c r="B240" s="1" t="s">
        <v>363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 s="1">
        <v>0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A240" s="1">
        <v>0</v>
      </c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</row>
    <row r="241" spans="1:198" x14ac:dyDescent="0.45">
      <c r="A241" s="1" t="s">
        <v>2</v>
      </c>
      <c r="B241" s="1" t="s">
        <v>365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 s="1">
        <v>0</v>
      </c>
      <c r="CV241" s="1">
        <v>0</v>
      </c>
      <c r="CW241" s="1">
        <v>5</v>
      </c>
      <c r="CX241" s="1">
        <v>5</v>
      </c>
      <c r="CY241" s="1">
        <v>8</v>
      </c>
      <c r="CZ241" s="1">
        <v>8</v>
      </c>
      <c r="DA241" s="1">
        <v>8</v>
      </c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</row>
    <row r="242" spans="1:198" x14ac:dyDescent="0.45">
      <c r="A242" s="1" t="s">
        <v>2</v>
      </c>
      <c r="B242" s="1" t="s">
        <v>367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4</v>
      </c>
      <c r="CO242">
        <v>4</v>
      </c>
      <c r="CP242">
        <v>4</v>
      </c>
      <c r="CQ242">
        <v>4</v>
      </c>
      <c r="CR242">
        <v>4</v>
      </c>
      <c r="CS242">
        <v>4</v>
      </c>
      <c r="CT242">
        <v>4</v>
      </c>
      <c r="CU242" s="1">
        <v>4</v>
      </c>
      <c r="CV242" s="1">
        <v>4</v>
      </c>
      <c r="CW242" s="1">
        <v>4</v>
      </c>
      <c r="CX242" s="1">
        <v>4</v>
      </c>
      <c r="CY242" s="1">
        <v>4</v>
      </c>
      <c r="CZ242" s="1">
        <v>7</v>
      </c>
      <c r="DA242" s="1">
        <v>7</v>
      </c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</row>
    <row r="243" spans="1:198" x14ac:dyDescent="0.45">
      <c r="A243" s="1" t="s">
        <v>2</v>
      </c>
      <c r="B243" s="1" t="s">
        <v>368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6</v>
      </c>
      <c r="CN243">
        <v>6</v>
      </c>
      <c r="CO243">
        <v>6</v>
      </c>
      <c r="CP243">
        <v>6</v>
      </c>
      <c r="CQ243">
        <v>10</v>
      </c>
      <c r="CR243">
        <v>10</v>
      </c>
      <c r="CS243">
        <v>10</v>
      </c>
      <c r="CT243">
        <v>10</v>
      </c>
      <c r="CU243" s="1">
        <v>10</v>
      </c>
      <c r="CV243" s="1">
        <v>12</v>
      </c>
      <c r="CW243" s="1">
        <v>12</v>
      </c>
      <c r="CX243" s="1">
        <v>21</v>
      </c>
      <c r="CY243" s="1">
        <v>21</v>
      </c>
      <c r="CZ243" s="1">
        <v>21</v>
      </c>
      <c r="DA243" s="1">
        <v>29</v>
      </c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</row>
    <row r="244" spans="1:198" x14ac:dyDescent="0.45">
      <c r="A244" s="1" t="s">
        <v>369</v>
      </c>
      <c r="B244" s="1" t="s">
        <v>199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 s="1">
        <v>0</v>
      </c>
      <c r="CV244" s="1">
        <v>0</v>
      </c>
      <c r="CW244" s="1">
        <v>0</v>
      </c>
      <c r="CX244" s="1">
        <v>0</v>
      </c>
      <c r="CY244" s="1">
        <v>0</v>
      </c>
      <c r="CZ244" s="1">
        <v>0</v>
      </c>
      <c r="DA244" s="1">
        <v>0</v>
      </c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</row>
    <row r="245" spans="1:198" x14ac:dyDescent="0.45">
      <c r="A245" s="1" t="s">
        <v>2</v>
      </c>
      <c r="B245" s="1" t="s">
        <v>370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3</v>
      </c>
      <c r="CL245">
        <v>3</v>
      </c>
      <c r="CM245">
        <v>3</v>
      </c>
      <c r="CN245">
        <v>3</v>
      </c>
      <c r="CO245">
        <v>3</v>
      </c>
      <c r="CP245">
        <v>3</v>
      </c>
      <c r="CQ245">
        <v>3</v>
      </c>
      <c r="CR245">
        <v>4</v>
      </c>
      <c r="CS245">
        <v>4</v>
      </c>
      <c r="CT245">
        <v>4</v>
      </c>
      <c r="CU245" s="1">
        <v>4</v>
      </c>
      <c r="CV245" s="1">
        <v>5</v>
      </c>
      <c r="CW245" s="1">
        <v>7</v>
      </c>
      <c r="CX245" s="1">
        <v>7</v>
      </c>
      <c r="CY245" s="1">
        <v>9</v>
      </c>
      <c r="CZ245" s="1">
        <v>9</v>
      </c>
      <c r="DA245" s="1">
        <v>9</v>
      </c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</row>
    <row r="246" spans="1:198" x14ac:dyDescent="0.45">
      <c r="A246" s="1" t="s">
        <v>374</v>
      </c>
      <c r="B246" s="1" t="s">
        <v>155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1</v>
      </c>
      <c r="CC246">
        <v>1</v>
      </c>
      <c r="CD246">
        <v>1</v>
      </c>
      <c r="CE246">
        <v>1</v>
      </c>
      <c r="CF246">
        <v>1</v>
      </c>
      <c r="CG246">
        <v>1</v>
      </c>
      <c r="CH246">
        <v>1</v>
      </c>
      <c r="CI246">
        <v>1</v>
      </c>
      <c r="CJ246">
        <v>1</v>
      </c>
      <c r="CK246">
        <v>1</v>
      </c>
      <c r="CL246">
        <v>3</v>
      </c>
      <c r="CM246">
        <v>3</v>
      </c>
      <c r="CN246">
        <v>3</v>
      </c>
      <c r="CO246">
        <v>3</v>
      </c>
      <c r="CP246">
        <v>3</v>
      </c>
      <c r="CQ246">
        <v>11</v>
      </c>
      <c r="CR246">
        <v>11</v>
      </c>
      <c r="CS246">
        <v>11</v>
      </c>
      <c r="CT246">
        <v>11</v>
      </c>
      <c r="CU246" s="1">
        <v>11</v>
      </c>
      <c r="CV246" s="1">
        <v>11</v>
      </c>
      <c r="CW246" s="1">
        <v>11</v>
      </c>
      <c r="CX246" s="1">
        <v>11</v>
      </c>
      <c r="CY246" s="1">
        <v>13</v>
      </c>
      <c r="CZ246" s="1">
        <v>13</v>
      </c>
      <c r="DA246" s="1">
        <v>13</v>
      </c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</row>
    <row r="247" spans="1:198" x14ac:dyDescent="0.45">
      <c r="A247" s="1" t="s">
        <v>371</v>
      </c>
      <c r="B247" s="1" t="s">
        <v>112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 s="1">
        <v>0</v>
      </c>
      <c r="CV247" s="1">
        <v>0</v>
      </c>
      <c r="CW247" s="1">
        <v>0</v>
      </c>
      <c r="CX247" s="1">
        <v>0</v>
      </c>
      <c r="CY247" s="1">
        <v>0</v>
      </c>
      <c r="CZ247" s="1">
        <v>0</v>
      </c>
      <c r="DA247" s="1">
        <v>0</v>
      </c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</row>
    <row r="248" spans="1:198" x14ac:dyDescent="0.45">
      <c r="A248" s="1" t="s">
        <v>2</v>
      </c>
      <c r="B248" s="1" t="s">
        <v>372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 s="1">
        <v>0</v>
      </c>
      <c r="CV248" s="1">
        <v>0</v>
      </c>
      <c r="CW248" s="1">
        <v>0</v>
      </c>
      <c r="CX248" s="1">
        <v>0</v>
      </c>
      <c r="CY248" s="1">
        <v>0</v>
      </c>
      <c r="CZ248" s="1">
        <v>0</v>
      </c>
      <c r="DA248" s="1">
        <v>0</v>
      </c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</row>
    <row r="249" spans="1:198" x14ac:dyDescent="0.45">
      <c r="A249" s="1" t="s">
        <v>2</v>
      </c>
      <c r="B249" s="1" t="s">
        <v>373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5</v>
      </c>
      <c r="CR249">
        <v>5</v>
      </c>
      <c r="CS249">
        <v>5</v>
      </c>
      <c r="CT249">
        <v>5</v>
      </c>
      <c r="CU249" s="1">
        <v>5</v>
      </c>
      <c r="CV249" s="1">
        <v>5</v>
      </c>
      <c r="CW249" s="1">
        <v>5</v>
      </c>
      <c r="CX249" s="1">
        <v>5</v>
      </c>
      <c r="CY249" s="1">
        <v>5</v>
      </c>
      <c r="CZ249" s="1">
        <v>5</v>
      </c>
      <c r="DA249" s="1">
        <v>5</v>
      </c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</row>
    <row r="250" spans="1:198" x14ac:dyDescent="0.45">
      <c r="A250" s="1" t="s">
        <v>2</v>
      </c>
      <c r="B250" s="1" t="s">
        <v>375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 s="1">
        <v>0</v>
      </c>
      <c r="CV250" s="1">
        <v>4</v>
      </c>
      <c r="CW250" s="1">
        <v>4</v>
      </c>
      <c r="CX250" s="1">
        <v>4</v>
      </c>
      <c r="CY250" s="1">
        <v>4</v>
      </c>
      <c r="CZ250" s="1">
        <v>4</v>
      </c>
      <c r="DA250" s="1">
        <v>4</v>
      </c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</row>
    <row r="251" spans="1:198" x14ac:dyDescent="0.45">
      <c r="A251" s="1" t="s">
        <v>2</v>
      </c>
      <c r="B251" s="1" t="s">
        <v>376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>
        <v>1</v>
      </c>
      <c r="CT251">
        <v>1</v>
      </c>
      <c r="CU251" s="1">
        <v>1</v>
      </c>
      <c r="CV251" s="1">
        <v>1</v>
      </c>
      <c r="CW251" s="1">
        <v>1</v>
      </c>
      <c r="CX251" s="1">
        <v>1</v>
      </c>
      <c r="CY251" s="1">
        <v>1</v>
      </c>
      <c r="CZ251" s="1">
        <v>1</v>
      </c>
      <c r="DA251" s="1">
        <v>1</v>
      </c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</row>
    <row r="252" spans="1:198" x14ac:dyDescent="0.45">
      <c r="A252" s="1" t="s">
        <v>2</v>
      </c>
      <c r="B252" s="1" t="s">
        <v>380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 s="1">
        <v>0</v>
      </c>
      <c r="CV252" s="1">
        <v>0</v>
      </c>
      <c r="CW252" s="1">
        <v>0</v>
      </c>
      <c r="CX252" s="1">
        <v>0</v>
      </c>
      <c r="CY252" s="1">
        <v>0</v>
      </c>
      <c r="CZ252" s="1">
        <v>0</v>
      </c>
      <c r="DA252" s="1">
        <v>0</v>
      </c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</row>
    <row r="253" spans="1:198" x14ac:dyDescent="0.45">
      <c r="A253" s="1" t="s">
        <v>2</v>
      </c>
      <c r="B253" s="1" t="s">
        <v>381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 s="1">
        <v>0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A253" s="1">
        <v>0</v>
      </c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2020-05-04T13:15:11Z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