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tables/table5.xml" ContentType="application/vnd.openxmlformats-officedocument.spreadsheetml.table+xml"/>
  <Override PartName="/xl/queryTables/queryTable2.xml" ContentType="application/vnd.openxmlformats-officedocument.spreadsheetml.queryTable+xml"/>
  <Override PartName="/xl/tables/table6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coding_local\Projects\corona-cases\"/>
    </mc:Choice>
  </mc:AlternateContent>
  <xr:revisionPtr revIDLastSave="0" documentId="13_ncr:1_{2579C7FB-9F1C-4477-AD57-FCFD33D644E1}" xr6:coauthVersionLast="45" xr6:coauthVersionMax="45" xr10:uidLastSave="{00000000-0000-0000-0000-000000000000}"/>
  <bookViews>
    <workbookView xWindow="-120" yWindow="-120" windowWidth="51840" windowHeight="21240" xr2:uid="{9571FD44-926A-49ED-882B-74CD73DD267C}"/>
  </bookViews>
  <sheets>
    <sheet name="Overview" sheetId="1" r:id="rId1"/>
    <sheet name="RAW_Cases" sheetId="2" r:id="rId2"/>
    <sheet name="RAW_DEATHS" sheetId="3" r:id="rId3"/>
    <sheet name="RAW_RECOVERED" sheetId="5" r:id="rId4"/>
  </sheets>
  <functionGroups builtInGroupCount="19"/>
  <definedNames>
    <definedName name="ExterneDaten_1" localSheetId="1" hidden="1">RAW_Cases!$A$1:$CT$255</definedName>
    <definedName name="ExterneDaten_1" localSheetId="2" hidden="1">RAW_DEATHS!$A$1:$CT$255</definedName>
    <definedName name="ExterneDaten_1" localSheetId="3" hidden="1">RAW_RECOVERED!$A$1:$CT$241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I45" i="1" l="1"/>
  <c r="CH45" i="1"/>
  <c r="CG45" i="1"/>
  <c r="CF45" i="1"/>
  <c r="CE45" i="1"/>
  <c r="CD45" i="1"/>
  <c r="CC45" i="1"/>
  <c r="CB45" i="1"/>
  <c r="CA45" i="1"/>
  <c r="BZ45" i="1"/>
  <c r="BY45" i="1"/>
  <c r="BX45" i="1"/>
  <c r="BW45" i="1"/>
  <c r="BV45" i="1"/>
  <c r="BU45" i="1"/>
  <c r="BT45" i="1"/>
  <c r="BS45" i="1"/>
  <c r="BR45" i="1"/>
  <c r="BQ45" i="1"/>
  <c r="BP45" i="1"/>
  <c r="CE6" i="1" l="1"/>
  <c r="CD6" i="1"/>
  <c r="CC6" i="1"/>
  <c r="CB6" i="1"/>
  <c r="CA6" i="1"/>
  <c r="BZ6" i="1"/>
  <c r="BY6" i="1"/>
  <c r="BX6" i="1"/>
  <c r="BW6" i="1"/>
  <c r="BV6" i="1"/>
  <c r="BU6" i="1"/>
  <c r="BT6" i="1"/>
  <c r="BS6" i="1"/>
  <c r="BR6" i="1"/>
  <c r="BQ6" i="1"/>
  <c r="BP6" i="1"/>
  <c r="BO6" i="1"/>
  <c r="BN6" i="1"/>
  <c r="BM6" i="1"/>
  <c r="BL6" i="1"/>
  <c r="BK6" i="1"/>
  <c r="BJ6" i="1"/>
  <c r="BI6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CE5" i="1"/>
  <c r="CD5" i="1"/>
  <c r="CC5" i="1"/>
  <c r="CB5" i="1"/>
  <c r="CA5" i="1"/>
  <c r="BZ5" i="1"/>
  <c r="BY5" i="1"/>
  <c r="BX5" i="1"/>
  <c r="BW5" i="1"/>
  <c r="BV5" i="1"/>
  <c r="BU5" i="1"/>
  <c r="BT5" i="1"/>
  <c r="BS5" i="1"/>
  <c r="BR5" i="1"/>
  <c r="BQ5" i="1"/>
  <c r="BP5" i="1"/>
  <c r="BO5" i="1"/>
  <c r="BN5" i="1"/>
  <c r="BM5" i="1"/>
  <c r="BL5" i="1"/>
  <c r="BK5" i="1"/>
  <c r="BJ5" i="1"/>
  <c r="BI5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CE4" i="1"/>
  <c r="CD4" i="1"/>
  <c r="CC4" i="1"/>
  <c r="CB4" i="1"/>
  <c r="CA4" i="1"/>
  <c r="BZ4" i="1"/>
  <c r="BY4" i="1"/>
  <c r="BX4" i="1"/>
  <c r="BW4" i="1"/>
  <c r="BV4" i="1"/>
  <c r="BU4" i="1"/>
  <c r="BT4" i="1"/>
  <c r="BS4" i="1"/>
  <c r="BR4" i="1"/>
  <c r="BQ4" i="1"/>
  <c r="BP4" i="1"/>
  <c r="BO4" i="1"/>
  <c r="BN4" i="1"/>
  <c r="BN12" i="1" s="1"/>
  <c r="BM4" i="1"/>
  <c r="BM12" i="1" s="1"/>
  <c r="BL4" i="1"/>
  <c r="BL12" i="1" s="1"/>
  <c r="BK4" i="1"/>
  <c r="BK12" i="1" s="1"/>
  <c r="BJ4" i="1"/>
  <c r="BJ12" i="1" s="1"/>
  <c r="BI4" i="1"/>
  <c r="BH4" i="1"/>
  <c r="BG4" i="1"/>
  <c r="BF4" i="1"/>
  <c r="BE4" i="1"/>
  <c r="BE12" i="1" s="1"/>
  <c r="BD4" i="1"/>
  <c r="BD12" i="1" s="1"/>
  <c r="BC4" i="1"/>
  <c r="BC12" i="1" s="1"/>
  <c r="BB4" i="1"/>
  <c r="BA4" i="1"/>
  <c r="AZ4" i="1"/>
  <c r="AY4" i="1"/>
  <c r="AX4" i="1"/>
  <c r="AW4" i="1"/>
  <c r="AW12" i="1" s="1"/>
  <c r="AV4" i="1"/>
  <c r="AV12" i="1" s="1"/>
  <c r="AU4" i="1"/>
  <c r="AU12" i="1" s="1"/>
  <c r="AT4" i="1"/>
  <c r="AT12" i="1" s="1"/>
  <c r="AS4" i="1"/>
  <c r="AR4" i="1"/>
  <c r="AQ4" i="1"/>
  <c r="AP4" i="1"/>
  <c r="AO4" i="1"/>
  <c r="AO12" i="1" s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AP12" i="1" l="1"/>
  <c r="AX12" i="1"/>
  <c r="BF12" i="1"/>
  <c r="BB12" i="1"/>
  <c r="AS12" i="1"/>
  <c r="BA12" i="1"/>
  <c r="BI12" i="1"/>
  <c r="BU10" i="1"/>
  <c r="BU12" i="1"/>
  <c r="CC10" i="1"/>
  <c r="CC12" i="1"/>
  <c r="BV10" i="1"/>
  <c r="BV12" i="1"/>
  <c r="CD10" i="1"/>
  <c r="CD12" i="1"/>
  <c r="BT10" i="1"/>
  <c r="BT12" i="1"/>
  <c r="AQ10" i="1"/>
  <c r="AQ12" i="1"/>
  <c r="AY10" i="1"/>
  <c r="AY12" i="1"/>
  <c r="BG10" i="1"/>
  <c r="BG12" i="1"/>
  <c r="BO10" i="1"/>
  <c r="BO12" i="1"/>
  <c r="BW10" i="1"/>
  <c r="BW12" i="1"/>
  <c r="CE10" i="1"/>
  <c r="CE12" i="1"/>
  <c r="AR10" i="1"/>
  <c r="AR12" i="1"/>
  <c r="AZ10" i="1"/>
  <c r="AZ12" i="1"/>
  <c r="BH10" i="1"/>
  <c r="BH12" i="1"/>
  <c r="BP10" i="1"/>
  <c r="BP12" i="1"/>
  <c r="BX10" i="1"/>
  <c r="BX12" i="1"/>
  <c r="BQ10" i="1"/>
  <c r="BQ12" i="1"/>
  <c r="BY10" i="1"/>
  <c r="BY12" i="1"/>
  <c r="CB10" i="1"/>
  <c r="CB12" i="1"/>
  <c r="BR10" i="1"/>
  <c r="BR12" i="1"/>
  <c r="BZ10" i="1"/>
  <c r="BZ12" i="1"/>
  <c r="BS10" i="1"/>
  <c r="BS12" i="1"/>
  <c r="CA10" i="1"/>
  <c r="CA12" i="1"/>
  <c r="AP10" i="1"/>
  <c r="AX10" i="1"/>
  <c r="BF10" i="1"/>
  <c r="BN10" i="1"/>
  <c r="BK10" i="1"/>
  <c r="AU10" i="1"/>
  <c r="BC10" i="1"/>
  <c r="AV10" i="1"/>
  <c r="BD10" i="1"/>
  <c r="BL10" i="1"/>
  <c r="AO10" i="1"/>
  <c r="AW10" i="1"/>
  <c r="BE10" i="1"/>
  <c r="BM10" i="1"/>
  <c r="AS10" i="1"/>
  <c r="BA10" i="1"/>
  <c r="BI10" i="1"/>
  <c r="AT10" i="1"/>
  <c r="BB10" i="1"/>
  <c r="BJ10" i="1"/>
  <c r="F8" i="1"/>
  <c r="D9" i="1"/>
  <c r="L9" i="1"/>
  <c r="T9" i="1"/>
  <c r="AB9" i="1"/>
  <c r="AJ9" i="1"/>
  <c r="AR9" i="1"/>
  <c r="AZ9" i="1"/>
  <c r="BH9" i="1"/>
  <c r="BP9" i="1"/>
  <c r="BX9" i="1"/>
  <c r="BB9" i="1"/>
  <c r="BJ9" i="1"/>
  <c r="BR9" i="1"/>
  <c r="BZ9" i="1"/>
  <c r="CA9" i="1"/>
  <c r="F9" i="1"/>
  <c r="N9" i="1"/>
  <c r="V9" i="1"/>
  <c r="AD9" i="1"/>
  <c r="AL9" i="1"/>
  <c r="AT9" i="1"/>
  <c r="AN9" i="1"/>
  <c r="AV9" i="1"/>
  <c r="BD9" i="1"/>
  <c r="BL9" i="1"/>
  <c r="BT9" i="1"/>
  <c r="CB9" i="1"/>
  <c r="J9" i="1"/>
  <c r="R9" i="1"/>
  <c r="Z9" i="1"/>
  <c r="AH9" i="1"/>
  <c r="CD9" i="1"/>
  <c r="G9" i="1"/>
  <c r="O9" i="1"/>
  <c r="W9" i="1"/>
  <c r="AE9" i="1"/>
  <c r="E7" i="1"/>
  <c r="M7" i="1"/>
  <c r="U7" i="1"/>
  <c r="AC7" i="1"/>
  <c r="AK7" i="1"/>
  <c r="AS7" i="1"/>
  <c r="BA7" i="1"/>
  <c r="BI7" i="1"/>
  <c r="BQ7" i="1"/>
  <c r="BY7" i="1"/>
  <c r="AO9" i="1"/>
  <c r="AW9" i="1"/>
  <c r="BE9" i="1"/>
  <c r="BM9" i="1"/>
  <c r="CC9" i="1"/>
  <c r="C9" i="1"/>
  <c r="K9" i="1"/>
  <c r="S9" i="1"/>
  <c r="AA9" i="1"/>
  <c r="AI9" i="1"/>
  <c r="AQ9" i="1"/>
  <c r="AY9" i="1"/>
  <c r="BG9" i="1"/>
  <c r="BO9" i="1"/>
  <c r="BW9" i="1"/>
  <c r="CE9" i="1"/>
  <c r="F7" i="1"/>
  <c r="N7" i="1"/>
  <c r="V7" i="1"/>
  <c r="R7" i="1"/>
  <c r="Z7" i="1"/>
  <c r="AH7" i="1"/>
  <c r="AP7" i="1"/>
  <c r="AX7" i="1"/>
  <c r="BF7" i="1"/>
  <c r="BN7" i="1"/>
  <c r="BV7" i="1"/>
  <c r="CD7" i="1"/>
  <c r="E9" i="1"/>
  <c r="M9" i="1"/>
  <c r="U9" i="1"/>
  <c r="AC9" i="1"/>
  <c r="AK9" i="1"/>
  <c r="AS9" i="1"/>
  <c r="BA9" i="1"/>
  <c r="BI9" i="1"/>
  <c r="BQ9" i="1"/>
  <c r="BY9" i="1"/>
  <c r="AM9" i="1"/>
  <c r="AU9" i="1"/>
  <c r="BC9" i="1"/>
  <c r="BK9" i="1"/>
  <c r="BS9" i="1"/>
  <c r="H9" i="1"/>
  <c r="P9" i="1"/>
  <c r="X9" i="1"/>
  <c r="AF9" i="1"/>
  <c r="I9" i="1"/>
  <c r="Q9" i="1"/>
  <c r="Y9" i="1"/>
  <c r="AG9" i="1"/>
  <c r="BU9" i="1"/>
  <c r="J7" i="1"/>
  <c r="AD7" i="1"/>
  <c r="AL7" i="1"/>
  <c r="AT7" i="1"/>
  <c r="BB7" i="1"/>
  <c r="BJ7" i="1"/>
  <c r="BR7" i="1"/>
  <c r="BZ7" i="1"/>
  <c r="AP9" i="1"/>
  <c r="AX9" i="1"/>
  <c r="BF9" i="1"/>
  <c r="BN9" i="1"/>
  <c r="BV9" i="1"/>
  <c r="H11" i="1"/>
  <c r="H7" i="1"/>
  <c r="AN11" i="1"/>
  <c r="AN7" i="1"/>
  <c r="BT11" i="1"/>
  <c r="BT7" i="1"/>
  <c r="I7" i="1"/>
  <c r="Q7" i="1"/>
  <c r="Y7" i="1"/>
  <c r="AG7" i="1"/>
  <c r="AO7" i="1"/>
  <c r="AW7" i="1"/>
  <c r="BE7" i="1"/>
  <c r="BM7" i="1"/>
  <c r="BU7" i="1"/>
  <c r="CC7" i="1"/>
  <c r="BL11" i="1"/>
  <c r="BL7" i="1"/>
  <c r="X11" i="1"/>
  <c r="X7" i="1"/>
  <c r="BD11" i="1"/>
  <c r="BD7" i="1"/>
  <c r="K7" i="1"/>
  <c r="S7" i="1"/>
  <c r="AA7" i="1"/>
  <c r="AI7" i="1"/>
  <c r="AQ7" i="1"/>
  <c r="AY7" i="1"/>
  <c r="BG7" i="1"/>
  <c r="BO7" i="1"/>
  <c r="BW7" i="1"/>
  <c r="CE7" i="1"/>
  <c r="AF11" i="1"/>
  <c r="AF7" i="1"/>
  <c r="CB11" i="1"/>
  <c r="CB7" i="1"/>
  <c r="C7" i="1"/>
  <c r="D7" i="1"/>
  <c r="L7" i="1"/>
  <c r="T7" i="1"/>
  <c r="AB7" i="1"/>
  <c r="AJ7" i="1"/>
  <c r="AR7" i="1"/>
  <c r="AZ7" i="1"/>
  <c r="BH7" i="1"/>
  <c r="BP7" i="1"/>
  <c r="BX7" i="1"/>
  <c r="P11" i="1"/>
  <c r="P7" i="1"/>
  <c r="AV11" i="1"/>
  <c r="AV7" i="1"/>
  <c r="G7" i="1"/>
  <c r="O7" i="1"/>
  <c r="W7" i="1"/>
  <c r="AE7" i="1"/>
  <c r="AM7" i="1"/>
  <c r="AU7" i="1"/>
  <c r="BC7" i="1"/>
  <c r="BK7" i="1"/>
  <c r="BS7" i="1"/>
  <c r="CA7" i="1"/>
  <c r="AH8" i="1"/>
  <c r="AP8" i="1"/>
  <c r="AX8" i="1"/>
  <c r="BF8" i="1"/>
  <c r="BN8" i="1"/>
  <c r="BV8" i="1"/>
  <c r="CD8" i="1"/>
  <c r="C11" i="1"/>
  <c r="K11" i="1"/>
  <c r="S11" i="1"/>
  <c r="I11" i="1"/>
  <c r="Q11" i="1"/>
  <c r="Y11" i="1"/>
  <c r="AG11" i="1"/>
  <c r="AO11" i="1"/>
  <c r="AW11" i="1"/>
  <c r="BE11" i="1"/>
  <c r="BM11" i="1"/>
  <c r="BU11" i="1"/>
  <c r="CC11" i="1"/>
  <c r="G8" i="1"/>
  <c r="O8" i="1"/>
  <c r="W8" i="1"/>
  <c r="AE8" i="1"/>
  <c r="AM8" i="1"/>
  <c r="AA11" i="1"/>
  <c r="AI11" i="1"/>
  <c r="AQ11" i="1"/>
  <c r="AY11" i="1"/>
  <c r="BG11" i="1"/>
  <c r="BO11" i="1"/>
  <c r="BW11" i="1"/>
  <c r="CE11" i="1"/>
  <c r="AO8" i="1"/>
  <c r="E11" i="1"/>
  <c r="M11" i="1"/>
  <c r="U11" i="1"/>
  <c r="AC11" i="1"/>
  <c r="AK11" i="1"/>
  <c r="AS11" i="1"/>
  <c r="BA11" i="1"/>
  <c r="BI11" i="1"/>
  <c r="BQ11" i="1"/>
  <c r="BY11" i="1"/>
  <c r="C8" i="1"/>
  <c r="K8" i="1"/>
  <c r="S8" i="1"/>
  <c r="AA8" i="1"/>
  <c r="G11" i="1"/>
  <c r="AK8" i="1"/>
  <c r="N8" i="1"/>
  <c r="V8" i="1"/>
  <c r="AD8" i="1"/>
  <c r="AL8" i="1"/>
  <c r="J11" i="1"/>
  <c r="R11" i="1"/>
  <c r="Z11" i="1"/>
  <c r="AH11" i="1"/>
  <c r="AP11" i="1"/>
  <c r="AX11" i="1"/>
  <c r="BF11" i="1"/>
  <c r="BN11" i="1"/>
  <c r="BV11" i="1"/>
  <c r="CD11" i="1"/>
  <c r="H8" i="1"/>
  <c r="P8" i="1"/>
  <c r="X8" i="1"/>
  <c r="AF8" i="1"/>
  <c r="AN8" i="1"/>
  <c r="I8" i="1"/>
  <c r="Q8" i="1"/>
  <c r="Y8" i="1"/>
  <c r="AG8" i="1"/>
  <c r="D11" i="1"/>
  <c r="L11" i="1"/>
  <c r="T11" i="1"/>
  <c r="AB11" i="1"/>
  <c r="AJ11" i="1"/>
  <c r="AR11" i="1"/>
  <c r="AZ11" i="1"/>
  <c r="BH11" i="1"/>
  <c r="BP11" i="1"/>
  <c r="BX11" i="1"/>
  <c r="J8" i="1"/>
  <c r="R8" i="1"/>
  <c r="Z8" i="1"/>
  <c r="AI8" i="1"/>
  <c r="F11" i="1"/>
  <c r="N11" i="1"/>
  <c r="V11" i="1"/>
  <c r="AD11" i="1"/>
  <c r="AL11" i="1"/>
  <c r="AT11" i="1"/>
  <c r="BB11" i="1"/>
  <c r="BJ11" i="1"/>
  <c r="BR11" i="1"/>
  <c r="BZ11" i="1"/>
  <c r="D8" i="1"/>
  <c r="L8" i="1"/>
  <c r="T8" i="1"/>
  <c r="AB8" i="1"/>
  <c r="AJ8" i="1"/>
  <c r="O11" i="1"/>
  <c r="W11" i="1"/>
  <c r="AE11" i="1"/>
  <c r="AM11" i="1"/>
  <c r="AU11" i="1"/>
  <c r="BC11" i="1"/>
  <c r="BK11" i="1"/>
  <c r="BS11" i="1"/>
  <c r="CA11" i="1"/>
  <c r="E8" i="1"/>
  <c r="M8" i="1"/>
  <c r="U8" i="1"/>
  <c r="AC8" i="1"/>
  <c r="AU8" i="1"/>
  <c r="BC8" i="1"/>
  <c r="BK8" i="1"/>
  <c r="BS8" i="1"/>
  <c r="CA8" i="1"/>
  <c r="AW8" i="1"/>
  <c r="BM8" i="1"/>
  <c r="BU8" i="1"/>
  <c r="CC8" i="1"/>
  <c r="CE8" i="1"/>
  <c r="AS8" i="1"/>
  <c r="BQ8" i="1"/>
  <c r="BY8" i="1"/>
  <c r="AT8" i="1"/>
  <c r="BB8" i="1"/>
  <c r="BJ8" i="1"/>
  <c r="BR8" i="1"/>
  <c r="BZ8" i="1"/>
  <c r="AV8" i="1"/>
  <c r="BD8" i="1"/>
  <c r="BL8" i="1"/>
  <c r="BT8" i="1"/>
  <c r="CB8" i="1"/>
  <c r="BE8" i="1"/>
  <c r="AQ8" i="1"/>
  <c r="AY8" i="1"/>
  <c r="BG8" i="1"/>
  <c r="BO8" i="1"/>
  <c r="BW8" i="1"/>
  <c r="AR8" i="1"/>
  <c r="AZ8" i="1"/>
  <c r="BH8" i="1"/>
  <c r="BP8" i="1"/>
  <c r="BX8" i="1"/>
  <c r="BA8" i="1"/>
  <c r="BI8" i="1"/>
  <c r="CI23" i="1"/>
  <c r="CH23" i="1"/>
  <c r="CG23" i="1"/>
  <c r="CF23" i="1"/>
  <c r="CE23" i="1"/>
  <c r="CD23" i="1"/>
  <c r="CC23" i="1"/>
  <c r="CB23" i="1"/>
  <c r="CA23" i="1"/>
  <c r="BZ23" i="1"/>
  <c r="BY23" i="1"/>
  <c r="BX23" i="1"/>
  <c r="BW23" i="1"/>
  <c r="BV23" i="1"/>
  <c r="BU23" i="1"/>
  <c r="BT23" i="1"/>
  <c r="BS23" i="1"/>
  <c r="CI34" i="1"/>
  <c r="CH34" i="1"/>
  <c r="CG34" i="1"/>
  <c r="CF34" i="1"/>
  <c r="CE34" i="1"/>
  <c r="CD34" i="1"/>
  <c r="CC34" i="1"/>
  <c r="CB34" i="1"/>
  <c r="CA34" i="1"/>
  <c r="BZ34" i="1"/>
  <c r="BY34" i="1"/>
  <c r="BX34" i="1"/>
  <c r="BW34" i="1"/>
  <c r="BV34" i="1"/>
  <c r="BU34" i="1"/>
  <c r="BT34" i="1"/>
  <c r="BS34" i="1"/>
  <c r="BR34" i="1"/>
  <c r="BQ34" i="1"/>
  <c r="BP34" i="1"/>
  <c r="BO34" i="1"/>
  <c r="BN34" i="1"/>
  <c r="BM34" i="1"/>
  <c r="BL34" i="1"/>
  <c r="BK34" i="1"/>
  <c r="BJ34" i="1"/>
  <c r="BI34" i="1"/>
  <c r="BH34" i="1"/>
  <c r="BG34" i="1"/>
  <c r="BF34" i="1"/>
  <c r="BE34" i="1"/>
  <c r="BD34" i="1"/>
  <c r="BC34" i="1"/>
  <c r="BB34" i="1"/>
  <c r="BA34" i="1"/>
  <c r="AZ34" i="1"/>
  <c r="AY34" i="1"/>
  <c r="AX34" i="1"/>
  <c r="AW34" i="1"/>
  <c r="AV34" i="1"/>
  <c r="AU34" i="1"/>
  <c r="AT34" i="1"/>
  <c r="AS34" i="1"/>
  <c r="AR34" i="1"/>
  <c r="AQ34" i="1"/>
  <c r="AP34" i="1"/>
  <c r="AO34" i="1"/>
  <c r="AN34" i="1"/>
  <c r="AM34" i="1"/>
  <c r="AL34" i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T34" i="1"/>
  <c r="S34" i="1"/>
  <c r="R34" i="1"/>
  <c r="Q34" i="1"/>
  <c r="P34" i="1"/>
  <c r="O34" i="1"/>
  <c r="N34" i="1"/>
  <c r="M34" i="1"/>
  <c r="L34" i="1"/>
  <c r="K34" i="1"/>
  <c r="J34" i="1"/>
  <c r="I34" i="1"/>
  <c r="H34" i="1"/>
  <c r="G34" i="1"/>
  <c r="F34" i="1"/>
  <c r="E34" i="1"/>
  <c r="D34" i="1"/>
  <c r="C34" i="1"/>
  <c r="B34" i="1"/>
  <c r="BR23" i="1"/>
  <c r="BQ23" i="1"/>
  <c r="BP23" i="1"/>
  <c r="BO23" i="1"/>
  <c r="BN23" i="1"/>
  <c r="BM23" i="1"/>
  <c r="BL23" i="1"/>
  <c r="BK23" i="1"/>
  <c r="BJ23" i="1"/>
  <c r="BI23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CE22" i="1"/>
  <c r="CD22" i="1"/>
  <c r="CC22" i="1"/>
  <c r="CB22" i="1"/>
  <c r="CA22" i="1"/>
  <c r="BZ22" i="1"/>
  <c r="BY22" i="1"/>
  <c r="BX22" i="1"/>
  <c r="BW22" i="1"/>
  <c r="BV22" i="1"/>
  <c r="BU22" i="1"/>
  <c r="BT22" i="1"/>
  <c r="BS22" i="1"/>
  <c r="BR22" i="1"/>
  <c r="BQ22" i="1"/>
  <c r="BP22" i="1"/>
  <c r="BO22" i="1"/>
  <c r="BN22" i="1"/>
  <c r="BM22" i="1"/>
  <c r="BL22" i="1"/>
  <c r="BK22" i="1"/>
  <c r="BJ22" i="1"/>
  <c r="BI22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CE21" i="1"/>
  <c r="CD21" i="1"/>
  <c r="CC21" i="1"/>
  <c r="CB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CE20" i="1"/>
  <c r="CD20" i="1"/>
  <c r="CC20" i="1"/>
  <c r="CB20" i="1"/>
  <c r="CA20" i="1"/>
  <c r="BZ20" i="1"/>
  <c r="BY20" i="1"/>
  <c r="BX20" i="1"/>
  <c r="BW20" i="1"/>
  <c r="BV20" i="1"/>
  <c r="BU20" i="1"/>
  <c r="BT20" i="1"/>
  <c r="BS20" i="1"/>
  <c r="BR20" i="1"/>
  <c r="BQ20" i="1"/>
  <c r="BP20" i="1"/>
  <c r="BO20" i="1"/>
  <c r="BN20" i="1"/>
  <c r="BM20" i="1"/>
  <c r="BL20" i="1"/>
  <c r="BK20" i="1"/>
  <c r="BJ20" i="1"/>
  <c r="BI20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CE19" i="1"/>
  <c r="CD19" i="1"/>
  <c r="CC19" i="1"/>
  <c r="CB19" i="1"/>
  <c r="CA19" i="1"/>
  <c r="BZ19" i="1"/>
  <c r="BY19" i="1"/>
  <c r="BX19" i="1"/>
  <c r="BW19" i="1"/>
  <c r="BV19" i="1"/>
  <c r="BU19" i="1"/>
  <c r="BT19" i="1"/>
  <c r="BS19" i="1"/>
  <c r="BR19" i="1"/>
  <c r="BQ19" i="1"/>
  <c r="BP19" i="1"/>
  <c r="BO19" i="1"/>
  <c r="BN19" i="1"/>
  <c r="BM19" i="1"/>
  <c r="BL19" i="1"/>
  <c r="BK19" i="1"/>
  <c r="BJ19" i="1"/>
  <c r="BI19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CE18" i="1"/>
  <c r="CD18" i="1"/>
  <c r="CC18" i="1"/>
  <c r="CB18" i="1"/>
  <c r="CA18" i="1"/>
  <c r="BZ18" i="1"/>
  <c r="BY18" i="1"/>
  <c r="BX18" i="1"/>
  <c r="BW18" i="1"/>
  <c r="BV18" i="1"/>
  <c r="BU18" i="1"/>
  <c r="BT18" i="1"/>
  <c r="BS18" i="1"/>
  <c r="BR18" i="1"/>
  <c r="BQ18" i="1"/>
  <c r="BP18" i="1"/>
  <c r="BO18" i="1"/>
  <c r="BN18" i="1"/>
  <c r="BM18" i="1"/>
  <c r="BL18" i="1"/>
  <c r="BK18" i="1"/>
  <c r="BJ18" i="1"/>
  <c r="BI18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CE17" i="1"/>
  <c r="CD17" i="1"/>
  <c r="CC17" i="1"/>
  <c r="CB17" i="1"/>
  <c r="CA17" i="1"/>
  <c r="BZ17" i="1"/>
  <c r="BY17" i="1"/>
  <c r="BX17" i="1"/>
  <c r="BW17" i="1"/>
  <c r="BV17" i="1"/>
  <c r="BU17" i="1"/>
  <c r="BT17" i="1"/>
  <c r="BS17" i="1"/>
  <c r="BR17" i="1"/>
  <c r="BQ17" i="1"/>
  <c r="BP17" i="1"/>
  <c r="BO17" i="1"/>
  <c r="BN17" i="1"/>
  <c r="BM17" i="1"/>
  <c r="BL17" i="1"/>
  <c r="BK17" i="1"/>
  <c r="BJ17" i="1"/>
  <c r="BI17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CE16" i="1"/>
  <c r="CD16" i="1"/>
  <c r="CC16" i="1"/>
  <c r="CB16" i="1"/>
  <c r="CA16" i="1"/>
  <c r="BZ16" i="1"/>
  <c r="BY16" i="1"/>
  <c r="BX16" i="1"/>
  <c r="BW16" i="1"/>
  <c r="BV16" i="1"/>
  <c r="BU16" i="1"/>
  <c r="BT16" i="1"/>
  <c r="BS16" i="1"/>
  <c r="BR16" i="1"/>
  <c r="BQ16" i="1"/>
  <c r="BP16" i="1"/>
  <c r="BO16" i="1"/>
  <c r="BN16" i="1"/>
  <c r="BM16" i="1"/>
  <c r="BL16" i="1"/>
  <c r="BK16" i="1"/>
  <c r="BJ16" i="1"/>
  <c r="BI16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O45" i="1" l="1"/>
  <c r="BN45" i="1"/>
  <c r="BM45" i="1"/>
  <c r="BL45" i="1"/>
  <c r="BK45" i="1"/>
  <c r="BJ45" i="1"/>
  <c r="BI45" i="1"/>
  <c r="BH45" i="1"/>
  <c r="BG45" i="1"/>
  <c r="BF45" i="1"/>
  <c r="BE45" i="1"/>
  <c r="BD45" i="1"/>
  <c r="BC45" i="1"/>
  <c r="BB45" i="1"/>
  <c r="BA45" i="1"/>
  <c r="AZ45" i="1"/>
  <c r="AY45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M45" i="1"/>
  <c r="L45" i="1"/>
  <c r="K45" i="1"/>
  <c r="J45" i="1"/>
  <c r="I45" i="1"/>
  <c r="H45" i="1"/>
  <c r="G45" i="1"/>
  <c r="F45" i="1"/>
  <c r="E45" i="1"/>
  <c r="D45" i="1"/>
  <c r="C45" i="1"/>
  <c r="B45" i="1"/>
  <c r="A33" i="1" l="1"/>
  <c r="A31" i="1"/>
  <c r="A30" i="1"/>
  <c r="A29" i="1"/>
  <c r="A28" i="1"/>
  <c r="A27" i="1"/>
  <c r="A32" i="1"/>
  <c r="BX28" i="1" l="1"/>
  <c r="BP28" i="1"/>
  <c r="BH28" i="1"/>
  <c r="AZ28" i="1"/>
  <c r="AR28" i="1"/>
  <c r="AJ28" i="1"/>
  <c r="AB28" i="1"/>
  <c r="T28" i="1"/>
  <c r="L28" i="1"/>
  <c r="D28" i="1"/>
  <c r="CE28" i="1"/>
  <c r="BW28" i="1"/>
  <c r="BO28" i="1"/>
  <c r="BG28" i="1"/>
  <c r="AY28" i="1"/>
  <c r="AQ28" i="1"/>
  <c r="AI28" i="1"/>
  <c r="AA28" i="1"/>
  <c r="S28" i="1"/>
  <c r="K28" i="1"/>
  <c r="C28" i="1"/>
  <c r="CD28" i="1"/>
  <c r="BV28" i="1"/>
  <c r="BN28" i="1"/>
  <c r="BF28" i="1"/>
  <c r="AX28" i="1"/>
  <c r="AP28" i="1"/>
  <c r="AH28" i="1"/>
  <c r="Z28" i="1"/>
  <c r="R28" i="1"/>
  <c r="J28" i="1"/>
  <c r="B28" i="1"/>
  <c r="CC28" i="1"/>
  <c r="BU28" i="1"/>
  <c r="BM28" i="1"/>
  <c r="BE28" i="1"/>
  <c r="AW28" i="1"/>
  <c r="AO28" i="1"/>
  <c r="AG28" i="1"/>
  <c r="Y28" i="1"/>
  <c r="Q28" i="1"/>
  <c r="I28" i="1"/>
  <c r="CB28" i="1"/>
  <c r="BT28" i="1"/>
  <c r="BL28" i="1"/>
  <c r="BD28" i="1"/>
  <c r="AV28" i="1"/>
  <c r="AN28" i="1"/>
  <c r="AF28" i="1"/>
  <c r="X28" i="1"/>
  <c r="P28" i="1"/>
  <c r="H28" i="1"/>
  <c r="CA28" i="1"/>
  <c r="BS28" i="1"/>
  <c r="BK28" i="1"/>
  <c r="BC28" i="1"/>
  <c r="AU28" i="1"/>
  <c r="AM28" i="1"/>
  <c r="AE28" i="1"/>
  <c r="W28" i="1"/>
  <c r="O28" i="1"/>
  <c r="G28" i="1"/>
  <c r="BZ28" i="1"/>
  <c r="BR28" i="1"/>
  <c r="BJ28" i="1"/>
  <c r="BB28" i="1"/>
  <c r="AT28" i="1"/>
  <c r="AL28" i="1"/>
  <c r="AD28" i="1"/>
  <c r="V28" i="1"/>
  <c r="N28" i="1"/>
  <c r="F28" i="1"/>
  <c r="BY28" i="1"/>
  <c r="BQ28" i="1"/>
  <c r="BI28" i="1"/>
  <c r="BA28" i="1"/>
  <c r="AS28" i="1"/>
  <c r="AK28" i="1"/>
  <c r="AC28" i="1"/>
  <c r="U28" i="1"/>
  <c r="M28" i="1"/>
  <c r="E28" i="1"/>
  <c r="CA32" i="1"/>
  <c r="BS32" i="1"/>
  <c r="BK32" i="1"/>
  <c r="BC32" i="1"/>
  <c r="AU32" i="1"/>
  <c r="AM32" i="1"/>
  <c r="AE32" i="1"/>
  <c r="W32" i="1"/>
  <c r="O32" i="1"/>
  <c r="G32" i="1"/>
  <c r="BZ32" i="1"/>
  <c r="BR32" i="1"/>
  <c r="BJ32" i="1"/>
  <c r="BB32" i="1"/>
  <c r="AT32" i="1"/>
  <c r="AL32" i="1"/>
  <c r="AD32" i="1"/>
  <c r="V32" i="1"/>
  <c r="N32" i="1"/>
  <c r="F32" i="1"/>
  <c r="BV32" i="1"/>
  <c r="BL32" i="1"/>
  <c r="AZ32" i="1"/>
  <c r="AP32" i="1"/>
  <c r="AF32" i="1"/>
  <c r="T32" i="1"/>
  <c r="J32" i="1"/>
  <c r="CE32" i="1"/>
  <c r="BU32" i="1"/>
  <c r="BI32" i="1"/>
  <c r="AY32" i="1"/>
  <c r="AO32" i="1"/>
  <c r="AC32" i="1"/>
  <c r="S32" i="1"/>
  <c r="I32" i="1"/>
  <c r="CD32" i="1"/>
  <c r="BT32" i="1"/>
  <c r="BH32" i="1"/>
  <c r="AX32" i="1"/>
  <c r="AN32" i="1"/>
  <c r="AB32" i="1"/>
  <c r="R32" i="1"/>
  <c r="H32" i="1"/>
  <c r="CC32" i="1"/>
  <c r="BQ32" i="1"/>
  <c r="BG32" i="1"/>
  <c r="AW32" i="1"/>
  <c r="AK32" i="1"/>
  <c r="AA32" i="1"/>
  <c r="Q32" i="1"/>
  <c r="E32" i="1"/>
  <c r="CB32" i="1"/>
  <c r="BP32" i="1"/>
  <c r="BF32" i="1"/>
  <c r="AV32" i="1"/>
  <c r="AJ32" i="1"/>
  <c r="Z32" i="1"/>
  <c r="P32" i="1"/>
  <c r="D32" i="1"/>
  <c r="BY32" i="1"/>
  <c r="BO32" i="1"/>
  <c r="BE32" i="1"/>
  <c r="AS32" i="1"/>
  <c r="AI32" i="1"/>
  <c r="Y32" i="1"/>
  <c r="M32" i="1"/>
  <c r="C32" i="1"/>
  <c r="BX32" i="1"/>
  <c r="BN32" i="1"/>
  <c r="BD32" i="1"/>
  <c r="AR32" i="1"/>
  <c r="AH32" i="1"/>
  <c r="X32" i="1"/>
  <c r="L32" i="1"/>
  <c r="B32" i="1"/>
  <c r="BW32" i="1"/>
  <c r="BM32" i="1"/>
  <c r="BA32" i="1"/>
  <c r="AQ32" i="1"/>
  <c r="AG32" i="1"/>
  <c r="U32" i="1"/>
  <c r="K32" i="1"/>
  <c r="BZ27" i="1"/>
  <c r="BR27" i="1"/>
  <c r="BJ27" i="1"/>
  <c r="BB27" i="1"/>
  <c r="AT27" i="1"/>
  <c r="AL27" i="1"/>
  <c r="AD27" i="1"/>
  <c r="V27" i="1"/>
  <c r="N27" i="1"/>
  <c r="F27" i="1"/>
  <c r="BY27" i="1"/>
  <c r="BQ27" i="1"/>
  <c r="BI27" i="1"/>
  <c r="BA27" i="1"/>
  <c r="AS27" i="1"/>
  <c r="AK27" i="1"/>
  <c r="AC27" i="1"/>
  <c r="U27" i="1"/>
  <c r="M27" i="1"/>
  <c r="E27" i="1"/>
  <c r="BX27" i="1"/>
  <c r="BP27" i="1"/>
  <c r="BH27" i="1"/>
  <c r="AZ27" i="1"/>
  <c r="AR27" i="1"/>
  <c r="AJ27" i="1"/>
  <c r="AB27" i="1"/>
  <c r="T27" i="1"/>
  <c r="L27" i="1"/>
  <c r="D27" i="1"/>
  <c r="CE27" i="1"/>
  <c r="BW27" i="1"/>
  <c r="BO27" i="1"/>
  <c r="BG27" i="1"/>
  <c r="AY27" i="1"/>
  <c r="AQ27" i="1"/>
  <c r="AI27" i="1"/>
  <c r="AA27" i="1"/>
  <c r="S27" i="1"/>
  <c r="K27" i="1"/>
  <c r="C27" i="1"/>
  <c r="CD27" i="1"/>
  <c r="BV27" i="1"/>
  <c r="BN27" i="1"/>
  <c r="BF27" i="1"/>
  <c r="AX27" i="1"/>
  <c r="AP27" i="1"/>
  <c r="AH27" i="1"/>
  <c r="Z27" i="1"/>
  <c r="R27" i="1"/>
  <c r="J27" i="1"/>
  <c r="B27" i="1"/>
  <c r="CC27" i="1"/>
  <c r="BU27" i="1"/>
  <c r="BM27" i="1"/>
  <c r="BE27" i="1"/>
  <c r="AW27" i="1"/>
  <c r="AO27" i="1"/>
  <c r="AG27" i="1"/>
  <c r="Y27" i="1"/>
  <c r="Q27" i="1"/>
  <c r="I27" i="1"/>
  <c r="CB27" i="1"/>
  <c r="BT27" i="1"/>
  <c r="BL27" i="1"/>
  <c r="BD27" i="1"/>
  <c r="AV27" i="1"/>
  <c r="AN27" i="1"/>
  <c r="AF27" i="1"/>
  <c r="X27" i="1"/>
  <c r="P27" i="1"/>
  <c r="H27" i="1"/>
  <c r="CA27" i="1"/>
  <c r="BS27" i="1"/>
  <c r="BK27" i="1"/>
  <c r="BC27" i="1"/>
  <c r="AU27" i="1"/>
  <c r="AM27" i="1"/>
  <c r="AE27" i="1"/>
  <c r="W27" i="1"/>
  <c r="O27" i="1"/>
  <c r="G27" i="1"/>
  <c r="CD29" i="1"/>
  <c r="BV29" i="1"/>
  <c r="BN29" i="1"/>
  <c r="BF29" i="1"/>
  <c r="AX29" i="1"/>
  <c r="AP29" i="1"/>
  <c r="AH29" i="1"/>
  <c r="Z29" i="1"/>
  <c r="R29" i="1"/>
  <c r="J29" i="1"/>
  <c r="B29" i="1"/>
  <c r="CC29" i="1"/>
  <c r="BU29" i="1"/>
  <c r="BM29" i="1"/>
  <c r="BE29" i="1"/>
  <c r="AW29" i="1"/>
  <c r="AO29" i="1"/>
  <c r="AG29" i="1"/>
  <c r="Y29" i="1"/>
  <c r="Q29" i="1"/>
  <c r="I29" i="1"/>
  <c r="CB29" i="1"/>
  <c r="BT29" i="1"/>
  <c r="BL29" i="1"/>
  <c r="BD29" i="1"/>
  <c r="AV29" i="1"/>
  <c r="AN29" i="1"/>
  <c r="AF29" i="1"/>
  <c r="X29" i="1"/>
  <c r="P29" i="1"/>
  <c r="H29" i="1"/>
  <c r="CA29" i="1"/>
  <c r="BS29" i="1"/>
  <c r="BK29" i="1"/>
  <c r="BC29" i="1"/>
  <c r="AU29" i="1"/>
  <c r="AM29" i="1"/>
  <c r="AE29" i="1"/>
  <c r="W29" i="1"/>
  <c r="O29" i="1"/>
  <c r="G29" i="1"/>
  <c r="BZ29" i="1"/>
  <c r="BR29" i="1"/>
  <c r="BJ29" i="1"/>
  <c r="BB29" i="1"/>
  <c r="AT29" i="1"/>
  <c r="AL29" i="1"/>
  <c r="AD29" i="1"/>
  <c r="V29" i="1"/>
  <c r="N29" i="1"/>
  <c r="F29" i="1"/>
  <c r="BY29" i="1"/>
  <c r="BQ29" i="1"/>
  <c r="BI29" i="1"/>
  <c r="BA29" i="1"/>
  <c r="AS29" i="1"/>
  <c r="AK29" i="1"/>
  <c r="AC29" i="1"/>
  <c r="U29" i="1"/>
  <c r="M29" i="1"/>
  <c r="E29" i="1"/>
  <c r="BX29" i="1"/>
  <c r="BP29" i="1"/>
  <c r="BH29" i="1"/>
  <c r="AZ29" i="1"/>
  <c r="AR29" i="1"/>
  <c r="AJ29" i="1"/>
  <c r="AB29" i="1"/>
  <c r="T29" i="1"/>
  <c r="L29" i="1"/>
  <c r="D29" i="1"/>
  <c r="CE29" i="1"/>
  <c r="BW29" i="1"/>
  <c r="BO29" i="1"/>
  <c r="BG29" i="1"/>
  <c r="AY29" i="1"/>
  <c r="AQ29" i="1"/>
  <c r="AI29" i="1"/>
  <c r="AA29" i="1"/>
  <c r="S29" i="1"/>
  <c r="K29" i="1"/>
  <c r="C29" i="1"/>
  <c r="CE30" i="1"/>
  <c r="BW30" i="1"/>
  <c r="BO30" i="1"/>
  <c r="BG30" i="1"/>
  <c r="CD30" i="1"/>
  <c r="BV30" i="1"/>
  <c r="BN30" i="1"/>
  <c r="BF30" i="1"/>
  <c r="BZ30" i="1"/>
  <c r="BP30" i="1"/>
  <c r="BD30" i="1"/>
  <c r="AV30" i="1"/>
  <c r="AN30" i="1"/>
  <c r="AF30" i="1"/>
  <c r="X30" i="1"/>
  <c r="P30" i="1"/>
  <c r="H30" i="1"/>
  <c r="BY30" i="1"/>
  <c r="BM30" i="1"/>
  <c r="BC30" i="1"/>
  <c r="AU30" i="1"/>
  <c r="AM30" i="1"/>
  <c r="AE30" i="1"/>
  <c r="W30" i="1"/>
  <c r="O30" i="1"/>
  <c r="G30" i="1"/>
  <c r="BX30" i="1"/>
  <c r="BL30" i="1"/>
  <c r="BB30" i="1"/>
  <c r="AT30" i="1"/>
  <c r="AL30" i="1"/>
  <c r="AD30" i="1"/>
  <c r="V30" i="1"/>
  <c r="N30" i="1"/>
  <c r="F30" i="1"/>
  <c r="BU30" i="1"/>
  <c r="BK30" i="1"/>
  <c r="BA30" i="1"/>
  <c r="AS30" i="1"/>
  <c r="AK30" i="1"/>
  <c r="AC30" i="1"/>
  <c r="U30" i="1"/>
  <c r="M30" i="1"/>
  <c r="E30" i="1"/>
  <c r="BT30" i="1"/>
  <c r="BJ30" i="1"/>
  <c r="AZ30" i="1"/>
  <c r="AR30" i="1"/>
  <c r="AJ30" i="1"/>
  <c r="AB30" i="1"/>
  <c r="T30" i="1"/>
  <c r="L30" i="1"/>
  <c r="D30" i="1"/>
  <c r="CC30" i="1"/>
  <c r="BS30" i="1"/>
  <c r="BI30" i="1"/>
  <c r="AY30" i="1"/>
  <c r="AQ30" i="1"/>
  <c r="AI30" i="1"/>
  <c r="AA30" i="1"/>
  <c r="S30" i="1"/>
  <c r="K30" i="1"/>
  <c r="C30" i="1"/>
  <c r="CB30" i="1"/>
  <c r="BR30" i="1"/>
  <c r="BH30" i="1"/>
  <c r="AX30" i="1"/>
  <c r="AP30" i="1"/>
  <c r="AH30" i="1"/>
  <c r="Z30" i="1"/>
  <c r="R30" i="1"/>
  <c r="J30" i="1"/>
  <c r="B30" i="1"/>
  <c r="CA30" i="1"/>
  <c r="BQ30" i="1"/>
  <c r="BE30" i="1"/>
  <c r="AW30" i="1"/>
  <c r="AO30" i="1"/>
  <c r="AG30" i="1"/>
  <c r="Y30" i="1"/>
  <c r="Q30" i="1"/>
  <c r="I30" i="1"/>
  <c r="CC31" i="1"/>
  <c r="BU31" i="1"/>
  <c r="BM31" i="1"/>
  <c r="BE31" i="1"/>
  <c r="AW31" i="1"/>
  <c r="AO31" i="1"/>
  <c r="AG31" i="1"/>
  <c r="Y31" i="1"/>
  <c r="Q31" i="1"/>
  <c r="I31" i="1"/>
  <c r="CB31" i="1"/>
  <c r="BT31" i="1"/>
  <c r="BL31" i="1"/>
  <c r="BD31" i="1"/>
  <c r="AV31" i="1"/>
  <c r="AN31" i="1"/>
  <c r="AF31" i="1"/>
  <c r="X31" i="1"/>
  <c r="P31" i="1"/>
  <c r="H31" i="1"/>
  <c r="CD31" i="1"/>
  <c r="BR31" i="1"/>
  <c r="BH31" i="1"/>
  <c r="AX31" i="1"/>
  <c r="AL31" i="1"/>
  <c r="AB31" i="1"/>
  <c r="R31" i="1"/>
  <c r="F31" i="1"/>
  <c r="CA31" i="1"/>
  <c r="BQ31" i="1"/>
  <c r="BG31" i="1"/>
  <c r="AU31" i="1"/>
  <c r="AK31" i="1"/>
  <c r="AA31" i="1"/>
  <c r="O31" i="1"/>
  <c r="E31" i="1"/>
  <c r="BZ31" i="1"/>
  <c r="BP31" i="1"/>
  <c r="BF31" i="1"/>
  <c r="AT31" i="1"/>
  <c r="AJ31" i="1"/>
  <c r="Z31" i="1"/>
  <c r="N31" i="1"/>
  <c r="D31" i="1"/>
  <c r="BY31" i="1"/>
  <c r="BO31" i="1"/>
  <c r="BC31" i="1"/>
  <c r="AS31" i="1"/>
  <c r="AI31" i="1"/>
  <c r="W31" i="1"/>
  <c r="M31" i="1"/>
  <c r="C31" i="1"/>
  <c r="BX31" i="1"/>
  <c r="BN31" i="1"/>
  <c r="BB31" i="1"/>
  <c r="AR31" i="1"/>
  <c r="AH31" i="1"/>
  <c r="V31" i="1"/>
  <c r="L31" i="1"/>
  <c r="B31" i="1"/>
  <c r="BW31" i="1"/>
  <c r="BK31" i="1"/>
  <c r="BA31" i="1"/>
  <c r="AQ31" i="1"/>
  <c r="AE31" i="1"/>
  <c r="U31" i="1"/>
  <c r="K31" i="1"/>
  <c r="BV31" i="1"/>
  <c r="BJ31" i="1"/>
  <c r="AZ31" i="1"/>
  <c r="AP31" i="1"/>
  <c r="AD31" i="1"/>
  <c r="T31" i="1"/>
  <c r="J31" i="1"/>
  <c r="CE31" i="1"/>
  <c r="BS31" i="1"/>
  <c r="BI31" i="1"/>
  <c r="AY31" i="1"/>
  <c r="AM31" i="1"/>
  <c r="AC31" i="1"/>
  <c r="S31" i="1"/>
  <c r="G31" i="1"/>
  <c r="CB33" i="1"/>
  <c r="BT33" i="1"/>
  <c r="BL33" i="1"/>
  <c r="BD33" i="1"/>
  <c r="AV33" i="1"/>
  <c r="AN33" i="1"/>
  <c r="AF33" i="1"/>
  <c r="X33" i="1"/>
  <c r="P33" i="1"/>
  <c r="H33" i="1"/>
  <c r="AW33" i="1"/>
  <c r="Q33" i="1"/>
  <c r="CA33" i="1"/>
  <c r="BS33" i="1"/>
  <c r="BK33" i="1"/>
  <c r="BC33" i="1"/>
  <c r="AU33" i="1"/>
  <c r="AM33" i="1"/>
  <c r="AE33" i="1"/>
  <c r="W33" i="1"/>
  <c r="O33" i="1"/>
  <c r="G33" i="1"/>
  <c r="CC33" i="1"/>
  <c r="I33" i="1"/>
  <c r="BZ33" i="1"/>
  <c r="BR33" i="1"/>
  <c r="BJ33" i="1"/>
  <c r="BB33" i="1"/>
  <c r="AT33" i="1"/>
  <c r="AL33" i="1"/>
  <c r="AD33" i="1"/>
  <c r="V33" i="1"/>
  <c r="N33" i="1"/>
  <c r="F33" i="1"/>
  <c r="AO33" i="1"/>
  <c r="BY33" i="1"/>
  <c r="BQ33" i="1"/>
  <c r="BI33" i="1"/>
  <c r="BA33" i="1"/>
  <c r="AS33" i="1"/>
  <c r="AK33" i="1"/>
  <c r="AC33" i="1"/>
  <c r="U33" i="1"/>
  <c r="M33" i="1"/>
  <c r="E33" i="1"/>
  <c r="BM33" i="1"/>
  <c r="BX33" i="1"/>
  <c r="BP33" i="1"/>
  <c r="BH33" i="1"/>
  <c r="AZ33" i="1"/>
  <c r="AR33" i="1"/>
  <c r="AJ33" i="1"/>
  <c r="AB33" i="1"/>
  <c r="T33" i="1"/>
  <c r="L33" i="1"/>
  <c r="D33" i="1"/>
  <c r="BU33" i="1"/>
  <c r="Y33" i="1"/>
  <c r="CE33" i="1"/>
  <c r="BW33" i="1"/>
  <c r="BO33" i="1"/>
  <c r="BG33" i="1"/>
  <c r="AY33" i="1"/>
  <c r="AQ33" i="1"/>
  <c r="AI33" i="1"/>
  <c r="AA33" i="1"/>
  <c r="S33" i="1"/>
  <c r="K33" i="1"/>
  <c r="C33" i="1"/>
  <c r="BE33" i="1"/>
  <c r="CD33" i="1"/>
  <c r="BV33" i="1"/>
  <c r="BN33" i="1"/>
  <c r="BF33" i="1"/>
  <c r="AX33" i="1"/>
  <c r="AP33" i="1"/>
  <c r="AH33" i="1"/>
  <c r="Z33" i="1"/>
  <c r="R33" i="1"/>
  <c r="J33" i="1"/>
  <c r="B33" i="1"/>
  <c r="AG33" i="1"/>
  <c r="A40" i="1"/>
  <c r="A39" i="1"/>
  <c r="A41" i="1"/>
  <c r="A42" i="1"/>
  <c r="A44" i="1"/>
  <c r="A43" i="1"/>
  <c r="A38" i="1"/>
  <c r="BZ39" i="1" l="1"/>
  <c r="BR39" i="1"/>
  <c r="BJ39" i="1"/>
  <c r="BB39" i="1"/>
  <c r="AT39" i="1"/>
  <c r="AL39" i="1"/>
  <c r="AD39" i="1"/>
  <c r="V39" i="1"/>
  <c r="N39" i="1"/>
  <c r="F39" i="1"/>
  <c r="BY39" i="1"/>
  <c r="BQ39" i="1"/>
  <c r="BI39" i="1"/>
  <c r="BA39" i="1"/>
  <c r="AS39" i="1"/>
  <c r="AK39" i="1"/>
  <c r="AC39" i="1"/>
  <c r="U39" i="1"/>
  <c r="M39" i="1"/>
  <c r="E39" i="1"/>
  <c r="BX39" i="1"/>
  <c r="BP39" i="1"/>
  <c r="BH39" i="1"/>
  <c r="AZ39" i="1"/>
  <c r="AR39" i="1"/>
  <c r="AJ39" i="1"/>
  <c r="AB39" i="1"/>
  <c r="T39" i="1"/>
  <c r="L39" i="1"/>
  <c r="D39" i="1"/>
  <c r="BW39" i="1"/>
  <c r="BO39" i="1"/>
  <c r="BG39" i="1"/>
  <c r="AY39" i="1"/>
  <c r="AQ39" i="1"/>
  <c r="AI39" i="1"/>
  <c r="AA39" i="1"/>
  <c r="S39" i="1"/>
  <c r="K39" i="1"/>
  <c r="C39" i="1"/>
  <c r="CD39" i="1"/>
  <c r="BV39" i="1"/>
  <c r="BN39" i="1"/>
  <c r="BF39" i="1"/>
  <c r="AX39" i="1"/>
  <c r="AP39" i="1"/>
  <c r="AH39" i="1"/>
  <c r="Z39" i="1"/>
  <c r="R39" i="1"/>
  <c r="J39" i="1"/>
  <c r="B39" i="1"/>
  <c r="CC39" i="1"/>
  <c r="BU39" i="1"/>
  <c r="BM39" i="1"/>
  <c r="BE39" i="1"/>
  <c r="AW39" i="1"/>
  <c r="AO39" i="1"/>
  <c r="AG39" i="1"/>
  <c r="Y39" i="1"/>
  <c r="Q39" i="1"/>
  <c r="I39" i="1"/>
  <c r="CB39" i="1"/>
  <c r="BT39" i="1"/>
  <c r="BL39" i="1"/>
  <c r="BD39" i="1"/>
  <c r="AV39" i="1"/>
  <c r="AN39" i="1"/>
  <c r="AF39" i="1"/>
  <c r="X39" i="1"/>
  <c r="P39" i="1"/>
  <c r="H39" i="1"/>
  <c r="BS39" i="1"/>
  <c r="G39" i="1"/>
  <c r="BK39" i="1"/>
  <c r="BC39" i="1"/>
  <c r="AU39" i="1"/>
  <c r="AM39" i="1"/>
  <c r="AE39" i="1"/>
  <c r="W39" i="1"/>
  <c r="CA39" i="1"/>
  <c r="O39" i="1"/>
  <c r="BY40" i="1"/>
  <c r="BQ40" i="1"/>
  <c r="BI40" i="1"/>
  <c r="BA40" i="1"/>
  <c r="AS40" i="1"/>
  <c r="AK40" i="1"/>
  <c r="AC40" i="1"/>
  <c r="U40" i="1"/>
  <c r="M40" i="1"/>
  <c r="E40" i="1"/>
  <c r="BX40" i="1"/>
  <c r="BP40" i="1"/>
  <c r="BH40" i="1"/>
  <c r="AZ40" i="1"/>
  <c r="AR40" i="1"/>
  <c r="AJ40" i="1"/>
  <c r="AB40" i="1"/>
  <c r="T40" i="1"/>
  <c r="L40" i="1"/>
  <c r="D40" i="1"/>
  <c r="BW40" i="1"/>
  <c r="BO40" i="1"/>
  <c r="BG40" i="1"/>
  <c r="AY40" i="1"/>
  <c r="AQ40" i="1"/>
  <c r="AI40" i="1"/>
  <c r="AA40" i="1"/>
  <c r="S40" i="1"/>
  <c r="K40" i="1"/>
  <c r="C40" i="1"/>
  <c r="CD40" i="1"/>
  <c r="BV40" i="1"/>
  <c r="BN40" i="1"/>
  <c r="BF40" i="1"/>
  <c r="AX40" i="1"/>
  <c r="AP40" i="1"/>
  <c r="AH40" i="1"/>
  <c r="Z40" i="1"/>
  <c r="R40" i="1"/>
  <c r="J40" i="1"/>
  <c r="B40" i="1"/>
  <c r="CC40" i="1"/>
  <c r="BU40" i="1"/>
  <c r="BM40" i="1"/>
  <c r="BE40" i="1"/>
  <c r="AW40" i="1"/>
  <c r="AO40" i="1"/>
  <c r="AG40" i="1"/>
  <c r="Y40" i="1"/>
  <c r="Q40" i="1"/>
  <c r="I40" i="1"/>
  <c r="CB40" i="1"/>
  <c r="BT40" i="1"/>
  <c r="BL40" i="1"/>
  <c r="BD40" i="1"/>
  <c r="AV40" i="1"/>
  <c r="AN40" i="1"/>
  <c r="AF40" i="1"/>
  <c r="X40" i="1"/>
  <c r="P40" i="1"/>
  <c r="H40" i="1"/>
  <c r="CA40" i="1"/>
  <c r="BS40" i="1"/>
  <c r="BK40" i="1"/>
  <c r="BC40" i="1"/>
  <c r="AU40" i="1"/>
  <c r="AM40" i="1"/>
  <c r="AE40" i="1"/>
  <c r="W40" i="1"/>
  <c r="O40" i="1"/>
  <c r="G40" i="1"/>
  <c r="BB40" i="1"/>
  <c r="AT40" i="1"/>
  <c r="AL40" i="1"/>
  <c r="AD40" i="1"/>
  <c r="V40" i="1"/>
  <c r="BZ40" i="1"/>
  <c r="N40" i="1"/>
  <c r="BR40" i="1"/>
  <c r="F40" i="1"/>
  <c r="BJ40" i="1"/>
  <c r="CA38" i="1"/>
  <c r="BS38" i="1"/>
  <c r="BK38" i="1"/>
  <c r="BC38" i="1"/>
  <c r="AU38" i="1"/>
  <c r="AM38" i="1"/>
  <c r="AE38" i="1"/>
  <c r="W38" i="1"/>
  <c r="O38" i="1"/>
  <c r="G38" i="1"/>
  <c r="BZ38" i="1"/>
  <c r="BR38" i="1"/>
  <c r="BJ38" i="1"/>
  <c r="BB38" i="1"/>
  <c r="AT38" i="1"/>
  <c r="AL38" i="1"/>
  <c r="AD38" i="1"/>
  <c r="V38" i="1"/>
  <c r="N38" i="1"/>
  <c r="F38" i="1"/>
  <c r="BY38" i="1"/>
  <c r="BQ38" i="1"/>
  <c r="BI38" i="1"/>
  <c r="BA38" i="1"/>
  <c r="AS38" i="1"/>
  <c r="AK38" i="1"/>
  <c r="AC38" i="1"/>
  <c r="U38" i="1"/>
  <c r="M38" i="1"/>
  <c r="E38" i="1"/>
  <c r="BX38" i="1"/>
  <c r="BP38" i="1"/>
  <c r="BH38" i="1"/>
  <c r="AZ38" i="1"/>
  <c r="AR38" i="1"/>
  <c r="AJ38" i="1"/>
  <c r="AB38" i="1"/>
  <c r="T38" i="1"/>
  <c r="L38" i="1"/>
  <c r="D38" i="1"/>
  <c r="BW38" i="1"/>
  <c r="BO38" i="1"/>
  <c r="BG38" i="1"/>
  <c r="AY38" i="1"/>
  <c r="AQ38" i="1"/>
  <c r="AI38" i="1"/>
  <c r="AA38" i="1"/>
  <c r="S38" i="1"/>
  <c r="K38" i="1"/>
  <c r="C38" i="1"/>
  <c r="CD38" i="1"/>
  <c r="BV38" i="1"/>
  <c r="BN38" i="1"/>
  <c r="BF38" i="1"/>
  <c r="AX38" i="1"/>
  <c r="AP38" i="1"/>
  <c r="AH38" i="1"/>
  <c r="Z38" i="1"/>
  <c r="R38" i="1"/>
  <c r="J38" i="1"/>
  <c r="B38" i="1"/>
  <c r="CC38" i="1"/>
  <c r="BU38" i="1"/>
  <c r="BM38" i="1"/>
  <c r="BE38" i="1"/>
  <c r="AW38" i="1"/>
  <c r="AO38" i="1"/>
  <c r="AG38" i="1"/>
  <c r="Y38" i="1"/>
  <c r="Q38" i="1"/>
  <c r="I38" i="1"/>
  <c r="X38" i="1"/>
  <c r="CB38" i="1"/>
  <c r="P38" i="1"/>
  <c r="BT38" i="1"/>
  <c r="H38" i="1"/>
  <c r="BL38" i="1"/>
  <c r="BD38" i="1"/>
  <c r="AV38" i="1"/>
  <c r="AN38" i="1"/>
  <c r="AF38" i="1"/>
  <c r="CD43" i="1"/>
  <c r="BV43" i="1"/>
  <c r="BN43" i="1"/>
  <c r="BF43" i="1"/>
  <c r="AX43" i="1"/>
  <c r="AP43" i="1"/>
  <c r="AH43" i="1"/>
  <c r="Z43" i="1"/>
  <c r="R43" i="1"/>
  <c r="J43" i="1"/>
  <c r="B43" i="1"/>
  <c r="CC43" i="1"/>
  <c r="BU43" i="1"/>
  <c r="BM43" i="1"/>
  <c r="BE43" i="1"/>
  <c r="AW43" i="1"/>
  <c r="AO43" i="1"/>
  <c r="AG43" i="1"/>
  <c r="Y43" i="1"/>
  <c r="Q43" i="1"/>
  <c r="I43" i="1"/>
  <c r="CB43" i="1"/>
  <c r="BT43" i="1"/>
  <c r="BL43" i="1"/>
  <c r="BD43" i="1"/>
  <c r="AV43" i="1"/>
  <c r="AN43" i="1"/>
  <c r="AF43" i="1"/>
  <c r="X43" i="1"/>
  <c r="P43" i="1"/>
  <c r="H43" i="1"/>
  <c r="CA43" i="1"/>
  <c r="BS43" i="1"/>
  <c r="BK43" i="1"/>
  <c r="BC43" i="1"/>
  <c r="AU43" i="1"/>
  <c r="AM43" i="1"/>
  <c r="AE43" i="1"/>
  <c r="W43" i="1"/>
  <c r="O43" i="1"/>
  <c r="G43" i="1"/>
  <c r="BZ43" i="1"/>
  <c r="BR43" i="1"/>
  <c r="BJ43" i="1"/>
  <c r="BB43" i="1"/>
  <c r="AT43" i="1"/>
  <c r="AL43" i="1"/>
  <c r="AD43" i="1"/>
  <c r="V43" i="1"/>
  <c r="N43" i="1"/>
  <c r="F43" i="1"/>
  <c r="BY43" i="1"/>
  <c r="BQ43" i="1"/>
  <c r="BI43" i="1"/>
  <c r="BA43" i="1"/>
  <c r="AS43" i="1"/>
  <c r="AK43" i="1"/>
  <c r="AC43" i="1"/>
  <c r="U43" i="1"/>
  <c r="M43" i="1"/>
  <c r="E43" i="1"/>
  <c r="BX43" i="1"/>
  <c r="BP43" i="1"/>
  <c r="BH43" i="1"/>
  <c r="AZ43" i="1"/>
  <c r="AR43" i="1"/>
  <c r="AJ43" i="1"/>
  <c r="AB43" i="1"/>
  <c r="T43" i="1"/>
  <c r="L43" i="1"/>
  <c r="D43" i="1"/>
  <c r="BW43" i="1"/>
  <c r="BO43" i="1"/>
  <c r="BG43" i="1"/>
  <c r="AY43" i="1"/>
  <c r="AQ43" i="1"/>
  <c r="AI43" i="1"/>
  <c r="AA43" i="1"/>
  <c r="S43" i="1"/>
  <c r="K43" i="1"/>
  <c r="C43" i="1"/>
  <c r="BW42" i="1"/>
  <c r="BO42" i="1"/>
  <c r="BG42" i="1"/>
  <c r="AY42" i="1"/>
  <c r="AQ42" i="1"/>
  <c r="AI42" i="1"/>
  <c r="AA42" i="1"/>
  <c r="S42" i="1"/>
  <c r="K42" i="1"/>
  <c r="C42" i="1"/>
  <c r="CD42" i="1"/>
  <c r="BV42" i="1"/>
  <c r="BN42" i="1"/>
  <c r="BF42" i="1"/>
  <c r="AX42" i="1"/>
  <c r="AP42" i="1"/>
  <c r="AH42" i="1"/>
  <c r="Z42" i="1"/>
  <c r="R42" i="1"/>
  <c r="J42" i="1"/>
  <c r="B42" i="1"/>
  <c r="CC42" i="1"/>
  <c r="BU42" i="1"/>
  <c r="BM42" i="1"/>
  <c r="BE42" i="1"/>
  <c r="AW42" i="1"/>
  <c r="AO42" i="1"/>
  <c r="AG42" i="1"/>
  <c r="Y42" i="1"/>
  <c r="Q42" i="1"/>
  <c r="I42" i="1"/>
  <c r="CB42" i="1"/>
  <c r="BT42" i="1"/>
  <c r="BL42" i="1"/>
  <c r="BD42" i="1"/>
  <c r="AV42" i="1"/>
  <c r="AN42" i="1"/>
  <c r="AF42" i="1"/>
  <c r="X42" i="1"/>
  <c r="P42" i="1"/>
  <c r="H42" i="1"/>
  <c r="CA42" i="1"/>
  <c r="BS42" i="1"/>
  <c r="BK42" i="1"/>
  <c r="BC42" i="1"/>
  <c r="AU42" i="1"/>
  <c r="AM42" i="1"/>
  <c r="AE42" i="1"/>
  <c r="W42" i="1"/>
  <c r="O42" i="1"/>
  <c r="G42" i="1"/>
  <c r="BZ42" i="1"/>
  <c r="BR42" i="1"/>
  <c r="BJ42" i="1"/>
  <c r="BB42" i="1"/>
  <c r="AT42" i="1"/>
  <c r="AL42" i="1"/>
  <c r="AD42" i="1"/>
  <c r="V42" i="1"/>
  <c r="N42" i="1"/>
  <c r="F42" i="1"/>
  <c r="BY42" i="1"/>
  <c r="BQ42" i="1"/>
  <c r="BI42" i="1"/>
  <c r="BA42" i="1"/>
  <c r="AS42" i="1"/>
  <c r="AK42" i="1"/>
  <c r="AC42" i="1"/>
  <c r="U42" i="1"/>
  <c r="M42" i="1"/>
  <c r="E42" i="1"/>
  <c r="T42" i="1"/>
  <c r="BX42" i="1"/>
  <c r="L42" i="1"/>
  <c r="BP42" i="1"/>
  <c r="D42" i="1"/>
  <c r="BH42" i="1"/>
  <c r="AZ42" i="1"/>
  <c r="AR42" i="1"/>
  <c r="AJ42" i="1"/>
  <c r="AB42" i="1"/>
  <c r="BX41" i="1"/>
  <c r="BP41" i="1"/>
  <c r="BH41" i="1"/>
  <c r="AZ41" i="1"/>
  <c r="AR41" i="1"/>
  <c r="AJ41" i="1"/>
  <c r="AB41" i="1"/>
  <c r="T41" i="1"/>
  <c r="L41" i="1"/>
  <c r="D41" i="1"/>
  <c r="BW41" i="1"/>
  <c r="BO41" i="1"/>
  <c r="BG41" i="1"/>
  <c r="AY41" i="1"/>
  <c r="AQ41" i="1"/>
  <c r="AI41" i="1"/>
  <c r="AA41" i="1"/>
  <c r="S41" i="1"/>
  <c r="K41" i="1"/>
  <c r="C41" i="1"/>
  <c r="CD41" i="1"/>
  <c r="BV41" i="1"/>
  <c r="BN41" i="1"/>
  <c r="BF41" i="1"/>
  <c r="AX41" i="1"/>
  <c r="AP41" i="1"/>
  <c r="AH41" i="1"/>
  <c r="Z41" i="1"/>
  <c r="R41" i="1"/>
  <c r="J41" i="1"/>
  <c r="B41" i="1"/>
  <c r="CC41" i="1"/>
  <c r="BU41" i="1"/>
  <c r="BM41" i="1"/>
  <c r="BE41" i="1"/>
  <c r="AW41" i="1"/>
  <c r="AO41" i="1"/>
  <c r="AG41" i="1"/>
  <c r="Y41" i="1"/>
  <c r="Q41" i="1"/>
  <c r="I41" i="1"/>
  <c r="CB41" i="1"/>
  <c r="BT41" i="1"/>
  <c r="BL41" i="1"/>
  <c r="BD41" i="1"/>
  <c r="AV41" i="1"/>
  <c r="AN41" i="1"/>
  <c r="AF41" i="1"/>
  <c r="X41" i="1"/>
  <c r="P41" i="1"/>
  <c r="H41" i="1"/>
  <c r="CA41" i="1"/>
  <c r="BS41" i="1"/>
  <c r="BK41" i="1"/>
  <c r="BC41" i="1"/>
  <c r="AU41" i="1"/>
  <c r="AM41" i="1"/>
  <c r="AE41" i="1"/>
  <c r="W41" i="1"/>
  <c r="O41" i="1"/>
  <c r="G41" i="1"/>
  <c r="BZ41" i="1"/>
  <c r="BR41" i="1"/>
  <c r="BJ41" i="1"/>
  <c r="BB41" i="1"/>
  <c r="AT41" i="1"/>
  <c r="AL41" i="1"/>
  <c r="AD41" i="1"/>
  <c r="V41" i="1"/>
  <c r="N41" i="1"/>
  <c r="F41" i="1"/>
  <c r="AK41" i="1"/>
  <c r="AC41" i="1"/>
  <c r="U41" i="1"/>
  <c r="BY41" i="1"/>
  <c r="M41" i="1"/>
  <c r="BQ41" i="1"/>
  <c r="E41" i="1"/>
  <c r="BI41" i="1"/>
  <c r="BA41" i="1"/>
  <c r="AS41" i="1"/>
  <c r="CD44" i="1"/>
  <c r="BV44" i="1"/>
  <c r="BN44" i="1"/>
  <c r="BF44" i="1"/>
  <c r="AX44" i="1"/>
  <c r="AP44" i="1"/>
  <c r="AH44" i="1"/>
  <c r="Z44" i="1"/>
  <c r="R44" i="1"/>
  <c r="J44" i="1"/>
  <c r="B44" i="1"/>
  <c r="AI44" i="1"/>
  <c r="CC44" i="1"/>
  <c r="BU44" i="1"/>
  <c r="BM44" i="1"/>
  <c r="BE44" i="1"/>
  <c r="AW44" i="1"/>
  <c r="AO44" i="1"/>
  <c r="AG44" i="1"/>
  <c r="Y44" i="1"/>
  <c r="Q44" i="1"/>
  <c r="I44" i="1"/>
  <c r="AQ44" i="1"/>
  <c r="CB44" i="1"/>
  <c r="BT44" i="1"/>
  <c r="BL44" i="1"/>
  <c r="BD44" i="1"/>
  <c r="AV44" i="1"/>
  <c r="AN44" i="1"/>
  <c r="AF44" i="1"/>
  <c r="X44" i="1"/>
  <c r="P44" i="1"/>
  <c r="H44" i="1"/>
  <c r="BO44" i="1"/>
  <c r="C44" i="1"/>
  <c r="CA44" i="1"/>
  <c r="BS44" i="1"/>
  <c r="BK44" i="1"/>
  <c r="BC44" i="1"/>
  <c r="AU44" i="1"/>
  <c r="AM44" i="1"/>
  <c r="AE44" i="1"/>
  <c r="W44" i="1"/>
  <c r="O44" i="1"/>
  <c r="G44" i="1"/>
  <c r="BW44" i="1"/>
  <c r="K44" i="1"/>
  <c r="BZ44" i="1"/>
  <c r="BR44" i="1"/>
  <c r="BJ44" i="1"/>
  <c r="BB44" i="1"/>
  <c r="AT44" i="1"/>
  <c r="AL44" i="1"/>
  <c r="AD44" i="1"/>
  <c r="V44" i="1"/>
  <c r="N44" i="1"/>
  <c r="F44" i="1"/>
  <c r="BG44" i="1"/>
  <c r="S44" i="1"/>
  <c r="BY44" i="1"/>
  <c r="BQ44" i="1"/>
  <c r="BI44" i="1"/>
  <c r="BA44" i="1"/>
  <c r="AS44" i="1"/>
  <c r="AK44" i="1"/>
  <c r="AC44" i="1"/>
  <c r="U44" i="1"/>
  <c r="M44" i="1"/>
  <c r="E44" i="1"/>
  <c r="AA44" i="1"/>
  <c r="BX44" i="1"/>
  <c r="BP44" i="1"/>
  <c r="BH44" i="1"/>
  <c r="AZ44" i="1"/>
  <c r="AR44" i="1"/>
  <c r="AJ44" i="1"/>
  <c r="AB44" i="1"/>
  <c r="T44" i="1"/>
  <c r="L44" i="1"/>
  <c r="D44" i="1"/>
  <c r="AY4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7878B9-AB65-477F-9625-4B3BFF684E8E}" keepAlive="1" name="Abfrage - time_series_19-covid-Confirmed" description="Verbindung mit der Abfrage 'time_series_19-covid-Confirmed' in der Arbeitsmappe." type="5" refreshedVersion="6" background="1" refreshOnLoad="1" saveData="1">
    <dbPr connection="Provider=Microsoft.Mashup.OleDb.1;Data Source=$Workbook$;Location=time_series_19-covid-Confirmed;Extended Properties=&quot;&quot;" command="SELECT * FROM [time_series_19-covid-Confirmed]"/>
  </connection>
  <connection id="2" xr16:uid="{EFC7FF4A-E5B6-45B3-A338-E66A945A4E10}" keepAlive="1" name="Abfrage - time_series_19-covid-Deaths" description="Verbindung mit der Abfrage 'time_series_19-covid-Deaths' in der Arbeitsmappe." type="5" refreshedVersion="6" background="1" saveData="1">
    <dbPr connection="Provider=Microsoft.Mashup.OleDb.1;Data Source=$Workbook$;Location=time_series_19-covid-Deaths;Extended Properties=&quot;&quot;" command="SELECT * FROM [time_series_19-covid-Deaths]"/>
  </connection>
  <connection id="3" xr16:uid="{D161D5E2-132E-4031-9213-B1A397F1D0A0}" keepAlive="1" name="Abfrage - time_series_19-covid-Recovered" description="Verbindung mit der Abfrage 'time_series_19-covid-Recovered' in der Arbeitsmappe." type="5" refreshedVersion="6" background="1" saveData="1">
    <dbPr connection="Provider=Microsoft.Mashup.OleDb.1;Data Source=$Workbook$;Location=time_series_19-covid-Recovered;Extended Properties=&quot;&quot;" command="SELECT * FROM [time_series_19-covid-Recovered]"/>
  </connection>
</connections>
</file>

<file path=xl/sharedStrings.xml><?xml version="1.0" encoding="utf-8"?>
<sst xmlns="http://schemas.openxmlformats.org/spreadsheetml/2006/main" count="2064" uniqueCount="450">
  <si>
    <t>Country/Region</t>
  </si>
  <si>
    <t>Thailand</t>
  </si>
  <si>
    <t/>
  </si>
  <si>
    <t>Japan</t>
  </si>
  <si>
    <t>Singapore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</si>
  <si>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</si>
  <si>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</si>
  <si>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</si>
  <si>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</si>
  <si>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</si>
  <si>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</si>
  <si>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</si>
  <si>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</si>
  <si>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</si>
  <si>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</si>
  <si>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</si>
  <si>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</si>
  <si>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</si>
  <si>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</si>
  <si>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</si>
  <si>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</si>
  <si>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</si>
  <si>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</si>
  <si>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</si>
  <si>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Belgium</t>
  </si>
  <si>
    <t>Egypt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</si>
  <si>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</si>
  <si>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</si>
  <si>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</si>
  <si>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</si>
  <si>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</si>
  <si>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</si>
  <si>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</si>
  <si>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</si>
  <si>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</si>
  <si>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</si>
  <si>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</si>
  <si>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</si>
  <si>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</si>
  <si>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</si>
  <si>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</si>
  <si>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</si>
  <si>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</si>
  <si>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</si>
  <si>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Estonia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</si>
  <si>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</si>
  <si>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</si>
  <si>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</si>
  <si>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</si>
  <si>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</si>
  <si>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</si>
  <si>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</si>
  <si>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</si>
  <si>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</si>
  <si>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</si>
  <si>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</si>
  <si>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</si>
  <si>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</si>
  <si>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</si>
  <si>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</si>
  <si>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</si>
  <si>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</si>
  <si>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</si>
  <si>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</si>
  <si>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</si>
  <si>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</si>
  <si>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</si>
  <si>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</si>
  <si>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</si>
  <si>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</si>
  <si>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</si>
  <si>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</si>
  <si>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</si>
  <si>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Hungary</t>
  </si>
  <si>
    <t>Northern Territory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</si>
  <si>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</si>
  <si>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</si>
  <si>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</si>
  <si>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</si>
  <si>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</si>
  <si>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</si>
  <si>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</si>
  <si>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</si>
  <si>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</si>
  <si>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</si>
  <si>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</si>
  <si>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</si>
  <si>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</si>
  <si>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</si>
  <si>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Malta</t>
  </si>
  <si>
    <t>Martinique</t>
  </si>
  <si>
    <t>Bulgaria</t>
  </si>
  <si>
    <t>Maldives</t>
  </si>
  <si>
    <t>Bangladesh</t>
  </si>
  <si>
    <t>Paraguay</t>
  </si>
  <si>
    <t>Ontario</t>
  </si>
  <si>
    <t>Alberta</t>
  </si>
  <si>
    <t>Quebec</t>
  </si>
  <si>
    <t>Albania</t>
  </si>
  <si>
    <t>Cyprus</t>
  </si>
  <si>
    <t>Brunei</t>
  </si>
  <si>
    <t>US</t>
  </si>
  <si>
    <t>Diamond Princess</t>
  </si>
  <si>
    <t>Grand Princess</t>
  </si>
  <si>
    <t>Burkina Faso</t>
  </si>
  <si>
    <t>Holy See</t>
  </si>
  <si>
    <t>Mongolia</t>
  </si>
  <si>
    <t>Panama</t>
  </si>
  <si>
    <t>Hubei</t>
  </si>
  <si>
    <t>China</t>
  </si>
  <si>
    <t>Iran</t>
  </si>
  <si>
    <t>Korea, South</t>
  </si>
  <si>
    <t>France</t>
  </si>
  <si>
    <t>Guangdong</t>
  </si>
  <si>
    <t>Henan</t>
  </si>
  <si>
    <t>Zhejiang</t>
  </si>
  <si>
    <t>Hunan</t>
  </si>
  <si>
    <t>Anhui</t>
  </si>
  <si>
    <t>Jiangxi</t>
  </si>
  <si>
    <t>Shandong</t>
  </si>
  <si>
    <t>Jiangsu</t>
  </si>
  <si>
    <t>Chongqing</t>
  </si>
  <si>
    <t>Sichuan</t>
  </si>
  <si>
    <t>Heilongjiang</t>
  </si>
  <si>
    <t>Denmark</t>
  </si>
  <si>
    <t>Beijing</t>
  </si>
  <si>
    <t>Shanghai</t>
  </si>
  <si>
    <t>Hebei</t>
  </si>
  <si>
    <t>Fujian</t>
  </si>
  <si>
    <t>Guangxi</t>
  </si>
  <si>
    <t>Shaanxi</t>
  </si>
  <si>
    <t>Yunnan</t>
  </si>
  <si>
    <t>Hainan</t>
  </si>
  <si>
    <t>Guizhou</t>
  </si>
  <si>
    <t>Tianjin</t>
  </si>
  <si>
    <t>Shanxi</t>
  </si>
  <si>
    <t>Gansu</t>
  </si>
  <si>
    <t>Hong Kong</t>
  </si>
  <si>
    <t>Liaoning</t>
  </si>
  <si>
    <t>Jilin</t>
  </si>
  <si>
    <t>Czechia</t>
  </si>
  <si>
    <t>Xinjiang</t>
  </si>
  <si>
    <t>Inner Mongolia</t>
  </si>
  <si>
    <t>Ningxia</t>
  </si>
  <si>
    <t>Taiwan*</t>
  </si>
  <si>
    <t>Vietnam</t>
  </si>
  <si>
    <t>Russia</t>
  </si>
  <si>
    <t>Qinghai</t>
  </si>
  <si>
    <t>Macau</t>
  </si>
  <si>
    <t>Moldova</t>
  </si>
  <si>
    <t>Bolivia</t>
  </si>
  <si>
    <t>Faroe Islands</t>
  </si>
  <si>
    <t>St Martin</t>
  </si>
  <si>
    <t>Honduras</t>
  </si>
  <si>
    <t>Channel Islands</t>
  </si>
  <si>
    <t>United Kingdom</t>
  </si>
  <si>
    <t>New Brunswick</t>
  </si>
  <si>
    <t>Tibet</t>
  </si>
  <si>
    <t>Congo (Kinshasa)</t>
  </si>
  <si>
    <t>Cote d'Ivoire</t>
  </si>
  <si>
    <t>Saint Barthelemy</t>
  </si>
  <si>
    <t>Jamaica</t>
  </si>
  <si>
    <t>Turkey</t>
  </si>
  <si>
    <t>Gibraltar</t>
  </si>
  <si>
    <t>Cuba</t>
  </si>
  <si>
    <t>Guyana</t>
  </si>
  <si>
    <t>Australian Capital Territory</t>
  </si>
  <si>
    <t>Kazakhstan</t>
  </si>
  <si>
    <t>French Polynesia</t>
  </si>
  <si>
    <t>Manitoba</t>
  </si>
  <si>
    <t>Saskatchewan</t>
  </si>
  <si>
    <t>Ethiopia</t>
  </si>
  <si>
    <t>Sudan</t>
  </si>
  <si>
    <t>Guinea</t>
  </si>
  <si>
    <t>Kenya</t>
  </si>
  <si>
    <t>Antigua and Barbuda</t>
  </si>
  <si>
    <t>Uruguay</t>
  </si>
  <si>
    <t>Ghana</t>
  </si>
  <si>
    <t>Namibia</t>
  </si>
  <si>
    <t>Seychelles</t>
  </si>
  <si>
    <t>Trinidad and Tobago</t>
  </si>
  <si>
    <t>Venezuela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</si>
  <si>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</si>
  <si>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</si>
  <si>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</si>
  <si>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</si>
  <si>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</si>
  <si>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</si>
  <si>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</si>
  <si>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</si>
  <si>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French Guiana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</si>
  <si>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</si>
  <si>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</si>
  <si>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</si>
  <si>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</si>
  <si>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</si>
  <si>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</si>
  <si>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</si>
  <si>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</si>
  <si>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Netherlands</t>
  </si>
  <si>
    <t>Nova Scotia</t>
  </si>
  <si>
    <t>Guadeloupe</t>
  </si>
  <si>
    <t>Benin</t>
  </si>
  <si>
    <t>Liberia</t>
  </si>
  <si>
    <t>Curacao</t>
  </si>
  <si>
    <t>Somalia</t>
  </si>
  <si>
    <t>Tanzania</t>
  </si>
  <si>
    <t>Cayman Islands</t>
  </si>
  <si>
    <t>Reunion</t>
  </si>
  <si>
    <t>Barbados</t>
  </si>
  <si>
    <t>Montenegro</t>
  </si>
  <si>
    <t>Kyrgyzstan</t>
  </si>
  <si>
    <t>Mauritius</t>
  </si>
  <si>
    <t>Aruba</t>
  </si>
  <si>
    <t>Zambia</t>
  </si>
  <si>
    <t>Djibouti</t>
  </si>
  <si>
    <t>Montserrat</t>
  </si>
  <si>
    <t>Greenland</t>
  </si>
  <si>
    <t>New Caledonia</t>
  </si>
  <si>
    <t>Bermuda</t>
  </si>
  <si>
    <t>Chad</t>
  </si>
  <si>
    <t>El Salvador</t>
  </si>
  <si>
    <t>Fiji</t>
  </si>
  <si>
    <t>Nicaragua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</si>
  <si>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</si>
  <si>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</si>
  <si>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</si>
  <si>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</si>
  <si>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</si>
  <si>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</si>
  <si>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</si>
  <si>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</si>
  <si>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</si>
  <si>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Eritrea</t>
  </si>
  <si>
    <t>Uganda</t>
  </si>
  <si>
    <t>Dominica</t>
  </si>
  <si>
    <t>Grenada</t>
  </si>
  <si>
    <t>Mozambique</t>
  </si>
  <si>
    <t>Syria</t>
  </si>
  <si>
    <t>Timor-Leste</t>
  </si>
  <si>
    <t>Worldwide</t>
  </si>
  <si>
    <t>Confirmed Cases</t>
  </si>
  <si>
    <t>Deaths</t>
  </si>
  <si>
    <t>Recoveries</t>
  </si>
  <si>
    <t>Currently Selected</t>
  </si>
  <si>
    <t>Recovered</t>
  </si>
  <si>
    <t>22.1</t>
  </si>
  <si>
    <t>23.1</t>
  </si>
  <si>
    <t>24.1</t>
  </si>
  <si>
    <t>25.1</t>
  </si>
  <si>
    <t>26.1</t>
  </si>
  <si>
    <t>27.1</t>
  </si>
  <si>
    <t>28.1</t>
  </si>
  <si>
    <t>29.1</t>
  </si>
  <si>
    <t>30.1</t>
  </si>
  <si>
    <t>31.1</t>
  </si>
  <si>
    <t>1.2</t>
  </si>
  <si>
    <t>2.2</t>
  </si>
  <si>
    <t>3.2</t>
  </si>
  <si>
    <t>4.2</t>
  </si>
  <si>
    <t>5.2</t>
  </si>
  <si>
    <t>6.2</t>
  </si>
  <si>
    <t>7.2</t>
  </si>
  <si>
    <t>8.2</t>
  </si>
  <si>
    <t>9.2</t>
  </si>
  <si>
    <t>10.2</t>
  </si>
  <si>
    <t>11.2</t>
  </si>
  <si>
    <t>12.2</t>
  </si>
  <si>
    <t>13.2</t>
  </si>
  <si>
    <t>14.2</t>
  </si>
  <si>
    <t>15.2</t>
  </si>
  <si>
    <t>16.2</t>
  </si>
  <si>
    <t>17.2</t>
  </si>
  <si>
    <t>18.2</t>
  </si>
  <si>
    <t>19.2</t>
  </si>
  <si>
    <t>20.2</t>
  </si>
  <si>
    <t>21.2</t>
  </si>
  <si>
    <t>22.2</t>
  </si>
  <si>
    <t>23.2</t>
  </si>
  <si>
    <t>24.2</t>
  </si>
  <si>
    <t>25.2</t>
  </si>
  <si>
    <t>26.2</t>
  </si>
  <si>
    <t>27.2</t>
  </si>
  <si>
    <t>28.2</t>
  </si>
  <si>
    <t>29.2</t>
  </si>
  <si>
    <t>1.3</t>
  </si>
  <si>
    <t>2.3</t>
  </si>
  <si>
    <t>3.3</t>
  </si>
  <si>
    <t>4.3</t>
  </si>
  <si>
    <t>5.3</t>
  </si>
  <si>
    <t>6.3</t>
  </si>
  <si>
    <t>7.3</t>
  </si>
  <si>
    <t>8.3</t>
  </si>
  <si>
    <t>9.3</t>
  </si>
  <si>
    <t>10.3</t>
  </si>
  <si>
    <t>11.3</t>
  </si>
  <si>
    <t>12.3</t>
  </si>
  <si>
    <t>13.3</t>
  </si>
  <si>
    <t>14.3</t>
  </si>
  <si>
    <t>15.3</t>
  </si>
  <si>
    <t>16.3</t>
  </si>
  <si>
    <t>17.3</t>
  </si>
  <si>
    <t>18.3</t>
  </si>
  <si>
    <t>19.3</t>
  </si>
  <si>
    <t>20.3</t>
  </si>
  <si>
    <t>21.3</t>
  </si>
  <si>
    <t>22.3</t>
  </si>
  <si>
    <t>Current Doubling Rate</t>
  </si>
  <si>
    <t>23.3</t>
  </si>
  <si>
    <t>24.3</t>
  </si>
  <si>
    <t>25.3</t>
  </si>
  <si>
    <t>26.3</t>
  </si>
  <si>
    <t>27.3</t>
  </si>
  <si>
    <t>28.3</t>
  </si>
  <si>
    <t>29.3</t>
  </si>
  <si>
    <t>30.3</t>
  </si>
  <si>
    <t>31.3</t>
  </si>
  <si>
    <t>1.4</t>
  </si>
  <si>
    <t>2.4</t>
  </si>
  <si>
    <t>3.4</t>
  </si>
  <si>
    <t>4.4</t>
  </si>
  <si>
    <t>5.4</t>
  </si>
  <si>
    <t>6.4</t>
  </si>
  <si>
    <t>7.4</t>
  </si>
  <si>
    <t>8.4</t>
  </si>
  <si>
    <t>9.4</t>
  </si>
  <si>
    <t>10.4</t>
  </si>
  <si>
    <t>11.4</t>
  </si>
  <si>
    <t>12.4</t>
  </si>
  <si>
    <t>Bahamas</t>
  </si>
  <si>
    <t>Gambia</t>
  </si>
  <si>
    <t>Belize</t>
  </si>
  <si>
    <t>Laos</t>
  </si>
  <si>
    <t>Libya</t>
  </si>
  <si>
    <t>West Bank and Gaza</t>
  </si>
  <si>
    <t>Guinea-Bissau</t>
  </si>
  <si>
    <t>Mali</t>
  </si>
  <si>
    <t>Saint Kitts and Nevis</t>
  </si>
  <si>
    <t>Column1</t>
  </si>
  <si>
    <t>Column2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</si>
  <si>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</si>
  <si>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</si>
  <si>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</si>
  <si>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</si>
  <si>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</si>
  <si>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</si>
  <si>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</si>
  <si>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</si>
  <si>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</si>
  <si>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</si>
  <si>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</si>
  <si>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</si>
  <si>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</si>
  <si>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</si>
  <si>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</si>
  <si>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</si>
  <si>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</si>
  <si>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</si>
  <si>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</si>
  <si>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</si>
  <si>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</si>
  <si>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</si>
  <si>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</si>
  <si>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</si>
  <si>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</si>
  <si>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</si>
  <si>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</si>
  <si>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</si>
  <si>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</si>
  <si>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Column34</t>
  </si>
  <si>
    <t>Column35</t>
  </si>
  <si>
    <t>Column36</t>
  </si>
  <si>
    <t>Column37</t>
  </si>
  <si>
    <t>Column38</t>
  </si>
  <si>
    <t>Column39</t>
  </si>
  <si>
    <t>Column40</t>
  </si>
  <si>
    <t>Column41</t>
  </si>
  <si>
    <t>Column42</t>
  </si>
  <si>
    <t>Column43</t>
  </si>
  <si>
    <t>Column44</t>
  </si>
  <si>
    <t>Column45</t>
  </si>
  <si>
    <t>Column46</t>
  </si>
  <si>
    <t>Column47</t>
  </si>
  <si>
    <t>Column48</t>
  </si>
  <si>
    <t>Column49</t>
  </si>
  <si>
    <t>Column50</t>
  </si>
  <si>
    <t>Column51</t>
  </si>
  <si>
    <t>Column52</t>
  </si>
  <si>
    <t>Column53</t>
  </si>
  <si>
    <t>Column54</t>
  </si>
  <si>
    <t>Column55</t>
  </si>
  <si>
    <t>Column56</t>
  </si>
  <si>
    <t>Column57</t>
  </si>
  <si>
    <t>Column58</t>
  </si>
  <si>
    <t>Column59</t>
  </si>
  <si>
    <t>Column60</t>
  </si>
  <si>
    <t>Column61</t>
  </si>
  <si>
    <t>Column62</t>
  </si>
  <si>
    <t>Column63</t>
  </si>
  <si>
    <t>Column64</t>
  </si>
  <si>
    <t>Column65</t>
  </si>
  <si>
    <t>Column66</t>
  </si>
  <si>
    <t>Column67</t>
  </si>
  <si>
    <t>Column68</t>
  </si>
  <si>
    <t>Column69</t>
  </si>
  <si>
    <t>Column70</t>
  </si>
  <si>
    <t>Column71</t>
  </si>
  <si>
    <t>Column72</t>
  </si>
  <si>
    <t>Column73</t>
  </si>
  <si>
    <t>Column74</t>
  </si>
  <si>
    <t>Column75</t>
  </si>
  <si>
    <t>Column76</t>
  </si>
  <si>
    <t>Column77</t>
  </si>
  <si>
    <t>Column78</t>
  </si>
  <si>
    <t>Column79</t>
  </si>
  <si>
    <t>Column80</t>
  </si>
  <si>
    <t>Column81</t>
  </si>
  <si>
    <t>Column82</t>
  </si>
  <si>
    <t>Column83</t>
  </si>
  <si>
    <t>Column84</t>
  </si>
  <si>
    <t>Column85</t>
  </si>
  <si>
    <t>Column86</t>
  </si>
  <si>
    <t>Column87</t>
  </si>
  <si>
    <t>Column88</t>
  </si>
  <si>
    <t>Column89</t>
  </si>
  <si>
    <t>Column90</t>
  </si>
  <si>
    <t>Column91</t>
  </si>
  <si>
    <t>Column92</t>
  </si>
  <si>
    <t>Column93</t>
  </si>
  <si>
    <t>Column94</t>
  </si>
  <si>
    <t>Column95</t>
  </si>
  <si>
    <t>Column96</t>
  </si>
  <si>
    <t>Column97</t>
  </si>
  <si>
    <t>Column98</t>
  </si>
  <si>
    <t>Column99</t>
  </si>
  <si>
    <t>Column100</t>
  </si>
  <si>
    <t>Deaths/Day</t>
  </si>
  <si>
    <t>Cases/Day</t>
  </si>
  <si>
    <t>Recovered/Day</t>
  </si>
  <si>
    <t>Northwest Territories</t>
  </si>
  <si>
    <t>Yukon</t>
  </si>
  <si>
    <t>Deathrate</t>
  </si>
  <si>
    <t>Burma</t>
  </si>
  <si>
    <t>Anguilla</t>
  </si>
  <si>
    <t>British Virgin Islands</t>
  </si>
  <si>
    <t>Turks and Caicos Islands</t>
  </si>
  <si>
    <t>MS Zaandam</t>
  </si>
  <si>
    <t>Percent Recovered</t>
  </si>
  <si>
    <t>Botswana</t>
  </si>
  <si>
    <t>Corona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</si>
</sst>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;@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Roboto"/>
    </font>
    <font>
      <sz val="11"/>
      <color theme="1"/>
      <name val="Roboto"/>
    </font>
    <font>
      <sz val="11"/>
      <color theme="0"/>
      <name val="Roboto"/>
    </font>
    <font>
      <b/>
      <sz val="14"/>
      <color theme="0"/>
      <name val="Roboto"/>
    </font>
    <font>
      <b/>
      <sz val="14"/>
      <color theme="9" tint="-0.249977111117893"/>
      <name val="Roboto"/>
    </font>
    <font>
      <b/>
      <sz val="10"/>
      <color theme="0"/>
      <name val="Roboto"/>
    </font>
    <font>
      <sz val="10"/>
      <color theme="0"/>
      <name val="Roboto"/>
    </font>
    <font>
      <sz val="10"/>
      <color theme="1"/>
      <name val="Roboto"/>
    </font>
    <font>
      <b/>
      <sz val="9"/>
      <color theme="0"/>
      <name val="Roboto"/>
    </font>
    <font>
      <b/>
      <sz val="22"/>
      <color theme="0"/>
      <name val="Roboto"/>
    </font>
  </fonts>
  <fills count="5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applyNumberFormat="1"/>
    <xf numFmtId="0" fontId="2" fillId="4" borderId="0" xfId="0" applyFont="1" applyFill="1"/>
    <xf numFmtId="0" fontId="3" fillId="2" borderId="0" xfId="0" applyFont="1" applyFill="1"/>
    <xf numFmtId="0" fontId="5" fillId="4" borderId="0" xfId="0" applyFont="1" applyFill="1" applyAlignment="1">
      <alignment vertical="center"/>
    </xf>
    <xf numFmtId="0" fontId="3" fillId="2" borderId="0" xfId="0" applyFont="1" applyFill="1" applyAlignment="1">
      <alignment vertical="top" wrapText="1"/>
    </xf>
    <xf numFmtId="0" fontId="2" fillId="4" borderId="0" xfId="0" applyFont="1" applyFill="1" applyAlignment="1">
      <alignment vertical="top" wrapText="1"/>
    </xf>
    <xf numFmtId="0" fontId="10" fillId="4" borderId="0" xfId="0" applyFont="1" applyFill="1"/>
    <xf numFmtId="0" fontId="10" fillId="4" borderId="1" xfId="0" applyNumberFormat="1" applyFont="1" applyFill="1" applyBorder="1" applyAlignment="1">
      <alignment vertical="top" wrapText="1"/>
    </xf>
    <xf numFmtId="0" fontId="8" fillId="3" borderId="3" xfId="0" applyNumberFormat="1" applyFont="1" applyFill="1" applyBorder="1" applyAlignment="1">
      <alignment vertical="top" wrapText="1"/>
    </xf>
    <xf numFmtId="0" fontId="10" fillId="4" borderId="2" xfId="0" applyNumberFormat="1" applyFont="1" applyFill="1" applyBorder="1" applyAlignment="1">
      <alignment vertical="top" wrapText="1"/>
    </xf>
    <xf numFmtId="0" fontId="9" fillId="3" borderId="1" xfId="0" applyFont="1" applyFill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vertical="top" wrapText="1"/>
    </xf>
    <xf numFmtId="0" fontId="5" fillId="4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top" wrapText="1"/>
    </xf>
    <xf numFmtId="0" fontId="2" fillId="4" borderId="1" xfId="0" applyFont="1" applyFill="1" applyBorder="1"/>
    <xf numFmtId="0" fontId="10" fillId="4" borderId="1" xfId="0" applyFont="1" applyFill="1" applyBorder="1"/>
    <xf numFmtId="0" fontId="4" fillId="2" borderId="1" xfId="0" applyFont="1" applyFill="1" applyBorder="1"/>
    <xf numFmtId="0" fontId="4" fillId="2" borderId="1" xfId="0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 wrapText="1"/>
    </xf>
    <xf numFmtId="164" fontId="7" fillId="2" borderId="1" xfId="0" applyNumberFormat="1" applyFont="1" applyFill="1" applyBorder="1" applyAlignment="1">
      <alignment vertical="top"/>
    </xf>
    <xf numFmtId="0" fontId="2" fillId="2" borderId="1" xfId="0" applyNumberFormat="1" applyFont="1" applyFill="1" applyBorder="1" applyAlignment="1">
      <alignment vertical="top"/>
    </xf>
    <xf numFmtId="0" fontId="6" fillId="2" borderId="1" xfId="0" applyNumberFormat="1" applyFont="1" applyFill="1" applyBorder="1"/>
    <xf numFmtId="164" fontId="7" fillId="2" borderId="1" xfId="0" applyNumberFormat="1" applyFont="1" applyFill="1" applyBorder="1" applyAlignment="1">
      <alignment vertical="center" wrapText="1"/>
    </xf>
    <xf numFmtId="164" fontId="7" fillId="2" borderId="1" xfId="0" applyNumberFormat="1" applyFont="1" applyFill="1" applyBorder="1" applyAlignment="1">
      <alignment vertical="center"/>
    </xf>
    <xf numFmtId="0" fontId="8" fillId="2" borderId="1" xfId="0" applyFont="1" applyFill="1" applyBorder="1"/>
    <xf numFmtId="0" fontId="8" fillId="2" borderId="1" xfId="0" applyNumberFormat="1" applyFont="1" applyFill="1" applyBorder="1"/>
    <xf numFmtId="1" fontId="8" fillId="3" borderId="1" xfId="0" applyNumberFormat="1" applyFont="1" applyFill="1" applyBorder="1" applyAlignment="1">
      <alignment vertical="top" wrapText="1"/>
    </xf>
    <xf numFmtId="0" fontId="7" fillId="2" borderId="1" xfId="0" applyNumberFormat="1" applyFont="1" applyFill="1" applyBorder="1" applyAlignment="1">
      <alignment vertical="top"/>
    </xf>
    <xf numFmtId="0" fontId="9" fillId="2" borderId="1" xfId="0" applyFont="1" applyFill="1" applyBorder="1" applyAlignment="1">
      <alignment vertical="top"/>
    </xf>
    <xf numFmtId="2" fontId="8" fillId="3" borderId="1" xfId="0" applyNumberFormat="1" applyFont="1" applyFill="1" applyBorder="1" applyAlignment="1">
      <alignment vertical="top" wrapText="1"/>
    </xf>
    <xf numFmtId="10" fontId="8" fillId="3" borderId="1" xfId="0" applyNumberFormat="1" applyFont="1" applyFill="1" applyBorder="1" applyAlignment="1">
      <alignment vertical="top" wrapText="1"/>
    </xf>
    <xf numFmtId="0" fontId="3" fillId="2" borderId="0" xfId="0" applyFont="1" applyFill="1" applyAlignment="1">
      <alignment vertical="center"/>
    </xf>
    <xf numFmtId="0" fontId="11" fillId="2" borderId="0" xfId="0" applyFont="1" applyFill="1" applyAlignment="1">
      <alignment horizontal="center" vertical="top"/>
    </xf>
  </cellXfs>
  <cellStyles count="1">
    <cellStyle name="Standard" xfId="0" builtinId="0"/>
  </cellStyles>
  <dxfs count="27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2"/>
      </font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1" formatCode="0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499984740745262"/>
        </patternFill>
      </fill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Roboto"/>
        <scheme val="none"/>
      </font>
      <numFmt numFmtId="0" formatCode="General"/>
      <fill>
        <patternFill patternType="solid">
          <fgColor indexed="64"/>
          <bgColor theme="1" tint="0.249977111117893"/>
        </patternFill>
      </fill>
      <alignment horizontal="general"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Confirmed Cases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Overview!$A$16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Overview!$B$16:$BR$16</c:f>
              <c:numCache>
                <c:formatCode>General</c:formatCode>
                <c:ptCount val="30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2078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AF-45D8-B60D-1D930F9AE81F}"/>
            </c:ext>
          </c:extLst>
        </c:ser>
        <c:ser>
          <c:idx val="1"/>
          <c:order val="1"/>
          <c:tx>
            <c:strRef>
              <c:f>Overview!$A$17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Overview!$B$17:$BR$17</c:f>
              <c:numCache>
                <c:formatCode>General</c:formatCode>
                <c:ptCount val="30"/>
                <c:pt idx="0">
                  <c:v>74</c:v>
                </c:pt>
                <c:pt idx="1">
                  <c:v>98</c:v>
                </c:pt>
                <c:pt idx="2">
                  <c:v>118</c:v>
                </c:pt>
                <c:pt idx="3">
                  <c:v>149</c:v>
                </c:pt>
                <c:pt idx="4">
                  <c:v>217</c:v>
                </c:pt>
                <c:pt idx="5">
                  <c:v>262</c:v>
                </c:pt>
                <c:pt idx="6">
                  <c:v>402</c:v>
                </c:pt>
                <c:pt idx="7">
                  <c:v>518</c:v>
                </c:pt>
                <c:pt idx="8">
                  <c:v>583</c:v>
                </c:pt>
                <c:pt idx="9">
                  <c:v>959</c:v>
                </c:pt>
                <c:pt idx="10">
                  <c:v>1281</c:v>
                </c:pt>
                <c:pt idx="11">
                  <c:v>1663</c:v>
                </c:pt>
                <c:pt idx="12">
                  <c:v>2179</c:v>
                </c:pt>
                <c:pt idx="13">
                  <c:v>2727</c:v>
                </c:pt>
                <c:pt idx="14">
                  <c:v>3499</c:v>
                </c:pt>
                <c:pt idx="15">
                  <c:v>4632</c:v>
                </c:pt>
                <c:pt idx="16">
                  <c:v>6421</c:v>
                </c:pt>
                <c:pt idx="17">
                  <c:v>7783</c:v>
                </c:pt>
                <c:pt idx="18">
                  <c:v>13677</c:v>
                </c:pt>
                <c:pt idx="19">
                  <c:v>19100</c:v>
                </c:pt>
                <c:pt idx="20">
                  <c:v>25489</c:v>
                </c:pt>
                <c:pt idx="21">
                  <c:v>33276</c:v>
                </c:pt>
                <c:pt idx="22">
                  <c:v>43847</c:v>
                </c:pt>
                <c:pt idx="23">
                  <c:v>53740</c:v>
                </c:pt>
                <c:pt idx="24">
                  <c:v>65778</c:v>
                </c:pt>
                <c:pt idx="25">
                  <c:v>83836</c:v>
                </c:pt>
                <c:pt idx="26">
                  <c:v>101657</c:v>
                </c:pt>
                <c:pt idx="27">
                  <c:v>121478</c:v>
                </c:pt>
                <c:pt idx="28">
                  <c:v>140886</c:v>
                </c:pt>
                <c:pt idx="29">
                  <c:v>161807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AF-45D8-B60D-1D930F9AE81F}"/>
            </c:ext>
          </c:extLst>
        </c:ser>
        <c:ser>
          <c:idx val="2"/>
          <c:order val="2"/>
          <c:tx>
            <c:strRef>
              <c:f>Overview!$A$18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Overview!$B$18:$BR$18</c:f>
              <c:numCache>
                <c:formatCode>General</c:formatCode>
                <c:ptCount val="30"/>
                <c:pt idx="0">
                  <c:v>1694</c:v>
                </c:pt>
                <c:pt idx="1">
                  <c:v>2036</c:v>
                </c:pt>
                <c:pt idx="2">
                  <c:v>2502</c:v>
                </c:pt>
                <c:pt idx="3">
                  <c:v>3089</c:v>
                </c:pt>
                <c:pt idx="4">
                  <c:v>3858</c:v>
                </c:pt>
                <c:pt idx="5">
                  <c:v>4636</c:v>
                </c:pt>
                <c:pt idx="6">
                  <c:v>5883</c:v>
                </c:pt>
                <c:pt idx="7">
                  <c:v>7375</c:v>
                </c:pt>
                <c:pt idx="8">
                  <c:v>9172</c:v>
                </c:pt>
                <c:pt idx="9">
                  <c:v>10149</c:v>
                </c:pt>
                <c:pt idx="10">
                  <c:v>12462</c:v>
                </c:pt>
                <c:pt idx="11">
                  <c:v>12462</c:v>
                </c:pt>
                <c:pt idx="12">
                  <c:v>17660</c:v>
                </c:pt>
                <c:pt idx="13">
                  <c:v>21157</c:v>
                </c:pt>
                <c:pt idx="14">
                  <c:v>24747</c:v>
                </c:pt>
                <c:pt idx="15">
                  <c:v>27980</c:v>
                </c:pt>
                <c:pt idx="16">
                  <c:v>31506</c:v>
                </c:pt>
                <c:pt idx="17">
                  <c:v>35713</c:v>
                </c:pt>
                <c:pt idx="18">
                  <c:v>41035</c:v>
                </c:pt>
                <c:pt idx="19">
                  <c:v>47021</c:v>
                </c:pt>
                <c:pt idx="20">
                  <c:v>53578</c:v>
                </c:pt>
                <c:pt idx="21">
                  <c:v>59138</c:v>
                </c:pt>
                <c:pt idx="22">
                  <c:v>63927</c:v>
                </c:pt>
                <c:pt idx="23">
                  <c:v>69176</c:v>
                </c:pt>
                <c:pt idx="24">
                  <c:v>74386</c:v>
                </c:pt>
                <c:pt idx="25">
                  <c:v>80589</c:v>
                </c:pt>
                <c:pt idx="26">
                  <c:v>86498</c:v>
                </c:pt>
                <c:pt idx="27">
                  <c:v>92472</c:v>
                </c:pt>
                <c:pt idx="28">
                  <c:v>97689</c:v>
                </c:pt>
                <c:pt idx="29">
                  <c:v>101739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AF-45D8-B60D-1D930F9AE81F}"/>
            </c:ext>
          </c:extLst>
        </c:ser>
        <c:ser>
          <c:idx val="3"/>
          <c:order val="3"/>
          <c:tx>
            <c:strRef>
              <c:f>Overview!$A$19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Overview!$B$19:$BR$19</c:f>
              <c:numCache>
                <c:formatCode>General</c:formatCode>
                <c:ptCount val="30"/>
                <c:pt idx="0">
                  <c:v>10</c:v>
                </c:pt>
                <c:pt idx="1">
                  <c:v>18</c:v>
                </c:pt>
                <c:pt idx="2">
                  <c:v>24</c:v>
                </c:pt>
                <c:pt idx="3">
                  <c:v>38</c:v>
                </c:pt>
                <c:pt idx="4">
                  <c:v>82</c:v>
                </c:pt>
                <c:pt idx="5">
                  <c:v>128</c:v>
                </c:pt>
                <c:pt idx="6">
                  <c:v>188</c:v>
                </c:pt>
                <c:pt idx="7">
                  <c:v>265</c:v>
                </c:pt>
                <c:pt idx="8">
                  <c:v>321</c:v>
                </c:pt>
                <c:pt idx="9">
                  <c:v>382</c:v>
                </c:pt>
                <c:pt idx="10">
                  <c:v>503</c:v>
                </c:pt>
                <c:pt idx="11">
                  <c:v>503</c:v>
                </c:pt>
                <c:pt idx="12">
                  <c:v>806</c:v>
                </c:pt>
                <c:pt idx="13">
                  <c:v>962</c:v>
                </c:pt>
                <c:pt idx="14">
                  <c:v>1138</c:v>
                </c:pt>
                <c:pt idx="15">
                  <c:v>1416</c:v>
                </c:pt>
                <c:pt idx="16">
                  <c:v>1711</c:v>
                </c:pt>
                <c:pt idx="17">
                  <c:v>2058</c:v>
                </c:pt>
                <c:pt idx="18">
                  <c:v>2467</c:v>
                </c:pt>
                <c:pt idx="19">
                  <c:v>3003</c:v>
                </c:pt>
                <c:pt idx="20">
                  <c:v>3640</c:v>
                </c:pt>
                <c:pt idx="21">
                  <c:v>4217</c:v>
                </c:pt>
                <c:pt idx="22">
                  <c:v>4764</c:v>
                </c:pt>
                <c:pt idx="23">
                  <c:v>5580</c:v>
                </c:pt>
                <c:pt idx="24">
                  <c:v>6438</c:v>
                </c:pt>
                <c:pt idx="25">
                  <c:v>7468</c:v>
                </c:pt>
                <c:pt idx="26">
                  <c:v>8647</c:v>
                </c:pt>
                <c:pt idx="27">
                  <c:v>9819</c:v>
                </c:pt>
                <c:pt idx="28">
                  <c:v>10930</c:v>
                </c:pt>
                <c:pt idx="29">
                  <c:v>11817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AF-45D8-B60D-1D930F9AE81F}"/>
            </c:ext>
          </c:extLst>
        </c:ser>
        <c:ser>
          <c:idx val="4"/>
          <c:order val="4"/>
          <c:tx>
            <c:strRef>
              <c:f>Overview!$A$20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Overview!$B$20:$BR$20</c:f>
              <c:numCache>
                <c:formatCode>General</c:formatCode>
                <c:ptCount val="30"/>
                <c:pt idx="0">
                  <c:v>3736</c:v>
                </c:pt>
                <c:pt idx="1">
                  <c:v>4335</c:v>
                </c:pt>
                <c:pt idx="2">
                  <c:v>5186</c:v>
                </c:pt>
                <c:pt idx="3">
                  <c:v>5621</c:v>
                </c:pt>
                <c:pt idx="4">
                  <c:v>6088</c:v>
                </c:pt>
                <c:pt idx="5">
                  <c:v>6593</c:v>
                </c:pt>
                <c:pt idx="6">
                  <c:v>7041</c:v>
                </c:pt>
                <c:pt idx="7">
                  <c:v>7314</c:v>
                </c:pt>
                <c:pt idx="8">
                  <c:v>7478</c:v>
                </c:pt>
                <c:pt idx="9">
                  <c:v>7513</c:v>
                </c:pt>
                <c:pt idx="10">
                  <c:v>7755</c:v>
                </c:pt>
                <c:pt idx="11">
                  <c:v>7869</c:v>
                </c:pt>
                <c:pt idx="12">
                  <c:v>7979</c:v>
                </c:pt>
                <c:pt idx="13">
                  <c:v>8086</c:v>
                </c:pt>
                <c:pt idx="14">
                  <c:v>8162</c:v>
                </c:pt>
                <c:pt idx="15">
                  <c:v>8236</c:v>
                </c:pt>
                <c:pt idx="16">
                  <c:v>8320</c:v>
                </c:pt>
                <c:pt idx="17">
                  <c:v>8413</c:v>
                </c:pt>
                <c:pt idx="18">
                  <c:v>8565</c:v>
                </c:pt>
                <c:pt idx="19">
                  <c:v>8652</c:v>
                </c:pt>
                <c:pt idx="20">
                  <c:v>8799</c:v>
                </c:pt>
                <c:pt idx="21">
                  <c:v>8961</c:v>
                </c:pt>
                <c:pt idx="22">
                  <c:v>8961</c:v>
                </c:pt>
                <c:pt idx="23">
                  <c:v>9037</c:v>
                </c:pt>
                <c:pt idx="24">
                  <c:v>9137</c:v>
                </c:pt>
                <c:pt idx="25">
                  <c:v>9241</c:v>
                </c:pt>
                <c:pt idx="26">
                  <c:v>9332</c:v>
                </c:pt>
                <c:pt idx="27">
                  <c:v>9478</c:v>
                </c:pt>
                <c:pt idx="28">
                  <c:v>9583</c:v>
                </c:pt>
                <c:pt idx="29">
                  <c:v>9661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AF-45D8-B60D-1D930F9AE81F}"/>
            </c:ext>
          </c:extLst>
        </c:ser>
        <c:ser>
          <c:idx val="5"/>
          <c:order val="5"/>
          <c:tx>
            <c:strRef>
              <c:f>Overview!$A$21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Overview!$B$21:$BR$21</c:f>
              <c:numCache>
                <c:formatCode>General</c:formatCode>
                <c:ptCount val="30"/>
                <c:pt idx="0">
                  <c:v>84</c:v>
                </c:pt>
                <c:pt idx="1">
                  <c:v>120</c:v>
                </c:pt>
                <c:pt idx="2">
                  <c:v>165</c:v>
                </c:pt>
                <c:pt idx="3">
                  <c:v>222</c:v>
                </c:pt>
                <c:pt idx="4">
                  <c:v>259</c:v>
                </c:pt>
                <c:pt idx="5">
                  <c:v>400</c:v>
                </c:pt>
                <c:pt idx="6">
                  <c:v>500</c:v>
                </c:pt>
                <c:pt idx="7">
                  <c:v>673</c:v>
                </c:pt>
                <c:pt idx="8">
                  <c:v>1073</c:v>
                </c:pt>
                <c:pt idx="9">
                  <c:v>1695</c:v>
                </c:pt>
                <c:pt idx="10">
                  <c:v>2277</c:v>
                </c:pt>
                <c:pt idx="11">
                  <c:v>2277</c:v>
                </c:pt>
                <c:pt idx="12">
                  <c:v>5232</c:v>
                </c:pt>
                <c:pt idx="13">
                  <c:v>6391</c:v>
                </c:pt>
                <c:pt idx="14">
                  <c:v>7798</c:v>
                </c:pt>
                <c:pt idx="15">
                  <c:v>9942</c:v>
                </c:pt>
                <c:pt idx="16">
                  <c:v>11748</c:v>
                </c:pt>
                <c:pt idx="17">
                  <c:v>13910</c:v>
                </c:pt>
                <c:pt idx="18">
                  <c:v>17963</c:v>
                </c:pt>
                <c:pt idx="19">
                  <c:v>20410</c:v>
                </c:pt>
                <c:pt idx="20">
                  <c:v>25374</c:v>
                </c:pt>
                <c:pt idx="21">
                  <c:v>28768</c:v>
                </c:pt>
                <c:pt idx="22">
                  <c:v>35136</c:v>
                </c:pt>
                <c:pt idx="23">
                  <c:v>39885</c:v>
                </c:pt>
                <c:pt idx="24">
                  <c:v>49515</c:v>
                </c:pt>
                <c:pt idx="25">
                  <c:v>57786</c:v>
                </c:pt>
                <c:pt idx="26">
                  <c:v>65719</c:v>
                </c:pt>
                <c:pt idx="27">
                  <c:v>73235</c:v>
                </c:pt>
                <c:pt idx="28">
                  <c:v>80110</c:v>
                </c:pt>
                <c:pt idx="29">
                  <c:v>87956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AF-45D8-B60D-1D930F9AE81F}"/>
            </c:ext>
          </c:extLst>
        </c:ser>
        <c:ser>
          <c:idx val="6"/>
          <c:order val="6"/>
          <c:tx>
            <c:strRef>
              <c:f>Overview!$A$22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strRef>
              <c:f>Overview!$B$15:$BR$15</c:f>
              <c:strCache>
                <c:ptCount val="30"/>
                <c:pt idx="0">
                  <c:v>1.3</c:v>
                </c:pt>
                <c:pt idx="1">
                  <c:v>2.3</c:v>
                </c:pt>
                <c:pt idx="2">
                  <c:v>3.3</c:v>
                </c:pt>
                <c:pt idx="3">
                  <c:v>4.3</c:v>
                </c:pt>
                <c:pt idx="4">
                  <c:v>5.3</c:v>
                </c:pt>
                <c:pt idx="5">
                  <c:v>6.3</c:v>
                </c:pt>
                <c:pt idx="6">
                  <c:v>7.3</c:v>
                </c:pt>
                <c:pt idx="7">
                  <c:v>8.3</c:v>
                </c:pt>
                <c:pt idx="8">
                  <c:v>9.3</c:v>
                </c:pt>
                <c:pt idx="9">
                  <c:v>10.3</c:v>
                </c:pt>
                <c:pt idx="10">
                  <c:v>11.3</c:v>
                </c:pt>
                <c:pt idx="11">
                  <c:v>12.3</c:v>
                </c:pt>
                <c:pt idx="12">
                  <c:v>13.3</c:v>
                </c:pt>
                <c:pt idx="13">
                  <c:v>14.3</c:v>
                </c:pt>
                <c:pt idx="14">
                  <c:v>15.3</c:v>
                </c:pt>
                <c:pt idx="15">
                  <c:v>16.3</c:v>
                </c:pt>
                <c:pt idx="16">
                  <c:v>17.3</c:v>
                </c:pt>
                <c:pt idx="17">
                  <c:v>18.3</c:v>
                </c:pt>
                <c:pt idx="18">
                  <c:v>19.3</c:v>
                </c:pt>
                <c:pt idx="19">
                  <c:v>20.3</c:v>
                </c:pt>
                <c:pt idx="20">
                  <c:v>21.3</c:v>
                </c:pt>
                <c:pt idx="21">
                  <c:v>22.3</c:v>
                </c:pt>
                <c:pt idx="22">
                  <c:v>23.3</c:v>
                </c:pt>
                <c:pt idx="23">
                  <c:v>24.3</c:v>
                </c:pt>
                <c:pt idx="24">
                  <c:v>25.3</c:v>
                </c:pt>
                <c:pt idx="25">
                  <c:v>26.3</c:v>
                </c:pt>
                <c:pt idx="26">
                  <c:v>27.3</c:v>
                </c:pt>
                <c:pt idx="27">
                  <c:v>28.3</c:v>
                </c:pt>
                <c:pt idx="28">
                  <c:v>29.3</c:v>
                </c:pt>
                <c:pt idx="29">
                  <c:v>30.3</c:v>
                </c:pt>
              </c:strCache>
            </c:strRef>
          </c:cat>
          <c:val>
            <c:numRef>
              <c:f>Overview!$B$22:$BR$22</c:f>
              <c:numCache>
                <c:formatCode>General</c:formatCode>
                <c:ptCount val="30"/>
                <c:pt idx="0">
                  <c:v>130</c:v>
                </c:pt>
                <c:pt idx="1">
                  <c:v>191</c:v>
                </c:pt>
                <c:pt idx="2">
                  <c:v>204</c:v>
                </c:pt>
                <c:pt idx="3">
                  <c:v>288</c:v>
                </c:pt>
                <c:pt idx="4">
                  <c:v>380</c:v>
                </c:pt>
                <c:pt idx="5">
                  <c:v>656</c:v>
                </c:pt>
                <c:pt idx="6">
                  <c:v>959</c:v>
                </c:pt>
                <c:pt idx="7">
                  <c:v>1136</c:v>
                </c:pt>
                <c:pt idx="8">
                  <c:v>1219</c:v>
                </c:pt>
                <c:pt idx="9">
                  <c:v>1794</c:v>
                </c:pt>
                <c:pt idx="10">
                  <c:v>2293</c:v>
                </c:pt>
                <c:pt idx="11">
                  <c:v>2293</c:v>
                </c:pt>
                <c:pt idx="12">
                  <c:v>3681</c:v>
                </c:pt>
                <c:pt idx="13">
                  <c:v>4496</c:v>
                </c:pt>
                <c:pt idx="14">
                  <c:v>4532</c:v>
                </c:pt>
                <c:pt idx="15">
                  <c:v>6683</c:v>
                </c:pt>
                <c:pt idx="16">
                  <c:v>7715</c:v>
                </c:pt>
                <c:pt idx="17">
                  <c:v>9124</c:v>
                </c:pt>
                <c:pt idx="18">
                  <c:v>10970</c:v>
                </c:pt>
                <c:pt idx="19">
                  <c:v>12758</c:v>
                </c:pt>
                <c:pt idx="20">
                  <c:v>14463</c:v>
                </c:pt>
                <c:pt idx="21">
                  <c:v>16243</c:v>
                </c:pt>
                <c:pt idx="22">
                  <c:v>20123</c:v>
                </c:pt>
                <c:pt idx="23">
                  <c:v>22622</c:v>
                </c:pt>
                <c:pt idx="24">
                  <c:v>25600</c:v>
                </c:pt>
                <c:pt idx="25">
                  <c:v>29551</c:v>
                </c:pt>
                <c:pt idx="26">
                  <c:v>33402</c:v>
                </c:pt>
                <c:pt idx="27">
                  <c:v>38105</c:v>
                </c:pt>
                <c:pt idx="28">
                  <c:v>40708</c:v>
                </c:pt>
                <c:pt idx="29">
                  <c:v>45170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AF-45D8-B60D-1D930F9AE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Recovered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Overview!$A$38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Overview!$B$38:$BR$38</c:f>
              <c:numCache>
                <c:formatCode>0</c:formatCode>
                <c:ptCount val="30"/>
                <c:pt idx="0">
                  <c:v>16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16</c:v>
                </c:pt>
                <c:pt idx="5">
                  <c:v>17</c:v>
                </c:pt>
                <c:pt idx="6">
                  <c:v>18</c:v>
                </c:pt>
                <c:pt idx="7">
                  <c:v>18</c:v>
                </c:pt>
                <c:pt idx="8">
                  <c:v>18</c:v>
                </c:pt>
                <c:pt idx="9">
                  <c:v>18</c:v>
                </c:pt>
                <c:pt idx="10">
                  <c:v>25</c:v>
                </c:pt>
                <c:pt idx="11">
                  <c:v>25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67</c:v>
                </c:pt>
                <c:pt idx="16">
                  <c:v>67</c:v>
                </c:pt>
                <c:pt idx="17">
                  <c:v>105</c:v>
                </c:pt>
                <c:pt idx="18">
                  <c:v>113</c:v>
                </c:pt>
                <c:pt idx="19">
                  <c:v>180</c:v>
                </c:pt>
                <c:pt idx="20">
                  <c:v>233</c:v>
                </c:pt>
                <c:pt idx="21">
                  <c:v>266</c:v>
                </c:pt>
                <c:pt idx="22">
                  <c:v>266</c:v>
                </c:pt>
                <c:pt idx="23">
                  <c:v>3243</c:v>
                </c:pt>
                <c:pt idx="24">
                  <c:v>3547</c:v>
                </c:pt>
                <c:pt idx="25">
                  <c:v>5673</c:v>
                </c:pt>
                <c:pt idx="26">
                  <c:v>6658</c:v>
                </c:pt>
                <c:pt idx="27">
                  <c:v>8481</c:v>
                </c:pt>
                <c:pt idx="28">
                  <c:v>9211</c:v>
                </c:pt>
                <c:pt idx="29">
                  <c:v>13500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8D-42E1-8F19-64128D54CDB1}"/>
            </c:ext>
          </c:extLst>
        </c:ser>
        <c:ser>
          <c:idx val="1"/>
          <c:order val="1"/>
          <c:tx>
            <c:strRef>
              <c:f>Overview!$A$39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Overview!$B$39:$BR$39</c:f>
              <c:numCache>
                <c:formatCode>0</c:formatCode>
                <c:ptCount val="3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  <c:pt idx="26">
                  <c:v>869</c:v>
                </c:pt>
                <c:pt idx="27">
                  <c:v>1072</c:v>
                </c:pt>
                <c:pt idx="28">
                  <c:v>2665</c:v>
                </c:pt>
                <c:pt idx="29">
                  <c:v>5644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8D-42E1-8F19-64128D54CDB1}"/>
            </c:ext>
          </c:extLst>
        </c:ser>
        <c:ser>
          <c:idx val="2"/>
          <c:order val="2"/>
          <c:tx>
            <c:strRef>
              <c:f>Overview!$A$40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Overview!$B$40:$BR$40</c:f>
              <c:numCache>
                <c:formatCode>0</c:formatCode>
                <c:ptCount val="30"/>
                <c:pt idx="0">
                  <c:v>83</c:v>
                </c:pt>
                <c:pt idx="1">
                  <c:v>149</c:v>
                </c:pt>
                <c:pt idx="2">
                  <c:v>160</c:v>
                </c:pt>
                <c:pt idx="3">
                  <c:v>276</c:v>
                </c:pt>
                <c:pt idx="4">
                  <c:v>414</c:v>
                </c:pt>
                <c:pt idx="5">
                  <c:v>523</c:v>
                </c:pt>
                <c:pt idx="6">
                  <c:v>589</c:v>
                </c:pt>
                <c:pt idx="7">
                  <c:v>622</c:v>
                </c:pt>
                <c:pt idx="8">
                  <c:v>724</c:v>
                </c:pt>
                <c:pt idx="9">
                  <c:v>724</c:v>
                </c:pt>
                <c:pt idx="10">
                  <c:v>1045</c:v>
                </c:pt>
                <c:pt idx="11">
                  <c:v>1045</c:v>
                </c:pt>
                <c:pt idx="12">
                  <c:v>1439</c:v>
                </c:pt>
                <c:pt idx="13">
                  <c:v>1966</c:v>
                </c:pt>
                <c:pt idx="14">
                  <c:v>2335</c:v>
                </c:pt>
                <c:pt idx="15">
                  <c:v>2749</c:v>
                </c:pt>
                <c:pt idx="16">
                  <c:v>2941</c:v>
                </c:pt>
                <c:pt idx="17">
                  <c:v>4025</c:v>
                </c:pt>
                <c:pt idx="18">
                  <c:v>4440</c:v>
                </c:pt>
                <c:pt idx="19">
                  <c:v>4440</c:v>
                </c:pt>
                <c:pt idx="20">
                  <c:v>6072</c:v>
                </c:pt>
                <c:pt idx="21">
                  <c:v>7024</c:v>
                </c:pt>
                <c:pt idx="22">
                  <c:v>7024</c:v>
                </c:pt>
                <c:pt idx="23">
                  <c:v>8326</c:v>
                </c:pt>
                <c:pt idx="24">
                  <c:v>9362</c:v>
                </c:pt>
                <c:pt idx="25">
                  <c:v>10361</c:v>
                </c:pt>
                <c:pt idx="26">
                  <c:v>10950</c:v>
                </c:pt>
                <c:pt idx="27">
                  <c:v>12384</c:v>
                </c:pt>
                <c:pt idx="28">
                  <c:v>13030</c:v>
                </c:pt>
                <c:pt idx="29">
                  <c:v>14620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8D-42E1-8F19-64128D54CDB1}"/>
            </c:ext>
          </c:extLst>
        </c:ser>
        <c:ser>
          <c:idx val="3"/>
          <c:order val="3"/>
          <c:tx>
            <c:strRef>
              <c:f>Overview!$A$41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Overview!$B$41:$BR$41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4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253</c:v>
                </c:pt>
                <c:pt idx="29">
                  <c:v>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C8D-42E1-8F19-64128D54CDB1}"/>
            </c:ext>
          </c:extLst>
        </c:ser>
        <c:ser>
          <c:idx val="4"/>
          <c:order val="4"/>
          <c:tx>
            <c:strRef>
              <c:f>Overview!$A$42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Overview!$B$42:$BR$42</c:f>
              <c:numCache>
                <c:formatCode>0</c:formatCode>
                <c:ptCount val="30"/>
                <c:pt idx="0">
                  <c:v>30</c:v>
                </c:pt>
                <c:pt idx="1">
                  <c:v>30</c:v>
                </c:pt>
                <c:pt idx="2">
                  <c:v>30</c:v>
                </c:pt>
                <c:pt idx="3">
                  <c:v>41</c:v>
                </c:pt>
                <c:pt idx="4">
                  <c:v>41</c:v>
                </c:pt>
                <c:pt idx="5">
                  <c:v>135</c:v>
                </c:pt>
                <c:pt idx="6">
                  <c:v>135</c:v>
                </c:pt>
                <c:pt idx="7">
                  <c:v>118</c:v>
                </c:pt>
                <c:pt idx="8">
                  <c:v>118</c:v>
                </c:pt>
                <c:pt idx="9">
                  <c:v>247</c:v>
                </c:pt>
                <c:pt idx="10">
                  <c:v>288</c:v>
                </c:pt>
                <c:pt idx="11">
                  <c:v>333</c:v>
                </c:pt>
                <c:pt idx="12">
                  <c:v>510</c:v>
                </c:pt>
                <c:pt idx="13">
                  <c:v>510</c:v>
                </c:pt>
                <c:pt idx="14">
                  <c:v>510</c:v>
                </c:pt>
                <c:pt idx="15">
                  <c:v>1137</c:v>
                </c:pt>
                <c:pt idx="16">
                  <c:v>1407</c:v>
                </c:pt>
                <c:pt idx="17">
                  <c:v>1540</c:v>
                </c:pt>
                <c:pt idx="18">
                  <c:v>1540</c:v>
                </c:pt>
                <c:pt idx="19">
                  <c:v>1540</c:v>
                </c:pt>
                <c:pt idx="20">
                  <c:v>1540</c:v>
                </c:pt>
                <c:pt idx="21">
                  <c:v>2909</c:v>
                </c:pt>
                <c:pt idx="22">
                  <c:v>2909</c:v>
                </c:pt>
                <c:pt idx="23">
                  <c:v>3507</c:v>
                </c:pt>
                <c:pt idx="24">
                  <c:v>3730</c:v>
                </c:pt>
                <c:pt idx="25">
                  <c:v>4144</c:v>
                </c:pt>
                <c:pt idx="26">
                  <c:v>4528</c:v>
                </c:pt>
                <c:pt idx="27">
                  <c:v>4811</c:v>
                </c:pt>
                <c:pt idx="28">
                  <c:v>5033</c:v>
                </c:pt>
                <c:pt idx="29">
                  <c:v>5228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C8D-42E1-8F19-64128D54CDB1}"/>
            </c:ext>
          </c:extLst>
        </c:ser>
        <c:ser>
          <c:idx val="5"/>
          <c:order val="5"/>
          <c:tx>
            <c:strRef>
              <c:f>Overview!$A$43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Overview!$B$43:$BR$43</c:f>
              <c:numCache>
                <c:formatCode>0</c:formatCode>
                <c:ptCount val="3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30</c:v>
                </c:pt>
                <c:pt idx="7">
                  <c:v>30</c:v>
                </c:pt>
                <c:pt idx="8">
                  <c:v>32</c:v>
                </c:pt>
                <c:pt idx="9">
                  <c:v>32</c:v>
                </c:pt>
                <c:pt idx="10">
                  <c:v>183</c:v>
                </c:pt>
                <c:pt idx="11">
                  <c:v>183</c:v>
                </c:pt>
                <c:pt idx="12">
                  <c:v>193</c:v>
                </c:pt>
                <c:pt idx="13">
                  <c:v>517</c:v>
                </c:pt>
                <c:pt idx="14">
                  <c:v>517</c:v>
                </c:pt>
                <c:pt idx="15">
                  <c:v>530</c:v>
                </c:pt>
                <c:pt idx="16">
                  <c:v>1028</c:v>
                </c:pt>
                <c:pt idx="17">
                  <c:v>1081</c:v>
                </c:pt>
                <c:pt idx="18">
                  <c:v>1107</c:v>
                </c:pt>
                <c:pt idx="19">
                  <c:v>1588</c:v>
                </c:pt>
                <c:pt idx="20">
                  <c:v>2125</c:v>
                </c:pt>
                <c:pt idx="21">
                  <c:v>2575</c:v>
                </c:pt>
                <c:pt idx="22">
                  <c:v>2575</c:v>
                </c:pt>
                <c:pt idx="23">
                  <c:v>3794</c:v>
                </c:pt>
                <c:pt idx="24">
                  <c:v>5367</c:v>
                </c:pt>
                <c:pt idx="25">
                  <c:v>7015</c:v>
                </c:pt>
                <c:pt idx="26">
                  <c:v>9357</c:v>
                </c:pt>
                <c:pt idx="27">
                  <c:v>12285</c:v>
                </c:pt>
                <c:pt idx="28">
                  <c:v>14709</c:v>
                </c:pt>
                <c:pt idx="29">
                  <c:v>16780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C8D-42E1-8F19-64128D54CDB1}"/>
            </c:ext>
          </c:extLst>
        </c:ser>
        <c:ser>
          <c:idx val="6"/>
          <c:order val="6"/>
          <c:tx>
            <c:strRef>
              <c:f>Overview!$A$44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Overview!$B$44:$BR$44</c:f>
              <c:numCache>
                <c:formatCode>0</c:formatCode>
                <c:ptCount val="30"/>
                <c:pt idx="0">
                  <c:v>12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2206</c:v>
                </c:pt>
                <c:pt idx="22">
                  <c:v>2206</c:v>
                </c:pt>
                <c:pt idx="23">
                  <c:v>3250</c:v>
                </c:pt>
                <c:pt idx="24">
                  <c:v>3907</c:v>
                </c:pt>
                <c:pt idx="25">
                  <c:v>4955</c:v>
                </c:pt>
                <c:pt idx="26">
                  <c:v>5707</c:v>
                </c:pt>
                <c:pt idx="27">
                  <c:v>5724</c:v>
                </c:pt>
                <c:pt idx="28">
                  <c:v>7226</c:v>
                </c:pt>
                <c:pt idx="29">
                  <c:v>7964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C8D-42E1-8F19-64128D54C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Overview!$A$27</c:f>
              <c:strCache>
                <c:ptCount val="1"/>
                <c:pt idx="0">
                  <c:v>Germany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Overview!$B$27:$BR$27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7</c:v>
                </c:pt>
                <c:pt idx="13">
                  <c:v>9</c:v>
                </c:pt>
                <c:pt idx="14">
                  <c:v>11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44</c:v>
                </c:pt>
                <c:pt idx="19">
                  <c:v>67</c:v>
                </c:pt>
                <c:pt idx="20">
                  <c:v>84</c:v>
                </c:pt>
                <c:pt idx="21">
                  <c:v>94</c:v>
                </c:pt>
                <c:pt idx="22">
                  <c:v>123</c:v>
                </c:pt>
                <c:pt idx="23">
                  <c:v>157</c:v>
                </c:pt>
                <c:pt idx="24">
                  <c:v>206</c:v>
                </c:pt>
                <c:pt idx="25">
                  <c:v>267</c:v>
                </c:pt>
                <c:pt idx="26">
                  <c:v>342</c:v>
                </c:pt>
                <c:pt idx="27">
                  <c:v>433</c:v>
                </c:pt>
                <c:pt idx="28">
                  <c:v>533</c:v>
                </c:pt>
                <c:pt idx="29">
                  <c:v>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E9-4063-8972-578FFD587D67}"/>
            </c:ext>
          </c:extLst>
        </c:ser>
        <c:ser>
          <c:idx val="1"/>
          <c:order val="1"/>
          <c:tx>
            <c:strRef>
              <c:f>Overview!$A$28</c:f>
              <c:strCache>
                <c:ptCount val="1"/>
                <c:pt idx="0">
                  <c:v>US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Overview!$B$28:$BR$28</c:f>
              <c:numCache>
                <c:formatCode>0</c:formatCode>
                <c:ptCount val="30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  <c:pt idx="26">
                  <c:v>1581</c:v>
                </c:pt>
                <c:pt idx="27">
                  <c:v>2026</c:v>
                </c:pt>
                <c:pt idx="28">
                  <c:v>2467</c:v>
                </c:pt>
                <c:pt idx="29">
                  <c:v>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E9-4063-8972-578FFD587D67}"/>
            </c:ext>
          </c:extLst>
        </c:ser>
        <c:ser>
          <c:idx val="2"/>
          <c:order val="2"/>
          <c:tx>
            <c:strRef>
              <c:f>Overview!$A$29</c:f>
              <c:strCache>
                <c:ptCount val="1"/>
                <c:pt idx="0">
                  <c:v>Italy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Overview!$B$29:$BR$29</c:f>
              <c:numCache>
                <c:formatCode>0</c:formatCode>
                <c:ptCount val="30"/>
                <c:pt idx="0">
                  <c:v>34</c:v>
                </c:pt>
                <c:pt idx="1">
                  <c:v>52</c:v>
                </c:pt>
                <c:pt idx="2">
                  <c:v>79</c:v>
                </c:pt>
                <c:pt idx="3">
                  <c:v>107</c:v>
                </c:pt>
                <c:pt idx="4">
                  <c:v>148</c:v>
                </c:pt>
                <c:pt idx="5">
                  <c:v>197</c:v>
                </c:pt>
                <c:pt idx="6">
                  <c:v>233</c:v>
                </c:pt>
                <c:pt idx="7">
                  <c:v>366</c:v>
                </c:pt>
                <c:pt idx="8">
                  <c:v>463</c:v>
                </c:pt>
                <c:pt idx="9">
                  <c:v>631</c:v>
                </c:pt>
                <c:pt idx="10">
                  <c:v>827</c:v>
                </c:pt>
                <c:pt idx="11">
                  <c:v>827</c:v>
                </c:pt>
                <c:pt idx="12">
                  <c:v>1266</c:v>
                </c:pt>
                <c:pt idx="13">
                  <c:v>1441</c:v>
                </c:pt>
                <c:pt idx="14">
                  <c:v>1809</c:v>
                </c:pt>
                <c:pt idx="15">
                  <c:v>2158</c:v>
                </c:pt>
                <c:pt idx="16">
                  <c:v>2503</c:v>
                </c:pt>
                <c:pt idx="17">
                  <c:v>2978</c:v>
                </c:pt>
                <c:pt idx="18">
                  <c:v>3405</c:v>
                </c:pt>
                <c:pt idx="19">
                  <c:v>4032</c:v>
                </c:pt>
                <c:pt idx="20">
                  <c:v>4825</c:v>
                </c:pt>
                <c:pt idx="21">
                  <c:v>5476</c:v>
                </c:pt>
                <c:pt idx="22">
                  <c:v>6077</c:v>
                </c:pt>
                <c:pt idx="23">
                  <c:v>6820</c:v>
                </c:pt>
                <c:pt idx="24">
                  <c:v>7503</c:v>
                </c:pt>
                <c:pt idx="25">
                  <c:v>8215</c:v>
                </c:pt>
                <c:pt idx="26">
                  <c:v>9134</c:v>
                </c:pt>
                <c:pt idx="27">
                  <c:v>10023</c:v>
                </c:pt>
                <c:pt idx="28">
                  <c:v>10779</c:v>
                </c:pt>
                <c:pt idx="29">
                  <c:v>11591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0E9-4063-8972-578FFD587D67}"/>
            </c:ext>
          </c:extLst>
        </c:ser>
        <c:ser>
          <c:idx val="3"/>
          <c:order val="3"/>
          <c:tx>
            <c:strRef>
              <c:f>Overview!$A$30</c:f>
              <c:strCache>
                <c:ptCount val="1"/>
                <c:pt idx="0">
                  <c:v>Netherlands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Overview!$B$30:$BR$30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5</c:v>
                </c:pt>
                <c:pt idx="12">
                  <c:v>10</c:v>
                </c:pt>
                <c:pt idx="13">
                  <c:v>12</c:v>
                </c:pt>
                <c:pt idx="14">
                  <c:v>20</c:v>
                </c:pt>
                <c:pt idx="15">
                  <c:v>24</c:v>
                </c:pt>
                <c:pt idx="16">
                  <c:v>43</c:v>
                </c:pt>
                <c:pt idx="17">
                  <c:v>58</c:v>
                </c:pt>
                <c:pt idx="18">
                  <c:v>77</c:v>
                </c:pt>
                <c:pt idx="19">
                  <c:v>107</c:v>
                </c:pt>
                <c:pt idx="20">
                  <c:v>137</c:v>
                </c:pt>
                <c:pt idx="21">
                  <c:v>180</c:v>
                </c:pt>
                <c:pt idx="22">
                  <c:v>214</c:v>
                </c:pt>
                <c:pt idx="23">
                  <c:v>277</c:v>
                </c:pt>
                <c:pt idx="24">
                  <c:v>357</c:v>
                </c:pt>
                <c:pt idx="25">
                  <c:v>435</c:v>
                </c:pt>
                <c:pt idx="26">
                  <c:v>547</c:v>
                </c:pt>
                <c:pt idx="27">
                  <c:v>640</c:v>
                </c:pt>
                <c:pt idx="28">
                  <c:v>772</c:v>
                </c:pt>
                <c:pt idx="29">
                  <c:v>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E9-4063-8972-578FFD587D67}"/>
            </c:ext>
          </c:extLst>
        </c:ser>
        <c:ser>
          <c:idx val="4"/>
          <c:order val="4"/>
          <c:tx>
            <c:strRef>
              <c:f>Overview!$A$31</c:f>
              <c:strCache>
                <c:ptCount val="1"/>
                <c:pt idx="0">
                  <c:v>Korea, South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Overview!$B$31:$BR$31</c:f>
              <c:numCache>
                <c:formatCode>0</c:formatCode>
                <c:ptCount val="30"/>
                <c:pt idx="0">
                  <c:v>17</c:v>
                </c:pt>
                <c:pt idx="1">
                  <c:v>28</c:v>
                </c:pt>
                <c:pt idx="2">
                  <c:v>28</c:v>
                </c:pt>
                <c:pt idx="3">
                  <c:v>35</c:v>
                </c:pt>
                <c:pt idx="4">
                  <c:v>35</c:v>
                </c:pt>
                <c:pt idx="5">
                  <c:v>42</c:v>
                </c:pt>
                <c:pt idx="6">
                  <c:v>44</c:v>
                </c:pt>
                <c:pt idx="7">
                  <c:v>50</c:v>
                </c:pt>
                <c:pt idx="8">
                  <c:v>53</c:v>
                </c:pt>
                <c:pt idx="9">
                  <c:v>54</c:v>
                </c:pt>
                <c:pt idx="10">
                  <c:v>60</c:v>
                </c:pt>
                <c:pt idx="11">
                  <c:v>66</c:v>
                </c:pt>
                <c:pt idx="12">
                  <c:v>66</c:v>
                </c:pt>
                <c:pt idx="13">
                  <c:v>72</c:v>
                </c:pt>
                <c:pt idx="14">
                  <c:v>75</c:v>
                </c:pt>
                <c:pt idx="15">
                  <c:v>75</c:v>
                </c:pt>
                <c:pt idx="16">
                  <c:v>81</c:v>
                </c:pt>
                <c:pt idx="17">
                  <c:v>84</c:v>
                </c:pt>
                <c:pt idx="18">
                  <c:v>91</c:v>
                </c:pt>
                <c:pt idx="19">
                  <c:v>94</c:v>
                </c:pt>
                <c:pt idx="20">
                  <c:v>102</c:v>
                </c:pt>
                <c:pt idx="21">
                  <c:v>111</c:v>
                </c:pt>
                <c:pt idx="22">
                  <c:v>111</c:v>
                </c:pt>
                <c:pt idx="23">
                  <c:v>120</c:v>
                </c:pt>
                <c:pt idx="24">
                  <c:v>126</c:v>
                </c:pt>
                <c:pt idx="25">
                  <c:v>131</c:v>
                </c:pt>
                <c:pt idx="26">
                  <c:v>139</c:v>
                </c:pt>
                <c:pt idx="27">
                  <c:v>144</c:v>
                </c:pt>
                <c:pt idx="28">
                  <c:v>152</c:v>
                </c:pt>
                <c:pt idx="29">
                  <c:v>158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E9-4063-8972-578FFD587D67}"/>
            </c:ext>
          </c:extLst>
        </c:ser>
        <c:ser>
          <c:idx val="5"/>
          <c:order val="5"/>
          <c:tx>
            <c:strRef>
              <c:f>Overview!$A$32</c:f>
              <c:strCache>
                <c:ptCount val="1"/>
                <c:pt idx="0">
                  <c:v>Spain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Overview!$B$32:$BR$32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10</c:v>
                </c:pt>
                <c:pt idx="7">
                  <c:v>17</c:v>
                </c:pt>
                <c:pt idx="8">
                  <c:v>28</c:v>
                </c:pt>
                <c:pt idx="9">
                  <c:v>35</c:v>
                </c:pt>
                <c:pt idx="10">
                  <c:v>54</c:v>
                </c:pt>
                <c:pt idx="11">
                  <c:v>55</c:v>
                </c:pt>
                <c:pt idx="12">
                  <c:v>133</c:v>
                </c:pt>
                <c:pt idx="13">
                  <c:v>195</c:v>
                </c:pt>
                <c:pt idx="14">
                  <c:v>289</c:v>
                </c:pt>
                <c:pt idx="15">
                  <c:v>342</c:v>
                </c:pt>
                <c:pt idx="16">
                  <c:v>533</c:v>
                </c:pt>
                <c:pt idx="17">
                  <c:v>623</c:v>
                </c:pt>
                <c:pt idx="18">
                  <c:v>830</c:v>
                </c:pt>
                <c:pt idx="19">
                  <c:v>1043</c:v>
                </c:pt>
                <c:pt idx="20">
                  <c:v>1375</c:v>
                </c:pt>
                <c:pt idx="21">
                  <c:v>1772</c:v>
                </c:pt>
                <c:pt idx="22">
                  <c:v>2311</c:v>
                </c:pt>
                <c:pt idx="23">
                  <c:v>2808</c:v>
                </c:pt>
                <c:pt idx="24">
                  <c:v>3647</c:v>
                </c:pt>
                <c:pt idx="25">
                  <c:v>4365</c:v>
                </c:pt>
                <c:pt idx="26">
                  <c:v>5138</c:v>
                </c:pt>
                <c:pt idx="27">
                  <c:v>5982</c:v>
                </c:pt>
                <c:pt idx="28">
                  <c:v>6803</c:v>
                </c:pt>
                <c:pt idx="29">
                  <c:v>7716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0E9-4063-8972-578FFD587D67}"/>
            </c:ext>
          </c:extLst>
        </c:ser>
        <c:ser>
          <c:idx val="6"/>
          <c:order val="6"/>
          <c:tx>
            <c:strRef>
              <c:f>Overview!$A$33</c:f>
              <c:strCache>
                <c:ptCount val="1"/>
                <c:pt idx="0">
                  <c:v>France</c:v>
                </c:pt>
              </c:strCache>
            </c:strRef>
          </c:tx>
          <c:spPr>
            <a:ln w="22225" cap="rnd">
              <a:solidFill>
                <a:schemeClr val="accent1">
                  <a:lumMod val="60000"/>
                </a:schemeClr>
              </a:solidFill>
            </a:ln>
            <a:effectLst>
              <a:glow rad="139700">
                <a:schemeClr val="accent1">
                  <a:lumMod val="60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Overview!$B$33:$BR$33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9</c:v>
                </c:pt>
                <c:pt idx="6">
                  <c:v>11</c:v>
                </c:pt>
                <c:pt idx="7">
                  <c:v>19</c:v>
                </c:pt>
                <c:pt idx="8">
                  <c:v>19</c:v>
                </c:pt>
                <c:pt idx="9">
                  <c:v>33</c:v>
                </c:pt>
                <c:pt idx="10">
                  <c:v>48</c:v>
                </c:pt>
                <c:pt idx="11">
                  <c:v>48</c:v>
                </c:pt>
                <c:pt idx="12">
                  <c:v>79</c:v>
                </c:pt>
                <c:pt idx="13">
                  <c:v>91</c:v>
                </c:pt>
                <c:pt idx="14">
                  <c:v>91</c:v>
                </c:pt>
                <c:pt idx="15">
                  <c:v>149</c:v>
                </c:pt>
                <c:pt idx="16">
                  <c:v>149</c:v>
                </c:pt>
                <c:pt idx="17">
                  <c:v>149</c:v>
                </c:pt>
                <c:pt idx="18">
                  <c:v>244</c:v>
                </c:pt>
                <c:pt idx="19">
                  <c:v>451</c:v>
                </c:pt>
                <c:pt idx="20">
                  <c:v>563</c:v>
                </c:pt>
                <c:pt idx="21">
                  <c:v>676</c:v>
                </c:pt>
                <c:pt idx="22">
                  <c:v>862</c:v>
                </c:pt>
                <c:pt idx="23">
                  <c:v>1102</c:v>
                </c:pt>
                <c:pt idx="24">
                  <c:v>1333</c:v>
                </c:pt>
                <c:pt idx="25">
                  <c:v>1698</c:v>
                </c:pt>
                <c:pt idx="26">
                  <c:v>1997</c:v>
                </c:pt>
                <c:pt idx="27">
                  <c:v>2317</c:v>
                </c:pt>
                <c:pt idx="28">
                  <c:v>2611</c:v>
                </c:pt>
                <c:pt idx="29">
                  <c:v>3030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C0E9-4063-8972-578FFD587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959072"/>
        <c:axId val="1181959400"/>
      </c:lineChart>
      <c:catAx>
        <c:axId val="118195907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400"/>
        <c:crosses val="autoZero"/>
        <c:auto val="1"/>
        <c:lblAlgn val="ctr"/>
        <c:lblOffset val="100"/>
        <c:noMultiLvlLbl val="0"/>
      </c:catAx>
      <c:valAx>
        <c:axId val="118195940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8195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Accumulated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Overview!$A$4</c:f>
              <c:strCache>
                <c:ptCount val="1"/>
                <c:pt idx="0">
                  <c:v>Confirmed Cases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Overview!$B$4:$BR$4</c:f>
              <c:numCache>
                <c:formatCode>0</c:formatCode>
                <c:ptCount val="30"/>
                <c:pt idx="0">
                  <c:v>74</c:v>
                </c:pt>
                <c:pt idx="1">
                  <c:v>98</c:v>
                </c:pt>
                <c:pt idx="2">
                  <c:v>118</c:v>
                </c:pt>
                <c:pt idx="3">
                  <c:v>149</c:v>
                </c:pt>
                <c:pt idx="4">
                  <c:v>217</c:v>
                </c:pt>
                <c:pt idx="5">
                  <c:v>262</c:v>
                </c:pt>
                <c:pt idx="6">
                  <c:v>402</c:v>
                </c:pt>
                <c:pt idx="7">
                  <c:v>518</c:v>
                </c:pt>
                <c:pt idx="8">
                  <c:v>583</c:v>
                </c:pt>
                <c:pt idx="9">
                  <c:v>959</c:v>
                </c:pt>
                <c:pt idx="10">
                  <c:v>1281</c:v>
                </c:pt>
                <c:pt idx="11">
                  <c:v>1663</c:v>
                </c:pt>
                <c:pt idx="12">
                  <c:v>2179</c:v>
                </c:pt>
                <c:pt idx="13">
                  <c:v>2727</c:v>
                </c:pt>
                <c:pt idx="14">
                  <c:v>3499</c:v>
                </c:pt>
                <c:pt idx="15">
                  <c:v>4632</c:v>
                </c:pt>
                <c:pt idx="16">
                  <c:v>6421</c:v>
                </c:pt>
                <c:pt idx="17">
                  <c:v>7783</c:v>
                </c:pt>
                <c:pt idx="18">
                  <c:v>13677</c:v>
                </c:pt>
                <c:pt idx="19">
                  <c:v>19100</c:v>
                </c:pt>
                <c:pt idx="20">
                  <c:v>25489</c:v>
                </c:pt>
                <c:pt idx="21">
                  <c:v>33276</c:v>
                </c:pt>
                <c:pt idx="22">
                  <c:v>43847</c:v>
                </c:pt>
                <c:pt idx="23">
                  <c:v>53740</c:v>
                </c:pt>
                <c:pt idx="24">
                  <c:v>65778</c:v>
                </c:pt>
                <c:pt idx="25">
                  <c:v>83836</c:v>
                </c:pt>
                <c:pt idx="26">
                  <c:v>101657</c:v>
                </c:pt>
                <c:pt idx="27">
                  <c:v>121478</c:v>
                </c:pt>
                <c:pt idx="28">
                  <c:v>140886</c:v>
                </c:pt>
                <c:pt idx="29">
                  <c:v>161807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A503-4899-8BD8-8886C8609A43}"/>
            </c:ext>
          </c:extLst>
        </c:ser>
        <c:ser>
          <c:idx val="1"/>
          <c:order val="1"/>
          <c:tx>
            <c:strRef>
              <c:f>Overview!$A$5</c:f>
              <c:strCache>
                <c:ptCount val="1"/>
                <c:pt idx="0">
                  <c:v>Deaths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Overview!$B$5:$BR$5</c:f>
              <c:numCache>
                <c:formatCode>0</c:formatCode>
                <c:ptCount val="30"/>
                <c:pt idx="0">
                  <c:v>1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12</c:v>
                </c:pt>
                <c:pt idx="5">
                  <c:v>14</c:v>
                </c:pt>
                <c:pt idx="6">
                  <c:v>17</c:v>
                </c:pt>
                <c:pt idx="7">
                  <c:v>21</c:v>
                </c:pt>
                <c:pt idx="8">
                  <c:v>22</c:v>
                </c:pt>
                <c:pt idx="9">
                  <c:v>28</c:v>
                </c:pt>
                <c:pt idx="10">
                  <c:v>36</c:v>
                </c:pt>
                <c:pt idx="11">
                  <c:v>40</c:v>
                </c:pt>
                <c:pt idx="12">
                  <c:v>47</c:v>
                </c:pt>
                <c:pt idx="13">
                  <c:v>54</c:v>
                </c:pt>
                <c:pt idx="14">
                  <c:v>63</c:v>
                </c:pt>
                <c:pt idx="15">
                  <c:v>85</c:v>
                </c:pt>
                <c:pt idx="16">
                  <c:v>108</c:v>
                </c:pt>
                <c:pt idx="17">
                  <c:v>118</c:v>
                </c:pt>
                <c:pt idx="18">
                  <c:v>200</c:v>
                </c:pt>
                <c:pt idx="19">
                  <c:v>244</c:v>
                </c:pt>
                <c:pt idx="20">
                  <c:v>307</c:v>
                </c:pt>
                <c:pt idx="21">
                  <c:v>417</c:v>
                </c:pt>
                <c:pt idx="22">
                  <c:v>557</c:v>
                </c:pt>
                <c:pt idx="23">
                  <c:v>706</c:v>
                </c:pt>
                <c:pt idx="24">
                  <c:v>942</c:v>
                </c:pt>
                <c:pt idx="25">
                  <c:v>1209</c:v>
                </c:pt>
                <c:pt idx="26">
                  <c:v>1581</c:v>
                </c:pt>
                <c:pt idx="27">
                  <c:v>2026</c:v>
                </c:pt>
                <c:pt idx="28">
                  <c:v>2467</c:v>
                </c:pt>
                <c:pt idx="29">
                  <c:v>2978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A503-4899-8BD8-8886C8609A43}"/>
            </c:ext>
          </c:extLst>
        </c:ser>
        <c:ser>
          <c:idx val="2"/>
          <c:order val="2"/>
          <c:tx>
            <c:strRef>
              <c:f>Overview!$A$6</c:f>
              <c:strCache>
                <c:ptCount val="1"/>
                <c:pt idx="0">
                  <c:v>Recovered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Overview!$B$6:$BR$6</c:f>
              <c:numCache>
                <c:formatCode>0</c:formatCode>
                <c:ptCount val="3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17</c:v>
                </c:pt>
                <c:pt idx="16">
                  <c:v>17</c:v>
                </c:pt>
                <c:pt idx="17">
                  <c:v>105</c:v>
                </c:pt>
                <c:pt idx="18">
                  <c:v>121</c:v>
                </c:pt>
                <c:pt idx="19">
                  <c:v>147</c:v>
                </c:pt>
                <c:pt idx="20">
                  <c:v>176</c:v>
                </c:pt>
                <c:pt idx="21">
                  <c:v>178</c:v>
                </c:pt>
                <c:pt idx="22">
                  <c:v>178</c:v>
                </c:pt>
                <c:pt idx="23">
                  <c:v>348</c:v>
                </c:pt>
                <c:pt idx="24">
                  <c:v>361</c:v>
                </c:pt>
                <c:pt idx="25">
                  <c:v>681</c:v>
                </c:pt>
                <c:pt idx="26">
                  <c:v>869</c:v>
                </c:pt>
                <c:pt idx="27">
                  <c:v>1072</c:v>
                </c:pt>
                <c:pt idx="28">
                  <c:v>2665</c:v>
                </c:pt>
                <c:pt idx="29">
                  <c:v>5644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A503-4899-8BD8-8886C8609A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68069296"/>
        <c:axId val="1168071592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Currently</a:t>
            </a:r>
            <a:r>
              <a:rPr lang="de-DE" baseline="0"/>
              <a:t> Selected Daily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Overview!$A$7</c:f>
              <c:strCache>
                <c:ptCount val="1"/>
                <c:pt idx="0">
                  <c:v>Cases/Day</c:v>
                </c:pt>
              </c:strCache>
            </c:strRef>
          </c:tx>
          <c:spPr>
            <a:ln w="25400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Overview!$B$7:$BR$7</c:f>
              <c:numCache>
                <c:formatCode>0</c:formatCode>
                <c:ptCount val="30"/>
                <c:pt idx="0">
                  <c:v>6</c:v>
                </c:pt>
                <c:pt idx="1">
                  <c:v>24</c:v>
                </c:pt>
                <c:pt idx="2">
                  <c:v>20</c:v>
                </c:pt>
                <c:pt idx="3">
                  <c:v>31</c:v>
                </c:pt>
                <c:pt idx="4">
                  <c:v>68</c:v>
                </c:pt>
                <c:pt idx="5">
                  <c:v>45</c:v>
                </c:pt>
                <c:pt idx="6">
                  <c:v>140</c:v>
                </c:pt>
                <c:pt idx="7">
                  <c:v>116</c:v>
                </c:pt>
                <c:pt idx="8">
                  <c:v>65</c:v>
                </c:pt>
                <c:pt idx="9">
                  <c:v>376</c:v>
                </c:pt>
                <c:pt idx="10">
                  <c:v>322</c:v>
                </c:pt>
                <c:pt idx="11">
                  <c:v>382</c:v>
                </c:pt>
                <c:pt idx="12">
                  <c:v>516</c:v>
                </c:pt>
                <c:pt idx="13">
                  <c:v>548</c:v>
                </c:pt>
                <c:pt idx="14">
                  <c:v>772</c:v>
                </c:pt>
                <c:pt idx="15">
                  <c:v>1133</c:v>
                </c:pt>
                <c:pt idx="16">
                  <c:v>1789</c:v>
                </c:pt>
                <c:pt idx="17">
                  <c:v>1362</c:v>
                </c:pt>
                <c:pt idx="18">
                  <c:v>5894</c:v>
                </c:pt>
                <c:pt idx="19">
                  <c:v>5423</c:v>
                </c:pt>
                <c:pt idx="20">
                  <c:v>6389</c:v>
                </c:pt>
                <c:pt idx="21">
                  <c:v>7787</c:v>
                </c:pt>
                <c:pt idx="22">
                  <c:v>10571</c:v>
                </c:pt>
                <c:pt idx="23">
                  <c:v>9893</c:v>
                </c:pt>
                <c:pt idx="24">
                  <c:v>12038</c:v>
                </c:pt>
                <c:pt idx="25">
                  <c:v>18058</c:v>
                </c:pt>
                <c:pt idx="26">
                  <c:v>17821</c:v>
                </c:pt>
                <c:pt idx="27">
                  <c:v>19821</c:v>
                </c:pt>
                <c:pt idx="28">
                  <c:v>19408</c:v>
                </c:pt>
                <c:pt idx="29">
                  <c:v>20921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  <c:extLst/>
      </c:lineChart>
      <c:lineChart>
        <c:grouping val="standard"/>
        <c:varyColors val="0"/>
        <c:ser>
          <c:idx val="1"/>
          <c:order val="1"/>
          <c:tx>
            <c:strRef>
              <c:f>Overview!$A$8</c:f>
              <c:strCache>
                <c:ptCount val="1"/>
                <c:pt idx="0">
                  <c:v>Deaths/Day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Overview!$B$8:$BR$8</c:f>
              <c:numCache>
                <c:formatCode>0</c:formatCode>
                <c:ptCount val="30"/>
                <c:pt idx="0">
                  <c:v>0</c:v>
                </c:pt>
                <c:pt idx="1">
                  <c:v>5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6</c:v>
                </c:pt>
                <c:pt idx="10">
                  <c:v>8</c:v>
                </c:pt>
                <c:pt idx="11">
                  <c:v>4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22</c:v>
                </c:pt>
                <c:pt idx="16">
                  <c:v>23</c:v>
                </c:pt>
                <c:pt idx="17">
                  <c:v>10</c:v>
                </c:pt>
                <c:pt idx="18">
                  <c:v>82</c:v>
                </c:pt>
                <c:pt idx="19">
                  <c:v>44</c:v>
                </c:pt>
                <c:pt idx="20">
                  <c:v>63</c:v>
                </c:pt>
                <c:pt idx="21">
                  <c:v>110</c:v>
                </c:pt>
                <c:pt idx="22">
                  <c:v>140</c:v>
                </c:pt>
                <c:pt idx="23">
                  <c:v>149</c:v>
                </c:pt>
                <c:pt idx="24">
                  <c:v>236</c:v>
                </c:pt>
                <c:pt idx="25">
                  <c:v>267</c:v>
                </c:pt>
                <c:pt idx="26">
                  <c:v>372</c:v>
                </c:pt>
                <c:pt idx="27">
                  <c:v>445</c:v>
                </c:pt>
                <c:pt idx="28">
                  <c:v>441</c:v>
                </c:pt>
                <c:pt idx="29">
                  <c:v>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C7-47D2-B229-F0B05348BE7A}"/>
            </c:ext>
          </c:extLst>
        </c:ser>
        <c:ser>
          <c:idx val="2"/>
          <c:order val="2"/>
          <c:tx>
            <c:strRef>
              <c:f>Overview!$A$9</c:f>
              <c:strCache>
                <c:ptCount val="1"/>
                <c:pt idx="0">
                  <c:v>Recovered/Day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Overview!$B$9:$BR$9</c:f>
              <c:numCache>
                <c:formatCode>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</c:v>
                </c:pt>
                <c:pt idx="16">
                  <c:v>0</c:v>
                </c:pt>
                <c:pt idx="17">
                  <c:v>88</c:v>
                </c:pt>
                <c:pt idx="18">
                  <c:v>16</c:v>
                </c:pt>
                <c:pt idx="19">
                  <c:v>26</c:v>
                </c:pt>
                <c:pt idx="20">
                  <c:v>29</c:v>
                </c:pt>
                <c:pt idx="21">
                  <c:v>2</c:v>
                </c:pt>
                <c:pt idx="22">
                  <c:v>0</c:v>
                </c:pt>
                <c:pt idx="23">
                  <c:v>170</c:v>
                </c:pt>
                <c:pt idx="24">
                  <c:v>13</c:v>
                </c:pt>
                <c:pt idx="25">
                  <c:v>320</c:v>
                </c:pt>
                <c:pt idx="26">
                  <c:v>188</c:v>
                </c:pt>
                <c:pt idx="27">
                  <c:v>203</c:v>
                </c:pt>
                <c:pt idx="28">
                  <c:v>1593</c:v>
                </c:pt>
                <c:pt idx="29">
                  <c:v>2979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C7-47D2-B229-F0B05348B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62112"/>
        <c:axId val="1019522968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1952296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42262112"/>
        <c:crosses val="max"/>
        <c:crossBetween val="between"/>
      </c:valAx>
      <c:catAx>
        <c:axId val="342262112"/>
        <c:scaling>
          <c:orientation val="minMax"/>
        </c:scaling>
        <c:delete val="1"/>
        <c:axPos val="b"/>
        <c:majorTickMark val="out"/>
        <c:minorTickMark val="none"/>
        <c:tickLblPos val="nextTo"/>
        <c:crossAx val="10195229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Death-</a:t>
            </a:r>
            <a:r>
              <a:rPr lang="de-DE" baseline="0"/>
              <a:t> and Doubling Rate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Overview!$A$10</c:f>
              <c:strCache>
                <c:ptCount val="1"/>
                <c:pt idx="0">
                  <c:v>Deathrate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Overview!$B$10:$BR$10</c:f>
              <c:numCache>
                <c:formatCode>0.00%</c:formatCode>
                <c:ptCount val="30"/>
                <c:pt idx="0">
                  <c:v>1.3513513513513514E-2</c:v>
                </c:pt>
                <c:pt idx="1">
                  <c:v>6.1224489795918366E-2</c:v>
                </c:pt>
                <c:pt idx="2">
                  <c:v>5.9322033898305086E-2</c:v>
                </c:pt>
                <c:pt idx="3">
                  <c:v>7.3825503355704702E-2</c:v>
                </c:pt>
                <c:pt idx="4">
                  <c:v>5.5299539170506916E-2</c:v>
                </c:pt>
                <c:pt idx="5">
                  <c:v>5.3435114503816793E-2</c:v>
                </c:pt>
                <c:pt idx="6">
                  <c:v>4.228855721393035E-2</c:v>
                </c:pt>
                <c:pt idx="7">
                  <c:v>4.0540540540540543E-2</c:v>
                </c:pt>
                <c:pt idx="8">
                  <c:v>3.7735849056603772E-2</c:v>
                </c:pt>
                <c:pt idx="9">
                  <c:v>2.9197080291970802E-2</c:v>
                </c:pt>
                <c:pt idx="10">
                  <c:v>2.8103044496487119E-2</c:v>
                </c:pt>
                <c:pt idx="11">
                  <c:v>2.4052916416115455E-2</c:v>
                </c:pt>
                <c:pt idx="12">
                  <c:v>2.1569527306103717E-2</c:v>
                </c:pt>
                <c:pt idx="13">
                  <c:v>1.9801980198019802E-2</c:v>
                </c:pt>
                <c:pt idx="14">
                  <c:v>1.8005144326950558E-2</c:v>
                </c:pt>
                <c:pt idx="15">
                  <c:v>1.8350604490500865E-2</c:v>
                </c:pt>
                <c:pt idx="16">
                  <c:v>1.6819809998442611E-2</c:v>
                </c:pt>
                <c:pt idx="17">
                  <c:v>1.5161248875754851E-2</c:v>
                </c:pt>
                <c:pt idx="18">
                  <c:v>1.4623089858887182E-2</c:v>
                </c:pt>
                <c:pt idx="19">
                  <c:v>1.2774869109947644E-2</c:v>
                </c:pt>
                <c:pt idx="20">
                  <c:v>1.2044411314684766E-2</c:v>
                </c:pt>
                <c:pt idx="21">
                  <c:v>1.2531554273350162E-2</c:v>
                </c:pt>
                <c:pt idx="22">
                  <c:v>1.2703263621228362E-2</c:v>
                </c:pt>
                <c:pt idx="23">
                  <c:v>1.313732787495348E-2</c:v>
                </c:pt>
                <c:pt idx="24">
                  <c:v>1.4320897564535254E-2</c:v>
                </c:pt>
                <c:pt idx="25">
                  <c:v>1.4421012452884203E-2</c:v>
                </c:pt>
                <c:pt idx="26">
                  <c:v>1.5552298415259156E-2</c:v>
                </c:pt>
                <c:pt idx="27">
                  <c:v>1.6677916989084444E-2</c:v>
                </c:pt>
                <c:pt idx="28">
                  <c:v>1.7510611416322416E-2</c:v>
                </c:pt>
                <c:pt idx="29">
                  <c:v>1.8404642567997676E-2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15-490E-9A40-B3A081844BDC}"/>
            </c:ext>
          </c:extLst>
        </c:ser>
        <c:ser>
          <c:idx val="2"/>
          <c:order val="2"/>
          <c:tx>
            <c:strRef>
              <c:f>Overview!$A$12</c:f>
              <c:strCache>
                <c:ptCount val="1"/>
                <c:pt idx="0">
                  <c:v>Percent Recovered</c:v>
                </c:pt>
              </c:strCache>
            </c:strRef>
          </c:tx>
          <c:spPr>
            <a:ln w="25400" cap="rnd">
              <a:solidFill>
                <a:schemeClr val="accent6">
                  <a:lumMod val="60000"/>
                  <a:lumOff val="40000"/>
                </a:schemeClr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Overview!$B$12:$BR$12</c:f>
              <c:numCache>
                <c:formatCode>0.00%</c:formatCode>
                <c:ptCount val="30"/>
                <c:pt idx="0">
                  <c:v>9.45945945945946E-2</c:v>
                </c:pt>
                <c:pt idx="1">
                  <c:v>7.1428571428571425E-2</c:v>
                </c:pt>
                <c:pt idx="2">
                  <c:v>5.9322033898305086E-2</c:v>
                </c:pt>
                <c:pt idx="3">
                  <c:v>4.6979865771812082E-2</c:v>
                </c:pt>
                <c:pt idx="4">
                  <c:v>3.2258064516129031E-2</c:v>
                </c:pt>
                <c:pt idx="5">
                  <c:v>2.6717557251908396E-2</c:v>
                </c:pt>
                <c:pt idx="6">
                  <c:v>1.7412935323383085E-2</c:v>
                </c:pt>
                <c:pt idx="7">
                  <c:v>1.3513513513513514E-2</c:v>
                </c:pt>
                <c:pt idx="8">
                  <c:v>1.2006861063464836E-2</c:v>
                </c:pt>
                <c:pt idx="9">
                  <c:v>8.3420229405630868E-3</c:v>
                </c:pt>
                <c:pt idx="10">
                  <c:v>6.2451209992193599E-3</c:v>
                </c:pt>
                <c:pt idx="11">
                  <c:v>7.2158749248346366E-3</c:v>
                </c:pt>
                <c:pt idx="12">
                  <c:v>5.507113354749885E-3</c:v>
                </c:pt>
                <c:pt idx="13">
                  <c:v>4.4004400440044002E-3</c:v>
                </c:pt>
                <c:pt idx="14">
                  <c:v>3.4295513003715348E-3</c:v>
                </c:pt>
                <c:pt idx="15">
                  <c:v>3.6701208981001726E-3</c:v>
                </c:pt>
                <c:pt idx="16">
                  <c:v>2.6475626849400405E-3</c:v>
                </c:pt>
                <c:pt idx="17">
                  <c:v>1.3490941796222537E-2</c:v>
                </c:pt>
                <c:pt idx="18">
                  <c:v>8.8469693646267451E-3</c:v>
                </c:pt>
                <c:pt idx="19">
                  <c:v>7.6963350785340312E-3</c:v>
                </c:pt>
                <c:pt idx="20">
                  <c:v>6.9049393856173251E-3</c:v>
                </c:pt>
                <c:pt idx="21">
                  <c:v>5.3492006250751289E-3</c:v>
                </c:pt>
                <c:pt idx="22">
                  <c:v>4.0595707802130133E-3</c:v>
                </c:pt>
                <c:pt idx="23">
                  <c:v>6.4756233717901002E-3</c:v>
                </c:pt>
                <c:pt idx="24">
                  <c:v>5.4881571346042752E-3</c:v>
                </c:pt>
                <c:pt idx="25">
                  <c:v>8.1230020516246011E-3</c:v>
                </c:pt>
                <c:pt idx="26">
                  <c:v>8.5483537779001938E-3</c:v>
                </c:pt>
                <c:pt idx="27">
                  <c:v>8.8246431452608711E-3</c:v>
                </c:pt>
                <c:pt idx="28">
                  <c:v>1.8916003009525433E-2</c:v>
                </c:pt>
                <c:pt idx="29">
                  <c:v>3.4881062005970076E-2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3-430A-BF7E-966A57C7F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8069296"/>
        <c:axId val="1168071592"/>
      </c:lineChart>
      <c:lineChart>
        <c:grouping val="standard"/>
        <c:varyColors val="0"/>
        <c:ser>
          <c:idx val="1"/>
          <c:order val="1"/>
          <c:tx>
            <c:strRef>
              <c:f>Overview!$A$11</c:f>
              <c:strCache>
                <c:ptCount val="1"/>
                <c:pt idx="0">
                  <c:v>Current Doubling Rate</c:v>
                </c:pt>
              </c:strCache>
            </c:strRef>
          </c:tx>
          <c:spPr>
            <a:ln w="22225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movingAvg"/>
            <c:period val="3"/>
            <c:dispRSqr val="0"/>
            <c:dispEq val="0"/>
          </c:trendline>
          <c:val>
            <c:numRef>
              <c:f>Overview!$B$11:$BR$11</c:f>
              <c:numCache>
                <c:formatCode>0.00</c:formatCode>
                <c:ptCount val="30"/>
                <c:pt idx="0">
                  <c:v>11.333333333333334</c:v>
                </c:pt>
                <c:pt idx="1">
                  <c:v>3.0833333333333335</c:v>
                </c:pt>
                <c:pt idx="2">
                  <c:v>4.9000000000000004</c:v>
                </c:pt>
                <c:pt idx="3">
                  <c:v>3.806451612903226</c:v>
                </c:pt>
                <c:pt idx="4">
                  <c:v>2.1911764705882355</c:v>
                </c:pt>
                <c:pt idx="5">
                  <c:v>4.8222222222222229</c:v>
                </c:pt>
                <c:pt idx="6">
                  <c:v>1.8714285714285714</c:v>
                </c:pt>
                <c:pt idx="7">
                  <c:v>3.4655172413793105</c:v>
                </c:pt>
                <c:pt idx="8">
                  <c:v>7.9692307692307693</c:v>
                </c:pt>
                <c:pt idx="9">
                  <c:v>1.550531914893617</c:v>
                </c:pt>
                <c:pt idx="10">
                  <c:v>2.9782608695652173</c:v>
                </c:pt>
                <c:pt idx="11">
                  <c:v>3.3534031413612566</c:v>
                </c:pt>
                <c:pt idx="12">
                  <c:v>3.2228682170542635</c:v>
                </c:pt>
                <c:pt idx="13">
                  <c:v>3.9762773722627736</c:v>
                </c:pt>
                <c:pt idx="14">
                  <c:v>3.5323834196891193</c:v>
                </c:pt>
                <c:pt idx="15">
                  <c:v>3.0882612533097968</c:v>
                </c:pt>
                <c:pt idx="16">
                  <c:v>2.5891559530463946</c:v>
                </c:pt>
                <c:pt idx="17">
                  <c:v>4.7143906020558006</c:v>
                </c:pt>
                <c:pt idx="18">
                  <c:v>1.3204954190702409</c:v>
                </c:pt>
                <c:pt idx="19">
                  <c:v>2.5220357735570715</c:v>
                </c:pt>
                <c:pt idx="20">
                  <c:v>2.9895132258569417</c:v>
                </c:pt>
                <c:pt idx="21">
                  <c:v>3.2732759727751382</c:v>
                </c:pt>
                <c:pt idx="22">
                  <c:v>3.1478573455680636</c:v>
                </c:pt>
                <c:pt idx="23">
                  <c:v>4.4321237238451427</c:v>
                </c:pt>
                <c:pt idx="24">
                  <c:v>4.4641967104170126</c:v>
                </c:pt>
                <c:pt idx="25">
                  <c:v>3.6425960793000334</c:v>
                </c:pt>
                <c:pt idx="26">
                  <c:v>4.7043375792604234</c:v>
                </c:pt>
                <c:pt idx="27">
                  <c:v>5.128752333383785</c:v>
                </c:pt>
                <c:pt idx="28">
                  <c:v>6.259171475680132</c:v>
                </c:pt>
                <c:pt idx="29">
                  <c:v>6.7341905262654747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15-490E-9A40-B3A081844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4045592"/>
        <c:axId val="1074049200"/>
      </c:lineChart>
      <c:catAx>
        <c:axId val="116806929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d/m;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71592"/>
        <c:crosses val="autoZero"/>
        <c:auto val="1"/>
        <c:lblAlgn val="ctr"/>
        <c:lblOffset val="100"/>
        <c:noMultiLvlLbl val="0"/>
      </c:catAx>
      <c:valAx>
        <c:axId val="116807159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168069296"/>
        <c:crosses val="autoZero"/>
        <c:crossBetween val="between"/>
      </c:valAx>
      <c:valAx>
        <c:axId val="1074049200"/>
        <c:scaling>
          <c:orientation val="minMax"/>
          <c:max val="25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74045592"/>
        <c:crosses val="max"/>
        <c:crossBetween val="between"/>
      </c:valAx>
      <c:catAx>
        <c:axId val="1074045592"/>
        <c:scaling>
          <c:orientation val="minMax"/>
        </c:scaling>
        <c:delete val="1"/>
        <c:axPos val="b"/>
        <c:majorTickMark val="out"/>
        <c:minorTickMark val="none"/>
        <c:tickLblPos val="nextTo"/>
        <c:crossAx val="10740492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121318</xdr:colOff>
      <xdr:row>0</xdr:row>
      <xdr:rowOff>103655</xdr:rowOff>
    </xdr:from>
    <xdr:to>
      <xdr:col>0</xdr:col>
      <xdr:colOff>1524002</xdr:colOff>
      <xdr:row>0</xdr:row>
      <xdr:rowOff>363070</xdr:rowOff>
    </xdr:to>
    <xdr:sp macro="[0]!UpdateDataAndCharts" textlink="">
      <xdr:nvSpPr>
        <xdr:cNvPr id="3" name="Rechteck 2">
          <a:extLst>
            <a:ext uri="{FF2B5EF4-FFF2-40B4-BE49-F238E27FC236}">
              <a16:creationId xmlns:a16="http://schemas.microsoft.com/office/drawing/2014/main" id="{C69E59BE-118D-4C65-9CAC-DB8291E2645A}"/>
            </a:ext>
          </a:extLst>
        </xdr:cNvPr>
        <xdr:cNvSpPr/>
      </xdr:nvSpPr>
      <xdr:spPr>
        <a:xfrm>
          <a:off x="121318" y="103655"/>
          <a:ext cx="1402684" cy="25941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100">
              <a:latin typeface="Roboto" panose="02000000000000000000" pitchFamily="2" charset="0"/>
              <a:ea typeface="Roboto" panose="02000000000000000000" pitchFamily="2" charset="0"/>
            </a:rPr>
            <a:t>REFRESH DATA</a:t>
          </a:r>
        </a:p>
      </xdr:txBody>
    </xdr:sp>
    <xdr:clientData/>
  </xdr:twoCellAnchor>
  <xdr:twoCellAnchor editAs="absolute">
    <xdr:from>
      <xdr:col>1</xdr:col>
      <xdr:colOff>0</xdr:colOff>
      <xdr:row>0</xdr:row>
      <xdr:rowOff>361950</xdr:rowOff>
    </xdr:from>
    <xdr:to>
      <xdr:col>47</xdr:col>
      <xdr:colOff>181592</xdr:colOff>
      <xdr:row>1</xdr:row>
      <xdr:rowOff>371070</xdr:rowOff>
    </xdr:to>
    <xdr:graphicFrame macro="">
      <xdr:nvGraphicFramePr>
        <xdr:cNvPr id="7" name="ChartConfirmedCases">
          <a:extLst>
            <a:ext uri="{FF2B5EF4-FFF2-40B4-BE49-F238E27FC236}">
              <a16:creationId xmlns:a16="http://schemas.microsoft.com/office/drawing/2014/main" id="{208B3EB4-835D-45B0-9E39-B30F609E98E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54</xdr:col>
      <xdr:colOff>381000</xdr:colOff>
      <xdr:row>0</xdr:row>
      <xdr:rowOff>361950</xdr:rowOff>
    </xdr:from>
    <xdr:to>
      <xdr:col>62</xdr:col>
      <xdr:colOff>16426</xdr:colOff>
      <xdr:row>1</xdr:row>
      <xdr:rowOff>371070</xdr:rowOff>
    </xdr:to>
    <xdr:graphicFrame macro="">
      <xdr:nvGraphicFramePr>
        <xdr:cNvPr id="12" name="ChartRecovered">
          <a:extLst>
            <a:ext uri="{FF2B5EF4-FFF2-40B4-BE49-F238E27FC236}">
              <a16:creationId xmlns:a16="http://schemas.microsoft.com/office/drawing/2014/main" id="{D8E18906-40BC-4B88-9ED1-65A993CF3FF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47</xdr:col>
      <xdr:colOff>190500</xdr:colOff>
      <xdr:row>0</xdr:row>
      <xdr:rowOff>361950</xdr:rowOff>
    </xdr:from>
    <xdr:to>
      <xdr:col>54</xdr:col>
      <xdr:colOff>363809</xdr:colOff>
      <xdr:row>1</xdr:row>
      <xdr:rowOff>371070</xdr:rowOff>
    </xdr:to>
    <xdr:graphicFrame macro="">
      <xdr:nvGraphicFramePr>
        <xdr:cNvPr id="13" name="ChartDeaths">
          <a:extLst>
            <a:ext uri="{FF2B5EF4-FFF2-40B4-BE49-F238E27FC236}">
              <a16:creationId xmlns:a16="http://schemas.microsoft.com/office/drawing/2014/main" id="{A03F30D5-E214-4A90-BFD4-957D98BF0FF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62</xdr:col>
      <xdr:colOff>16566</xdr:colOff>
      <xdr:row>0</xdr:row>
      <xdr:rowOff>361950</xdr:rowOff>
    </xdr:from>
    <xdr:to>
      <xdr:col>69</xdr:col>
      <xdr:colOff>8282</xdr:colOff>
      <xdr:row>2</xdr:row>
      <xdr:rowOff>0</xdr:rowOff>
    </xdr:to>
    <xdr:graphicFrame macro="">
      <xdr:nvGraphicFramePr>
        <xdr:cNvPr id="5" name="ChartSelectedAccumulated">
          <a:extLst>
            <a:ext uri="{FF2B5EF4-FFF2-40B4-BE49-F238E27FC236}">
              <a16:creationId xmlns:a16="http://schemas.microsoft.com/office/drawing/2014/main" id="{CA07F936-2114-407A-9FF1-F2D8A1F66A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69</xdr:col>
      <xdr:colOff>0</xdr:colOff>
      <xdr:row>0</xdr:row>
      <xdr:rowOff>361950</xdr:rowOff>
    </xdr:from>
    <xdr:to>
      <xdr:col>75</xdr:col>
      <xdr:colOff>525116</xdr:colOff>
      <xdr:row>2</xdr:row>
      <xdr:rowOff>0</xdr:rowOff>
    </xdr:to>
    <xdr:graphicFrame macro="">
      <xdr:nvGraphicFramePr>
        <xdr:cNvPr id="10" name="ChartSelectedDaily">
          <a:extLst>
            <a:ext uri="{FF2B5EF4-FFF2-40B4-BE49-F238E27FC236}">
              <a16:creationId xmlns:a16="http://schemas.microsoft.com/office/drawing/2014/main" id="{71F468F6-9784-45BE-B095-D29EDF39C5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76</xdr:col>
      <xdr:colOff>0</xdr:colOff>
      <xdr:row>0</xdr:row>
      <xdr:rowOff>361950</xdr:rowOff>
    </xdr:from>
    <xdr:to>
      <xdr:col>82</xdr:col>
      <xdr:colOff>525116</xdr:colOff>
      <xdr:row>2</xdr:row>
      <xdr:rowOff>0</xdr:rowOff>
    </xdr:to>
    <xdr:graphicFrame macro="">
      <xdr:nvGraphicFramePr>
        <xdr:cNvPr id="8" name="ChartDeathAndDoublingRate">
          <a:extLst>
            <a:ext uri="{FF2B5EF4-FFF2-40B4-BE49-F238E27FC236}">
              <a16:creationId xmlns:a16="http://schemas.microsoft.com/office/drawing/2014/main" id="{E61F3CC8-3F22-4C93-A878-0EEDC6642A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refreshOnLoad="1" connectionId="1" xr16:uid="{87788E78-8A1C-4F50-801A-E64966075210}" autoFormatId="16" applyNumberFormats="0" applyBorderFormats="0" applyFontFormats="0" applyPatternFormats="0" applyAlignmentFormats="0" applyWidthHeightFormats="0">
  <queryTableRefresh nextId="302">
    <queryTableFields count="98">
      <queryTableField id="204" name="Column1" tableColumnId="67"/>
      <queryTableField id="205" name="Column2" tableColumnId="68"/>
      <queryTableField id="206" name="Column5" tableColumnId="69"/>
      <queryTableField id="207" name="Column6" tableColumnId="70"/>
      <queryTableField id="208" name="Column7" tableColumnId="71"/>
      <queryTableField id="209" name="Column8" tableColumnId="72"/>
      <queryTableField id="210" name="Column9" tableColumnId="73"/>
      <queryTableField id="211" name="Column10" tableColumnId="74"/>
      <queryTableField id="212" name="Column11" tableColumnId="75"/>
      <queryTableField id="213" name="Column12" tableColumnId="76"/>
      <queryTableField id="214" name="Column13" tableColumnId="77"/>
      <queryTableField id="215" name="Column14" tableColumnId="78"/>
      <queryTableField id="216" name="Column15" tableColumnId="79"/>
      <queryTableField id="217" name="Column16" tableColumnId="80"/>
      <queryTableField id="218" name="Column17" tableColumnId="81"/>
      <queryTableField id="219" name="Column18" tableColumnId="82"/>
      <queryTableField id="220" name="Column19" tableColumnId="83"/>
      <queryTableField id="221" name="Column20" tableColumnId="84"/>
      <queryTableField id="222" name="Column21" tableColumnId="85"/>
      <queryTableField id="223" name="Column22" tableColumnId="86"/>
      <queryTableField id="224" name="Column23" tableColumnId="87"/>
      <queryTableField id="225" name="Column24" tableColumnId="88"/>
      <queryTableField id="226" name="Column25" tableColumnId="89"/>
      <queryTableField id="227" name="Column26" tableColumnId="90"/>
      <queryTableField id="228" name="Column27" tableColumnId="91"/>
      <queryTableField id="229" name="Column28" tableColumnId="92"/>
      <queryTableField id="230" name="Column29" tableColumnId="93"/>
      <queryTableField id="231" name="Column30" tableColumnId="94"/>
      <queryTableField id="232" name="Column31" tableColumnId="95"/>
      <queryTableField id="233" name="Column32" tableColumnId="96"/>
      <queryTableField id="234" name="Column33" tableColumnId="97"/>
      <queryTableField id="235" name="Column34" tableColumnId="98"/>
      <queryTableField id="236" name="Column35" tableColumnId="99"/>
      <queryTableField id="237" name="Column36" tableColumnId="100"/>
      <queryTableField id="238" name="Column37" tableColumnId="101"/>
      <queryTableField id="239" name="Column38" tableColumnId="102"/>
      <queryTableField id="240" name="Column39" tableColumnId="103"/>
      <queryTableField id="241" name="Column40" tableColumnId="104"/>
      <queryTableField id="242" name="Column41" tableColumnId="105"/>
      <queryTableField id="243" name="Column42" tableColumnId="106"/>
      <queryTableField id="244" name="Column43" tableColumnId="107"/>
      <queryTableField id="245" name="Column44" tableColumnId="108"/>
      <queryTableField id="246" name="Column45" tableColumnId="109"/>
      <queryTableField id="247" name="Column46" tableColumnId="110"/>
      <queryTableField id="248" name="Column47" tableColumnId="111"/>
      <queryTableField id="249" name="Column48" tableColumnId="112"/>
      <queryTableField id="250" name="Column49" tableColumnId="113"/>
      <queryTableField id="251" name="Column50" tableColumnId="114"/>
      <queryTableField id="252" name="Column51" tableColumnId="115"/>
      <queryTableField id="253" name="Column52" tableColumnId="116"/>
      <queryTableField id="254" name="Column53" tableColumnId="117"/>
      <queryTableField id="255" name="Column54" tableColumnId="118"/>
      <queryTableField id="256" name="Column55" tableColumnId="119"/>
      <queryTableField id="257" name="Column56" tableColumnId="120"/>
      <queryTableField id="258" name="Column57" tableColumnId="121"/>
      <queryTableField id="259" name="Column58" tableColumnId="122"/>
      <queryTableField id="260" name="Column59" tableColumnId="123"/>
      <queryTableField id="261" name="Column60" tableColumnId="124"/>
      <queryTableField id="262" name="Column61" tableColumnId="125"/>
      <queryTableField id="263" name="Column62" tableColumnId="126"/>
      <queryTableField id="264" name="Column63" tableColumnId="127"/>
      <queryTableField id="265" name="Column64" tableColumnId="128"/>
      <queryTableField id="266" name="Column65" tableColumnId="129"/>
      <queryTableField id="267" name="Column66" tableColumnId="130"/>
      <queryTableField id="268" name="Column67" tableColumnId="131"/>
      <queryTableField id="269" name="Column68" tableColumnId="132"/>
      <queryTableField id="270" name="Column69" tableColumnId="133"/>
      <queryTableField id="271" name="Column70" tableColumnId="134"/>
      <queryTableField id="272" name="Column71" tableColumnId="135"/>
      <queryTableField id="273" name="Column72" tableColumnId="136"/>
      <queryTableField id="274" name="Column73" tableColumnId="137"/>
      <queryTableField id="275" name="Column74" tableColumnId="138"/>
      <queryTableField id="276" name="Column75" tableColumnId="139"/>
      <queryTableField id="277" name="Column76" tableColumnId="140"/>
      <queryTableField id="278" name="Column77" tableColumnId="141"/>
      <queryTableField id="279" name="Column78" tableColumnId="142"/>
      <queryTableField id="280" name="Column79" tableColumnId="143"/>
      <queryTableField id="281" name="Column80" tableColumnId="144"/>
      <queryTableField id="282" name="Column81" tableColumnId="145"/>
      <queryTableField id="283" name="Column82" tableColumnId="146"/>
      <queryTableField id="284" name="Column83" tableColumnId="147"/>
      <queryTableField id="285" name="Column84" tableColumnId="148"/>
      <queryTableField id="286" name="Column85" tableColumnId="149"/>
      <queryTableField id="287" name="Column86" tableColumnId="150"/>
      <queryTableField id="288" name="Column87" tableColumnId="151"/>
      <queryTableField id="289" name="Column88" tableColumnId="152"/>
      <queryTableField id="290" name="Column89" tableColumnId="153"/>
      <queryTableField id="291" name="Column90" tableColumnId="154"/>
      <queryTableField id="292" name="Column91" tableColumnId="155"/>
      <queryTableField id="293" name="Column92" tableColumnId="156"/>
      <queryTableField id="294" name="Column93" tableColumnId="157"/>
      <queryTableField id="295" name="Column94" tableColumnId="158"/>
      <queryTableField id="296" name="Column95" tableColumnId="159"/>
      <queryTableField id="297" name="Column96" tableColumnId="160"/>
      <queryTableField id="298" name="Column97" tableColumnId="161"/>
      <queryTableField id="299" name="Column98" tableColumnId="162"/>
      <queryTableField id="300" name="Column99" tableColumnId="163"/>
      <queryTableField id="301" name="Column100" tableColumnId="164"/>
    </queryTableFields>
    <queryTableDeletedFields count="3">
      <deletedField name="3/22/20"/>
      <deletedField name="3/21/20"/>
      <deletedField name="3/22/20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2" xr16:uid="{2256F3F2-DE99-4628-9057-94BC0179B6A0}" autoFormatId="16" applyNumberFormats="0" applyBorderFormats="0" applyFontFormats="0" applyPatternFormats="0" applyAlignmentFormats="0" applyWidthHeightFormats="0">
  <queryTableRefresh nextId="165">
    <queryTableFields count="98">
      <queryTableField id="67" name="Column1" tableColumnId="67"/>
      <queryTableField id="68" name="Column2" tableColumnId="68"/>
      <queryTableField id="69" name="Column5" tableColumnId="69"/>
      <queryTableField id="70" name="Column6" tableColumnId="70"/>
      <queryTableField id="71" name="Column7" tableColumnId="71"/>
      <queryTableField id="72" name="Column8" tableColumnId="72"/>
      <queryTableField id="73" name="Column9" tableColumnId="73"/>
      <queryTableField id="74" name="Column10" tableColumnId="74"/>
      <queryTableField id="75" name="Column11" tableColumnId="75"/>
      <queryTableField id="76" name="Column12" tableColumnId="76"/>
      <queryTableField id="77" name="Column13" tableColumnId="77"/>
      <queryTableField id="78" name="Column14" tableColumnId="78"/>
      <queryTableField id="79" name="Column15" tableColumnId="79"/>
      <queryTableField id="80" name="Column16" tableColumnId="80"/>
      <queryTableField id="81" name="Column17" tableColumnId="81"/>
      <queryTableField id="82" name="Column18" tableColumnId="82"/>
      <queryTableField id="83" name="Column19" tableColumnId="83"/>
      <queryTableField id="84" name="Column20" tableColumnId="84"/>
      <queryTableField id="85" name="Column21" tableColumnId="85"/>
      <queryTableField id="86" name="Column22" tableColumnId="86"/>
      <queryTableField id="87" name="Column23" tableColumnId="87"/>
      <queryTableField id="88" name="Column24" tableColumnId="88"/>
      <queryTableField id="89" name="Column25" tableColumnId="89"/>
      <queryTableField id="90" name="Column26" tableColumnId="90"/>
      <queryTableField id="91" name="Column27" tableColumnId="91"/>
      <queryTableField id="92" name="Column28" tableColumnId="92"/>
      <queryTableField id="93" name="Column29" tableColumnId="93"/>
      <queryTableField id="94" name="Column30" tableColumnId="94"/>
      <queryTableField id="95" name="Column31" tableColumnId="95"/>
      <queryTableField id="96" name="Column32" tableColumnId="96"/>
      <queryTableField id="97" name="Column33" tableColumnId="97"/>
      <queryTableField id="98" name="Column34" tableColumnId="98"/>
      <queryTableField id="99" name="Column35" tableColumnId="99"/>
      <queryTableField id="100" name="Column36" tableColumnId="100"/>
      <queryTableField id="101" name="Column37" tableColumnId="101"/>
      <queryTableField id="102" name="Column38" tableColumnId="102"/>
      <queryTableField id="103" name="Column39" tableColumnId="103"/>
      <queryTableField id="104" name="Column40" tableColumnId="104"/>
      <queryTableField id="105" name="Column41" tableColumnId="105"/>
      <queryTableField id="106" name="Column42" tableColumnId="106"/>
      <queryTableField id="107" name="Column43" tableColumnId="107"/>
      <queryTableField id="108" name="Column44" tableColumnId="108"/>
      <queryTableField id="109" name="Column45" tableColumnId="109"/>
      <queryTableField id="110" name="Column46" tableColumnId="110"/>
      <queryTableField id="111" name="Column47" tableColumnId="111"/>
      <queryTableField id="112" name="Column48" tableColumnId="112"/>
      <queryTableField id="113" name="Column49" tableColumnId="113"/>
      <queryTableField id="114" name="Column50" tableColumnId="114"/>
      <queryTableField id="115" name="Column51" tableColumnId="115"/>
      <queryTableField id="116" name="Column52" tableColumnId="116"/>
      <queryTableField id="117" name="Column53" tableColumnId="117"/>
      <queryTableField id="118" name="Column54" tableColumnId="118"/>
      <queryTableField id="119" name="Column55" tableColumnId="119"/>
      <queryTableField id="120" name="Column56" tableColumnId="120"/>
      <queryTableField id="121" name="Column57" tableColumnId="121"/>
      <queryTableField id="122" name="Column58" tableColumnId="122"/>
      <queryTableField id="123" name="Column59" tableColumnId="123"/>
      <queryTableField id="124" name="Column60" tableColumnId="124"/>
      <queryTableField id="125" name="Column61" tableColumnId="125"/>
      <queryTableField id="126" name="Column62" tableColumnId="126"/>
      <queryTableField id="127" name="Column63" tableColumnId="127"/>
      <queryTableField id="128" name="Column64" tableColumnId="128"/>
      <queryTableField id="129" name="Column65" tableColumnId="129"/>
      <queryTableField id="130" name="Column66" tableColumnId="130"/>
      <queryTableField id="131" name="Column67" tableColumnId="131"/>
      <queryTableField id="132" name="Column68" tableColumnId="132"/>
      <queryTableField id="133" name="Column69" tableColumnId="133"/>
      <queryTableField id="134" name="Column70" tableColumnId="134"/>
      <queryTableField id="135" name="Column71" tableColumnId="135"/>
      <queryTableField id="136" name="Column72" tableColumnId="136"/>
      <queryTableField id="137" name="Column73" tableColumnId="137"/>
      <queryTableField id="138" name="Column74" tableColumnId="138"/>
      <queryTableField id="139" name="Column75" tableColumnId="139"/>
      <queryTableField id="140" name="Column76" tableColumnId="140"/>
      <queryTableField id="141" name="Column77" tableColumnId="141"/>
      <queryTableField id="142" name="Column78" tableColumnId="142"/>
      <queryTableField id="143" name="Column79" tableColumnId="143"/>
      <queryTableField id="144" name="Column80" tableColumnId="144"/>
      <queryTableField id="145" name="Column81" tableColumnId="145"/>
      <queryTableField id="146" name="Column82" tableColumnId="146"/>
      <queryTableField id="147" name="Column83" tableColumnId="147"/>
      <queryTableField id="148" name="Column84" tableColumnId="148"/>
      <queryTableField id="149" name="Column85" tableColumnId="149"/>
      <queryTableField id="150" name="Column86" tableColumnId="150"/>
      <queryTableField id="151" name="Column87" tableColumnId="151"/>
      <queryTableField id="152" name="Column88" tableColumnId="152"/>
      <queryTableField id="153" name="Column89" tableColumnId="153"/>
      <queryTableField id="154" name="Column90" tableColumnId="154"/>
      <queryTableField id="155" name="Column91" tableColumnId="155"/>
      <queryTableField id="156" name="Column92" tableColumnId="156"/>
      <queryTableField id="157" name="Column93" tableColumnId="157"/>
      <queryTableField id="158" name="Column94" tableColumnId="158"/>
      <queryTableField id="159" name="Column95" tableColumnId="159"/>
      <queryTableField id="160" name="Column96" tableColumnId="160"/>
      <queryTableField id="161" name="Column97" tableColumnId="161"/>
      <queryTableField id="162" name="Column98" tableColumnId="162"/>
      <queryTableField id="163" name="Column99" tableColumnId="163"/>
      <queryTableField id="164" name="Column100" tableColumnId="16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3" xr16:uid="{54C2C58C-61DB-4AD1-ADE0-D06467B9198A}" autoFormatId="16" applyNumberFormats="0" applyBorderFormats="0" applyFontFormats="0" applyPatternFormats="0" applyAlignmentFormats="0" applyWidthHeightFormats="0">
  <queryTableRefresh nextId="162">
    <queryTableFields count="98">
      <queryTableField id="64" name="Column1" tableColumnId="1"/>
      <queryTableField id="65" name="Column2" tableColumnId="2"/>
      <queryTableField id="66" name="Column5" tableColumnId="3"/>
      <queryTableField id="67" name="Column6" tableColumnId="4"/>
      <queryTableField id="68" name="Column7" tableColumnId="5"/>
      <queryTableField id="69" name="Column8" tableColumnId="6"/>
      <queryTableField id="70" name="Column9" tableColumnId="7"/>
      <queryTableField id="71" name="Column10" tableColumnId="8"/>
      <queryTableField id="72" name="Column11" tableColumnId="9"/>
      <queryTableField id="73" name="Column12" tableColumnId="10"/>
      <queryTableField id="74" name="Column13" tableColumnId="11"/>
      <queryTableField id="75" name="Column14" tableColumnId="12"/>
      <queryTableField id="76" name="Column15" tableColumnId="13"/>
      <queryTableField id="77" name="Column16" tableColumnId="14"/>
      <queryTableField id="78" name="Column17" tableColumnId="15"/>
      <queryTableField id="79" name="Column18" tableColumnId="16"/>
      <queryTableField id="80" name="Column19" tableColumnId="17"/>
      <queryTableField id="81" name="Column20" tableColumnId="18"/>
      <queryTableField id="82" name="Column21" tableColumnId="19"/>
      <queryTableField id="83" name="Column22" tableColumnId="20"/>
      <queryTableField id="84" name="Column23" tableColumnId="21"/>
      <queryTableField id="85" name="Column24" tableColumnId="22"/>
      <queryTableField id="86" name="Column25" tableColumnId="23"/>
      <queryTableField id="87" name="Column26" tableColumnId="24"/>
      <queryTableField id="88" name="Column27" tableColumnId="25"/>
      <queryTableField id="89" name="Column28" tableColumnId="26"/>
      <queryTableField id="90" name="Column29" tableColumnId="27"/>
      <queryTableField id="91" name="Column30" tableColumnId="28"/>
      <queryTableField id="92" name="Column31" tableColumnId="29"/>
      <queryTableField id="93" name="Column32" tableColumnId="30"/>
      <queryTableField id="94" name="Column33" tableColumnId="31"/>
      <queryTableField id="95" name="Column34" tableColumnId="32"/>
      <queryTableField id="96" name="Column35" tableColumnId="33"/>
      <queryTableField id="97" name="Column36" tableColumnId="34"/>
      <queryTableField id="98" name="Column37" tableColumnId="35"/>
      <queryTableField id="99" name="Column38" tableColumnId="36"/>
      <queryTableField id="100" name="Column39" tableColumnId="37"/>
      <queryTableField id="101" name="Column40" tableColumnId="38"/>
      <queryTableField id="102" name="Column41" tableColumnId="39"/>
      <queryTableField id="103" name="Column42" tableColumnId="40"/>
      <queryTableField id="104" name="Column43" tableColumnId="41"/>
      <queryTableField id="105" name="Column44" tableColumnId="42"/>
      <queryTableField id="106" name="Column45" tableColumnId="43"/>
      <queryTableField id="107" name="Column46" tableColumnId="44"/>
      <queryTableField id="108" name="Column47" tableColumnId="45"/>
      <queryTableField id="109" name="Column48" tableColumnId="46"/>
      <queryTableField id="110" name="Column49" tableColumnId="47"/>
      <queryTableField id="111" name="Column50" tableColumnId="48"/>
      <queryTableField id="112" name="Column51" tableColumnId="49"/>
      <queryTableField id="113" name="Column52" tableColumnId="50"/>
      <queryTableField id="114" name="Column53" tableColumnId="51"/>
      <queryTableField id="115" name="Column54" tableColumnId="52"/>
      <queryTableField id="116" name="Column55" tableColumnId="53"/>
      <queryTableField id="117" name="Column56" tableColumnId="54"/>
      <queryTableField id="118" name="Column57" tableColumnId="55"/>
      <queryTableField id="119" name="Column58" tableColumnId="56"/>
      <queryTableField id="120" name="Column59" tableColumnId="57"/>
      <queryTableField id="121" name="Column60" tableColumnId="58"/>
      <queryTableField id="122" name="Column61" tableColumnId="59"/>
      <queryTableField id="123" name="Column62" tableColumnId="60"/>
      <queryTableField id="124" name="Column63" tableColumnId="61"/>
      <queryTableField id="125" name="Column64" tableColumnId="62"/>
      <queryTableField id="126" name="Column65" tableColumnId="63"/>
      <queryTableField id="127" name="Column66" tableColumnId="64"/>
      <queryTableField id="128" name="Column67" tableColumnId="65"/>
      <queryTableField id="129" name="Column68" tableColumnId="66"/>
      <queryTableField id="130" name="Column69" tableColumnId="67"/>
      <queryTableField id="131" name="Column70" tableColumnId="68"/>
      <queryTableField id="132" name="Column71" tableColumnId="69"/>
      <queryTableField id="133" name="Column72" tableColumnId="70"/>
      <queryTableField id="134" name="Column73" tableColumnId="71"/>
      <queryTableField id="135" name="Column74" tableColumnId="72"/>
      <queryTableField id="136" name="Column75" tableColumnId="73"/>
      <queryTableField id="137" name="Column76" tableColumnId="74"/>
      <queryTableField id="138" name="Column77" tableColumnId="75"/>
      <queryTableField id="139" name="Column78" tableColumnId="76"/>
      <queryTableField id="140" name="Column79" tableColumnId="77"/>
      <queryTableField id="141" name="Column80" tableColumnId="78"/>
      <queryTableField id="142" name="Column81" tableColumnId="79"/>
      <queryTableField id="143" name="Column82" tableColumnId="80"/>
      <queryTableField id="144" name="Column83" tableColumnId="81"/>
      <queryTableField id="145" name="Column84" tableColumnId="82"/>
      <queryTableField id="146" name="Column85" tableColumnId="83"/>
      <queryTableField id="147" name="Column86" tableColumnId="84"/>
      <queryTableField id="148" name="Column87" tableColumnId="85"/>
      <queryTableField id="149" name="Column88" tableColumnId="86"/>
      <queryTableField id="150" name="Column89" tableColumnId="87"/>
      <queryTableField id="151" name="Column90" tableColumnId="88"/>
      <queryTableField id="152" name="Column91" tableColumnId="89"/>
      <queryTableField id="153" name="Column92" tableColumnId="90"/>
      <queryTableField id="154" name="Column93" tableColumnId="91"/>
      <queryTableField id="155" name="Column94" tableColumnId="92"/>
      <queryTableField id="156" name="Column95" tableColumnId="93"/>
      <queryTableField id="157" name="Column96" tableColumnId="94"/>
      <queryTableField id="158" name="Column97" tableColumnId="95"/>
      <queryTableField id="159" name="Column98" tableColumnId="96"/>
      <queryTableField id="160" name="Column99" tableColumnId="97"/>
      <queryTableField id="161" name="Column100" tableColumnId="9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0C519B-E342-427A-8522-F8F9B1CEB269}" name="Tabelle2" displayName="Tabelle2" ref="A15:CE22" totalsRowShown="0" headerRowDxfId="270" dataDxfId="268" headerRowBorderDxfId="269" tableBorderDxfId="267" totalsRowBorderDxfId="266">
  <autoFilter ref="A15:CE22" xr:uid="{479694DE-0E9C-41A7-946D-48560B0B3579}"/>
  <tableColumns count="83">
    <tableColumn id="2" xr3:uid="{C453FAE5-63DB-4A22-8C0E-1DC6C9518C2A}" name="Country/Region" dataDxfId="265"/>
    <tableColumn id="3" xr3:uid="{A7A21713-F1DE-4AA5-92C7-957354E4D421}" name="22.1" dataDxfId="264">
      <calculatedColumnFormula>SUMIF(RAW_Cases!$B:$B,Tabelle2[[#This Row],[Country/Region]],RAW_Cases!C:C)</calculatedColumnFormula>
    </tableColumn>
    <tableColumn id="4" xr3:uid="{857167DE-1947-408C-B65D-7ACB1505E8E1}" name="23.1" dataDxfId="263">
      <calculatedColumnFormula>SUMIF(RAW_Cases!$B:$B,Tabelle2[[#This Row],[Country/Region]],RAW_Cases!D:D)</calculatedColumnFormula>
    </tableColumn>
    <tableColumn id="5" xr3:uid="{F8E78670-3EF7-456A-89A0-03D9ACF0EC4C}" name="24.1" dataDxfId="262">
      <calculatedColumnFormula>SUMIF(RAW_Cases!$B:$B,Tabelle2[[#This Row],[Country/Region]],RAW_Cases!E:E)</calculatedColumnFormula>
    </tableColumn>
    <tableColumn id="6" xr3:uid="{30522FF7-3A42-424B-A134-D3C14528DDBF}" name="25.1" dataDxfId="261">
      <calculatedColumnFormula>SUMIF(RAW_Cases!$B:$B,Tabelle2[[#This Row],[Country/Region]],RAW_Cases!F:F)</calculatedColumnFormula>
    </tableColumn>
    <tableColumn id="7" xr3:uid="{3CCBCA53-F3D1-46D3-92D0-B627B8ED5FD2}" name="26.1" dataDxfId="260">
      <calculatedColumnFormula>SUMIF(RAW_Cases!$B:$B,Tabelle2[[#This Row],[Country/Region]],RAW_Cases!G:G)</calculatedColumnFormula>
    </tableColumn>
    <tableColumn id="8" xr3:uid="{4BC5C632-1874-4C99-8205-270324B3DFB0}" name="27.1" dataDxfId="259">
      <calculatedColumnFormula>SUMIF(RAW_Cases!$B:$B,Tabelle2[[#This Row],[Country/Region]],RAW_Cases!H:H)</calculatedColumnFormula>
    </tableColumn>
    <tableColumn id="9" xr3:uid="{62F11B24-A322-4576-816F-EAB1D8B93829}" name="28.1" dataDxfId="258">
      <calculatedColumnFormula>SUMIF(RAW_Cases!$B:$B,Tabelle2[[#This Row],[Country/Region]],RAW_Cases!I:I)</calculatedColumnFormula>
    </tableColumn>
    <tableColumn id="10" xr3:uid="{6B869DF8-90AB-45DC-8C8C-B336B68D8EFA}" name="29.1" dataDxfId="257">
      <calculatedColumnFormula>SUMIF(RAW_Cases!$B:$B,Tabelle2[[#This Row],[Country/Region]],RAW_Cases!J:J)</calculatedColumnFormula>
    </tableColumn>
    <tableColumn id="11" xr3:uid="{468B4A4E-6FAC-4EC0-8969-1BA4CDD7F04E}" name="30.1" dataDxfId="256">
      <calculatedColumnFormula>SUMIF(RAW_Cases!$B:$B,Tabelle2[[#This Row],[Country/Region]],RAW_Cases!K:K)</calculatedColumnFormula>
    </tableColumn>
    <tableColumn id="12" xr3:uid="{E06B9B5C-E00A-4012-96D0-0D27233C08E9}" name="31.1" dataDxfId="255">
      <calculatedColumnFormula>SUMIF(RAW_Cases!$B:$B,Tabelle2[[#This Row],[Country/Region]],RAW_Cases!L:L)</calculatedColumnFormula>
    </tableColumn>
    <tableColumn id="13" xr3:uid="{EEC40170-2309-45AF-B0AD-F00A34E177E0}" name="1.2" dataDxfId="254">
      <calculatedColumnFormula>SUMIF(RAW_Cases!$B:$B,Tabelle2[[#This Row],[Country/Region]],RAW_Cases!M:M)</calculatedColumnFormula>
    </tableColumn>
    <tableColumn id="14" xr3:uid="{4304D166-9286-48CA-A410-A61DEA20BF97}" name="2.2" dataDxfId="253">
      <calculatedColumnFormula>SUMIF(RAW_Cases!$B:$B,Tabelle2[[#This Row],[Country/Region]],RAW_Cases!N:N)</calculatedColumnFormula>
    </tableColumn>
    <tableColumn id="15" xr3:uid="{35D37D9C-8B23-4BBC-AE75-BB30F782CA6C}" name="3.2" dataDxfId="252">
      <calculatedColumnFormula>SUMIF(RAW_Cases!$B:$B,Tabelle2[[#This Row],[Country/Region]],RAW_Cases!O:O)</calculatedColumnFormula>
    </tableColumn>
    <tableColumn id="16" xr3:uid="{EE8CEEA8-E965-4ED8-81C0-177817AB2F34}" name="4.2" dataDxfId="251">
      <calculatedColumnFormula>SUMIF(RAW_Cases!$B:$B,Tabelle2[[#This Row],[Country/Region]],RAW_Cases!P:P)</calculatedColumnFormula>
    </tableColumn>
    <tableColumn id="17" xr3:uid="{F316B922-983F-46FA-AC84-5C6BBC346B82}" name="5.2" dataDxfId="250">
      <calculatedColumnFormula>SUMIF(RAW_Cases!$B:$B,Tabelle2[[#This Row],[Country/Region]],RAW_Cases!Q:Q)</calculatedColumnFormula>
    </tableColumn>
    <tableColumn id="18" xr3:uid="{1ADBF8D9-0DE0-4AE3-AC61-6F4D87559F36}" name="6.2" dataDxfId="249">
      <calculatedColumnFormula>SUMIF(RAW_Cases!$B:$B,Tabelle2[[#This Row],[Country/Region]],RAW_Cases!R:R)</calculatedColumnFormula>
    </tableColumn>
    <tableColumn id="19" xr3:uid="{F0EE1986-6262-41EC-9B01-ED94DE053880}" name="7.2" dataDxfId="248">
      <calculatedColumnFormula>SUMIF(RAW_Cases!$B:$B,Tabelle2[[#This Row],[Country/Region]],RAW_Cases!S:S)</calculatedColumnFormula>
    </tableColumn>
    <tableColumn id="20" xr3:uid="{BEECEFAD-95FA-4B00-B78A-520A3DAA28FA}" name="8.2" dataDxfId="247">
      <calculatedColumnFormula>SUMIF(RAW_Cases!$B:$B,Tabelle2[[#This Row],[Country/Region]],RAW_Cases!T:T)</calculatedColumnFormula>
    </tableColumn>
    <tableColumn id="21" xr3:uid="{E861DB2B-D53C-4E5D-8872-AE159D48BEA5}" name="9.2" dataDxfId="246">
      <calculatedColumnFormula>SUMIF(RAW_Cases!$B:$B,Tabelle2[[#This Row],[Country/Region]],RAW_Cases!U:U)</calculatedColumnFormula>
    </tableColumn>
    <tableColumn id="22" xr3:uid="{A0CD3BDA-F932-44BF-8937-6116FB10349D}" name="10.2" dataDxfId="245">
      <calculatedColumnFormula>SUMIF(RAW_Cases!$B:$B,Tabelle2[[#This Row],[Country/Region]],RAW_Cases!V:V)</calculatedColumnFormula>
    </tableColumn>
    <tableColumn id="23" xr3:uid="{4E78FC45-437D-4610-B0B9-ABF3697956C9}" name="11.2" dataDxfId="244">
      <calculatedColumnFormula>SUMIF(RAW_Cases!$B:$B,Tabelle2[[#This Row],[Country/Region]],RAW_Cases!W:W)</calculatedColumnFormula>
    </tableColumn>
    <tableColumn id="24" xr3:uid="{BBF9B2CB-D34C-44CD-B109-131EF7F46A2E}" name="12.2" dataDxfId="243">
      <calculatedColumnFormula>SUMIF(RAW_Cases!$B:$B,Tabelle2[[#This Row],[Country/Region]],RAW_Cases!X:X)</calculatedColumnFormula>
    </tableColumn>
    <tableColumn id="25" xr3:uid="{9AC1C4CA-612A-47AC-978F-F763432503C0}" name="13.2" dataDxfId="242">
      <calculatedColumnFormula>SUMIF(RAW_Cases!$B:$B,Tabelle2[[#This Row],[Country/Region]],RAW_Cases!Y:Y)</calculatedColumnFormula>
    </tableColumn>
    <tableColumn id="26" xr3:uid="{29217B99-878E-4CB4-84CA-83B0F53B1D7B}" name="14.2" dataDxfId="241">
      <calculatedColumnFormula>SUMIF(RAW_Cases!$B:$B,Tabelle2[[#This Row],[Country/Region]],RAW_Cases!Z:Z)</calculatedColumnFormula>
    </tableColumn>
    <tableColumn id="27" xr3:uid="{86DE7BC2-5874-46D2-B09A-70082EE444AE}" name="15.2" dataDxfId="240">
      <calculatedColumnFormula>SUMIF(RAW_Cases!$B:$B,Tabelle2[[#This Row],[Country/Region]],RAW_Cases!AA:AA)</calculatedColumnFormula>
    </tableColumn>
    <tableColumn id="28" xr3:uid="{54FD4E5F-0D98-4662-8EFC-3DC6F691EE8E}" name="16.2" dataDxfId="239">
      <calculatedColumnFormula>SUMIF(RAW_Cases!$B:$B,Tabelle2[[#This Row],[Country/Region]],RAW_Cases!AB:AB)</calculatedColumnFormula>
    </tableColumn>
    <tableColumn id="29" xr3:uid="{B3D8BAA6-6220-4304-8219-20AF5563261D}" name="17.2" dataDxfId="238">
      <calculatedColumnFormula>SUMIF(RAW_Cases!$B:$B,Tabelle2[[#This Row],[Country/Region]],RAW_Cases!AC:AC)</calculatedColumnFormula>
    </tableColumn>
    <tableColumn id="30" xr3:uid="{0B418855-15A7-46C3-AD8E-00D70EF80311}" name="18.2" dataDxfId="237">
      <calculatedColumnFormula>SUMIF(RAW_Cases!$B:$B,Tabelle2[[#This Row],[Country/Region]],RAW_Cases!AD:AD)</calculatedColumnFormula>
    </tableColumn>
    <tableColumn id="31" xr3:uid="{8FA01BB9-7CDD-46A8-8FA3-49EF6CC84D0C}" name="19.2" dataDxfId="236">
      <calculatedColumnFormula>SUMIF(RAW_Cases!$B:$B,Tabelle2[[#This Row],[Country/Region]],RAW_Cases!AE:AE)</calculatedColumnFormula>
    </tableColumn>
    <tableColumn id="32" xr3:uid="{EF4EC6F7-0B68-4801-98D9-D5E1C39672FE}" name="20.2" dataDxfId="235">
      <calculatedColumnFormula>SUMIF(RAW_Cases!$B:$B,Tabelle2[[#This Row],[Country/Region]],RAW_Cases!AF:AF)</calculatedColumnFormula>
    </tableColumn>
    <tableColumn id="33" xr3:uid="{3BF86F5F-C9A4-4082-950B-04860B40E267}" name="21.2" dataDxfId="234">
      <calculatedColumnFormula>SUMIF(RAW_Cases!$B:$B,Tabelle2[[#This Row],[Country/Region]],RAW_Cases!AG:AG)</calculatedColumnFormula>
    </tableColumn>
    <tableColumn id="34" xr3:uid="{763ACDFD-2220-41E9-93C9-18E250F0B944}" name="22.2" dataDxfId="233">
      <calculatedColumnFormula>SUMIF(RAW_Cases!$B:$B,Tabelle2[[#This Row],[Country/Region]],RAW_Cases!AH:AH)</calculatedColumnFormula>
    </tableColumn>
    <tableColumn id="35" xr3:uid="{AE3DD834-997E-4BA7-8512-27E96EC15D9B}" name="23.2" dataDxfId="232">
      <calculatedColumnFormula>SUMIF(RAW_Cases!$B:$B,Tabelle2[[#This Row],[Country/Region]],RAW_Cases!AI:AI)</calculatedColumnFormula>
    </tableColumn>
    <tableColumn id="36" xr3:uid="{14B4DC24-1B3B-4F00-BAC0-47C022FB80E6}" name="24.2" dataDxfId="231">
      <calculatedColumnFormula>SUMIF(RAW_Cases!$B:$B,Tabelle2[[#This Row],[Country/Region]],RAW_Cases!AJ:AJ)</calculatedColumnFormula>
    </tableColumn>
    <tableColumn id="37" xr3:uid="{A42C1730-53DC-4038-8480-8C88B335E8C0}" name="25.2" dataDxfId="230">
      <calculatedColumnFormula>SUMIF(RAW_Cases!$B:$B,Tabelle2[[#This Row],[Country/Region]],RAW_Cases!AK:AK)</calculatedColumnFormula>
    </tableColumn>
    <tableColumn id="38" xr3:uid="{21835C47-59F8-4C33-802E-FBA766060E33}" name="26.2" dataDxfId="229">
      <calculatedColumnFormula>SUMIF(RAW_Cases!$B:$B,Tabelle2[[#This Row],[Country/Region]],RAW_Cases!AL:AL)</calculatedColumnFormula>
    </tableColumn>
    <tableColumn id="39" xr3:uid="{48BBE566-99A9-4EBA-B658-8EB79DCEF6F2}" name="27.2" dataDxfId="228">
      <calculatedColumnFormula>SUMIF(RAW_Cases!$B:$B,Tabelle2[[#This Row],[Country/Region]],RAW_Cases!AM:AM)</calculatedColumnFormula>
    </tableColumn>
    <tableColumn id="40" xr3:uid="{A391A52C-0565-4D34-8010-C20DB6BC9A10}" name="28.2" dataDxfId="227">
      <calculatedColumnFormula>SUMIF(RAW_Cases!$B:$B,Tabelle2[[#This Row],[Country/Region]],RAW_Cases!AN:AN)</calculatedColumnFormula>
    </tableColumn>
    <tableColumn id="41" xr3:uid="{57470AC0-DF33-43AC-AD21-19A367C9F2F7}" name="29.2" dataDxfId="226">
      <calculatedColumnFormula>SUMIF(RAW_Cases!$B:$B,Tabelle2[[#This Row],[Country/Region]],RAW_Cases!AO:AO)</calculatedColumnFormula>
    </tableColumn>
    <tableColumn id="42" xr3:uid="{87EAFAE8-73AE-422F-832B-A45D4B83666C}" name="1.3" dataDxfId="225">
      <calculatedColumnFormula>SUMIF(RAW_Cases!$B:$B,Tabelle2[[#This Row],[Country/Region]],RAW_Cases!AP:AP)</calculatedColumnFormula>
    </tableColumn>
    <tableColumn id="43" xr3:uid="{D33D560D-F2B4-476D-8131-145B72080C42}" name="2.3" dataDxfId="224">
      <calculatedColumnFormula>SUMIF(RAW_Cases!$B:$B,Tabelle2[[#This Row],[Country/Region]],RAW_Cases!AQ:AQ)</calculatedColumnFormula>
    </tableColumn>
    <tableColumn id="44" xr3:uid="{F07CBCF8-4AF6-4E59-B2C8-58241A9AD7A1}" name="3.3" dataDxfId="223">
      <calculatedColumnFormula>SUMIF(RAW_Cases!$B:$B,Tabelle2[[#This Row],[Country/Region]],RAW_Cases!AR:AR)</calculatedColumnFormula>
    </tableColumn>
    <tableColumn id="45" xr3:uid="{0424FA57-083E-4E64-A357-78FFE4B7B991}" name="4.3" dataDxfId="222">
      <calculatedColumnFormula>SUMIF(RAW_Cases!$B:$B,Tabelle2[[#This Row],[Country/Region]],RAW_Cases!AS:AS)</calculatedColumnFormula>
    </tableColumn>
    <tableColumn id="46" xr3:uid="{D6B74AD6-4F2D-4523-ADAD-90F91BF09FF9}" name="5.3" dataDxfId="221">
      <calculatedColumnFormula>SUMIF(RAW_Cases!$B:$B,Tabelle2[[#This Row],[Country/Region]],RAW_Cases!AT:AT)</calculatedColumnFormula>
    </tableColumn>
    <tableColumn id="47" xr3:uid="{5D1A4FC6-B397-4745-990A-4FCA60F9ADF1}" name="6.3" dataDxfId="220">
      <calculatedColumnFormula>SUMIF(RAW_Cases!$B:$B,Tabelle2[[#This Row],[Country/Region]],RAW_Cases!AU:AU)</calculatedColumnFormula>
    </tableColumn>
    <tableColumn id="48" xr3:uid="{FAB4A4C9-71A6-4530-AB3B-6545215C2DBC}" name="7.3" dataDxfId="219">
      <calculatedColumnFormula>SUMIF(RAW_Cases!$B:$B,Tabelle2[[#This Row],[Country/Region]],RAW_Cases!AV:AV)</calculatedColumnFormula>
    </tableColumn>
    <tableColumn id="49" xr3:uid="{60F98284-C2DB-4E68-AFAA-EA8D22BE38E1}" name="8.3" dataDxfId="218">
      <calculatedColumnFormula>SUMIF(RAW_Cases!$B:$B,Tabelle2[[#This Row],[Country/Region]],RAW_Cases!AW:AW)</calculatedColumnFormula>
    </tableColumn>
    <tableColumn id="50" xr3:uid="{6F813D42-3E92-43FD-AD8F-FE34D5AA3055}" name="9.3" dataDxfId="217">
      <calculatedColumnFormula>SUMIF(RAW_Cases!$B:$B,Tabelle2[[#This Row],[Country/Region]],RAW_Cases!AX:AX)</calculatedColumnFormula>
    </tableColumn>
    <tableColumn id="51" xr3:uid="{E677F887-9B0A-4658-9AB5-382D9300753E}" name="10.3" dataDxfId="216">
      <calculatedColumnFormula>SUMIF(RAW_Cases!$B:$B,Tabelle2[[#This Row],[Country/Region]],RAW_Cases!AY:AY)</calculatedColumnFormula>
    </tableColumn>
    <tableColumn id="52" xr3:uid="{8069B84E-7D4E-46F3-999C-BCC35E817D70}" name="11.3" dataDxfId="215">
      <calculatedColumnFormula>SUMIF(RAW_Cases!$B:$B,Tabelle2[[#This Row],[Country/Region]],RAW_Cases!AZ:AZ)</calculatedColumnFormula>
    </tableColumn>
    <tableColumn id="53" xr3:uid="{8C1A0CFC-6DE2-4897-9D54-DE3A3CFAC7E6}" name="12.3" dataDxfId="214">
      <calculatedColumnFormula>SUMIF(RAW_Cases!$B:$B,Tabelle2[[#This Row],[Country/Region]],RAW_Cases!BA:BA)</calculatedColumnFormula>
    </tableColumn>
    <tableColumn id="54" xr3:uid="{95DE7405-0ACD-470D-81F6-9F64AF2465A2}" name="13.3" dataDxfId="213">
      <calculatedColumnFormula>SUMIF(RAW_Cases!$B:$B,Tabelle2[[#This Row],[Country/Region]],RAW_Cases!BB:BB)</calculatedColumnFormula>
    </tableColumn>
    <tableColumn id="55" xr3:uid="{A40C9690-BAAD-48CF-8DB1-5933F317D0EE}" name="14.3" dataDxfId="212">
      <calculatedColumnFormula>SUMIF(RAW_Cases!$B:$B,Tabelle2[[#This Row],[Country/Region]],RAW_Cases!BC:BC)</calculatedColumnFormula>
    </tableColumn>
    <tableColumn id="56" xr3:uid="{4F0E91DE-E37C-48ED-A79D-4D60BE0A3D24}" name="15.3" dataDxfId="211">
      <calculatedColumnFormula>SUMIF(RAW_Cases!$B:$B,Tabelle2[[#This Row],[Country/Region]],RAW_Cases!BD:BD)</calculatedColumnFormula>
    </tableColumn>
    <tableColumn id="57" xr3:uid="{5ED81050-F8E4-445C-B8AB-FD9626AF5986}" name="16.3" dataDxfId="210">
      <calculatedColumnFormula>SUMIF(RAW_Cases!$B:$B,Tabelle2[[#This Row],[Country/Region]],RAW_Cases!BE:BE)</calculatedColumnFormula>
    </tableColumn>
    <tableColumn id="58" xr3:uid="{5910FC6A-ADE5-4E25-B71D-84A3D1CB106B}" name="17.3" dataDxfId="209">
      <calculatedColumnFormula>SUMIF(RAW_Cases!$B:$B,Tabelle2[[#This Row],[Country/Region]],RAW_Cases!BF:BF)</calculatedColumnFormula>
    </tableColumn>
    <tableColumn id="59" xr3:uid="{DA058AD8-6700-4554-855B-5A52532D8EF3}" name="18.3" dataDxfId="208">
      <calculatedColumnFormula>SUMIF(RAW_Cases!$B:$B,Tabelle2[[#This Row],[Country/Region]],RAW_Cases!BG:BG)</calculatedColumnFormula>
    </tableColumn>
    <tableColumn id="60" xr3:uid="{06D6999B-C32E-407D-972B-EBD6E100AD38}" name="19.3" dataDxfId="207">
      <calculatedColumnFormula>SUMIF(RAW_Cases!$B:$B,Tabelle2[[#This Row],[Country/Region]],RAW_Cases!BH:BH)</calculatedColumnFormula>
    </tableColumn>
    <tableColumn id="61" xr3:uid="{946BAECD-DD0E-4AD2-B118-D2CB7298228A}" name="20.3" dataDxfId="206">
      <calculatedColumnFormula>SUMIF(RAW_Cases!$B:$B,Tabelle2[[#This Row],[Country/Region]],RAW_Cases!BI:BI)</calculatedColumnFormula>
    </tableColumn>
    <tableColumn id="62" xr3:uid="{70184CB8-5161-449A-87F6-D694A525A3A3}" name="21.3" dataDxfId="205">
      <calculatedColumnFormula>SUMIF(RAW_Cases!$B:$B,Tabelle2[[#This Row],[Country/Region]],RAW_Cases!BJ:BJ)</calculatedColumnFormula>
    </tableColumn>
    <tableColumn id="351" xr3:uid="{16B5C153-95F4-4F4C-9B90-527502C5CF9F}" name="22.3" dataDxfId="204">
      <calculatedColumnFormula>SUMIF(RAW_Cases!$B:$B,Tabelle2[[#This Row],[Country/Region]],RAW_Cases!BK:BK)</calculatedColumnFormula>
    </tableColumn>
    <tableColumn id="352" xr3:uid="{AB1FD542-E831-4DF8-8992-43B10E0F107E}" name="23.3" dataDxfId="203">
      <calculatedColumnFormula>SUMIF(RAW_Cases!$B:$B,Tabelle2[[#This Row],[Country/Region]],RAW_Cases!BL:BL)</calculatedColumnFormula>
    </tableColumn>
    <tableColumn id="353" xr3:uid="{409E99E6-8167-43B3-9545-AFAC769916D2}" name="24.3" dataDxfId="202">
      <calculatedColumnFormula>SUMIF(RAW_Cases!$B:$B,Tabelle2[[#This Row],[Country/Region]],RAW_Cases!BM:BM)</calculatedColumnFormula>
    </tableColumn>
    <tableColumn id="354" xr3:uid="{35285EC4-AF01-45C6-8164-56173A1C2E0F}" name="25.3" dataDxfId="201">
      <calculatedColumnFormula>SUMIF(RAW_Cases!$B:$B,Tabelle2[[#This Row],[Country/Region]],RAW_Cases!BN:BN)</calculatedColumnFormula>
    </tableColumn>
    <tableColumn id="355" xr3:uid="{288192FA-096F-4B63-94DA-C8552B603185}" name="26.3" dataDxfId="200">
      <calculatedColumnFormula>SUMIF(RAW_Cases!$B:$B,Tabelle2[[#This Row],[Country/Region]],RAW_Cases!BO:BO)</calculatedColumnFormula>
    </tableColumn>
    <tableColumn id="356" xr3:uid="{D8243BF1-51E0-4022-8D25-2D772650ACD9}" name="27.3" dataDxfId="199">
      <calculatedColumnFormula>SUMIF(RAW_Cases!$B:$B,Tabelle2[[#This Row],[Country/Region]],RAW_Cases!BP:BP)</calculatedColumnFormula>
    </tableColumn>
    <tableColumn id="357" xr3:uid="{7D584CBF-FAC9-46DD-9F4D-D5AC6145098A}" name="28.3" dataDxfId="198">
      <calculatedColumnFormula>SUMIF(RAW_Cases!$B:$B,Tabelle2[[#This Row],[Country/Region]],RAW_Cases!BQ:BQ)</calculatedColumnFormula>
    </tableColumn>
    <tableColumn id="358" xr3:uid="{5F641188-9BD6-4963-BF24-281BC2A23043}" name="29.3" dataDxfId="197">
      <calculatedColumnFormula>SUMIF(RAW_Cases!$B:$B,Tabelle2[[#This Row],[Country/Region]],RAW_Cases!BR:BR)</calculatedColumnFormula>
    </tableColumn>
    <tableColumn id="359" xr3:uid="{F72EF6B9-5644-47F0-B570-412A491CF2D1}" name="30.3" dataDxfId="196">
      <calculatedColumnFormula>SUMIF(RAW_Cases!$B:$B,Tabelle2[[#This Row],[Country/Region]],RAW_Cases!BS:BS)</calculatedColumnFormula>
    </tableColumn>
    <tableColumn id="360" xr3:uid="{179C4372-D028-403D-8E6E-0DF448E255BC}" name="31.3" dataDxfId="195">
      <calculatedColumnFormula>SUMIF(RAW_Cases!$B:$B,Tabelle2[[#This Row],[Country/Region]],RAW_Cases!BT:BT)</calculatedColumnFormula>
    </tableColumn>
    <tableColumn id="361" xr3:uid="{8979ECCE-3E01-44A4-A29A-0BFCD8C6986B}" name="1.4" dataDxfId="194">
      <calculatedColumnFormula>SUMIF(RAW_Cases!$B:$B,Tabelle2[[#This Row],[Country/Region]],RAW_Cases!BU:BU)</calculatedColumnFormula>
    </tableColumn>
    <tableColumn id="362" xr3:uid="{AEF9AAD7-BD74-4F9E-91F6-5C39B12FF4B6}" name="2.4" dataDxfId="193">
      <calculatedColumnFormula>SUMIF(RAW_Cases!$B:$B,Tabelle2[[#This Row],[Country/Region]],RAW_Cases!BV:BV)</calculatedColumnFormula>
    </tableColumn>
    <tableColumn id="363" xr3:uid="{FB7F3F05-F205-48B2-825D-E0B6FC0BD5F0}" name="3.4" dataDxfId="192">
      <calculatedColumnFormula>SUMIF(RAW_Cases!$B:$B,Tabelle2[[#This Row],[Country/Region]],RAW_Cases!BW:BW)</calculatedColumnFormula>
    </tableColumn>
    <tableColumn id="364" xr3:uid="{BCA4B39D-E264-48B3-934E-CB186DF88E4C}" name="4.4" dataDxfId="191">
      <calculatedColumnFormula>SUMIF(RAW_Cases!$B:$B,Tabelle2[[#This Row],[Country/Region]],RAW_Cases!BX:BX)</calculatedColumnFormula>
    </tableColumn>
    <tableColumn id="365" xr3:uid="{B38D5038-BD9C-41E7-B0DF-A385C4AA6EB6}" name="5.4" dataDxfId="190">
      <calculatedColumnFormula>SUMIF(RAW_Cases!$B:$B,Tabelle2[[#This Row],[Country/Region]],RAW_Cases!BY:BY)</calculatedColumnFormula>
    </tableColumn>
    <tableColumn id="366" xr3:uid="{8017BA23-2AA0-4682-BC54-3E8CABC8FC85}" name="6.4" dataDxfId="189">
      <calculatedColumnFormula>SUMIF(RAW_Cases!$B:$B,Tabelle2[[#This Row],[Country/Region]],RAW_Cases!BZ:BZ)</calculatedColumnFormula>
    </tableColumn>
    <tableColumn id="367" xr3:uid="{7528B312-DD75-4CE6-997D-F699709C11DB}" name="7.4" dataDxfId="188">
      <calculatedColumnFormula>SUMIF(RAW_Cases!$B:$B,Tabelle2[[#This Row],[Country/Region]],RAW_Cases!CA:CA)</calculatedColumnFormula>
    </tableColumn>
    <tableColumn id="368" xr3:uid="{63C9228C-8FFB-43CD-B16E-8ECDF23307E8}" name="8.4" dataDxfId="187">
      <calculatedColumnFormula>SUMIF(RAW_Cases!$B:$B,Tabelle2[[#This Row],[Country/Region]],RAW_Cases!CB:CB)</calculatedColumnFormula>
    </tableColumn>
    <tableColumn id="369" xr3:uid="{733E940A-E721-438D-91D4-65557FB0B0E4}" name="9.4" dataDxfId="186">
      <calculatedColumnFormula>SUMIF(RAW_Cases!$B:$B,Tabelle2[[#This Row],[Country/Region]],RAW_Cases!CC:CC)</calculatedColumnFormula>
    </tableColumn>
    <tableColumn id="370" xr3:uid="{E52EFFEF-A96E-4A20-A457-A43749241658}" name="10.4" dataDxfId="185">
      <calculatedColumnFormula>SUMIF(RAW_Cases!$B:$B,Tabelle2[[#This Row],[Country/Region]],RAW_Cases!CD:CD)</calculatedColumnFormula>
    </tableColumn>
    <tableColumn id="371" xr3:uid="{4B815666-EE77-40EC-9857-4BF52B30078C}" name="11.4" dataDxfId="184">
      <calculatedColumnFormula>SUMIF(RAW_Cases!$B:$B,Tabelle2[[#This Row],[Country/Region]],RAW_Cases!CE:CE)</calculatedColumnFormula>
    </tableColumn>
    <tableColumn id="372" xr3:uid="{0CC670F7-1475-488A-BDC7-80E22A5E5294}" name="12.4" dataDxfId="183">
      <calculatedColumnFormula>SUMIF(RAW_Cases!$B:$B,Tabelle2[[#This Row],[Country/Region]],RAW_Cases!CF:CF)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AA220DA-26D0-4187-ABB8-66DD59F92706}" name="Tabelle28" displayName="Tabelle28" ref="A26:CE33" totalsRowShown="0" headerRowDxfId="182" dataDxfId="180" headerRowBorderDxfId="181" tableBorderDxfId="179" totalsRowBorderDxfId="178">
  <autoFilter ref="A26:CE33" xr:uid="{CE810C95-31BD-4D00-A6C4-74794F901D5E}"/>
  <tableColumns count="83">
    <tableColumn id="2" xr3:uid="{CF1A0C10-347C-489E-8BCB-4EDF0DB15BC7}" name="Country/Region" dataDxfId="177">
      <calculatedColumnFormula>IF(ISBLANK(A16),"",A16)</calculatedColumnFormula>
    </tableColumn>
    <tableColumn id="3" xr3:uid="{700C12F8-1A42-449F-98FA-DE64D91427EA}" name="22.1" dataDxfId="176">
      <calculatedColumnFormula>SUMIF(RAW_DEATHS!$B:$B,Tabelle28[[#This Row],[Country/Region]],RAW_DEATHS!C:C)</calculatedColumnFormula>
    </tableColumn>
    <tableColumn id="4" xr3:uid="{49D926BD-C8DF-4305-905B-2DE988E1D221}" name="23.1" dataDxfId="175">
      <calculatedColumnFormula>SUMIF(RAW_DEATHS!$B:$B,Tabelle28[[#This Row],[Country/Region]],RAW_DEATHS!D:D)</calculatedColumnFormula>
    </tableColumn>
    <tableColumn id="5" xr3:uid="{4233FA7A-DFB4-40E1-ACB9-EF4DCA5D2856}" name="24.1" dataDxfId="174">
      <calculatedColumnFormula>SUMIF(RAW_DEATHS!$B:$B,Tabelle28[[#This Row],[Country/Region]],RAW_DEATHS!E:E)</calculatedColumnFormula>
    </tableColumn>
    <tableColumn id="6" xr3:uid="{7BDF3EBD-6EBD-46A5-950A-67254E850B3B}" name="25.1" dataDxfId="173">
      <calculatedColumnFormula>SUMIF(RAW_DEATHS!$B:$B,Tabelle28[[#This Row],[Country/Region]],RAW_DEATHS!F:F)</calculatedColumnFormula>
    </tableColumn>
    <tableColumn id="7" xr3:uid="{B5FAAF7B-0E7F-47F7-BC4A-FB3F907EFA13}" name="26.1" dataDxfId="172">
      <calculatedColumnFormula>SUMIF(RAW_DEATHS!$B:$B,Tabelle28[[#This Row],[Country/Region]],RAW_DEATHS!G:G)</calculatedColumnFormula>
    </tableColumn>
    <tableColumn id="8" xr3:uid="{4FB381EB-DE9D-442F-813E-BDB9218B5B00}" name="27.1" dataDxfId="171">
      <calculatedColumnFormula>SUMIF(RAW_DEATHS!$B:$B,Tabelle28[[#This Row],[Country/Region]],RAW_DEATHS!H:H)</calculatedColumnFormula>
    </tableColumn>
    <tableColumn id="9" xr3:uid="{34A578D2-2D14-4749-A5E7-24B966051202}" name="28.1" dataDxfId="170">
      <calculatedColumnFormula>SUMIF(RAW_DEATHS!$B:$B,Tabelle28[[#This Row],[Country/Region]],RAW_DEATHS!I:I)</calculatedColumnFormula>
    </tableColumn>
    <tableColumn id="10" xr3:uid="{4A4F114D-7B45-4B4F-8F46-0E79CFFE5085}" name="29.1" dataDxfId="169">
      <calculatedColumnFormula>SUMIF(RAW_DEATHS!$B:$B,Tabelle28[[#This Row],[Country/Region]],RAW_DEATHS!J:J)</calculatedColumnFormula>
    </tableColumn>
    <tableColumn id="11" xr3:uid="{C91A39BC-D070-43AF-A214-0CC4EBD7F98A}" name="30.1" dataDxfId="168">
      <calculatedColumnFormula>SUMIF(RAW_DEATHS!$B:$B,Tabelle28[[#This Row],[Country/Region]],RAW_DEATHS!K:K)</calculatedColumnFormula>
    </tableColumn>
    <tableColumn id="12" xr3:uid="{3CE53426-066D-48EF-8473-0E890A53F7F5}" name="31.1" dataDxfId="167">
      <calculatedColumnFormula>SUMIF(RAW_DEATHS!$B:$B,Tabelle28[[#This Row],[Country/Region]],RAW_DEATHS!L:L)</calculatedColumnFormula>
    </tableColumn>
    <tableColumn id="13" xr3:uid="{4F0ED8A2-E507-4F51-BC97-C77A9EB7C88A}" name="1.2" dataDxfId="166">
      <calculatedColumnFormula>SUMIF(RAW_DEATHS!$B:$B,Tabelle28[[#This Row],[Country/Region]],RAW_DEATHS!M:M)</calculatedColumnFormula>
    </tableColumn>
    <tableColumn id="14" xr3:uid="{53E85650-535C-4E04-A8D9-865CA52DD32A}" name="2.2" dataDxfId="165">
      <calculatedColumnFormula>SUMIF(RAW_DEATHS!$B:$B,Tabelle28[[#This Row],[Country/Region]],RAW_DEATHS!N:N)</calculatedColumnFormula>
    </tableColumn>
    <tableColumn id="15" xr3:uid="{FCC26E11-6F00-4D9C-802B-9E94B33D3554}" name="3.2" dataDxfId="164">
      <calculatedColumnFormula>SUMIF(RAW_DEATHS!$B:$B,Tabelle28[[#This Row],[Country/Region]],RAW_DEATHS!O:O)</calculatedColumnFormula>
    </tableColumn>
    <tableColumn id="16" xr3:uid="{05FF9661-5588-4EF3-A4C6-19DDFAC26E9A}" name="4.2" dataDxfId="163">
      <calculatedColumnFormula>SUMIF(RAW_DEATHS!$B:$B,Tabelle28[[#This Row],[Country/Region]],RAW_DEATHS!P:P)</calculatedColumnFormula>
    </tableColumn>
    <tableColumn id="17" xr3:uid="{1599F1BD-7691-4E35-8922-F5E051635A23}" name="5.2" dataDxfId="162">
      <calculatedColumnFormula>SUMIF(RAW_DEATHS!$B:$B,Tabelle28[[#This Row],[Country/Region]],RAW_DEATHS!Q:Q)</calculatedColumnFormula>
    </tableColumn>
    <tableColumn id="18" xr3:uid="{6658B577-F452-48C8-828A-F09B6E34D98A}" name="6.2" dataDxfId="161">
      <calculatedColumnFormula>SUMIF(RAW_DEATHS!$B:$B,Tabelle28[[#This Row],[Country/Region]],RAW_DEATHS!R:R)</calculatedColumnFormula>
    </tableColumn>
    <tableColumn id="19" xr3:uid="{D1DD9DA3-3D71-4869-A0C9-AD569E66B677}" name="7.2" dataDxfId="160">
      <calculatedColumnFormula>SUMIF(RAW_DEATHS!$B:$B,Tabelle28[[#This Row],[Country/Region]],RAW_DEATHS!S:S)</calculatedColumnFormula>
    </tableColumn>
    <tableColumn id="20" xr3:uid="{10744F4B-70C3-484C-8731-E85914876D89}" name="8.2" dataDxfId="159">
      <calculatedColumnFormula>SUMIF(RAW_DEATHS!$B:$B,Tabelle28[[#This Row],[Country/Region]],RAW_DEATHS!T:T)</calculatedColumnFormula>
    </tableColumn>
    <tableColumn id="21" xr3:uid="{870B5D68-7341-4AA6-BF63-64D8B5C4C620}" name="9.2" dataDxfId="158">
      <calculatedColumnFormula>SUMIF(RAW_DEATHS!$B:$B,Tabelle28[[#This Row],[Country/Region]],RAW_DEATHS!U:U)</calculatedColumnFormula>
    </tableColumn>
    <tableColumn id="22" xr3:uid="{95EE1065-BF7E-49C4-85C6-BD933CD96E66}" name="10.2" dataDxfId="157">
      <calculatedColumnFormula>SUMIF(RAW_DEATHS!$B:$B,Tabelle28[[#This Row],[Country/Region]],RAW_DEATHS!V:V)</calculatedColumnFormula>
    </tableColumn>
    <tableColumn id="23" xr3:uid="{CFC5CEE7-CBCD-4653-A80C-9C42FBEA6CF4}" name="11.2" dataDxfId="156">
      <calculatedColumnFormula>SUMIF(RAW_DEATHS!$B:$B,Tabelle28[[#This Row],[Country/Region]],RAW_DEATHS!W:W)</calculatedColumnFormula>
    </tableColumn>
    <tableColumn id="24" xr3:uid="{7328B9F8-B25B-470D-BE10-A409343A9D9B}" name="12.2" dataDxfId="155">
      <calculatedColumnFormula>SUMIF(RAW_DEATHS!$B:$B,Tabelle28[[#This Row],[Country/Region]],RAW_DEATHS!X:X)</calculatedColumnFormula>
    </tableColumn>
    <tableColumn id="25" xr3:uid="{06818E91-74A5-4DCC-BD49-D25F0C8DFE6A}" name="13.2" dataDxfId="154">
      <calculatedColumnFormula>SUMIF(RAW_DEATHS!$B:$B,Tabelle28[[#This Row],[Country/Region]],RAW_DEATHS!Y:Y)</calculatedColumnFormula>
    </tableColumn>
    <tableColumn id="26" xr3:uid="{79ABE462-5A43-4D95-BD16-3BD90B27CB3D}" name="14.2" dataDxfId="153">
      <calculatedColumnFormula>SUMIF(RAW_DEATHS!$B:$B,Tabelle28[[#This Row],[Country/Region]],RAW_DEATHS!Z:Z)</calculatedColumnFormula>
    </tableColumn>
    <tableColumn id="27" xr3:uid="{BB22EF78-522A-4F24-AED3-AD6D7035AEA1}" name="15.2" dataDxfId="152">
      <calculatedColumnFormula>SUMIF(RAW_DEATHS!$B:$B,Tabelle28[[#This Row],[Country/Region]],RAW_DEATHS!AA:AA)</calculatedColumnFormula>
    </tableColumn>
    <tableColumn id="28" xr3:uid="{9BA02568-AC3D-4223-9EE5-3FBD03015576}" name="16.2" dataDxfId="151">
      <calculatedColumnFormula>SUMIF(RAW_DEATHS!$B:$B,Tabelle28[[#This Row],[Country/Region]],RAW_DEATHS!AB:AB)</calculatedColumnFormula>
    </tableColumn>
    <tableColumn id="29" xr3:uid="{04874829-3081-4420-AA9F-4AC07AD39AEF}" name="17.2" dataDxfId="150">
      <calculatedColumnFormula>SUMIF(RAW_DEATHS!$B:$B,Tabelle28[[#This Row],[Country/Region]],RAW_DEATHS!AC:AC)</calculatedColumnFormula>
    </tableColumn>
    <tableColumn id="30" xr3:uid="{292DE63E-4B9B-4ACE-BB02-C1BD5B048891}" name="18.2" dataDxfId="149">
      <calculatedColumnFormula>SUMIF(RAW_DEATHS!$B:$B,Tabelle28[[#This Row],[Country/Region]],RAW_DEATHS!AD:AD)</calculatedColumnFormula>
    </tableColumn>
    <tableColumn id="31" xr3:uid="{D3F29433-99D6-45F4-B18F-765D568A27E0}" name="19.2" dataDxfId="148">
      <calculatedColumnFormula>SUMIF(RAW_DEATHS!$B:$B,Tabelle28[[#This Row],[Country/Region]],RAW_DEATHS!AE:AE)</calculatedColumnFormula>
    </tableColumn>
    <tableColumn id="32" xr3:uid="{DDFC7F72-403C-465F-8990-A2EED1706E67}" name="20.2" dataDxfId="147">
      <calculatedColumnFormula>SUMIF(RAW_DEATHS!$B:$B,Tabelle28[[#This Row],[Country/Region]],RAW_DEATHS!AF:AF)</calculatedColumnFormula>
    </tableColumn>
    <tableColumn id="33" xr3:uid="{6AD045B5-6522-4C91-8AE1-E07662FA8136}" name="21.2" dataDxfId="146">
      <calculatedColumnFormula>SUMIF(RAW_DEATHS!$B:$B,Tabelle28[[#This Row],[Country/Region]],RAW_DEATHS!AG:AG)</calculatedColumnFormula>
    </tableColumn>
    <tableColumn id="34" xr3:uid="{3B37FA0F-55E0-46E7-99F7-E4573816A9F0}" name="22.2" dataDxfId="145">
      <calculatedColumnFormula>SUMIF(RAW_DEATHS!$B:$B,Tabelle28[[#This Row],[Country/Region]],RAW_DEATHS!AH:AH)</calculatedColumnFormula>
    </tableColumn>
    <tableColumn id="35" xr3:uid="{66479DD0-1A4F-4010-ACB2-50D8999E721A}" name="23.2" dataDxfId="144">
      <calculatedColumnFormula>SUMIF(RAW_DEATHS!$B:$B,Tabelle28[[#This Row],[Country/Region]],RAW_DEATHS!AI:AI)</calculatedColumnFormula>
    </tableColumn>
    <tableColumn id="36" xr3:uid="{5DFD23DC-1589-40A1-B311-DBEB22C822A4}" name="24.2" dataDxfId="143">
      <calculatedColumnFormula>SUMIF(RAW_DEATHS!$B:$B,Tabelle28[[#This Row],[Country/Region]],RAW_DEATHS!AJ:AJ)</calculatedColumnFormula>
    </tableColumn>
    <tableColumn id="37" xr3:uid="{AA711967-C5D7-46AD-9E49-A3A34E3F0B75}" name="25.2" dataDxfId="142">
      <calculatedColumnFormula>SUMIF(RAW_DEATHS!$B:$B,Tabelle28[[#This Row],[Country/Region]],RAW_DEATHS!AK:AK)</calculatedColumnFormula>
    </tableColumn>
    <tableColumn id="38" xr3:uid="{23B4138B-BF63-4AFD-8911-0BD308BC8B16}" name="26.2" dataDxfId="141">
      <calculatedColumnFormula>SUMIF(RAW_DEATHS!$B:$B,Tabelle28[[#This Row],[Country/Region]],RAW_DEATHS!AL:AL)</calculatedColumnFormula>
    </tableColumn>
    <tableColumn id="39" xr3:uid="{6CF5A6A3-B3CE-4F8D-B8BF-05708EF87616}" name="27.2" dataDxfId="140">
      <calculatedColumnFormula>SUMIF(RAW_DEATHS!$B:$B,Tabelle28[[#This Row],[Country/Region]],RAW_DEATHS!AM:AM)</calculatedColumnFormula>
    </tableColumn>
    <tableColumn id="40" xr3:uid="{385F232D-7419-4849-A04F-6F77464801FD}" name="28.2" dataDxfId="139">
      <calculatedColumnFormula>SUMIF(RAW_DEATHS!$B:$B,Tabelle28[[#This Row],[Country/Region]],RAW_DEATHS!AN:AN)</calculatedColumnFormula>
    </tableColumn>
    <tableColumn id="41" xr3:uid="{E2CA688E-6EEC-41B7-AFA4-A4F3B41E81A9}" name="29.2" dataDxfId="138">
      <calculatedColumnFormula>SUMIF(RAW_DEATHS!$B:$B,Tabelle28[[#This Row],[Country/Region]],RAW_DEATHS!AO:AO)</calculatedColumnFormula>
    </tableColumn>
    <tableColumn id="42" xr3:uid="{B3C453CA-D2A2-4321-9140-F47EAF255AFE}" name="1.3" dataDxfId="137">
      <calculatedColumnFormula>SUMIF(RAW_DEATHS!$B:$B,Tabelle28[[#This Row],[Country/Region]],RAW_DEATHS!AP:AP)</calculatedColumnFormula>
    </tableColumn>
    <tableColumn id="43" xr3:uid="{B4CFBC8F-F58D-4E7E-90D6-FE3B3F2A3877}" name="2.3" dataDxfId="136">
      <calculatedColumnFormula>SUMIF(RAW_DEATHS!$B:$B,Tabelle28[[#This Row],[Country/Region]],RAW_DEATHS!AQ:AQ)</calculatedColumnFormula>
    </tableColumn>
    <tableColumn id="44" xr3:uid="{22F8823A-FA66-45B8-89A7-90630D8C5962}" name="3.3" dataDxfId="135">
      <calculatedColumnFormula>SUMIF(RAW_DEATHS!$B:$B,Tabelle28[[#This Row],[Country/Region]],RAW_DEATHS!AR:AR)</calculatedColumnFormula>
    </tableColumn>
    <tableColumn id="45" xr3:uid="{3EFB5DA2-6519-444C-AA94-5046DB201B6B}" name="4.3" dataDxfId="134">
      <calculatedColumnFormula>SUMIF(RAW_DEATHS!$B:$B,Tabelle28[[#This Row],[Country/Region]],RAW_DEATHS!AS:AS)</calculatedColumnFormula>
    </tableColumn>
    <tableColumn id="46" xr3:uid="{E4B05F32-0131-4724-8067-E8D23F7A790D}" name="5.3" dataDxfId="133">
      <calculatedColumnFormula>SUMIF(RAW_DEATHS!$B:$B,Tabelle28[[#This Row],[Country/Region]],RAW_DEATHS!AT:AT)</calculatedColumnFormula>
    </tableColumn>
    <tableColumn id="47" xr3:uid="{E2B682C3-396C-45EB-A736-FE38D578E96E}" name="6.3" dataDxfId="132">
      <calculatedColumnFormula>SUMIF(RAW_DEATHS!$B:$B,Tabelle28[[#This Row],[Country/Region]],RAW_DEATHS!AU:AU)</calculatedColumnFormula>
    </tableColumn>
    <tableColumn id="48" xr3:uid="{09E2A84B-70F4-4265-B420-8DC324297153}" name="7.3" dataDxfId="131">
      <calculatedColumnFormula>SUMIF(RAW_DEATHS!$B:$B,Tabelle28[[#This Row],[Country/Region]],RAW_DEATHS!AV:AV)</calculatedColumnFormula>
    </tableColumn>
    <tableColumn id="49" xr3:uid="{A16EEBA0-1A8A-40D3-9B3C-8CF0F969470F}" name="8.3" dataDxfId="130">
      <calculatedColumnFormula>SUMIF(RAW_DEATHS!$B:$B,Tabelle28[[#This Row],[Country/Region]],RAW_DEATHS!AW:AW)</calculatedColumnFormula>
    </tableColumn>
    <tableColumn id="50" xr3:uid="{C106F981-3933-4185-AA35-35325BDFB7DC}" name="9.3" dataDxfId="129">
      <calculatedColumnFormula>SUMIF(RAW_DEATHS!$B:$B,Tabelle28[[#This Row],[Country/Region]],RAW_DEATHS!AX:AX)</calculatedColumnFormula>
    </tableColumn>
    <tableColumn id="51" xr3:uid="{F75B1F40-C9FF-4C87-94FD-D0CF017F5AAB}" name="10.3" dataDxfId="128">
      <calculatedColumnFormula>SUMIF(RAW_DEATHS!$B:$B,Tabelle28[[#This Row],[Country/Region]],RAW_DEATHS!AY:AY)</calculatedColumnFormula>
    </tableColumn>
    <tableColumn id="52" xr3:uid="{7A87999B-DE99-494F-8FAF-B59FF73626B5}" name="11.3" dataDxfId="127">
      <calculatedColumnFormula>SUMIF(RAW_DEATHS!$B:$B,Tabelle28[[#This Row],[Country/Region]],RAW_DEATHS!AZ:AZ)</calculatedColumnFormula>
    </tableColumn>
    <tableColumn id="53" xr3:uid="{E195AC08-8FA0-496D-94C8-1280945F1141}" name="12.3" dataDxfId="126">
      <calculatedColumnFormula>SUMIF(RAW_DEATHS!$B:$B,Tabelle28[[#This Row],[Country/Region]],RAW_DEATHS!BA:BA)</calculatedColumnFormula>
    </tableColumn>
    <tableColumn id="54" xr3:uid="{A4F4A51F-1198-4132-94B9-FE4638C2640C}" name="13.3" dataDxfId="125">
      <calculatedColumnFormula>SUMIF(RAW_DEATHS!$B:$B,Tabelle28[[#This Row],[Country/Region]],RAW_DEATHS!BB:BB)</calculatedColumnFormula>
    </tableColumn>
    <tableColumn id="55" xr3:uid="{1B080934-48EE-4461-972D-B58541942226}" name="14.3" dataDxfId="124">
      <calculatedColumnFormula>SUMIF(RAW_DEATHS!$B:$B,Tabelle28[[#This Row],[Country/Region]],RAW_DEATHS!BC:BC)</calculatedColumnFormula>
    </tableColumn>
    <tableColumn id="56" xr3:uid="{0CFF2BC8-0186-4D4D-B976-16A16C7CAC66}" name="15.3" dataDxfId="123">
      <calculatedColumnFormula>SUMIF(RAW_DEATHS!$B:$B,Tabelle28[[#This Row],[Country/Region]],RAW_DEATHS!BD:BD)</calculatedColumnFormula>
    </tableColumn>
    <tableColumn id="57" xr3:uid="{47880024-0798-469C-B7D2-6152554BB45C}" name="16.3" dataDxfId="122">
      <calculatedColumnFormula>SUMIF(RAW_DEATHS!$B:$B,Tabelle28[[#This Row],[Country/Region]],RAW_DEATHS!BE:BE)</calculatedColumnFormula>
    </tableColumn>
    <tableColumn id="58" xr3:uid="{324528CC-6656-416A-83B6-218C7A520BE2}" name="17.3" dataDxfId="121">
      <calculatedColumnFormula>SUMIF(RAW_DEATHS!$B:$B,Tabelle28[[#This Row],[Country/Region]],RAW_DEATHS!BF:BF)</calculatedColumnFormula>
    </tableColumn>
    <tableColumn id="59" xr3:uid="{3ED636D6-B700-4E33-86BF-33481DC3F6D5}" name="18.3" dataDxfId="120">
      <calculatedColumnFormula>SUMIF(RAW_DEATHS!$B:$B,Tabelle28[[#This Row],[Country/Region]],RAW_DEATHS!BG:BG)</calculatedColumnFormula>
    </tableColumn>
    <tableColumn id="60" xr3:uid="{F2F7D9E9-21B3-4C08-A250-2DBD74B22F08}" name="19.3" dataDxfId="119">
      <calculatedColumnFormula>SUMIF(RAW_DEATHS!$B:$B,Tabelle28[[#This Row],[Country/Region]],RAW_DEATHS!BH:BH)</calculatedColumnFormula>
    </tableColumn>
    <tableColumn id="61" xr3:uid="{51090AB2-91F3-4C50-87AC-1348AE698E42}" name="20.3" dataDxfId="118">
      <calculatedColumnFormula>SUMIF(RAW_DEATHS!$B:$B,Tabelle28[[#This Row],[Country/Region]],RAW_DEATHS!BI:BI)</calculatedColumnFormula>
    </tableColumn>
    <tableColumn id="62" xr3:uid="{8D4408A7-7B21-4803-87C9-BCB588F4600F}" name="21.3" dataDxfId="117">
      <calculatedColumnFormula>SUMIF(RAW_DEATHS!$B:$B,Tabelle28[[#This Row],[Country/Region]],RAW_DEATHS!BJ:BJ)</calculatedColumnFormula>
    </tableColumn>
    <tableColumn id="72" xr3:uid="{86610AE6-D058-4210-9409-0F7A6885FD36}" name="22.3" dataDxfId="116">
      <calculatedColumnFormula>SUMIF(RAW_DEATHS!$B:$B,Tabelle28[[#This Row],[Country/Region]],RAW_DEATHS!BK:BK)</calculatedColumnFormula>
    </tableColumn>
    <tableColumn id="1" xr3:uid="{1E97E7EE-BDED-414F-B73F-7CEBE751DA97}" name="23.3" dataDxfId="115">
      <calculatedColumnFormula>SUMIF(RAW_DEATHS!$B:$B,Tabelle28[[#This Row],[Country/Region]],RAW_DEATHS!BL:BL)</calculatedColumnFormula>
    </tableColumn>
    <tableColumn id="63" xr3:uid="{92108045-D29A-40BE-8C3D-0A572A234ED7}" name="24.3" dataDxfId="114">
      <calculatedColumnFormula>SUMIF(RAW_DEATHS!$B:$B,Tabelle28[[#This Row],[Country/Region]],RAW_DEATHS!BM:BM)</calculatedColumnFormula>
    </tableColumn>
    <tableColumn id="64" xr3:uid="{68D4ADBC-3572-467D-9AED-2A86012D49D3}" name="25.3" dataDxfId="113">
      <calculatedColumnFormula>SUMIF(RAW_DEATHS!$B:$B,Tabelle28[[#This Row],[Country/Region]],RAW_DEATHS!BN:BN)</calculatedColumnFormula>
    </tableColumn>
    <tableColumn id="65" xr3:uid="{DFD890AB-14A5-484C-818D-D4CA08EDFFB3}" name="26.3" dataDxfId="112">
      <calculatedColumnFormula>SUMIF(RAW_DEATHS!$B:$B,Tabelle28[[#This Row],[Country/Region]],RAW_DEATHS!BO:BO)</calculatedColumnFormula>
    </tableColumn>
    <tableColumn id="66" xr3:uid="{9809ED54-F824-4C4C-983B-180FD7E56D63}" name="27.3" dataDxfId="111">
      <calculatedColumnFormula>SUMIF(RAW_DEATHS!$B:$B,Tabelle28[[#This Row],[Country/Region]],RAW_DEATHS!BP:BP)</calculatedColumnFormula>
    </tableColumn>
    <tableColumn id="67" xr3:uid="{E7D80551-97E2-4127-9E5A-5A3CC4D6DA19}" name="28.3" dataDxfId="110">
      <calculatedColumnFormula>SUMIF(RAW_DEATHS!$B:$B,Tabelle28[[#This Row],[Country/Region]],RAW_DEATHS!BQ:BQ)</calculatedColumnFormula>
    </tableColumn>
    <tableColumn id="68" xr3:uid="{7F6240CE-C9C9-41DA-803A-7E0B8C4E12FF}" name="29.3" dataDxfId="109">
      <calculatedColumnFormula>SUMIF(RAW_DEATHS!$B:$B,Tabelle28[[#This Row],[Country/Region]],RAW_DEATHS!BR:BR)</calculatedColumnFormula>
    </tableColumn>
    <tableColumn id="69" xr3:uid="{5EE52292-6278-4E82-A94C-62509AB5E6FB}" name="30.3" dataDxfId="108">
      <calculatedColumnFormula>SUMIF(RAW_DEATHS!$B:$B,Tabelle28[[#This Row],[Country/Region]],RAW_DEATHS!BS:BS)</calculatedColumnFormula>
    </tableColumn>
    <tableColumn id="70" xr3:uid="{04FF6527-B216-4D92-8C51-E5E63F4ED83D}" name="31.3" dataDxfId="107">
      <calculatedColumnFormula>SUMIF(RAW_DEATHS!$B:$B,Tabelle28[[#This Row],[Country/Region]],RAW_DEATHS!BT:BT)</calculatedColumnFormula>
    </tableColumn>
    <tableColumn id="71" xr3:uid="{1A6F9AE8-1E90-454F-8FE7-950C1C8F1DEB}" name="1.4" dataDxfId="106">
      <calculatedColumnFormula>SUMIF(RAW_DEATHS!$B:$B,Tabelle28[[#This Row],[Country/Region]],RAW_DEATHS!BU:BU)</calculatedColumnFormula>
    </tableColumn>
    <tableColumn id="73" xr3:uid="{BD91B85E-6C49-4690-BFA6-287D98F451EF}" name="2.4" dataDxfId="105">
      <calculatedColumnFormula>SUMIF(RAW_DEATHS!$B:$B,Tabelle28[[#This Row],[Country/Region]],RAW_DEATHS!BV:BV)</calculatedColumnFormula>
    </tableColumn>
    <tableColumn id="74" xr3:uid="{39D80297-E0DE-4CCE-893D-D223299516F7}" name="3.4" dataDxfId="104">
      <calculatedColumnFormula>SUMIF(RAW_DEATHS!$B:$B,Tabelle28[[#This Row],[Country/Region]],RAW_DEATHS!BW:BW)</calculatedColumnFormula>
    </tableColumn>
    <tableColumn id="75" xr3:uid="{C0F79EE3-2E30-456A-A30D-A4076FEC9E28}" name="4.4" dataDxfId="103">
      <calculatedColumnFormula>SUMIF(RAW_DEATHS!$B:$B,Tabelle28[[#This Row],[Country/Region]],RAW_DEATHS!BX:BX)</calculatedColumnFormula>
    </tableColumn>
    <tableColumn id="76" xr3:uid="{D3806252-1CB0-467F-99EC-C7533B69D031}" name="5.4" dataDxfId="102">
      <calculatedColumnFormula>SUMIF(RAW_DEATHS!$B:$B,Tabelle28[[#This Row],[Country/Region]],RAW_DEATHS!BY:BY)</calculatedColumnFormula>
    </tableColumn>
    <tableColumn id="77" xr3:uid="{3ADCBED4-A8A1-4FD6-B3AE-8D25AED2A20D}" name="6.4" dataDxfId="101">
      <calculatedColumnFormula>SUMIF(RAW_DEATHS!$B:$B,Tabelle28[[#This Row],[Country/Region]],RAW_DEATHS!BZ:BZ)</calculatedColumnFormula>
    </tableColumn>
    <tableColumn id="78" xr3:uid="{40288D33-ACF7-4C97-939F-7D94A984318C}" name="7.4" dataDxfId="100">
      <calculatedColumnFormula>SUMIF(RAW_DEATHS!$B:$B,Tabelle28[[#This Row],[Country/Region]],RAW_DEATHS!CA:CA)</calculatedColumnFormula>
    </tableColumn>
    <tableColumn id="79" xr3:uid="{EAD2E14D-90B4-414F-8BAB-EFF712FDC653}" name="8.4" dataDxfId="99">
      <calculatedColumnFormula>SUMIF(RAW_DEATHS!$B:$B,Tabelle28[[#This Row],[Country/Region]],RAW_DEATHS!CB:CB)</calculatedColumnFormula>
    </tableColumn>
    <tableColumn id="80" xr3:uid="{672CB2A3-4F47-491D-B48C-D6502628CAEE}" name="9.4" dataDxfId="98">
      <calculatedColumnFormula>SUMIF(RAW_DEATHS!$B:$B,Tabelle28[[#This Row],[Country/Region]],RAW_DEATHS!CC:CC)</calculatedColumnFormula>
    </tableColumn>
    <tableColumn id="81" xr3:uid="{1A90596E-F1E0-4D52-AE50-52BA68E7F841}" name="10.4" dataDxfId="97">
      <calculatedColumnFormula>SUMIF(RAW_DEATHS!$B:$B,Tabelle28[[#This Row],[Country/Region]],RAW_DEATHS!CD:CD)</calculatedColumnFormula>
    </tableColumn>
    <tableColumn id="82" xr3:uid="{433A021B-42CB-4BFF-946F-88BC8CADD4D6}" name="11.4" dataDxfId="96">
      <calculatedColumnFormula>SUMIF(RAW_DEATHS!$B:$B,Tabelle28[[#This Row],[Country/Region]],RAW_DEATHS!CE:CE)</calculatedColumnFormula>
    </tableColumn>
    <tableColumn id="83" xr3:uid="{86D43399-2F22-4D7F-9635-A0551CD5999C}" name="12.4" dataDxfId="95">
      <calculatedColumnFormula>SUMIF(RAW_DEATHS!$B:$B,Tabelle28[[#This Row],[Country/Region]],RAW_DEATHS!CF:CF)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B8A9A3A-2EFB-45FF-86B9-96ADE143E964}" name="Tabelle289" displayName="Tabelle289" ref="A37:CE44" totalsRowShown="0" headerRowDxfId="94" dataDxfId="92" headerRowBorderDxfId="93" tableBorderDxfId="91" totalsRowBorderDxfId="90">
  <autoFilter ref="A37:CE44" xr:uid="{6C98DDCA-7971-4F79-ABF6-0C1E4F39B536}"/>
  <tableColumns count="83">
    <tableColumn id="2" xr3:uid="{88AB28EB-6A99-4362-9C5F-F38AE633C068}" name="Country/Region" dataDxfId="89">
      <calculatedColumnFormula>IF(ISBLANK(A27),"",A27)</calculatedColumnFormula>
    </tableColumn>
    <tableColumn id="3" xr3:uid="{90BE727C-9533-4BD1-9376-553167238EC0}" name="22.1" dataDxfId="88"/>
    <tableColumn id="4" xr3:uid="{7D49603C-9971-4DE8-8124-3E77E751200D}" name="23.1" dataDxfId="87"/>
    <tableColumn id="5" xr3:uid="{36FD2100-2C0A-4791-9B61-B55F76465082}" name="24.1" dataDxfId="86"/>
    <tableColumn id="6" xr3:uid="{BC6CE168-F95B-4962-AB8C-09CE19C9A0BA}" name="25.1" dataDxfId="85"/>
    <tableColumn id="7" xr3:uid="{98D9D321-9FED-4D83-AF96-392F3DC05EE9}" name="26.1" dataDxfId="84"/>
    <tableColumn id="8" xr3:uid="{4B6A915D-8604-41F1-9BB5-75FE15C7D019}" name="27.1" dataDxfId="83"/>
    <tableColumn id="9" xr3:uid="{ACE8102E-118F-43CD-91A1-21426F9CBA4B}" name="28.1" dataDxfId="82"/>
    <tableColumn id="10" xr3:uid="{A110F14D-B7D8-419F-BDA0-330C6407BE37}" name="29.1" dataDxfId="81"/>
    <tableColumn id="11" xr3:uid="{23E2FFFF-456C-4560-B7A3-C2E52EF4ACEA}" name="30.1" dataDxfId="80"/>
    <tableColumn id="12" xr3:uid="{DBF61881-C471-4CF7-B191-4DD5D8D9F68C}" name="31.1" dataDxfId="79"/>
    <tableColumn id="13" xr3:uid="{60ADAE47-0C7E-4DC2-9DD3-F7456DCDB252}" name="1.2" dataDxfId="78"/>
    <tableColumn id="14" xr3:uid="{66CFE482-9541-4744-B9C4-A53A84124D6C}" name="2.2" dataDxfId="77"/>
    <tableColumn id="15" xr3:uid="{6CC4ACEB-BD6D-4164-AF6C-64291CCBE8A1}" name="3.2" dataDxfId="76"/>
    <tableColumn id="16" xr3:uid="{55245ED9-4E7B-47C0-9584-98E8E72FDE78}" name="4.2" dataDxfId="75"/>
    <tableColumn id="17" xr3:uid="{21F6CC89-3FA9-4BA8-B2DA-618E0EDE7FD7}" name="5.2" dataDxfId="74"/>
    <tableColumn id="18" xr3:uid="{1E8AEBF4-49D0-4B9A-AFBA-7EFE7FB2528F}" name="6.2" dataDxfId="73"/>
    <tableColumn id="19" xr3:uid="{337D9115-F326-4797-9B29-65F55A93170B}" name="7.2" dataDxfId="72"/>
    <tableColumn id="20" xr3:uid="{53C31F3B-E0F5-439A-9AFB-C2F4C52EE4E4}" name="8.2" dataDxfId="71"/>
    <tableColumn id="21" xr3:uid="{69BD5044-B4F4-4D57-9549-77FD4EBFEEF6}" name="9.2" dataDxfId="70"/>
    <tableColumn id="22" xr3:uid="{ACBDF14D-900E-476E-A24E-D2E2EC39CD07}" name="10.2" dataDxfId="69"/>
    <tableColumn id="23" xr3:uid="{589416F3-BEFC-466E-A468-942FA1E8DF6B}" name="11.2" dataDxfId="68"/>
    <tableColumn id="24" xr3:uid="{984C7DA7-59F9-46EB-8415-71AFD6ED9927}" name="12.2" dataDxfId="67"/>
    <tableColumn id="25" xr3:uid="{48C8CF82-A314-4FFD-92D8-935827EB8176}" name="13.2" dataDxfId="66"/>
    <tableColumn id="26" xr3:uid="{475F3C92-02AC-4B0F-9BCE-8D0092D398BB}" name="14.2" dataDxfId="65"/>
    <tableColumn id="27" xr3:uid="{A77036CC-AD7A-4300-ACC8-36EF5F0B9E22}" name="15.2" dataDxfId="64"/>
    <tableColumn id="28" xr3:uid="{8410960C-58D3-4702-8D61-DCA825CDF623}" name="16.2" dataDxfId="63"/>
    <tableColumn id="29" xr3:uid="{F3FB2D63-F8FC-46FC-9D87-124EBA6D9F0D}" name="17.2" dataDxfId="62"/>
    <tableColumn id="30" xr3:uid="{6F20A026-13C4-4DA7-B595-C69F2F1991E3}" name="18.2" dataDxfId="61"/>
    <tableColumn id="31" xr3:uid="{7BFF5209-487C-4126-B489-9761B6E49671}" name="19.2" dataDxfId="60"/>
    <tableColumn id="32" xr3:uid="{9D0E888C-4EED-4230-8603-EE26450A4B42}" name="20.2" dataDxfId="59"/>
    <tableColumn id="33" xr3:uid="{2E5EFFDA-0379-40FE-926B-6D2ADA88C6F6}" name="21.2" dataDxfId="58"/>
    <tableColumn id="34" xr3:uid="{36647928-02BA-4200-8727-4DA28DB248AA}" name="22.2" dataDxfId="57"/>
    <tableColumn id="35" xr3:uid="{1592F4A9-8CD3-46BA-8852-469CC4168526}" name="23.2" dataDxfId="56"/>
    <tableColumn id="36" xr3:uid="{F84EC5D0-60EC-48A0-9C30-FE60E0169F7A}" name="24.2" dataDxfId="55"/>
    <tableColumn id="37" xr3:uid="{C205CD95-1048-4FFF-B9AD-6DAEB1E8E1CA}" name="25.2" dataDxfId="54"/>
    <tableColumn id="38" xr3:uid="{064763C5-9418-457D-9AF4-0C2CDB89464B}" name="26.2" dataDxfId="53"/>
    <tableColumn id="39" xr3:uid="{9D93DBB9-5A83-478C-AC7E-17F9B703F6EA}" name="27.2" dataDxfId="52"/>
    <tableColumn id="40" xr3:uid="{24E3E392-B8DB-4A8B-9719-CC93070DB7EB}" name="28.2" dataDxfId="51"/>
    <tableColumn id="41" xr3:uid="{0A7ABA6B-627E-468A-8552-B2A543F5EDC5}" name="29.2" dataDxfId="50"/>
    <tableColumn id="42" xr3:uid="{CC62D3C1-4132-4A59-985C-0D0B960D021F}" name="1.3" dataDxfId="49"/>
    <tableColumn id="43" xr3:uid="{F393C3E1-16A6-468F-B52D-3363C2D7ACDB}" name="2.3" dataDxfId="48"/>
    <tableColumn id="44" xr3:uid="{1297B883-4AC9-4DBF-93B5-6CEF1F67E12F}" name="3.3" dataDxfId="47"/>
    <tableColumn id="45" xr3:uid="{CDED8757-B3A3-4381-BBAC-8760ED5EF08D}" name="4.3" dataDxfId="46"/>
    <tableColumn id="46" xr3:uid="{EF9AC2B1-479D-4298-96F9-597C63EDECF1}" name="5.3" dataDxfId="45"/>
    <tableColumn id="47" xr3:uid="{21B3659B-57CD-456A-B23E-06E6A6B82EEF}" name="6.3" dataDxfId="44"/>
    <tableColumn id="48" xr3:uid="{AAB0B237-ED9A-411F-A64B-E2F50C410719}" name="7.3" dataDxfId="43"/>
    <tableColumn id="49" xr3:uid="{690FEDC8-7C98-4C44-AFDC-C927CAF962F5}" name="8.3" dataDxfId="42"/>
    <tableColumn id="50" xr3:uid="{30AF0795-352E-40EC-B50A-89D9B11359E9}" name="9.3" dataDxfId="41"/>
    <tableColumn id="51" xr3:uid="{AF58394F-9675-4ED3-BE00-905F20BDF515}" name="10.3" dataDxfId="40"/>
    <tableColumn id="52" xr3:uid="{2F7C7F04-118B-4461-A75B-D526C7BFD539}" name="11.3" dataDxfId="39"/>
    <tableColumn id="53" xr3:uid="{E7FEA2AE-1C87-4F90-8835-27BB3E70C676}" name="12.3" dataDxfId="38"/>
    <tableColumn id="54" xr3:uid="{93F32828-144E-453D-864D-9F1A8B1E5DBA}" name="13.3" dataDxfId="37"/>
    <tableColumn id="55" xr3:uid="{CBB41D50-311E-47A8-947C-5B540F17FC78}" name="14.3" dataDxfId="36"/>
    <tableColumn id="56" xr3:uid="{46E27493-8B78-40CF-A65D-8321DC46B7D9}" name="15.3" dataDxfId="35"/>
    <tableColumn id="57" xr3:uid="{DE8A77B5-1111-42C2-B68C-361F57A6DD01}" name="16.3" dataDxfId="34"/>
    <tableColumn id="58" xr3:uid="{C9D587CF-DF56-47A1-8292-F7437BF79AED}" name="17.3" dataDxfId="33"/>
    <tableColumn id="59" xr3:uid="{5E869B92-9A9C-48F5-8377-59217E2596E9}" name="18.3" dataDxfId="32"/>
    <tableColumn id="60" xr3:uid="{0CFA360E-3CF4-4F66-96D6-2C82A3A99018}" name="19.3" dataDxfId="31"/>
    <tableColumn id="61" xr3:uid="{314C4BC1-EC2F-4C38-A40F-7AD990416C9D}" name="20.3" dataDxfId="30"/>
    <tableColumn id="62" xr3:uid="{8CAD326C-BAF1-414A-9500-01EB8E570C47}" name="21.3" dataDxfId="29"/>
    <tableColumn id="72" xr3:uid="{4036B6F4-CF6A-4F5B-9933-087F938167EE}" name="22.3" dataDxfId="28"/>
    <tableColumn id="1" xr3:uid="{B4B22A01-F8C2-4F1D-A169-6160E2D00E3E}" name="23.3" dataDxfId="27"/>
    <tableColumn id="63" xr3:uid="{0BCBF29A-7C75-47C7-BFA0-F08BA197BA16}" name="24.3" dataDxfId="26"/>
    <tableColumn id="64" xr3:uid="{D1604A77-DE7E-4F6B-A3BA-FE14DD532196}" name="25.3" dataDxfId="25"/>
    <tableColumn id="65" xr3:uid="{919D0F08-8424-4C0B-A29C-A106AAD64491}" name="26.3" dataDxfId="24"/>
    <tableColumn id="66" xr3:uid="{114BA22E-FA76-44C2-86E4-49E9F4404D6B}" name="27.3" dataDxfId="23"/>
    <tableColumn id="67" xr3:uid="{1D03E61E-BC3E-4002-8B71-7BBA535D09A8}" name="28.3" dataDxfId="22"/>
    <tableColumn id="68" xr3:uid="{8B9F50A5-9A53-4BC1-A059-EB84025091B4}" name="29.3" dataDxfId="21"/>
    <tableColumn id="69" xr3:uid="{C28C2217-E833-43B2-B2CD-265894D55B49}" name="30.3" dataDxfId="20"/>
    <tableColumn id="70" xr3:uid="{1E41A68B-9717-443E-96F4-6C6429878873}" name="31.3" dataDxfId="19"/>
    <tableColumn id="71" xr3:uid="{761EDBCE-1193-4A77-B245-CA897527DA46}" name="1.4" dataDxfId="18"/>
    <tableColumn id="73" xr3:uid="{99B2CA00-C327-4425-B759-7E5CAFD681E3}" name="2.4" dataDxfId="17"/>
    <tableColumn id="74" xr3:uid="{44B3D655-805A-442E-B64F-BD6C68ED2A2A}" name="3.4" dataDxfId="16"/>
    <tableColumn id="75" xr3:uid="{34F743B1-0C25-4F59-A51B-1AA081C844AE}" name="4.4" dataDxfId="15"/>
    <tableColumn id="76" xr3:uid="{63FC194D-57A6-441F-BC66-A02994716FF6}" name="5.4" dataDxfId="14"/>
    <tableColumn id="77" xr3:uid="{1F720840-066E-4345-AC39-40345D454FE3}" name="6.4" dataDxfId="13"/>
    <tableColumn id="78" xr3:uid="{A90B4D76-388C-4378-AEE0-DA281714C6D7}" name="7.4" dataDxfId="12"/>
    <tableColumn id="79" xr3:uid="{B9AC97AD-5789-419B-A057-6AEC53087D49}" name="8.4" dataDxfId="11"/>
    <tableColumn id="80" xr3:uid="{78867786-8960-4EB1-AD70-52F3F628D64E}" name="9.4" dataDxfId="10"/>
    <tableColumn id="81" xr3:uid="{C7BA93F1-3DCB-4D11-8702-9649D755BCC7}" name="10.4" dataDxfId="9"/>
    <tableColumn id="82" xr3:uid="{F6557F06-CDE3-4A15-B486-02531A9B8203}" name="11.4" dataDxfId="8"/>
    <tableColumn id="83" xr3:uid="{1F5181E8-51C3-4234-8279-074FD92B999B}" name="12.4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311DCD-4ADA-4BFE-8F77-1B7D99F3E4EC}" name="time_series_19_covid_Confirmed" displayName="time_series_19_covid_Confirmed" ref="A1:CT255" tableType="queryTable" totalsRowShown="0">
  <autoFilter ref="A1:CT255" xr:uid="{2392CF0B-C000-4089-9A21-F7907BA7F5A7}"/>
  <tableColumns count="98">
    <tableColumn id="67" xr3:uid="{C63C67E1-ECCC-421A-8CDC-FC12500235DC}" uniqueName="67" name="Column1" queryTableFieldId="204" dataDxfId="5"/>
    <tableColumn id="68" xr3:uid="{F3E2BE74-548E-4C4E-802E-7BE98C4905D1}" uniqueName="68" name="Column2" queryTableFieldId="205" dataDxfId="4"/>
    <tableColumn id="69" xr3:uid="{A2D6FDB3-ADB3-4DB2-B7D2-114C8AFCD26A}" uniqueName="69" name="Column5" queryTableFieldId="206"/>
    <tableColumn id="70" xr3:uid="{51F6EB42-3817-4CC2-8034-98B13F08C3BA}" uniqueName="70" name="Column6" queryTableFieldId="207"/>
    <tableColumn id="71" xr3:uid="{A160C0AC-F2B0-4176-9263-222BC0CEAD6D}" uniqueName="71" name="Column7" queryTableFieldId="208"/>
    <tableColumn id="72" xr3:uid="{E737EBDA-8D0D-40F5-8394-200F73E31825}" uniqueName="72" name="Column8" queryTableFieldId="209"/>
    <tableColumn id="73" xr3:uid="{9000E8A4-3088-412E-877D-C76EBE24A9E3}" uniqueName="73" name="Column9" queryTableFieldId="210"/>
    <tableColumn id="74" xr3:uid="{54637410-BB36-4F2F-B868-8033FD618D5D}" uniqueName="74" name="Column10" queryTableFieldId="211"/>
    <tableColumn id="75" xr3:uid="{0B40DBC6-9CD0-4501-8331-8E8ED4E964A3}" uniqueName="75" name="Column11" queryTableFieldId="212"/>
    <tableColumn id="76" xr3:uid="{D688057D-28B1-4538-98BD-52BBCBDE1CBB}" uniqueName="76" name="Column12" queryTableFieldId="213"/>
    <tableColumn id="77" xr3:uid="{F5142692-D700-448C-9CCC-18E9C798F1BC}" uniqueName="77" name="Column13" queryTableFieldId="214"/>
    <tableColumn id="78" xr3:uid="{4709B99D-0456-4328-9545-CCA4E2C9F324}" uniqueName="78" name="Column14" queryTableFieldId="215"/>
    <tableColumn id="79" xr3:uid="{83FF79B6-A460-43D0-884A-AAA07D38E1CB}" uniqueName="79" name="Column15" queryTableFieldId="216"/>
    <tableColumn id="80" xr3:uid="{34B5F2A6-6903-4EB2-934B-A59B75502AD1}" uniqueName="80" name="Column16" queryTableFieldId="217"/>
    <tableColumn id="81" xr3:uid="{E1E90BA7-1D0C-4377-BD79-2AACD1F19358}" uniqueName="81" name="Column17" queryTableFieldId="218"/>
    <tableColumn id="82" xr3:uid="{74677949-204C-497E-ADB1-08167B8AA3CD}" uniqueName="82" name="Column18" queryTableFieldId="219"/>
    <tableColumn id="83" xr3:uid="{B29B3652-F69E-4053-9E4F-8D03EF414E6A}" uniqueName="83" name="Column19" queryTableFieldId="220"/>
    <tableColumn id="84" xr3:uid="{231A3B3B-BB59-4D5E-9A3A-1A6ABFB47486}" uniqueName="84" name="Column20" queryTableFieldId="221"/>
    <tableColumn id="85" xr3:uid="{25AC493D-977E-4CE9-BC54-4606621ADAB4}" uniqueName="85" name="Column21" queryTableFieldId="222"/>
    <tableColumn id="86" xr3:uid="{0A00250B-D537-4576-873F-7B0DB054D5E8}" uniqueName="86" name="Column22" queryTableFieldId="223"/>
    <tableColumn id="87" xr3:uid="{5FB71E05-78CE-4013-92A7-73EA9E07FF2D}" uniqueName="87" name="Column23" queryTableFieldId="224"/>
    <tableColumn id="88" xr3:uid="{87568522-B8C4-409B-BB27-1D872889AA40}" uniqueName="88" name="Column24" queryTableFieldId="225"/>
    <tableColumn id="89" xr3:uid="{CFE54D7E-4785-4574-B0FD-CB2152947E80}" uniqueName="89" name="Column25" queryTableFieldId="226"/>
    <tableColumn id="90" xr3:uid="{111E56B5-44CC-4B1C-AF1C-D9E3F0D60AE7}" uniqueName="90" name="Column26" queryTableFieldId="227"/>
    <tableColumn id="91" xr3:uid="{CD71D3D5-733E-4CD1-AE67-19A0825E010D}" uniqueName="91" name="Column27" queryTableFieldId="228"/>
    <tableColumn id="92" xr3:uid="{0D82B01F-D972-4AC3-BEA8-5AD121165F1B}" uniqueName="92" name="Column28" queryTableFieldId="229"/>
    <tableColumn id="93" xr3:uid="{FC73BC17-3033-48AF-A741-A1F138B83FC1}" uniqueName="93" name="Column29" queryTableFieldId="230"/>
    <tableColumn id="94" xr3:uid="{1B8901FB-EF9F-4F53-8300-2C07F48D0920}" uniqueName="94" name="Column30" queryTableFieldId="231"/>
    <tableColumn id="95" xr3:uid="{4F5194FC-F699-4D38-BB21-9ED2CD79DADE}" uniqueName="95" name="Column31" queryTableFieldId="232"/>
    <tableColumn id="96" xr3:uid="{892D4D6C-16AF-4C97-8F5E-44D53B2B3C33}" uniqueName="96" name="Column32" queryTableFieldId="233"/>
    <tableColumn id="97" xr3:uid="{E5A0DB6B-8316-4651-A4E4-782E1B8A0288}" uniqueName="97" name="Column33" queryTableFieldId="234"/>
    <tableColumn id="98" xr3:uid="{841C8954-B961-4CF6-A473-574FB1CE5FD4}" uniqueName="98" name="Column34" queryTableFieldId="235"/>
    <tableColumn id="99" xr3:uid="{273CEDA7-28C7-4C9E-A578-516C0F80F53D}" uniqueName="99" name="Column35" queryTableFieldId="236"/>
    <tableColumn id="100" xr3:uid="{2DF357C4-7E3C-417E-8376-47B8C7DEDFD6}" uniqueName="100" name="Column36" queryTableFieldId="237"/>
    <tableColumn id="101" xr3:uid="{E0139514-91A5-4B54-9A24-B9AFB4B1BAA7}" uniqueName="101" name="Column37" queryTableFieldId="238"/>
    <tableColumn id="102" xr3:uid="{EF74046B-A145-4654-871A-43D81AC66B31}" uniqueName="102" name="Column38" queryTableFieldId="239"/>
    <tableColumn id="103" xr3:uid="{4E149597-E2DF-4A1A-8829-D665C6F30F5E}" uniqueName="103" name="Column39" queryTableFieldId="240"/>
    <tableColumn id="104" xr3:uid="{844D14BB-0301-4771-A264-FB317327A535}" uniqueName="104" name="Column40" queryTableFieldId="241"/>
    <tableColumn id="105" xr3:uid="{050AC232-5EC7-4222-86F1-106BAAC29A9C}" uniqueName="105" name="Column41" queryTableFieldId="242"/>
    <tableColumn id="106" xr3:uid="{C5CFEA84-3D88-4087-A53B-0ECBF1172901}" uniqueName="106" name="Column42" queryTableFieldId="243"/>
    <tableColumn id="107" xr3:uid="{5BF964BB-B1EB-415E-B6E7-2B8FB078C564}" uniqueName="107" name="Column43" queryTableFieldId="244"/>
    <tableColumn id="108" xr3:uid="{F6737703-9FC2-4813-B1A6-3D2724BE6C24}" uniqueName="108" name="Column44" queryTableFieldId="245"/>
    <tableColumn id="109" xr3:uid="{D7A6BF83-CDC8-4960-B64B-B73AAEE1E5F4}" uniqueName="109" name="Column45" queryTableFieldId="246"/>
    <tableColumn id="110" xr3:uid="{83AC7B1D-22BF-4D7C-8062-001CF5610311}" uniqueName="110" name="Column46" queryTableFieldId="247"/>
    <tableColumn id="111" xr3:uid="{87492CCD-4A2B-4D0F-A4E5-BDD538AE91CE}" uniqueName="111" name="Column47" queryTableFieldId="248"/>
    <tableColumn id="112" xr3:uid="{A9712ADD-3653-4A53-A1A4-F0D8A7623CBD}" uniqueName="112" name="Column48" queryTableFieldId="249"/>
    <tableColumn id="113" xr3:uid="{2D9749EF-43F1-49A8-B446-F158F3F9FF6D}" uniqueName="113" name="Column49" queryTableFieldId="250"/>
    <tableColumn id="114" xr3:uid="{2AA293D8-72D4-4254-A726-349B79A87DD7}" uniqueName="114" name="Column50" queryTableFieldId="251"/>
    <tableColumn id="115" xr3:uid="{FD57FE34-30A5-4449-904E-51DC7910B60B}" uniqueName="115" name="Column51" queryTableFieldId="252"/>
    <tableColumn id="116" xr3:uid="{6E18DF67-3E76-40DF-BC58-1FE18A0EC13E}" uniqueName="116" name="Column52" queryTableFieldId="253"/>
    <tableColumn id="117" xr3:uid="{709864A2-E47C-4386-B3FD-0EEF3630F9EE}" uniqueName="117" name="Column53" queryTableFieldId="254"/>
    <tableColumn id="118" xr3:uid="{C4F980C6-C1DB-4704-A076-32ED5ABFD2F9}" uniqueName="118" name="Column54" queryTableFieldId="255"/>
    <tableColumn id="119" xr3:uid="{970598AF-7874-4015-8036-A77FE331202D}" uniqueName="119" name="Column55" queryTableFieldId="256"/>
    <tableColumn id="120" xr3:uid="{DDFB835C-7080-45DD-9991-B8A58DC1FA6C}" uniqueName="120" name="Column56" queryTableFieldId="257"/>
    <tableColumn id="121" xr3:uid="{E1BB3B5C-A1D9-4732-A873-A68FADBEC269}" uniqueName="121" name="Column57" queryTableFieldId="258"/>
    <tableColumn id="122" xr3:uid="{F87E2250-94A7-4704-881B-0364A9861333}" uniqueName="122" name="Column58" queryTableFieldId="259"/>
    <tableColumn id="123" xr3:uid="{D391EE61-EB9E-4893-8BED-03C9F4E6A396}" uniqueName="123" name="Column59" queryTableFieldId="260"/>
    <tableColumn id="124" xr3:uid="{4745EAD2-1C9D-4616-894A-25F737D7D1F2}" uniqueName="124" name="Column60" queryTableFieldId="261"/>
    <tableColumn id="125" xr3:uid="{9AF01258-1F06-453D-9A8F-9907EA089F69}" uniqueName="125" name="Column61" queryTableFieldId="262"/>
    <tableColumn id="126" xr3:uid="{757EED59-0C6F-43A6-9AC3-E60324806720}" uniqueName="126" name="Column62" queryTableFieldId="263"/>
    <tableColumn id="127" xr3:uid="{22332508-175E-40A9-A014-D3E418D2C428}" uniqueName="127" name="Column63" queryTableFieldId="264"/>
    <tableColumn id="128" xr3:uid="{8B4374B9-9DA0-4F3F-903A-A5E056EF9882}" uniqueName="128" name="Column64" queryTableFieldId="265"/>
    <tableColumn id="129" xr3:uid="{6874F652-BC89-4236-B18B-B99CE950F31F}" uniqueName="129" name="Column65" queryTableFieldId="266"/>
    <tableColumn id="130" xr3:uid="{C67FC82B-3579-4EE1-A9F4-E57C48F16B93}" uniqueName="130" name="Column66" queryTableFieldId="267"/>
    <tableColumn id="131" xr3:uid="{01E7F006-5AA5-4296-BACB-B3C79F6E1217}" uniqueName="131" name="Column67" queryTableFieldId="268"/>
    <tableColumn id="132" xr3:uid="{C94D574E-76DB-4E91-9FF4-8D468B33C7E5}" uniqueName="132" name="Column68" queryTableFieldId="269"/>
    <tableColumn id="133" xr3:uid="{240EAED2-795F-41ED-A538-D43DC7E6C5D6}" uniqueName="133" name="Column69" queryTableFieldId="270"/>
    <tableColumn id="134" xr3:uid="{A354CD97-54E4-4DBB-A8A3-270694431AE9}" uniqueName="134" name="Column70" queryTableFieldId="271"/>
    <tableColumn id="135" xr3:uid="{8AA0781F-54CD-40CF-B95D-F473AB5B97DF}" uniqueName="135" name="Column71" queryTableFieldId="272"/>
    <tableColumn id="136" xr3:uid="{D9F1B753-1062-4599-981E-75219529A5C5}" uniqueName="136" name="Column72" queryTableFieldId="273"/>
    <tableColumn id="137" xr3:uid="{0DA19988-EC38-42E5-B42D-FF370A2D9F40}" uniqueName="137" name="Column73" queryTableFieldId="274"/>
    <tableColumn id="138" xr3:uid="{BB4F5F86-C810-41C9-8CFB-B67E645E27EE}" uniqueName="138" name="Column74" queryTableFieldId="275"/>
    <tableColumn id="139" xr3:uid="{8183E409-663C-4CC5-9149-301F2B40FC72}" uniqueName="139" name="Column75" queryTableFieldId="276"/>
    <tableColumn id="140" xr3:uid="{38BC4D81-EC45-4ED4-BC88-710BC297BE9F}" uniqueName="140" name="Column76" queryTableFieldId="277"/>
    <tableColumn id="141" xr3:uid="{F52E7223-4085-4A2D-863E-14676D28072D}" uniqueName="141" name="Column77" queryTableFieldId="278"/>
    <tableColumn id="142" xr3:uid="{E5CD0B3D-48A9-41B6-B1DC-A59A70709BD4}" uniqueName="142" name="Column78" queryTableFieldId="279"/>
    <tableColumn id="143" xr3:uid="{8EF57417-42C1-4AD0-B8C2-2E54B82843AE}" uniqueName="143" name="Column79" queryTableFieldId="280"/>
    <tableColumn id="144" xr3:uid="{C3E1592D-CFEF-4136-8353-79DC54F5D0BF}" uniqueName="144" name="Column80" queryTableFieldId="281"/>
    <tableColumn id="145" xr3:uid="{28EE60ED-1C1A-44D6-B5DD-09032B03A485}" uniqueName="145" name="Column81" queryTableFieldId="282"/>
    <tableColumn id="146" xr3:uid="{E86B1103-7153-49C4-968F-F89BCA8592CB}" uniqueName="146" name="Column82" queryTableFieldId="283"/>
    <tableColumn id="147" xr3:uid="{8CA622F1-9FC2-40C7-B430-6E9229500B6C}" uniqueName="147" name="Column83" queryTableFieldId="284"/>
    <tableColumn id="148" xr3:uid="{372F8F83-4D9F-425F-8BDF-CD8C2DF35452}" uniqueName="148" name="Column84" queryTableFieldId="285"/>
    <tableColumn id="149" xr3:uid="{F9809FA7-D428-42FC-B69D-A694A552739F}" uniqueName="149" name="Column85" queryTableFieldId="286"/>
    <tableColumn id="150" xr3:uid="{4C96FD61-854A-4912-85E5-36E975441699}" uniqueName="150" name="Column86" queryTableFieldId="287"/>
    <tableColumn id="151" xr3:uid="{CA0840BA-0A2C-42ED-B83A-B329C2FE08F1}" uniqueName="151" name="Column87" queryTableFieldId="288"/>
    <tableColumn id="152" xr3:uid="{6A38525F-10E4-444D-8A34-13AD754B4ED5}" uniqueName="152" name="Column88" queryTableFieldId="289"/>
    <tableColumn id="153" xr3:uid="{C1F17879-C1CC-4E74-B90C-358E62CBBE51}" uniqueName="153" name="Column89" queryTableFieldId="290"/>
    <tableColumn id="154" xr3:uid="{4A28FD64-A8E4-419D-96A5-E852DB9B2DBA}" uniqueName="154" name="Column90" queryTableFieldId="291"/>
    <tableColumn id="155" xr3:uid="{2FC9E427-A1C4-4165-9D0C-7D700B516097}" uniqueName="155" name="Column91" queryTableFieldId="292"/>
    <tableColumn id="156" xr3:uid="{74F457A3-914C-4DA7-B97D-DD3C60F44905}" uniqueName="156" name="Column92" queryTableFieldId="293"/>
    <tableColumn id="157" xr3:uid="{7BD11878-AC8A-4F83-BC54-E2C48B3F882D}" uniqueName="157" name="Column93" queryTableFieldId="294"/>
    <tableColumn id="158" xr3:uid="{A2A52151-4C89-497F-8F58-67CF20A5CBDA}" uniqueName="158" name="Column94" queryTableFieldId="295"/>
    <tableColumn id="159" xr3:uid="{D634081C-EC18-4C96-A000-DA2BF09C6435}" uniqueName="159" name="Column95" queryTableFieldId="296"/>
    <tableColumn id="160" xr3:uid="{F06FA21C-495B-4127-AEC4-F8B2755C85AF}" uniqueName="160" name="Column96" queryTableFieldId="297"/>
    <tableColumn id="161" xr3:uid="{4CC322D9-3822-49BF-A1C5-D8713F6EB741}" uniqueName="161" name="Column97" queryTableFieldId="298"/>
    <tableColumn id="162" xr3:uid="{213517BB-0ED5-463D-945E-F7F84EA3C1A2}" uniqueName="162" name="Column98" queryTableFieldId="299"/>
    <tableColumn id="163" xr3:uid="{3357FFF8-1CDE-41BE-B867-D52C687810C6}" uniqueName="163" name="Column99" queryTableFieldId="300"/>
    <tableColumn id="164" xr3:uid="{125FC9A4-5418-4B72-A8F4-0D3828224C3E}" uniqueName="164" name="Column100" queryTableFieldId="301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1D4F78-D3E2-41B0-AC81-441FFD9DE59F}" name="time_series_19_covid_Deaths" displayName="time_series_19_covid_Deaths" ref="A1:CT255" tableType="queryTable" totalsRowShown="0">
  <autoFilter ref="A1:CT255" xr:uid="{BBAF64FF-FFFD-4F30-9EE9-8FC504F03BFC}"/>
  <tableColumns count="98">
    <tableColumn id="67" xr3:uid="{84F638BD-6CEA-497E-94AE-35F08C91E44C}" uniqueName="67" name="Column1" queryTableFieldId="67" dataDxfId="3"/>
    <tableColumn id="68" xr3:uid="{4D4DD18A-4EBB-4120-B201-12E46CE78962}" uniqueName="68" name="Column2" queryTableFieldId="68" dataDxfId="2"/>
    <tableColumn id="69" xr3:uid="{A93252F1-E0AB-420F-89A7-7DD94EEC3B64}" uniqueName="69" name="Column5" queryTableFieldId="69"/>
    <tableColumn id="70" xr3:uid="{02E3B354-1DFB-4F95-9A94-4ABD77B3E039}" uniqueName="70" name="Column6" queryTableFieldId="70"/>
    <tableColumn id="71" xr3:uid="{0955F8A8-27A8-4C72-AFEE-A3C19D8FB9ED}" uniqueName="71" name="Column7" queryTableFieldId="71"/>
    <tableColumn id="72" xr3:uid="{03E3E940-894E-416C-8A61-2A0210D6D5B1}" uniqueName="72" name="Column8" queryTableFieldId="72"/>
    <tableColumn id="73" xr3:uid="{A90C8D29-E62D-4EE6-9942-2D4F6C6CB173}" uniqueName="73" name="Column9" queryTableFieldId="73"/>
    <tableColumn id="74" xr3:uid="{7215FF1C-C25D-40AE-A8B3-38C70A68D991}" uniqueName="74" name="Column10" queryTableFieldId="74"/>
    <tableColumn id="75" xr3:uid="{C76EE42E-0993-4CF2-A374-85B64AECCC6F}" uniqueName="75" name="Column11" queryTableFieldId="75"/>
    <tableColumn id="76" xr3:uid="{6AE5DEF3-A128-42C2-AE06-FF7A40662BC3}" uniqueName="76" name="Column12" queryTableFieldId="76"/>
    <tableColumn id="77" xr3:uid="{C193FD38-89D6-4EF2-9E77-1F05357B7292}" uniqueName="77" name="Column13" queryTableFieldId="77"/>
    <tableColumn id="78" xr3:uid="{EE4498DA-71A4-41FC-9366-1F6266FBEC98}" uniqueName="78" name="Column14" queryTableFieldId="78"/>
    <tableColumn id="79" xr3:uid="{EA4F1766-E5EE-4434-8D39-B3877470C604}" uniqueName="79" name="Column15" queryTableFieldId="79"/>
    <tableColumn id="80" xr3:uid="{ADA55EFC-76FF-4C20-850F-A9F9418C4E37}" uniqueName="80" name="Column16" queryTableFieldId="80"/>
    <tableColumn id="81" xr3:uid="{DF1AAE3B-C28F-4716-8D9A-9C45B4A425E8}" uniqueName="81" name="Column17" queryTableFieldId="81"/>
    <tableColumn id="82" xr3:uid="{C6375453-0060-4629-B998-128F0252303F}" uniqueName="82" name="Column18" queryTableFieldId="82"/>
    <tableColumn id="83" xr3:uid="{FF86CA7B-F0F4-419E-9F83-D8EB4CC03FDE}" uniqueName="83" name="Column19" queryTableFieldId="83"/>
    <tableColumn id="84" xr3:uid="{02FF6DC9-3C49-44BF-A90D-526A5418E81C}" uniqueName="84" name="Column20" queryTableFieldId="84"/>
    <tableColumn id="85" xr3:uid="{E8D92D71-F678-4CC0-B6C4-E52865343796}" uniqueName="85" name="Column21" queryTableFieldId="85"/>
    <tableColumn id="86" xr3:uid="{29A282F7-F9DB-44EA-98EB-466AF1DE98A3}" uniqueName="86" name="Column22" queryTableFieldId="86"/>
    <tableColumn id="87" xr3:uid="{78CD58F1-BD1A-42B5-A5EE-5F430DF32CBC}" uniqueName="87" name="Column23" queryTableFieldId="87"/>
    <tableColumn id="88" xr3:uid="{75C29F99-2F2D-4818-BF69-0E32D8C58952}" uniqueName="88" name="Column24" queryTableFieldId="88"/>
    <tableColumn id="89" xr3:uid="{7970A3C3-96E4-4DED-8148-CBFFB22726D4}" uniqueName="89" name="Column25" queryTableFieldId="89"/>
    <tableColumn id="90" xr3:uid="{92AC13F7-CACC-4B80-8091-A9B281394EF5}" uniqueName="90" name="Column26" queryTableFieldId="90"/>
    <tableColumn id="91" xr3:uid="{6118BF5B-494F-4075-AAC4-B51FCFA6D070}" uniqueName="91" name="Column27" queryTableFieldId="91"/>
    <tableColumn id="92" xr3:uid="{5E0DB98D-6A79-4454-9BBD-9E9EC19CFF51}" uniqueName="92" name="Column28" queryTableFieldId="92"/>
    <tableColumn id="93" xr3:uid="{DFEC3261-FDC7-4135-A875-7CECF85CD929}" uniqueName="93" name="Column29" queryTableFieldId="93"/>
    <tableColumn id="94" xr3:uid="{AE7515F8-98E3-4C75-9F44-C62320C8A38E}" uniqueName="94" name="Column30" queryTableFieldId="94"/>
    <tableColumn id="95" xr3:uid="{312AAB8E-0AA1-48AA-9332-CFC1D7D98977}" uniqueName="95" name="Column31" queryTableFieldId="95"/>
    <tableColumn id="96" xr3:uid="{BF253E68-ADD9-4A9A-9BE5-A08EE4224829}" uniqueName="96" name="Column32" queryTableFieldId="96"/>
    <tableColumn id="97" xr3:uid="{AB8B4D59-273F-4677-8EED-CD61B0AFAB60}" uniqueName="97" name="Column33" queryTableFieldId="97"/>
    <tableColumn id="98" xr3:uid="{0FF439A0-566F-45DF-A6DE-0F8EDD4190DC}" uniqueName="98" name="Column34" queryTableFieldId="98"/>
    <tableColumn id="99" xr3:uid="{6B790B1B-2523-47B0-83A7-B2D4FA6FD780}" uniqueName="99" name="Column35" queryTableFieldId="99"/>
    <tableColumn id="100" xr3:uid="{7ABA2F1D-E5A3-41BB-B8DD-3DDC046E5ED3}" uniqueName="100" name="Column36" queryTableFieldId="100"/>
    <tableColumn id="101" xr3:uid="{9FB9749D-944F-4177-8CC9-E80524784E12}" uniqueName="101" name="Column37" queryTableFieldId="101"/>
    <tableColumn id="102" xr3:uid="{FE122B59-3286-4029-80DF-B78B829F0322}" uniqueName="102" name="Column38" queryTableFieldId="102"/>
    <tableColumn id="103" xr3:uid="{7A309AAF-FF07-4B38-AAE9-14EAD718A5CF}" uniqueName="103" name="Column39" queryTableFieldId="103"/>
    <tableColumn id="104" xr3:uid="{40C3659C-EE0C-45C2-9BFF-E6689B49C1B8}" uniqueName="104" name="Column40" queryTableFieldId="104"/>
    <tableColumn id="105" xr3:uid="{8155AC70-FD24-42AE-B4AA-C228AEF4DA02}" uniqueName="105" name="Column41" queryTableFieldId="105"/>
    <tableColumn id="106" xr3:uid="{FB6C8781-EED6-4BAC-A427-2FFA666234FF}" uniqueName="106" name="Column42" queryTableFieldId="106"/>
    <tableColumn id="107" xr3:uid="{7DF96471-DF2F-4830-9D26-AAD835A6C006}" uniqueName="107" name="Column43" queryTableFieldId="107"/>
    <tableColumn id="108" xr3:uid="{F3B40530-D8D5-4839-985E-66231C8002DC}" uniqueName="108" name="Column44" queryTableFieldId="108"/>
    <tableColumn id="109" xr3:uid="{9C807098-9316-47D5-A9C0-69B2B51D96E1}" uniqueName="109" name="Column45" queryTableFieldId="109"/>
    <tableColumn id="110" xr3:uid="{852A8228-1D1B-49BD-9773-2A6D19F68DA6}" uniqueName="110" name="Column46" queryTableFieldId="110"/>
    <tableColumn id="111" xr3:uid="{63F0C8FA-2B07-4E38-B8D0-61D63C576BE5}" uniqueName="111" name="Column47" queryTableFieldId="111"/>
    <tableColumn id="112" xr3:uid="{1D2DA8E6-411E-479E-8E89-E5B2865622A2}" uniqueName="112" name="Column48" queryTableFieldId="112"/>
    <tableColumn id="113" xr3:uid="{4BCB4A9E-CCA2-4AFD-8534-8ECDE3A66787}" uniqueName="113" name="Column49" queryTableFieldId="113"/>
    <tableColumn id="114" xr3:uid="{75CC6557-9C97-428C-8465-88AF205D3E1E}" uniqueName="114" name="Column50" queryTableFieldId="114"/>
    <tableColumn id="115" xr3:uid="{84ECAA9C-EC51-4ADE-99FC-8F3582589B66}" uniqueName="115" name="Column51" queryTableFieldId="115"/>
    <tableColumn id="116" xr3:uid="{D8F701D4-7817-4F19-9387-9EABBF5E3223}" uniqueName="116" name="Column52" queryTableFieldId="116"/>
    <tableColumn id="117" xr3:uid="{ABB6EB69-629C-41D6-AE9A-9B1C72DDBB14}" uniqueName="117" name="Column53" queryTableFieldId="117"/>
    <tableColumn id="118" xr3:uid="{F6A27D62-84C5-44F1-8CAE-69F5E03B36F8}" uniqueName="118" name="Column54" queryTableFieldId="118"/>
    <tableColumn id="119" xr3:uid="{8DC5D390-FAD0-4AB8-93A5-CEB5C23A251A}" uniqueName="119" name="Column55" queryTableFieldId="119"/>
    <tableColumn id="120" xr3:uid="{B3BF1C28-1848-485E-B68B-A5A07F5DCE6A}" uniqueName="120" name="Column56" queryTableFieldId="120"/>
    <tableColumn id="121" xr3:uid="{8FAE1FAE-9654-4648-9D79-9BC7DA8FBF4D}" uniqueName="121" name="Column57" queryTableFieldId="121"/>
    <tableColumn id="122" xr3:uid="{C5DFB99C-344F-441F-85A8-069FE6812309}" uniqueName="122" name="Column58" queryTableFieldId="122"/>
    <tableColumn id="123" xr3:uid="{39EAAEBC-9BED-494E-846C-D44E54C58F50}" uniqueName="123" name="Column59" queryTableFieldId="123"/>
    <tableColumn id="124" xr3:uid="{839409EA-A954-48E8-A585-0CF7524F12CE}" uniqueName="124" name="Column60" queryTableFieldId="124"/>
    <tableColumn id="125" xr3:uid="{B70178A4-1EDE-4677-9D8B-DEBCD74017E4}" uniqueName="125" name="Column61" queryTableFieldId="125"/>
    <tableColumn id="126" xr3:uid="{B9DFCD01-9D20-4771-A70F-DF1262E7DD32}" uniqueName="126" name="Column62" queryTableFieldId="126"/>
    <tableColumn id="127" xr3:uid="{86A88D0F-0F63-486D-96C8-B244859CE92E}" uniqueName="127" name="Column63" queryTableFieldId="127"/>
    <tableColumn id="128" xr3:uid="{B97503B8-B37C-4E69-AE1B-4ACA232D3211}" uniqueName="128" name="Column64" queryTableFieldId="128"/>
    <tableColumn id="129" xr3:uid="{82ECAE28-4817-4CE5-A4E2-0F2524A06948}" uniqueName="129" name="Column65" queryTableFieldId="129"/>
    <tableColumn id="130" xr3:uid="{A0FE202E-FB4B-4695-9C9F-364F22256C1F}" uniqueName="130" name="Column66" queryTableFieldId="130"/>
    <tableColumn id="131" xr3:uid="{C291B3A4-526A-4A5B-A390-8E893B54DD27}" uniqueName="131" name="Column67" queryTableFieldId="131"/>
    <tableColumn id="132" xr3:uid="{23D0295D-6AC2-4772-AA7B-1239E1CA138F}" uniqueName="132" name="Column68" queryTableFieldId="132"/>
    <tableColumn id="133" xr3:uid="{4C14164F-870C-45C2-930D-BFE53576D143}" uniqueName="133" name="Column69" queryTableFieldId="133"/>
    <tableColumn id="134" xr3:uid="{EDC852CE-6ACC-4A09-A570-AF81D1580CE5}" uniqueName="134" name="Column70" queryTableFieldId="134"/>
    <tableColumn id="135" xr3:uid="{2323EEF8-5CAC-4F99-BE3B-949ED17BCFC9}" uniqueName="135" name="Column71" queryTableFieldId="135"/>
    <tableColumn id="136" xr3:uid="{CB5A41E4-5B07-4A34-9E69-F0CCB6F9805F}" uniqueName="136" name="Column72" queryTableFieldId="136"/>
    <tableColumn id="137" xr3:uid="{72109200-0F07-44E3-8C19-0DCBDA409B67}" uniqueName="137" name="Column73" queryTableFieldId="137"/>
    <tableColumn id="138" xr3:uid="{6CCAF3FB-156B-483A-A4C4-3D9910D0B79B}" uniqueName="138" name="Column74" queryTableFieldId="138"/>
    <tableColumn id="139" xr3:uid="{B15D1FDA-ACD4-4B1D-82E7-89100CD047DC}" uniqueName="139" name="Column75" queryTableFieldId="139"/>
    <tableColumn id="140" xr3:uid="{93E39E41-CAD7-41C4-8569-0A95C37C7FBD}" uniqueName="140" name="Column76" queryTableFieldId="140"/>
    <tableColumn id="141" xr3:uid="{E5AF79DC-5CA9-433D-9B84-D940ED1A820D}" uniqueName="141" name="Column77" queryTableFieldId="141"/>
    <tableColumn id="142" xr3:uid="{EED6FCE8-ECB8-4A0F-9A81-08D60C7577F8}" uniqueName="142" name="Column78" queryTableFieldId="142"/>
    <tableColumn id="143" xr3:uid="{43995FE9-B3EC-404F-81A8-50B2357D3251}" uniqueName="143" name="Column79" queryTableFieldId="143"/>
    <tableColumn id="144" xr3:uid="{65925788-9298-4A7F-B969-E50C4F706A06}" uniqueName="144" name="Column80" queryTableFieldId="144"/>
    <tableColumn id="145" xr3:uid="{A26BBAF5-5E6B-401B-AFC3-97C6D98BC19A}" uniqueName="145" name="Column81" queryTableFieldId="145"/>
    <tableColumn id="146" xr3:uid="{962CAE5D-B725-488A-BD36-9FBE0DFC16A2}" uniqueName="146" name="Column82" queryTableFieldId="146"/>
    <tableColumn id="147" xr3:uid="{912533A9-D029-424F-B525-1BDB23DD2289}" uniqueName="147" name="Column83" queryTableFieldId="147"/>
    <tableColumn id="148" xr3:uid="{7E36F10C-37AE-4D60-8DC0-ED2C87E118BD}" uniqueName="148" name="Column84" queryTableFieldId="148"/>
    <tableColumn id="149" xr3:uid="{3CCFEA8E-BE68-42D1-958B-D861E53B70D7}" uniqueName="149" name="Column85" queryTableFieldId="149"/>
    <tableColumn id="150" xr3:uid="{2FEE6907-6C48-49CC-8976-080DAF847467}" uniqueName="150" name="Column86" queryTableFieldId="150"/>
    <tableColumn id="151" xr3:uid="{B2D2D068-D5D0-4E1A-A4BC-BE3FF96CDEA9}" uniqueName="151" name="Column87" queryTableFieldId="151"/>
    <tableColumn id="152" xr3:uid="{E0022456-DBBE-4734-86D9-3DFE81F2A70D}" uniqueName="152" name="Column88" queryTableFieldId="152"/>
    <tableColumn id="153" xr3:uid="{45E18A20-B2E4-4DA9-9BDB-B5D852851C59}" uniqueName="153" name="Column89" queryTableFieldId="153"/>
    <tableColumn id="154" xr3:uid="{69A4A3E4-0A4C-49B9-90CF-C882E3F9F340}" uniqueName="154" name="Column90" queryTableFieldId="154"/>
    <tableColumn id="155" xr3:uid="{B090D626-57B3-4398-ADD3-740F2F95BD9B}" uniqueName="155" name="Column91" queryTableFieldId="155"/>
    <tableColumn id="156" xr3:uid="{6E95E1AB-A488-40CD-9272-786A11729196}" uniqueName="156" name="Column92" queryTableFieldId="156"/>
    <tableColumn id="157" xr3:uid="{69BB4E30-2F0A-4910-A3B7-F1BD9A034D35}" uniqueName="157" name="Column93" queryTableFieldId="157"/>
    <tableColumn id="158" xr3:uid="{2575D8EA-4D4E-4F52-9E56-773E7C87E344}" uniqueName="158" name="Column94" queryTableFieldId="158"/>
    <tableColumn id="159" xr3:uid="{91A0616B-DEDF-42C1-BE94-3B2A6A7EB189}" uniqueName="159" name="Column95" queryTableFieldId="159"/>
    <tableColumn id="160" xr3:uid="{68E86D21-FBD3-4ECB-8390-F7D1C9FD8685}" uniqueName="160" name="Column96" queryTableFieldId="160"/>
    <tableColumn id="161" xr3:uid="{EF793DF4-09BB-44D7-948B-D235B8C808EB}" uniqueName="161" name="Column97" queryTableFieldId="161"/>
    <tableColumn id="162" xr3:uid="{B968000A-F9A5-44AB-A612-153A2FBA873B}" uniqueName="162" name="Column98" queryTableFieldId="162"/>
    <tableColumn id="163" xr3:uid="{30084065-3A38-4794-9A9F-59F18BD76A13}" uniqueName="163" name="Column99" queryTableFieldId="163"/>
    <tableColumn id="164" xr3:uid="{C272C263-F9EF-4E6F-BFA5-4908732A89C5}" uniqueName="164" name="Column100" queryTableFieldId="16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34F17BF-374D-40D3-AB01-E6FE8F8F95BA}" name="time_series_19_covid_Recovered" displayName="time_series_19_covid_Recovered" ref="A1:CT241" tableType="queryTable" totalsRowShown="0">
  <autoFilter ref="A1:CT241" xr:uid="{ECB139BB-92DC-4144-AF55-123CD87C5A05}"/>
  <tableColumns count="98">
    <tableColumn id="1" xr3:uid="{A7B5FE1B-3D08-4BFF-ADFA-08D317A2ED29}" uniqueName="1" name="Column1" queryTableFieldId="64" dataDxfId="1"/>
    <tableColumn id="2" xr3:uid="{45AE0BFA-C191-40FE-AEB0-C3FD2E3BECC2}" uniqueName="2" name="Column2" queryTableFieldId="65" dataDxfId="0"/>
    <tableColumn id="3" xr3:uid="{C423BD8D-3FF0-41D0-A8C7-2797F1B3CC0D}" uniqueName="3" name="Column5" queryTableFieldId="66"/>
    <tableColumn id="4" xr3:uid="{F0970977-B888-412C-9012-D1C089909D39}" uniqueName="4" name="Column6" queryTableFieldId="67"/>
    <tableColumn id="5" xr3:uid="{8E79DD83-DE1E-4CD1-A3B2-856FA7FD65C4}" uniqueName="5" name="Column7" queryTableFieldId="68"/>
    <tableColumn id="6" xr3:uid="{367CFACE-0824-42EF-B5FA-390426AE1A4B}" uniqueName="6" name="Column8" queryTableFieldId="69"/>
    <tableColumn id="7" xr3:uid="{DFA58FE6-7598-4D0E-A88A-1A64D1DFA337}" uniqueName="7" name="Column9" queryTableFieldId="70"/>
    <tableColumn id="8" xr3:uid="{134C47CA-0D92-48E3-AE27-65D50CA428C1}" uniqueName="8" name="Column10" queryTableFieldId="71"/>
    <tableColumn id="9" xr3:uid="{DC44F8B9-EF4A-4B90-A57E-4D6E1705E534}" uniqueName="9" name="Column11" queryTableFieldId="72"/>
    <tableColumn id="10" xr3:uid="{36B7E877-A1A3-48BC-ACAD-77745AE672B2}" uniqueName="10" name="Column12" queryTableFieldId="73"/>
    <tableColumn id="11" xr3:uid="{D3893835-5386-44FA-BDEA-9F9C979B31EF}" uniqueName="11" name="Column13" queryTableFieldId="74"/>
    <tableColumn id="12" xr3:uid="{E33F05F4-14E3-48A7-8AB1-BF84247EE357}" uniqueName="12" name="Column14" queryTableFieldId="75"/>
    <tableColumn id="13" xr3:uid="{2B9F84BF-3EBA-43E7-BC24-4AC728E9B16D}" uniqueName="13" name="Column15" queryTableFieldId="76"/>
    <tableColumn id="14" xr3:uid="{E09C238F-4E7A-403A-AA2E-986ABD8484A3}" uniqueName="14" name="Column16" queryTableFieldId="77"/>
    <tableColumn id="15" xr3:uid="{C6153CBB-8BE1-4622-B15E-DD18A7E41B77}" uniqueName="15" name="Column17" queryTableFieldId="78"/>
    <tableColumn id="16" xr3:uid="{287FB242-AA73-44DF-A858-1B65A81C1709}" uniqueName="16" name="Column18" queryTableFieldId="79"/>
    <tableColumn id="17" xr3:uid="{478917A2-286A-4AD4-A84F-155237E81058}" uniqueName="17" name="Column19" queryTableFieldId="80"/>
    <tableColumn id="18" xr3:uid="{A95AE190-7E0C-4A0C-AB68-0C4E5D1559CA}" uniqueName="18" name="Column20" queryTableFieldId="81"/>
    <tableColumn id="19" xr3:uid="{9C82C81F-3853-4B03-98B6-AC01ED12AD4A}" uniqueName="19" name="Column21" queryTableFieldId="82"/>
    <tableColumn id="20" xr3:uid="{AE41A949-62D3-43FD-8CE7-8FF0A8076690}" uniqueName="20" name="Column22" queryTableFieldId="83"/>
    <tableColumn id="21" xr3:uid="{471979D8-C315-4945-8FE3-E0B11BCC18D6}" uniqueName="21" name="Column23" queryTableFieldId="84"/>
    <tableColumn id="22" xr3:uid="{6D2D3DF8-4724-4307-A482-B07CE53F1CE2}" uniqueName="22" name="Column24" queryTableFieldId="85"/>
    <tableColumn id="23" xr3:uid="{D4491E8A-A2E9-468B-A0A9-C34180B8EB13}" uniqueName="23" name="Column25" queryTableFieldId="86"/>
    <tableColumn id="24" xr3:uid="{D6FACD3C-8CA0-4DDF-9B0A-3F6C88B1E406}" uniqueName="24" name="Column26" queryTableFieldId="87"/>
    <tableColumn id="25" xr3:uid="{5FD44A4D-7DA8-4B7E-A7A7-105F892B7691}" uniqueName="25" name="Column27" queryTableFieldId="88"/>
    <tableColumn id="26" xr3:uid="{F3F5183C-1292-4E75-A96F-0A236933077B}" uniqueName="26" name="Column28" queryTableFieldId="89"/>
    <tableColumn id="27" xr3:uid="{C6DB545D-ACEE-4134-812C-C3355C5A49F6}" uniqueName="27" name="Column29" queryTableFieldId="90"/>
    <tableColumn id="28" xr3:uid="{84208C5B-CAE8-4EC3-887D-04C90FF3BB67}" uniqueName="28" name="Column30" queryTableFieldId="91"/>
    <tableColumn id="29" xr3:uid="{5872AC66-2F46-4987-B258-1A5BA5253FA7}" uniqueName="29" name="Column31" queryTableFieldId="92"/>
    <tableColumn id="30" xr3:uid="{E478D9F0-F6FD-4451-BB50-407C886E14A9}" uniqueName="30" name="Column32" queryTableFieldId="93"/>
    <tableColumn id="31" xr3:uid="{1C011808-C2D6-4D47-8956-3F8F8A12DDEF}" uniqueName="31" name="Column33" queryTableFieldId="94"/>
    <tableColumn id="32" xr3:uid="{29270E1A-5343-441F-B516-BC674A61EC86}" uniqueName="32" name="Column34" queryTableFieldId="95"/>
    <tableColumn id="33" xr3:uid="{84FEB74D-E73F-4881-9037-864720A8C6FA}" uniqueName="33" name="Column35" queryTableFieldId="96"/>
    <tableColumn id="34" xr3:uid="{4EF87BF1-6AF4-4B7F-8D8A-180B570C9447}" uniqueName="34" name="Column36" queryTableFieldId="97"/>
    <tableColumn id="35" xr3:uid="{C94A3F8C-B66F-4B26-98CD-EAD3813AA460}" uniqueName="35" name="Column37" queryTableFieldId="98"/>
    <tableColumn id="36" xr3:uid="{E86025F9-969C-4835-B737-1B691C46320E}" uniqueName="36" name="Column38" queryTableFieldId="99"/>
    <tableColumn id="37" xr3:uid="{008582A0-82AE-485D-9FCA-30C18FADB288}" uniqueName="37" name="Column39" queryTableFieldId="100"/>
    <tableColumn id="38" xr3:uid="{6FF38453-8CC2-46B4-AD83-CCB978807352}" uniqueName="38" name="Column40" queryTableFieldId="101"/>
    <tableColumn id="39" xr3:uid="{EBDA73D7-E10D-4F8F-A185-CB27EE6695D2}" uniqueName="39" name="Column41" queryTableFieldId="102"/>
    <tableColumn id="40" xr3:uid="{7FE9D162-8B9E-46C0-A2F9-4C2841557514}" uniqueName="40" name="Column42" queryTableFieldId="103"/>
    <tableColumn id="41" xr3:uid="{FFE12D0F-CC6E-47CA-B6BB-0842B925A33B}" uniqueName="41" name="Column43" queryTableFieldId="104"/>
    <tableColumn id="42" xr3:uid="{19BC7313-ED5B-4CBD-874D-1DC879E8168C}" uniqueName="42" name="Column44" queryTableFieldId="105"/>
    <tableColumn id="43" xr3:uid="{32102CCB-7183-44F8-96FD-F2AE673AF1A5}" uniqueName="43" name="Column45" queryTableFieldId="106"/>
    <tableColumn id="44" xr3:uid="{67D9B497-1FC1-4125-B16D-8ADB01D6A9D9}" uniqueName="44" name="Column46" queryTableFieldId="107"/>
    <tableColumn id="45" xr3:uid="{3DBB6F21-0E22-43C0-8D8F-5B019F0646EE}" uniqueName="45" name="Column47" queryTableFieldId="108"/>
    <tableColumn id="46" xr3:uid="{F424325D-408D-405D-BE4D-1E7F32A2FA61}" uniqueName="46" name="Column48" queryTableFieldId="109"/>
    <tableColumn id="47" xr3:uid="{10BAB3E1-83E3-4FBB-BC48-7C2EEC3E92D4}" uniqueName="47" name="Column49" queryTableFieldId="110"/>
    <tableColumn id="48" xr3:uid="{D0861EF8-814A-41CD-81B1-A0B7B17899E6}" uniqueName="48" name="Column50" queryTableFieldId="111"/>
    <tableColumn id="49" xr3:uid="{3E02B2B8-FC6B-4CB2-8A86-BE8873FEEF70}" uniqueName="49" name="Column51" queryTableFieldId="112"/>
    <tableColumn id="50" xr3:uid="{DE828173-22A6-4393-9A53-D2295D7DF832}" uniqueName="50" name="Column52" queryTableFieldId="113"/>
    <tableColumn id="51" xr3:uid="{D0DFE291-C217-4B8D-956B-DB39BEB627E2}" uniqueName="51" name="Column53" queryTableFieldId="114"/>
    <tableColumn id="52" xr3:uid="{FEAAFF98-48C9-41A0-9DC8-F00B97B00A5F}" uniqueName="52" name="Column54" queryTableFieldId="115"/>
    <tableColumn id="53" xr3:uid="{019CD4FB-DF61-418A-85C2-3CD57B50BCD0}" uniqueName="53" name="Column55" queryTableFieldId="116"/>
    <tableColumn id="54" xr3:uid="{997C8B79-A3E8-4CE8-B925-5AF9F0051562}" uniqueName="54" name="Column56" queryTableFieldId="117"/>
    <tableColumn id="55" xr3:uid="{45CA6BAA-B583-4A01-B65B-84820BEC38BE}" uniqueName="55" name="Column57" queryTableFieldId="118"/>
    <tableColumn id="56" xr3:uid="{1F52C472-2B26-4580-969C-E98443000037}" uniqueName="56" name="Column58" queryTableFieldId="119"/>
    <tableColumn id="57" xr3:uid="{A866A471-DF1E-4D32-BAEB-75E6EA81A342}" uniqueName="57" name="Column59" queryTableFieldId="120"/>
    <tableColumn id="58" xr3:uid="{AAB90CC0-F961-4855-9A87-F2AA1CAFFB60}" uniqueName="58" name="Column60" queryTableFieldId="121"/>
    <tableColumn id="59" xr3:uid="{61230FE4-4D49-44D2-9EEF-AA06301028CF}" uniqueName="59" name="Column61" queryTableFieldId="122"/>
    <tableColumn id="60" xr3:uid="{F0E5B851-1486-4047-BCC0-9058447D1232}" uniqueName="60" name="Column62" queryTableFieldId="123"/>
    <tableColumn id="61" xr3:uid="{699BBAA3-FE2D-494C-B6FA-887550AAB1A3}" uniqueName="61" name="Column63" queryTableFieldId="124"/>
    <tableColumn id="62" xr3:uid="{147FD6EE-E96C-4897-8246-F7C786044279}" uniqueName="62" name="Column64" queryTableFieldId="125"/>
    <tableColumn id="63" xr3:uid="{170EB026-25F9-4391-960D-D79FB402F437}" uniqueName="63" name="Column65" queryTableFieldId="126"/>
    <tableColumn id="64" xr3:uid="{CB2676C7-7A22-4988-A9B4-7B60E86E6649}" uniqueName="64" name="Column66" queryTableFieldId="127"/>
    <tableColumn id="65" xr3:uid="{0B62DAFE-0E55-4E34-9C70-F1EEB8E3881E}" uniqueName="65" name="Column67" queryTableFieldId="128"/>
    <tableColumn id="66" xr3:uid="{74249E47-9142-4D08-9100-6FA99F10F77D}" uniqueName="66" name="Column68" queryTableFieldId="129"/>
    <tableColumn id="67" xr3:uid="{DB5198AC-83C9-4814-AAB0-BD023685BD57}" uniqueName="67" name="Column69" queryTableFieldId="130"/>
    <tableColumn id="68" xr3:uid="{2662DCD7-320D-423E-BEC1-CE68025DC8CD}" uniqueName="68" name="Column70" queryTableFieldId="131"/>
    <tableColumn id="69" xr3:uid="{2128D1A1-1908-4832-B1A7-451AD071081D}" uniqueName="69" name="Column71" queryTableFieldId="132"/>
    <tableColumn id="70" xr3:uid="{95F82B04-002F-42E2-AD70-394B10D9361A}" uniqueName="70" name="Column72" queryTableFieldId="133"/>
    <tableColumn id="71" xr3:uid="{C8A65646-AD89-4136-BEAD-CB91FC38BDE3}" uniqueName="71" name="Column73" queryTableFieldId="134"/>
    <tableColumn id="72" xr3:uid="{7A27B21D-B307-4638-AB3A-37290A29F58E}" uniqueName="72" name="Column74" queryTableFieldId="135"/>
    <tableColumn id="73" xr3:uid="{03F5E8CE-D270-4EE1-AC3E-2BCD74C51CC9}" uniqueName="73" name="Column75" queryTableFieldId="136"/>
    <tableColumn id="74" xr3:uid="{6F20D206-5EB0-46FD-AE3A-C4C3E1B72F68}" uniqueName="74" name="Column76" queryTableFieldId="137"/>
    <tableColumn id="75" xr3:uid="{53CB8589-0DA6-4CD7-91AC-088450F860E0}" uniqueName="75" name="Column77" queryTableFieldId="138"/>
    <tableColumn id="76" xr3:uid="{036C5141-10CB-42B1-AA7F-94894158CBE3}" uniqueName="76" name="Column78" queryTableFieldId="139"/>
    <tableColumn id="77" xr3:uid="{9202F726-95F2-49D6-81F4-EA9EDFD44F0A}" uniqueName="77" name="Column79" queryTableFieldId="140"/>
    <tableColumn id="78" xr3:uid="{C35B55E2-5DD4-46C8-BA70-73E536E43574}" uniqueName="78" name="Column80" queryTableFieldId="141"/>
    <tableColumn id="79" xr3:uid="{E95B8D07-FA2C-4E84-B0EC-0048AE1F353A}" uniqueName="79" name="Column81" queryTableFieldId="142"/>
    <tableColumn id="80" xr3:uid="{0DB1B489-C44E-490B-8337-4CCB006A55FF}" uniqueName="80" name="Column82" queryTableFieldId="143"/>
    <tableColumn id="81" xr3:uid="{5FC041F9-70A6-4534-B04A-EEBF9AC89031}" uniqueName="81" name="Column83" queryTableFieldId="144"/>
    <tableColumn id="82" xr3:uid="{C048B59F-B342-4FDC-B126-E08E0A8E849A}" uniqueName="82" name="Column84" queryTableFieldId="145"/>
    <tableColumn id="83" xr3:uid="{B91E1A5D-7588-4C85-A7E1-B9977C3BDE43}" uniqueName="83" name="Column85" queryTableFieldId="146"/>
    <tableColumn id="84" xr3:uid="{63EC790C-26C8-4D73-B296-AA69624C5D91}" uniqueName="84" name="Column86" queryTableFieldId="147"/>
    <tableColumn id="85" xr3:uid="{6C4FE431-97C8-42CD-BF4B-0D92E4CEA88E}" uniqueName="85" name="Column87" queryTableFieldId="148"/>
    <tableColumn id="86" xr3:uid="{BD4B7C74-2AC4-4DB2-9543-47DA3AB0B428}" uniqueName="86" name="Column88" queryTableFieldId="149"/>
    <tableColumn id="87" xr3:uid="{FA94B2E7-6E2A-4BD5-8E3F-F03975C959DE}" uniqueName="87" name="Column89" queryTableFieldId="150"/>
    <tableColumn id="88" xr3:uid="{FEB80032-4BA6-4445-98AB-6DC58334B439}" uniqueName="88" name="Column90" queryTableFieldId="151"/>
    <tableColumn id="89" xr3:uid="{08EC8DF4-99F7-4BB9-B5D4-015E4B574ECF}" uniqueName="89" name="Column91" queryTableFieldId="152"/>
    <tableColumn id="90" xr3:uid="{456FA3AC-9951-420C-820D-CFD1FDB6870E}" uniqueName="90" name="Column92" queryTableFieldId="153"/>
    <tableColumn id="91" xr3:uid="{3DBCDF1E-0E97-4A13-B9C0-DCA5C5B115BE}" uniqueName="91" name="Column93" queryTableFieldId="154"/>
    <tableColumn id="92" xr3:uid="{CB007530-B080-477F-ABF1-046A31E77AAD}" uniqueName="92" name="Column94" queryTableFieldId="155"/>
    <tableColumn id="93" xr3:uid="{ACBB040C-CA5A-439C-9AFF-2C54AAC4FAD6}" uniqueName="93" name="Column95" queryTableFieldId="156"/>
    <tableColumn id="94" xr3:uid="{C50C74C7-535B-4695-A05F-2BF98328C12C}" uniqueName="94" name="Column96" queryTableFieldId="157"/>
    <tableColumn id="95" xr3:uid="{DB79F9E0-418C-4566-BB82-CCBF555421A7}" uniqueName="95" name="Column97" queryTableFieldId="158"/>
    <tableColumn id="96" xr3:uid="{A13EB56A-C788-4387-A936-7F0C9544B073}" uniqueName="96" name="Column98" queryTableFieldId="159"/>
    <tableColumn id="97" xr3:uid="{CAF60C32-1809-425F-851F-01E780164106}" uniqueName="97" name="Column99" queryTableFieldId="160"/>
    <tableColumn id="98" xr3:uid="{874ED3FF-FE1F-427D-A015-68151BF67C8C}" uniqueName="98" name="Column100" queryTableFieldId="16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C14B9-A958-4FB9-B1DB-065D318DD492}">
  <sheetPr codeName="Tabelle1"/>
  <dimension ref="A1:CI45"/>
  <sheetViews>
    <sheetView tabSelected="1" zoomScaleNormal="100" workbookViewId="0">
      <pane xSplit="1" topLeftCell="AO1" activePane="topRight" state="frozen"/>
      <selection pane="topRight" activeCell="CH1" sqref="CH1"/>
    </sheetView>
  </sheetViews>
  <sheetFormatPr baseColWidth="10" defaultColWidth="11.42578125" defaultRowHeight="15" x14ac:dyDescent="0.25"/>
  <cols>
    <col min="1" max="1" width="24.140625" style="3" bestFit="1" customWidth="1"/>
    <col min="2" max="2" width="8" style="5" hidden="1" customWidth="1"/>
    <col min="3" max="40" width="8" style="3" hidden="1" customWidth="1"/>
    <col min="41" max="87" width="8" style="3" customWidth="1"/>
    <col min="88" max="16384" width="11.42578125" style="3"/>
  </cols>
  <sheetData>
    <row r="1" spans="1:83" ht="254.25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4" t="s">
        <v>449</v>
      </c>
      <c r="AP1" s="34"/>
      <c r="AQ1" s="34"/>
      <c r="AR1" s="34"/>
      <c r="AS1" s="34"/>
      <c r="AT1" s="34"/>
      <c r="AU1" s="34"/>
      <c r="AV1" s="34"/>
      <c r="AW1" s="34"/>
      <c r="AX1" s="34"/>
      <c r="AY1" s="34"/>
      <c r="AZ1" s="34"/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  <c r="BL1" s="34"/>
      <c r="BM1" s="34"/>
      <c r="BN1" s="34"/>
      <c r="BO1" s="34"/>
      <c r="BP1" s="34"/>
      <c r="BQ1" s="34"/>
      <c r="BR1" s="34"/>
      <c r="BS1" s="34"/>
      <c r="BT1" s="34"/>
      <c r="BU1" s="34"/>
      <c r="BV1" s="34"/>
      <c r="BW1" s="34"/>
      <c r="BX1" s="34"/>
      <c r="BY1" s="34"/>
      <c r="BZ1" s="34"/>
      <c r="CA1" s="34"/>
      <c r="CB1" s="34"/>
      <c r="CC1" s="34"/>
      <c r="CD1" s="34"/>
      <c r="CE1" s="34"/>
    </row>
    <row r="2" spans="1:83" s="2" customFormat="1" ht="29.25" customHeight="1" x14ac:dyDescent="0.25">
      <c r="A2" s="4" t="s">
        <v>244</v>
      </c>
      <c r="B2" s="6"/>
    </row>
    <row r="3" spans="1:83" s="12" customFormat="1" ht="18.75" x14ac:dyDescent="0.3">
      <c r="A3" s="23" t="s">
        <v>101</v>
      </c>
      <c r="B3" s="24">
        <v>43852</v>
      </c>
      <c r="C3" s="25">
        <v>43853</v>
      </c>
      <c r="D3" s="25">
        <v>43854</v>
      </c>
      <c r="E3" s="25">
        <v>43855</v>
      </c>
      <c r="F3" s="25">
        <v>43856</v>
      </c>
      <c r="G3" s="25">
        <v>43857</v>
      </c>
      <c r="H3" s="25">
        <v>43858</v>
      </c>
      <c r="I3" s="25">
        <v>43859</v>
      </c>
      <c r="J3" s="25">
        <v>43860</v>
      </c>
      <c r="K3" s="25">
        <v>43861</v>
      </c>
      <c r="L3" s="25">
        <v>43862</v>
      </c>
      <c r="M3" s="25">
        <v>43863</v>
      </c>
      <c r="N3" s="25">
        <v>43864</v>
      </c>
      <c r="O3" s="25">
        <v>43865</v>
      </c>
      <c r="P3" s="25">
        <v>43866</v>
      </c>
      <c r="Q3" s="25">
        <v>43867</v>
      </c>
      <c r="R3" s="25">
        <v>43868</v>
      </c>
      <c r="S3" s="25">
        <v>43869</v>
      </c>
      <c r="T3" s="25">
        <v>43870</v>
      </c>
      <c r="U3" s="25">
        <v>43871</v>
      </c>
      <c r="V3" s="25">
        <v>43872</v>
      </c>
      <c r="W3" s="25">
        <v>43873</v>
      </c>
      <c r="X3" s="25">
        <v>43874</v>
      </c>
      <c r="Y3" s="25">
        <v>43875</v>
      </c>
      <c r="Z3" s="25">
        <v>43876</v>
      </c>
      <c r="AA3" s="25">
        <v>43877</v>
      </c>
      <c r="AB3" s="25">
        <v>43878</v>
      </c>
      <c r="AC3" s="25">
        <v>43879</v>
      </c>
      <c r="AD3" s="25">
        <v>43880</v>
      </c>
      <c r="AE3" s="25">
        <v>43881</v>
      </c>
      <c r="AF3" s="25">
        <v>43882</v>
      </c>
      <c r="AG3" s="25">
        <v>43883</v>
      </c>
      <c r="AH3" s="25">
        <v>43884</v>
      </c>
      <c r="AI3" s="25">
        <v>43885</v>
      </c>
      <c r="AJ3" s="25">
        <v>43886</v>
      </c>
      <c r="AK3" s="25">
        <v>43887</v>
      </c>
      <c r="AL3" s="25">
        <v>43888</v>
      </c>
      <c r="AM3" s="25">
        <v>43889</v>
      </c>
      <c r="AN3" s="25">
        <v>43890</v>
      </c>
      <c r="AO3" s="25">
        <v>43891</v>
      </c>
      <c r="AP3" s="25">
        <v>43892</v>
      </c>
      <c r="AQ3" s="25">
        <v>43893</v>
      </c>
      <c r="AR3" s="25">
        <v>43894</v>
      </c>
      <c r="AS3" s="25">
        <v>43895</v>
      </c>
      <c r="AT3" s="25">
        <v>43896</v>
      </c>
      <c r="AU3" s="25">
        <v>43897</v>
      </c>
      <c r="AV3" s="25">
        <v>43898</v>
      </c>
      <c r="AW3" s="25">
        <v>43899</v>
      </c>
      <c r="AX3" s="25">
        <v>43900</v>
      </c>
      <c r="AY3" s="25">
        <v>43901</v>
      </c>
      <c r="AZ3" s="25">
        <v>43902</v>
      </c>
      <c r="BA3" s="25">
        <v>43903</v>
      </c>
      <c r="BB3" s="25">
        <v>43904</v>
      </c>
      <c r="BC3" s="25">
        <v>43905</v>
      </c>
      <c r="BD3" s="25">
        <v>43906</v>
      </c>
      <c r="BE3" s="25">
        <v>43907</v>
      </c>
      <c r="BF3" s="25">
        <v>43908</v>
      </c>
      <c r="BG3" s="25">
        <v>43909</v>
      </c>
      <c r="BH3" s="25">
        <v>43910</v>
      </c>
      <c r="BI3" s="25">
        <v>43911</v>
      </c>
      <c r="BJ3" s="25">
        <v>43912</v>
      </c>
      <c r="BK3" s="25">
        <v>43913</v>
      </c>
      <c r="BL3" s="25">
        <v>43914</v>
      </c>
      <c r="BM3" s="25">
        <v>43915</v>
      </c>
      <c r="BN3" s="25">
        <v>43916</v>
      </c>
      <c r="BO3" s="25">
        <v>43917</v>
      </c>
      <c r="BP3" s="25">
        <v>43918</v>
      </c>
      <c r="BQ3" s="25">
        <v>43919</v>
      </c>
      <c r="BR3" s="25">
        <v>43920</v>
      </c>
      <c r="BS3" s="25">
        <v>43921</v>
      </c>
      <c r="BT3" s="25">
        <v>43922</v>
      </c>
      <c r="BU3" s="25">
        <v>43923</v>
      </c>
      <c r="BV3" s="25">
        <v>43924</v>
      </c>
      <c r="BW3" s="25">
        <v>43925</v>
      </c>
      <c r="BX3" s="25">
        <v>43926</v>
      </c>
      <c r="BY3" s="25">
        <v>43927</v>
      </c>
      <c r="BZ3" s="25">
        <v>43928</v>
      </c>
      <c r="CA3" s="25">
        <v>43929</v>
      </c>
      <c r="CB3" s="25">
        <v>43930</v>
      </c>
      <c r="CC3" s="25">
        <v>43931</v>
      </c>
      <c r="CD3" s="25">
        <v>43932</v>
      </c>
      <c r="CE3" s="25">
        <v>43933</v>
      </c>
    </row>
    <row r="4" spans="1:83" s="11" customFormat="1" ht="12.75" x14ac:dyDescent="0.2">
      <c r="A4" s="26" t="s">
        <v>241</v>
      </c>
      <c r="B4" s="28">
        <f>SUMIF(RAW_Cases!$B:$B,$A$3,RAW_Cases!C:C)</f>
        <v>1</v>
      </c>
      <c r="C4" s="28">
        <f>SUMIF(RAW_Cases!$B:$B,$A$3,RAW_Cases!D:D)</f>
        <v>1</v>
      </c>
      <c r="D4" s="28">
        <f>SUMIF(RAW_Cases!$B:$B,$A$3,RAW_Cases!E:E)</f>
        <v>2</v>
      </c>
      <c r="E4" s="28">
        <f>SUMIF(RAW_Cases!$B:$B,$A$3,RAW_Cases!F:F)</f>
        <v>2</v>
      </c>
      <c r="F4" s="28">
        <f>SUMIF(RAW_Cases!$B:$B,$A$3,RAW_Cases!G:G)</f>
        <v>5</v>
      </c>
      <c r="G4" s="28">
        <f>SUMIF(RAW_Cases!$B:$B,$A$3,RAW_Cases!H:H)</f>
        <v>5</v>
      </c>
      <c r="H4" s="28">
        <f>SUMIF(RAW_Cases!$B:$B,$A$3,RAW_Cases!I:I)</f>
        <v>5</v>
      </c>
      <c r="I4" s="28">
        <f>SUMIF(RAW_Cases!$B:$B,$A$3,RAW_Cases!J:J)</f>
        <v>5</v>
      </c>
      <c r="J4" s="28">
        <f>SUMIF(RAW_Cases!$B:$B,$A$3,RAW_Cases!K:K)</f>
        <v>5</v>
      </c>
      <c r="K4" s="28">
        <f>SUMIF(RAW_Cases!$B:$B,$A$3,RAW_Cases!L:L)</f>
        <v>7</v>
      </c>
      <c r="L4" s="28">
        <f>SUMIF(RAW_Cases!$B:$B,$A$3,RAW_Cases!M:M)</f>
        <v>8</v>
      </c>
      <c r="M4" s="28">
        <f>SUMIF(RAW_Cases!$B:$B,$A$3,RAW_Cases!N:N)</f>
        <v>8</v>
      </c>
      <c r="N4" s="28">
        <f>SUMIF(RAW_Cases!$B:$B,$A$3,RAW_Cases!O:O)</f>
        <v>11</v>
      </c>
      <c r="O4" s="28">
        <f>SUMIF(RAW_Cases!$B:$B,$A$3,RAW_Cases!P:P)</f>
        <v>11</v>
      </c>
      <c r="P4" s="28">
        <f>SUMIF(RAW_Cases!$B:$B,$A$3,RAW_Cases!Q:Q)</f>
        <v>11</v>
      </c>
      <c r="Q4" s="28">
        <f>SUMIF(RAW_Cases!$B:$B,$A$3,RAW_Cases!R:R)</f>
        <v>11</v>
      </c>
      <c r="R4" s="28">
        <f>SUMIF(RAW_Cases!$B:$B,$A$3,RAW_Cases!S:S)</f>
        <v>11</v>
      </c>
      <c r="S4" s="28">
        <f>SUMIF(RAW_Cases!$B:$B,$A$3,RAW_Cases!T:T)</f>
        <v>11</v>
      </c>
      <c r="T4" s="28">
        <f>SUMIF(RAW_Cases!$B:$B,$A$3,RAW_Cases!U:U)</f>
        <v>11</v>
      </c>
      <c r="U4" s="28">
        <f>SUMIF(RAW_Cases!$B:$B,$A$3,RAW_Cases!V:V)</f>
        <v>11</v>
      </c>
      <c r="V4" s="28">
        <f>SUMIF(RAW_Cases!$B:$B,$A$3,RAW_Cases!W:W)</f>
        <v>12</v>
      </c>
      <c r="W4" s="28">
        <f>SUMIF(RAW_Cases!$B:$B,$A$3,RAW_Cases!X:X)</f>
        <v>12</v>
      </c>
      <c r="X4" s="28">
        <f>SUMIF(RAW_Cases!$B:$B,$A$3,RAW_Cases!Y:Y)</f>
        <v>13</v>
      </c>
      <c r="Y4" s="28">
        <f>SUMIF(RAW_Cases!$B:$B,$A$3,RAW_Cases!Z:Z)</f>
        <v>13</v>
      </c>
      <c r="Z4" s="28">
        <f>SUMIF(RAW_Cases!$B:$B,$A$3,RAW_Cases!AA:AA)</f>
        <v>13</v>
      </c>
      <c r="AA4" s="28">
        <f>SUMIF(RAW_Cases!$B:$B,$A$3,RAW_Cases!AB:AB)</f>
        <v>13</v>
      </c>
      <c r="AB4" s="28">
        <f>SUMIF(RAW_Cases!$B:$B,$A$3,RAW_Cases!AC:AC)</f>
        <v>13</v>
      </c>
      <c r="AC4" s="28">
        <f>SUMIF(RAW_Cases!$B:$B,$A$3,RAW_Cases!AD:AD)</f>
        <v>13</v>
      </c>
      <c r="AD4" s="28">
        <f>SUMIF(RAW_Cases!$B:$B,$A$3,RAW_Cases!AE:AE)</f>
        <v>13</v>
      </c>
      <c r="AE4" s="28">
        <f>SUMIF(RAW_Cases!$B:$B,$A$3,RAW_Cases!AF:AF)</f>
        <v>13</v>
      </c>
      <c r="AF4" s="28">
        <f>SUMIF(RAW_Cases!$B:$B,$A$3,RAW_Cases!AG:AG)</f>
        <v>15</v>
      </c>
      <c r="AG4" s="28">
        <f>SUMIF(RAW_Cases!$B:$B,$A$3,RAW_Cases!AH:AH)</f>
        <v>15</v>
      </c>
      <c r="AH4" s="28">
        <f>SUMIF(RAW_Cases!$B:$B,$A$3,RAW_Cases!AI:AI)</f>
        <v>15</v>
      </c>
      <c r="AI4" s="28">
        <f>SUMIF(RAW_Cases!$B:$B,$A$3,RAW_Cases!AJ:AJ)</f>
        <v>51</v>
      </c>
      <c r="AJ4" s="28">
        <f>SUMIF(RAW_Cases!$B:$B,$A$3,RAW_Cases!AK:AK)</f>
        <v>51</v>
      </c>
      <c r="AK4" s="28">
        <f>SUMIF(RAW_Cases!$B:$B,$A$3,RAW_Cases!AL:AL)</f>
        <v>57</v>
      </c>
      <c r="AL4" s="28">
        <f>SUMIF(RAW_Cases!$B:$B,$A$3,RAW_Cases!AM:AM)</f>
        <v>58</v>
      </c>
      <c r="AM4" s="28">
        <f>SUMIF(RAW_Cases!$B:$B,$A$3,RAW_Cases!AN:AN)</f>
        <v>60</v>
      </c>
      <c r="AN4" s="28">
        <f>SUMIF(RAW_Cases!$B:$B,$A$3,RAW_Cases!AO:AO)</f>
        <v>68</v>
      </c>
      <c r="AO4" s="28">
        <f>SUMIF(RAW_Cases!$B:$B,$A$3,RAW_Cases!AP:AP)</f>
        <v>74</v>
      </c>
      <c r="AP4" s="28">
        <f>SUMIF(RAW_Cases!$B:$B,$A$3,RAW_Cases!AQ:AQ)</f>
        <v>98</v>
      </c>
      <c r="AQ4" s="28">
        <f>SUMIF(RAW_Cases!$B:$B,$A$3,RAW_Cases!AR:AR)</f>
        <v>118</v>
      </c>
      <c r="AR4" s="28">
        <f>SUMIF(RAW_Cases!$B:$B,$A$3,RAW_Cases!AS:AS)</f>
        <v>149</v>
      </c>
      <c r="AS4" s="28">
        <f>SUMIF(RAW_Cases!$B:$B,$A$3,RAW_Cases!AT:AT)</f>
        <v>217</v>
      </c>
      <c r="AT4" s="28">
        <f>SUMIF(RAW_Cases!$B:$B,$A$3,RAW_Cases!AU:AU)</f>
        <v>262</v>
      </c>
      <c r="AU4" s="28">
        <f>SUMIF(RAW_Cases!$B:$B,$A$3,RAW_Cases!AV:AV)</f>
        <v>402</v>
      </c>
      <c r="AV4" s="28">
        <f>SUMIF(RAW_Cases!$B:$B,$A$3,RAW_Cases!AW:AW)</f>
        <v>518</v>
      </c>
      <c r="AW4" s="28">
        <f>SUMIF(RAW_Cases!$B:$B,$A$3,RAW_Cases!AX:AX)</f>
        <v>583</v>
      </c>
      <c r="AX4" s="28">
        <f>SUMIF(RAW_Cases!$B:$B,$A$3,RAW_Cases!AY:AY)</f>
        <v>959</v>
      </c>
      <c r="AY4" s="28">
        <f>SUMIF(RAW_Cases!$B:$B,$A$3,RAW_Cases!AZ:AZ)</f>
        <v>1281</v>
      </c>
      <c r="AZ4" s="28">
        <f>SUMIF(RAW_Cases!$B:$B,$A$3,RAW_Cases!BA:BA)</f>
        <v>1663</v>
      </c>
      <c r="BA4" s="28">
        <f>SUMIF(RAW_Cases!$B:$B,$A$3,RAW_Cases!BB:BB)</f>
        <v>2179</v>
      </c>
      <c r="BB4" s="28">
        <f>SUMIF(RAW_Cases!$B:$B,$A$3,RAW_Cases!BC:BC)</f>
        <v>2727</v>
      </c>
      <c r="BC4" s="28">
        <f>SUMIF(RAW_Cases!$B:$B,$A$3,RAW_Cases!BD:BD)</f>
        <v>3499</v>
      </c>
      <c r="BD4" s="28">
        <f>SUMIF(RAW_Cases!$B:$B,$A$3,RAW_Cases!BE:BE)</f>
        <v>4632</v>
      </c>
      <c r="BE4" s="28">
        <f>SUMIF(RAW_Cases!$B:$B,$A$3,RAW_Cases!BF:BF)</f>
        <v>6421</v>
      </c>
      <c r="BF4" s="28">
        <f>SUMIF(RAW_Cases!$B:$B,$A$3,RAW_Cases!BG:BG)</f>
        <v>7783</v>
      </c>
      <c r="BG4" s="28">
        <f>SUMIF(RAW_Cases!$B:$B,$A$3,RAW_Cases!BH:BH)</f>
        <v>13677</v>
      </c>
      <c r="BH4" s="28">
        <f>SUMIF(RAW_Cases!$B:$B,$A$3,RAW_Cases!BI:BI)</f>
        <v>19100</v>
      </c>
      <c r="BI4" s="28">
        <f>SUMIF(RAW_Cases!$B:$B,$A$3,RAW_Cases!BJ:BJ)</f>
        <v>25489</v>
      </c>
      <c r="BJ4" s="28">
        <f>SUMIF(RAW_Cases!$B:$B,$A$3,RAW_Cases!BK:BK)</f>
        <v>33276</v>
      </c>
      <c r="BK4" s="28">
        <f>SUMIF(RAW_Cases!$B:$B,$A$3,RAW_Cases!BL:BL)</f>
        <v>43847</v>
      </c>
      <c r="BL4" s="28">
        <f>SUMIF(RAW_Cases!$B:$B,$A$3,RAW_Cases!BM:BM)</f>
        <v>53740</v>
      </c>
      <c r="BM4" s="28">
        <f>SUMIF(RAW_Cases!$B:$B,$A$3,RAW_Cases!BN:BN)</f>
        <v>65778</v>
      </c>
      <c r="BN4" s="28">
        <f>SUMIF(RAW_Cases!$B:$B,$A$3,RAW_Cases!BO:BO)</f>
        <v>83836</v>
      </c>
      <c r="BO4" s="28">
        <f>SUMIF(RAW_Cases!$B:$B,$A$3,RAW_Cases!BP:BP)</f>
        <v>101657</v>
      </c>
      <c r="BP4" s="28">
        <f>SUMIF(RAW_Cases!$B:$B,$A$3,RAW_Cases!BQ:BQ)</f>
        <v>121478</v>
      </c>
      <c r="BQ4" s="28">
        <f>SUMIF(RAW_Cases!$B:$B,$A$3,RAW_Cases!BR:BR)</f>
        <v>140886</v>
      </c>
      <c r="BR4" s="28">
        <f>SUMIF(RAW_Cases!$B:$B,$A$3,RAW_Cases!BS:BS)</f>
        <v>161807</v>
      </c>
      <c r="BS4" s="28">
        <f>SUMIF(RAW_Cases!$B:$B,$A$3,RAW_Cases!BT:BT)</f>
        <v>0</v>
      </c>
      <c r="BT4" s="28">
        <f>SUMIF(RAW_Cases!$B:$B,$A$3,RAW_Cases!BU:BU)</f>
        <v>0</v>
      </c>
      <c r="BU4" s="28">
        <f>SUMIF(RAW_Cases!$B:$B,$A$3,RAW_Cases!BV:BV)</f>
        <v>0</v>
      </c>
      <c r="BV4" s="28">
        <f>SUMIF(RAW_Cases!$B:$B,$A$3,RAW_Cases!BW:BW)</f>
        <v>0</v>
      </c>
      <c r="BW4" s="28">
        <f>SUMIF(RAW_Cases!$B:$B,$A$3,RAW_Cases!BX:BX)</f>
        <v>0</v>
      </c>
      <c r="BX4" s="28">
        <f>SUMIF(RAW_Cases!$B:$B,$A$3,RAW_Cases!BY:BY)</f>
        <v>0</v>
      </c>
      <c r="BY4" s="28">
        <f>SUMIF(RAW_Cases!$B:$B,$A$3,RAW_Cases!BZ:BZ)</f>
        <v>0</v>
      </c>
      <c r="BZ4" s="28">
        <f>SUMIF(RAW_Cases!$B:$B,$A$3,RAW_Cases!CA:CA)</f>
        <v>0</v>
      </c>
      <c r="CA4" s="28">
        <f>SUMIF(RAW_Cases!$B:$B,$A$3,RAW_Cases!CB:CB)</f>
        <v>0</v>
      </c>
      <c r="CB4" s="28">
        <f>SUMIF(RAW_Cases!$B:$B,$A$3,RAW_Cases!CC:CC)</f>
        <v>0</v>
      </c>
      <c r="CC4" s="28">
        <f>SUMIF(RAW_Cases!$B:$B,$A$3,RAW_Cases!CD:CD)</f>
        <v>0</v>
      </c>
      <c r="CD4" s="28">
        <f>SUMIF(RAW_Cases!$B:$B,$A$3,RAW_Cases!CE:CE)</f>
        <v>0</v>
      </c>
      <c r="CE4" s="28">
        <f>SUMIF(RAW_Cases!$B:$B,$A$3,RAW_Cases!CF:CF)</f>
        <v>0</v>
      </c>
    </row>
    <row r="5" spans="1:83" s="11" customFormat="1" ht="12.75" x14ac:dyDescent="0.2">
      <c r="A5" s="26" t="s">
        <v>242</v>
      </c>
      <c r="B5" s="28">
        <f>SUMIF(RAW_DEATHS!$B:$B,$A$3,RAW_DEATHS!C:C)</f>
        <v>0</v>
      </c>
      <c r="C5" s="28">
        <f>SUMIF(RAW_DEATHS!$B:$B,$A$3,RAW_DEATHS!D:D)</f>
        <v>0</v>
      </c>
      <c r="D5" s="28">
        <f>SUMIF(RAW_DEATHS!$B:$B,$A$3,RAW_DEATHS!E:E)</f>
        <v>0</v>
      </c>
      <c r="E5" s="28">
        <f>SUMIF(RAW_DEATHS!$B:$B,$A$3,RAW_DEATHS!F:F)</f>
        <v>0</v>
      </c>
      <c r="F5" s="28">
        <f>SUMIF(RAW_DEATHS!$B:$B,$A$3,RAW_DEATHS!G:G)</f>
        <v>0</v>
      </c>
      <c r="G5" s="28">
        <f>SUMIF(RAW_DEATHS!$B:$B,$A$3,RAW_DEATHS!H:H)</f>
        <v>0</v>
      </c>
      <c r="H5" s="28">
        <f>SUMIF(RAW_DEATHS!$B:$B,$A$3,RAW_DEATHS!I:I)</f>
        <v>0</v>
      </c>
      <c r="I5" s="28">
        <f>SUMIF(RAW_DEATHS!$B:$B,$A$3,RAW_DEATHS!J:J)</f>
        <v>0</v>
      </c>
      <c r="J5" s="28">
        <f>SUMIF(RAW_DEATHS!$B:$B,$A$3,RAW_DEATHS!K:K)</f>
        <v>0</v>
      </c>
      <c r="K5" s="28">
        <f>SUMIF(RAW_DEATHS!$B:$B,$A$3,RAW_DEATHS!L:L)</f>
        <v>0</v>
      </c>
      <c r="L5" s="28">
        <f>SUMIF(RAW_DEATHS!$B:$B,$A$3,RAW_DEATHS!M:M)</f>
        <v>0</v>
      </c>
      <c r="M5" s="28">
        <f>SUMIF(RAW_DEATHS!$B:$B,$A$3,RAW_DEATHS!N:N)</f>
        <v>0</v>
      </c>
      <c r="N5" s="28">
        <f>SUMIF(RAW_DEATHS!$B:$B,$A$3,RAW_DEATHS!O:O)</f>
        <v>0</v>
      </c>
      <c r="O5" s="28">
        <f>SUMIF(RAW_DEATHS!$B:$B,$A$3,RAW_DEATHS!P:P)</f>
        <v>0</v>
      </c>
      <c r="P5" s="28">
        <f>SUMIF(RAW_DEATHS!$B:$B,$A$3,RAW_DEATHS!Q:Q)</f>
        <v>0</v>
      </c>
      <c r="Q5" s="28">
        <f>SUMIF(RAW_DEATHS!$B:$B,$A$3,RAW_DEATHS!R:R)</f>
        <v>0</v>
      </c>
      <c r="R5" s="28">
        <f>SUMIF(RAW_DEATHS!$B:$B,$A$3,RAW_DEATHS!S:S)</f>
        <v>0</v>
      </c>
      <c r="S5" s="28">
        <f>SUMIF(RAW_DEATHS!$B:$B,$A$3,RAW_DEATHS!T:T)</f>
        <v>0</v>
      </c>
      <c r="T5" s="28">
        <f>SUMIF(RAW_DEATHS!$B:$B,$A$3,RAW_DEATHS!U:U)</f>
        <v>0</v>
      </c>
      <c r="U5" s="28">
        <f>SUMIF(RAW_DEATHS!$B:$B,$A$3,RAW_DEATHS!V:V)</f>
        <v>0</v>
      </c>
      <c r="V5" s="28">
        <f>SUMIF(RAW_DEATHS!$B:$B,$A$3,RAW_DEATHS!W:W)</f>
        <v>0</v>
      </c>
      <c r="W5" s="28">
        <f>SUMIF(RAW_DEATHS!$B:$B,$A$3,RAW_DEATHS!X:X)</f>
        <v>0</v>
      </c>
      <c r="X5" s="28">
        <f>SUMIF(RAW_DEATHS!$B:$B,$A$3,RAW_DEATHS!Y:Y)</f>
        <v>0</v>
      </c>
      <c r="Y5" s="28">
        <f>SUMIF(RAW_DEATHS!$B:$B,$A$3,RAW_DEATHS!Z:Z)</f>
        <v>0</v>
      </c>
      <c r="Z5" s="28">
        <f>SUMIF(RAW_DEATHS!$B:$B,$A$3,RAW_DEATHS!AA:AA)</f>
        <v>0</v>
      </c>
      <c r="AA5" s="28">
        <f>SUMIF(RAW_DEATHS!$B:$B,$A$3,RAW_DEATHS!AB:AB)</f>
        <v>0</v>
      </c>
      <c r="AB5" s="28">
        <f>SUMIF(RAW_DEATHS!$B:$B,$A$3,RAW_DEATHS!AC:AC)</f>
        <v>0</v>
      </c>
      <c r="AC5" s="28">
        <f>SUMIF(RAW_DEATHS!$B:$B,$A$3,RAW_DEATHS!AD:AD)</f>
        <v>0</v>
      </c>
      <c r="AD5" s="28">
        <f>SUMIF(RAW_DEATHS!$B:$B,$A$3,RAW_DEATHS!AE:AE)</f>
        <v>0</v>
      </c>
      <c r="AE5" s="28">
        <f>SUMIF(RAW_DEATHS!$B:$B,$A$3,RAW_DEATHS!AF:AF)</f>
        <v>0</v>
      </c>
      <c r="AF5" s="28">
        <f>SUMIF(RAW_DEATHS!$B:$B,$A$3,RAW_DEATHS!AG:AG)</f>
        <v>0</v>
      </c>
      <c r="AG5" s="28">
        <f>SUMIF(RAW_DEATHS!$B:$B,$A$3,RAW_DEATHS!AH:AH)</f>
        <v>0</v>
      </c>
      <c r="AH5" s="28">
        <f>SUMIF(RAW_DEATHS!$B:$B,$A$3,RAW_DEATHS!AI:AI)</f>
        <v>0</v>
      </c>
      <c r="AI5" s="28">
        <f>SUMIF(RAW_DEATHS!$B:$B,$A$3,RAW_DEATHS!AJ:AJ)</f>
        <v>0</v>
      </c>
      <c r="AJ5" s="28">
        <f>SUMIF(RAW_DEATHS!$B:$B,$A$3,RAW_DEATHS!AK:AK)</f>
        <v>0</v>
      </c>
      <c r="AK5" s="28">
        <f>SUMIF(RAW_DEATHS!$B:$B,$A$3,RAW_DEATHS!AL:AL)</f>
        <v>0</v>
      </c>
      <c r="AL5" s="28">
        <f>SUMIF(RAW_DEATHS!$B:$B,$A$3,RAW_DEATHS!AM:AM)</f>
        <v>0</v>
      </c>
      <c r="AM5" s="28">
        <f>SUMIF(RAW_DEATHS!$B:$B,$A$3,RAW_DEATHS!AN:AN)</f>
        <v>0</v>
      </c>
      <c r="AN5" s="28">
        <f>SUMIF(RAW_DEATHS!$B:$B,$A$3,RAW_DEATHS!AO:AO)</f>
        <v>1</v>
      </c>
      <c r="AO5" s="28">
        <f>SUMIF(RAW_DEATHS!$B:$B,$A$3,RAW_DEATHS!AP:AP)</f>
        <v>1</v>
      </c>
      <c r="AP5" s="28">
        <f>SUMIF(RAW_DEATHS!$B:$B,$A$3,RAW_DEATHS!AQ:AQ)</f>
        <v>6</v>
      </c>
      <c r="AQ5" s="28">
        <f>SUMIF(RAW_DEATHS!$B:$B,$A$3,RAW_DEATHS!AR:AR)</f>
        <v>7</v>
      </c>
      <c r="AR5" s="28">
        <f>SUMIF(RAW_DEATHS!$B:$B,$A$3,RAW_DEATHS!AS:AS)</f>
        <v>11</v>
      </c>
      <c r="AS5" s="28">
        <f>SUMIF(RAW_DEATHS!$B:$B,$A$3,RAW_DEATHS!AT:AT)</f>
        <v>12</v>
      </c>
      <c r="AT5" s="28">
        <f>SUMIF(RAW_DEATHS!$B:$B,$A$3,RAW_DEATHS!AU:AU)</f>
        <v>14</v>
      </c>
      <c r="AU5" s="28">
        <f>SUMIF(RAW_DEATHS!$B:$B,$A$3,RAW_DEATHS!AV:AV)</f>
        <v>17</v>
      </c>
      <c r="AV5" s="28">
        <f>SUMIF(RAW_DEATHS!$B:$B,$A$3,RAW_DEATHS!AW:AW)</f>
        <v>21</v>
      </c>
      <c r="AW5" s="28">
        <f>SUMIF(RAW_DEATHS!$B:$B,$A$3,RAW_DEATHS!AX:AX)</f>
        <v>22</v>
      </c>
      <c r="AX5" s="28">
        <f>SUMIF(RAW_DEATHS!$B:$B,$A$3,RAW_DEATHS!AY:AY)</f>
        <v>28</v>
      </c>
      <c r="AY5" s="28">
        <f>SUMIF(RAW_DEATHS!$B:$B,$A$3,RAW_DEATHS!AZ:AZ)</f>
        <v>36</v>
      </c>
      <c r="AZ5" s="28">
        <f>SUMIF(RAW_DEATHS!$B:$B,$A$3,RAW_DEATHS!BA:BA)</f>
        <v>40</v>
      </c>
      <c r="BA5" s="28">
        <f>SUMIF(RAW_DEATHS!$B:$B,$A$3,RAW_DEATHS!BB:BB)</f>
        <v>47</v>
      </c>
      <c r="BB5" s="28">
        <f>SUMIF(RAW_DEATHS!$B:$B,$A$3,RAW_DEATHS!BC:BC)</f>
        <v>54</v>
      </c>
      <c r="BC5" s="28">
        <f>SUMIF(RAW_DEATHS!$B:$B,$A$3,RAW_DEATHS!BD:BD)</f>
        <v>63</v>
      </c>
      <c r="BD5" s="28">
        <f>SUMIF(RAW_DEATHS!$B:$B,$A$3,RAW_DEATHS!BE:BE)</f>
        <v>85</v>
      </c>
      <c r="BE5" s="28">
        <f>SUMIF(RAW_DEATHS!$B:$B,$A$3,RAW_DEATHS!BF:BF)</f>
        <v>108</v>
      </c>
      <c r="BF5" s="28">
        <f>SUMIF(RAW_DEATHS!$B:$B,$A$3,RAW_DEATHS!BG:BG)</f>
        <v>118</v>
      </c>
      <c r="BG5" s="28">
        <f>SUMIF(RAW_DEATHS!$B:$B,$A$3,RAW_DEATHS!BH:BH)</f>
        <v>200</v>
      </c>
      <c r="BH5" s="28">
        <f>SUMIF(RAW_DEATHS!$B:$B,$A$3,RAW_DEATHS!BI:BI)</f>
        <v>244</v>
      </c>
      <c r="BI5" s="28">
        <f>SUMIF(RAW_DEATHS!$B:$B,$A$3,RAW_DEATHS!BJ:BJ)</f>
        <v>307</v>
      </c>
      <c r="BJ5" s="28">
        <f>SUMIF(RAW_DEATHS!$B:$B,$A$3,RAW_DEATHS!BK:BK)</f>
        <v>417</v>
      </c>
      <c r="BK5" s="28">
        <f>SUMIF(RAW_DEATHS!$B:$B,$A$3,RAW_DEATHS!BL:BL)</f>
        <v>557</v>
      </c>
      <c r="BL5" s="28">
        <f>SUMIF(RAW_DEATHS!$B:$B,$A$3,RAW_DEATHS!BM:BM)</f>
        <v>706</v>
      </c>
      <c r="BM5" s="28">
        <f>SUMIF(RAW_DEATHS!$B:$B,$A$3,RAW_DEATHS!BN:BN)</f>
        <v>942</v>
      </c>
      <c r="BN5" s="28">
        <f>SUMIF(RAW_DEATHS!$B:$B,$A$3,RAW_DEATHS!BO:BO)</f>
        <v>1209</v>
      </c>
      <c r="BO5" s="28">
        <f>SUMIF(RAW_DEATHS!$B:$B,$A$3,RAW_DEATHS!BP:BP)</f>
        <v>1581</v>
      </c>
      <c r="BP5" s="28">
        <f>SUMIF(RAW_DEATHS!$B:$B,$A$3,RAW_DEATHS!BQ:BQ)</f>
        <v>2026</v>
      </c>
      <c r="BQ5" s="28">
        <f>SUMIF(RAW_DEATHS!$B:$B,$A$3,RAW_DEATHS!BR:BR)</f>
        <v>2467</v>
      </c>
      <c r="BR5" s="28">
        <f>SUMIF(RAW_DEATHS!$B:$B,$A$3,RAW_DEATHS!BS:BS)</f>
        <v>2978</v>
      </c>
      <c r="BS5" s="28">
        <f>SUMIF(RAW_DEATHS!$B:$B,$A$3,RAW_DEATHS!BT:BT)</f>
        <v>0</v>
      </c>
      <c r="BT5" s="28">
        <f>SUMIF(RAW_DEATHS!$B:$B,$A$3,RAW_DEATHS!BU:BU)</f>
        <v>0</v>
      </c>
      <c r="BU5" s="28">
        <f>SUMIF(RAW_DEATHS!$B:$B,$A$3,RAW_DEATHS!BV:BV)</f>
        <v>0</v>
      </c>
      <c r="BV5" s="28">
        <f>SUMIF(RAW_DEATHS!$B:$B,$A$3,RAW_DEATHS!BW:BW)</f>
        <v>0</v>
      </c>
      <c r="BW5" s="28">
        <f>SUMIF(RAW_DEATHS!$B:$B,$A$3,RAW_DEATHS!BX:BX)</f>
        <v>0</v>
      </c>
      <c r="BX5" s="28">
        <f>SUMIF(RAW_DEATHS!$B:$B,$A$3,RAW_DEATHS!BY:BY)</f>
        <v>0</v>
      </c>
      <c r="BY5" s="28">
        <f>SUMIF(RAW_DEATHS!$B:$B,$A$3,RAW_DEATHS!BZ:BZ)</f>
        <v>0</v>
      </c>
      <c r="BZ5" s="28">
        <f>SUMIF(RAW_DEATHS!$B:$B,$A$3,RAW_DEATHS!CA:CA)</f>
        <v>0</v>
      </c>
      <c r="CA5" s="28">
        <f>SUMIF(RAW_DEATHS!$B:$B,$A$3,RAW_DEATHS!CB:CB)</f>
        <v>0</v>
      </c>
      <c r="CB5" s="28">
        <f>SUMIF(RAW_DEATHS!$B:$B,$A$3,RAW_DEATHS!CC:CC)</f>
        <v>0</v>
      </c>
      <c r="CC5" s="28">
        <f>SUMIF(RAW_DEATHS!$B:$B,$A$3,RAW_DEATHS!CD:CD)</f>
        <v>0</v>
      </c>
      <c r="CD5" s="28">
        <f>SUMIF(RAW_DEATHS!$B:$B,$A$3,RAW_DEATHS!CE:CE)</f>
        <v>0</v>
      </c>
      <c r="CE5" s="28">
        <f>SUMIF(RAW_DEATHS!$B:$B,$A$3,RAW_DEATHS!CF:CF)</f>
        <v>0</v>
      </c>
    </row>
    <row r="6" spans="1:83" s="11" customFormat="1" ht="12.75" x14ac:dyDescent="0.2">
      <c r="A6" s="26" t="s">
        <v>245</v>
      </c>
      <c r="B6" s="28">
        <f>SUMIF(RAW_RECOVERED!$B:$B,$A$3,RAW_RECOVERED!C:C)</f>
        <v>0</v>
      </c>
      <c r="C6" s="28">
        <f>SUMIF(RAW_RECOVERED!$B:$B,$A$3,RAW_RECOVERED!D:D)</f>
        <v>0</v>
      </c>
      <c r="D6" s="28">
        <f>SUMIF(RAW_RECOVERED!$B:$B,$A$3,RAW_RECOVERED!E:E)</f>
        <v>0</v>
      </c>
      <c r="E6" s="28">
        <f>SUMIF(RAW_RECOVERED!$B:$B,$A$3,RAW_RECOVERED!F:F)</f>
        <v>0</v>
      </c>
      <c r="F6" s="28">
        <f>SUMIF(RAW_RECOVERED!$B:$B,$A$3,RAW_RECOVERED!G:G)</f>
        <v>0</v>
      </c>
      <c r="G6" s="28">
        <f>SUMIF(RAW_RECOVERED!$B:$B,$A$3,RAW_RECOVERED!H:H)</f>
        <v>0</v>
      </c>
      <c r="H6" s="28">
        <f>SUMIF(RAW_RECOVERED!$B:$B,$A$3,RAW_RECOVERED!I:I)</f>
        <v>0</v>
      </c>
      <c r="I6" s="28">
        <f>SUMIF(RAW_RECOVERED!$B:$B,$A$3,RAW_RECOVERED!J:J)</f>
        <v>0</v>
      </c>
      <c r="J6" s="28">
        <f>SUMIF(RAW_RECOVERED!$B:$B,$A$3,RAW_RECOVERED!K:K)</f>
        <v>0</v>
      </c>
      <c r="K6" s="28">
        <f>SUMIF(RAW_RECOVERED!$B:$B,$A$3,RAW_RECOVERED!L:L)</f>
        <v>0</v>
      </c>
      <c r="L6" s="28">
        <f>SUMIF(RAW_RECOVERED!$B:$B,$A$3,RAW_RECOVERED!M:M)</f>
        <v>0</v>
      </c>
      <c r="M6" s="28">
        <f>SUMIF(RAW_RECOVERED!$B:$B,$A$3,RAW_RECOVERED!N:N)</f>
        <v>0</v>
      </c>
      <c r="N6" s="28">
        <f>SUMIF(RAW_RECOVERED!$B:$B,$A$3,RAW_RECOVERED!O:O)</f>
        <v>0</v>
      </c>
      <c r="O6" s="28">
        <f>SUMIF(RAW_RECOVERED!$B:$B,$A$3,RAW_RECOVERED!P:P)</f>
        <v>0</v>
      </c>
      <c r="P6" s="28">
        <f>SUMIF(RAW_RECOVERED!$B:$B,$A$3,RAW_RECOVERED!Q:Q)</f>
        <v>0</v>
      </c>
      <c r="Q6" s="28">
        <f>SUMIF(RAW_RECOVERED!$B:$B,$A$3,RAW_RECOVERED!R:R)</f>
        <v>0</v>
      </c>
      <c r="R6" s="28">
        <f>SUMIF(RAW_RECOVERED!$B:$B,$A$3,RAW_RECOVERED!S:S)</f>
        <v>0</v>
      </c>
      <c r="S6" s="28">
        <f>SUMIF(RAW_RECOVERED!$B:$B,$A$3,RAW_RECOVERED!T:T)</f>
        <v>0</v>
      </c>
      <c r="T6" s="28">
        <f>SUMIF(RAW_RECOVERED!$B:$B,$A$3,RAW_RECOVERED!U:U)</f>
        <v>3</v>
      </c>
      <c r="U6" s="28">
        <f>SUMIF(RAW_RECOVERED!$B:$B,$A$3,RAW_RECOVERED!V:V)</f>
        <v>3</v>
      </c>
      <c r="V6" s="28">
        <f>SUMIF(RAW_RECOVERED!$B:$B,$A$3,RAW_RECOVERED!W:W)</f>
        <v>3</v>
      </c>
      <c r="W6" s="28">
        <f>SUMIF(RAW_RECOVERED!$B:$B,$A$3,RAW_RECOVERED!X:X)</f>
        <v>3</v>
      </c>
      <c r="X6" s="28">
        <f>SUMIF(RAW_RECOVERED!$B:$B,$A$3,RAW_RECOVERED!Y:Y)</f>
        <v>3</v>
      </c>
      <c r="Y6" s="28">
        <f>SUMIF(RAW_RECOVERED!$B:$B,$A$3,RAW_RECOVERED!Z:Z)</f>
        <v>3</v>
      </c>
      <c r="Z6" s="28">
        <f>SUMIF(RAW_RECOVERED!$B:$B,$A$3,RAW_RECOVERED!AA:AA)</f>
        <v>3</v>
      </c>
      <c r="AA6" s="28">
        <f>SUMIF(RAW_RECOVERED!$B:$B,$A$3,RAW_RECOVERED!AB:AB)</f>
        <v>3</v>
      </c>
      <c r="AB6" s="28">
        <f>SUMIF(RAW_RECOVERED!$B:$B,$A$3,RAW_RECOVERED!AC:AC)</f>
        <v>3</v>
      </c>
      <c r="AC6" s="28">
        <f>SUMIF(RAW_RECOVERED!$B:$B,$A$3,RAW_RECOVERED!AD:AD)</f>
        <v>3</v>
      </c>
      <c r="AD6" s="28">
        <f>SUMIF(RAW_RECOVERED!$B:$B,$A$3,RAW_RECOVERED!AE:AE)</f>
        <v>3</v>
      </c>
      <c r="AE6" s="28">
        <f>SUMIF(RAW_RECOVERED!$B:$B,$A$3,RAW_RECOVERED!AF:AF)</f>
        <v>3</v>
      </c>
      <c r="AF6" s="28">
        <f>SUMIF(RAW_RECOVERED!$B:$B,$A$3,RAW_RECOVERED!AG:AG)</f>
        <v>5</v>
      </c>
      <c r="AG6" s="28">
        <f>SUMIF(RAW_RECOVERED!$B:$B,$A$3,RAW_RECOVERED!AH:AH)</f>
        <v>5</v>
      </c>
      <c r="AH6" s="28">
        <f>SUMIF(RAW_RECOVERED!$B:$B,$A$3,RAW_RECOVERED!AI:AI)</f>
        <v>5</v>
      </c>
      <c r="AI6" s="28">
        <f>SUMIF(RAW_RECOVERED!$B:$B,$A$3,RAW_RECOVERED!AJ:AJ)</f>
        <v>5</v>
      </c>
      <c r="AJ6" s="28">
        <f>SUMIF(RAW_RECOVERED!$B:$B,$A$3,RAW_RECOVERED!AK:AK)</f>
        <v>6</v>
      </c>
      <c r="AK6" s="28">
        <f>SUMIF(RAW_RECOVERED!$B:$B,$A$3,RAW_RECOVERED!AL:AL)</f>
        <v>6</v>
      </c>
      <c r="AL6" s="28">
        <f>SUMIF(RAW_RECOVERED!$B:$B,$A$3,RAW_RECOVERED!AM:AM)</f>
        <v>6</v>
      </c>
      <c r="AM6" s="28">
        <f>SUMIF(RAW_RECOVERED!$B:$B,$A$3,RAW_RECOVERED!AN:AN)</f>
        <v>7</v>
      </c>
      <c r="AN6" s="28">
        <f>SUMIF(RAW_RECOVERED!$B:$B,$A$3,RAW_RECOVERED!AO:AO)</f>
        <v>7</v>
      </c>
      <c r="AO6" s="28">
        <f>SUMIF(RAW_RECOVERED!$B:$B,$A$3,RAW_RECOVERED!AP:AP)</f>
        <v>7</v>
      </c>
      <c r="AP6" s="28">
        <f>SUMIF(RAW_RECOVERED!$B:$B,$A$3,RAW_RECOVERED!AQ:AQ)</f>
        <v>7</v>
      </c>
      <c r="AQ6" s="28">
        <f>SUMIF(RAW_RECOVERED!$B:$B,$A$3,RAW_RECOVERED!AR:AR)</f>
        <v>7</v>
      </c>
      <c r="AR6" s="28">
        <f>SUMIF(RAW_RECOVERED!$B:$B,$A$3,RAW_RECOVERED!AS:AS)</f>
        <v>7</v>
      </c>
      <c r="AS6" s="28">
        <f>SUMIF(RAW_RECOVERED!$B:$B,$A$3,RAW_RECOVERED!AT:AT)</f>
        <v>7</v>
      </c>
      <c r="AT6" s="28">
        <f>SUMIF(RAW_RECOVERED!$B:$B,$A$3,RAW_RECOVERED!AU:AU)</f>
        <v>7</v>
      </c>
      <c r="AU6" s="28">
        <f>SUMIF(RAW_RECOVERED!$B:$B,$A$3,RAW_RECOVERED!AV:AV)</f>
        <v>7</v>
      </c>
      <c r="AV6" s="28">
        <f>SUMIF(RAW_RECOVERED!$B:$B,$A$3,RAW_RECOVERED!AW:AW)</f>
        <v>7</v>
      </c>
      <c r="AW6" s="28">
        <f>SUMIF(RAW_RECOVERED!$B:$B,$A$3,RAW_RECOVERED!AX:AX)</f>
        <v>7</v>
      </c>
      <c r="AX6" s="28">
        <f>SUMIF(RAW_RECOVERED!$B:$B,$A$3,RAW_RECOVERED!AY:AY)</f>
        <v>8</v>
      </c>
      <c r="AY6" s="28">
        <f>SUMIF(RAW_RECOVERED!$B:$B,$A$3,RAW_RECOVERED!AZ:AZ)</f>
        <v>8</v>
      </c>
      <c r="AZ6" s="28">
        <f>SUMIF(RAW_RECOVERED!$B:$B,$A$3,RAW_RECOVERED!BA:BA)</f>
        <v>12</v>
      </c>
      <c r="BA6" s="28">
        <f>SUMIF(RAW_RECOVERED!$B:$B,$A$3,RAW_RECOVERED!BB:BB)</f>
        <v>12</v>
      </c>
      <c r="BB6" s="28">
        <f>SUMIF(RAW_RECOVERED!$B:$B,$A$3,RAW_RECOVERED!BC:BC)</f>
        <v>12</v>
      </c>
      <c r="BC6" s="28">
        <f>SUMIF(RAW_RECOVERED!$B:$B,$A$3,RAW_RECOVERED!BD:BD)</f>
        <v>12</v>
      </c>
      <c r="BD6" s="28">
        <f>SUMIF(RAW_RECOVERED!$B:$B,$A$3,RAW_RECOVERED!BE:BE)</f>
        <v>17</v>
      </c>
      <c r="BE6" s="28">
        <f>SUMIF(RAW_RECOVERED!$B:$B,$A$3,RAW_RECOVERED!BF:BF)</f>
        <v>17</v>
      </c>
      <c r="BF6" s="28">
        <f>SUMIF(RAW_RECOVERED!$B:$B,$A$3,RAW_RECOVERED!BG:BG)</f>
        <v>105</v>
      </c>
      <c r="BG6" s="28">
        <f>SUMIF(RAW_RECOVERED!$B:$B,$A$3,RAW_RECOVERED!BH:BH)</f>
        <v>121</v>
      </c>
      <c r="BH6" s="28">
        <f>SUMIF(RAW_RECOVERED!$B:$B,$A$3,RAW_RECOVERED!BI:BI)</f>
        <v>147</v>
      </c>
      <c r="BI6" s="28">
        <f>SUMIF(RAW_RECOVERED!$B:$B,$A$3,RAW_RECOVERED!BJ:BJ)</f>
        <v>176</v>
      </c>
      <c r="BJ6" s="28">
        <f>SUMIF(RAW_RECOVERED!$B:$B,$A$3,RAW_RECOVERED!BK:BK)</f>
        <v>178</v>
      </c>
      <c r="BK6" s="28">
        <f>SUMIF(RAW_RECOVERED!$B:$B,$A$3,RAW_RECOVERED!BL:BL)</f>
        <v>178</v>
      </c>
      <c r="BL6" s="28">
        <f>SUMIF(RAW_RECOVERED!$B:$B,$A$3,RAW_RECOVERED!BM:BM)</f>
        <v>348</v>
      </c>
      <c r="BM6" s="28">
        <f>SUMIF(RAW_RECOVERED!$B:$B,$A$3,RAW_RECOVERED!BN:BN)</f>
        <v>361</v>
      </c>
      <c r="BN6" s="28">
        <f>SUMIF(RAW_RECOVERED!$B:$B,$A$3,RAW_RECOVERED!BO:BO)</f>
        <v>681</v>
      </c>
      <c r="BO6" s="28">
        <f>SUMIF(RAW_RECOVERED!$B:$B,$A$3,RAW_RECOVERED!BP:BP)</f>
        <v>869</v>
      </c>
      <c r="BP6" s="28">
        <f>SUMIF(RAW_RECOVERED!$B:$B,$A$3,RAW_RECOVERED!BQ:BQ)</f>
        <v>1072</v>
      </c>
      <c r="BQ6" s="28">
        <f>SUMIF(RAW_RECOVERED!$B:$B,$A$3,RAW_RECOVERED!BR:BR)</f>
        <v>2665</v>
      </c>
      <c r="BR6" s="28">
        <f>SUMIF(RAW_RECOVERED!$B:$B,$A$3,RAW_RECOVERED!BS:BS)</f>
        <v>5644</v>
      </c>
      <c r="BS6" s="28">
        <f>SUMIF(RAW_RECOVERED!$B:$B,$A$3,RAW_RECOVERED!BT:BT)</f>
        <v>0</v>
      </c>
      <c r="BT6" s="28">
        <f>SUMIF(RAW_RECOVERED!$B:$B,$A$3,RAW_RECOVERED!BU:BU)</f>
        <v>0</v>
      </c>
      <c r="BU6" s="28">
        <f>SUMIF(RAW_RECOVERED!$B:$B,$A$3,RAW_RECOVERED!BV:BV)</f>
        <v>0</v>
      </c>
      <c r="BV6" s="28">
        <f>SUMIF(RAW_RECOVERED!$B:$B,$A$3,RAW_RECOVERED!BW:BW)</f>
        <v>0</v>
      </c>
      <c r="BW6" s="28">
        <f>SUMIF(RAW_RECOVERED!$B:$B,$A$3,RAW_RECOVERED!BX:BX)</f>
        <v>0</v>
      </c>
      <c r="BX6" s="28">
        <f>SUMIF(RAW_RECOVERED!$B:$B,$A$3,RAW_RECOVERED!BY:BY)</f>
        <v>0</v>
      </c>
      <c r="BY6" s="28">
        <f>SUMIF(RAW_RECOVERED!$B:$B,$A$3,RAW_RECOVERED!BZ:BZ)</f>
        <v>0</v>
      </c>
      <c r="BZ6" s="28">
        <f>SUMIF(RAW_RECOVERED!$B:$B,$A$3,RAW_RECOVERED!CA:CA)</f>
        <v>0</v>
      </c>
      <c r="CA6" s="28">
        <f>SUMIF(RAW_RECOVERED!$B:$B,$A$3,RAW_RECOVERED!CB:CB)</f>
        <v>0</v>
      </c>
      <c r="CB6" s="28">
        <f>SUMIF(RAW_RECOVERED!$B:$B,$A$3,RAW_RECOVERED!CC:CC)</f>
        <v>0</v>
      </c>
      <c r="CC6" s="28">
        <f>SUMIF(RAW_RECOVERED!$B:$B,$A$3,RAW_RECOVERED!CD:CD)</f>
        <v>0</v>
      </c>
      <c r="CD6" s="28">
        <f>SUMIF(RAW_RECOVERED!$B:$B,$A$3,RAW_RECOVERED!CE:CE)</f>
        <v>0</v>
      </c>
      <c r="CE6" s="28">
        <f>SUMIF(RAW_RECOVERED!$B:$B,$A$3,RAW_RECOVERED!CF:CF)</f>
        <v>0</v>
      </c>
    </row>
    <row r="7" spans="1:83" s="11" customFormat="1" ht="12.75" x14ac:dyDescent="0.2">
      <c r="A7" s="26" t="s">
        <v>437</v>
      </c>
      <c r="B7" s="28"/>
      <c r="C7" s="28">
        <f t="shared" ref="C7:AH7" si="0">C4-B4</f>
        <v>0</v>
      </c>
      <c r="D7" s="28">
        <f t="shared" si="0"/>
        <v>1</v>
      </c>
      <c r="E7" s="28">
        <f t="shared" si="0"/>
        <v>0</v>
      </c>
      <c r="F7" s="28">
        <f t="shared" si="0"/>
        <v>3</v>
      </c>
      <c r="G7" s="28">
        <f t="shared" si="0"/>
        <v>0</v>
      </c>
      <c r="H7" s="28">
        <f t="shared" si="0"/>
        <v>0</v>
      </c>
      <c r="I7" s="28">
        <f t="shared" si="0"/>
        <v>0</v>
      </c>
      <c r="J7" s="28">
        <f t="shared" si="0"/>
        <v>0</v>
      </c>
      <c r="K7" s="28">
        <f t="shared" si="0"/>
        <v>2</v>
      </c>
      <c r="L7" s="28">
        <f t="shared" si="0"/>
        <v>1</v>
      </c>
      <c r="M7" s="28">
        <f t="shared" si="0"/>
        <v>0</v>
      </c>
      <c r="N7" s="28">
        <f t="shared" si="0"/>
        <v>3</v>
      </c>
      <c r="O7" s="28">
        <f t="shared" si="0"/>
        <v>0</v>
      </c>
      <c r="P7" s="28">
        <f t="shared" si="0"/>
        <v>0</v>
      </c>
      <c r="Q7" s="28">
        <f t="shared" si="0"/>
        <v>0</v>
      </c>
      <c r="R7" s="28">
        <f t="shared" si="0"/>
        <v>0</v>
      </c>
      <c r="S7" s="28">
        <f t="shared" si="0"/>
        <v>0</v>
      </c>
      <c r="T7" s="28">
        <f t="shared" si="0"/>
        <v>0</v>
      </c>
      <c r="U7" s="28">
        <f t="shared" si="0"/>
        <v>0</v>
      </c>
      <c r="V7" s="28">
        <f t="shared" si="0"/>
        <v>1</v>
      </c>
      <c r="W7" s="28">
        <f t="shared" si="0"/>
        <v>0</v>
      </c>
      <c r="X7" s="28">
        <f t="shared" si="0"/>
        <v>1</v>
      </c>
      <c r="Y7" s="28">
        <f t="shared" si="0"/>
        <v>0</v>
      </c>
      <c r="Z7" s="28">
        <f t="shared" si="0"/>
        <v>0</v>
      </c>
      <c r="AA7" s="28">
        <f t="shared" si="0"/>
        <v>0</v>
      </c>
      <c r="AB7" s="28">
        <f t="shared" si="0"/>
        <v>0</v>
      </c>
      <c r="AC7" s="28">
        <f t="shared" si="0"/>
        <v>0</v>
      </c>
      <c r="AD7" s="28">
        <f t="shared" si="0"/>
        <v>0</v>
      </c>
      <c r="AE7" s="28">
        <f t="shared" si="0"/>
        <v>0</v>
      </c>
      <c r="AF7" s="28">
        <f t="shared" si="0"/>
        <v>2</v>
      </c>
      <c r="AG7" s="28">
        <f t="shared" si="0"/>
        <v>0</v>
      </c>
      <c r="AH7" s="28">
        <f t="shared" si="0"/>
        <v>0</v>
      </c>
      <c r="AI7" s="28">
        <f t="shared" ref="AI7:BN7" si="1">AI4-AH4</f>
        <v>36</v>
      </c>
      <c r="AJ7" s="28">
        <f t="shared" si="1"/>
        <v>0</v>
      </c>
      <c r="AK7" s="28">
        <f t="shared" si="1"/>
        <v>6</v>
      </c>
      <c r="AL7" s="28">
        <f t="shared" si="1"/>
        <v>1</v>
      </c>
      <c r="AM7" s="28">
        <f t="shared" si="1"/>
        <v>2</v>
      </c>
      <c r="AN7" s="28">
        <f t="shared" si="1"/>
        <v>8</v>
      </c>
      <c r="AO7" s="28">
        <f t="shared" si="1"/>
        <v>6</v>
      </c>
      <c r="AP7" s="28">
        <f t="shared" si="1"/>
        <v>24</v>
      </c>
      <c r="AQ7" s="28">
        <f t="shared" si="1"/>
        <v>20</v>
      </c>
      <c r="AR7" s="28">
        <f t="shared" si="1"/>
        <v>31</v>
      </c>
      <c r="AS7" s="28">
        <f t="shared" si="1"/>
        <v>68</v>
      </c>
      <c r="AT7" s="28">
        <f t="shared" si="1"/>
        <v>45</v>
      </c>
      <c r="AU7" s="28">
        <f t="shared" si="1"/>
        <v>140</v>
      </c>
      <c r="AV7" s="28">
        <f t="shared" si="1"/>
        <v>116</v>
      </c>
      <c r="AW7" s="28">
        <f t="shared" si="1"/>
        <v>65</v>
      </c>
      <c r="AX7" s="28">
        <f t="shared" si="1"/>
        <v>376</v>
      </c>
      <c r="AY7" s="28">
        <f t="shared" si="1"/>
        <v>322</v>
      </c>
      <c r="AZ7" s="28">
        <f t="shared" si="1"/>
        <v>382</v>
      </c>
      <c r="BA7" s="28">
        <f t="shared" si="1"/>
        <v>516</v>
      </c>
      <c r="BB7" s="28">
        <f t="shared" si="1"/>
        <v>548</v>
      </c>
      <c r="BC7" s="28">
        <f t="shared" si="1"/>
        <v>772</v>
      </c>
      <c r="BD7" s="28">
        <f t="shared" si="1"/>
        <v>1133</v>
      </c>
      <c r="BE7" s="28">
        <f t="shared" si="1"/>
        <v>1789</v>
      </c>
      <c r="BF7" s="28">
        <f t="shared" si="1"/>
        <v>1362</v>
      </c>
      <c r="BG7" s="28">
        <f t="shared" si="1"/>
        <v>5894</v>
      </c>
      <c r="BH7" s="28">
        <f t="shared" si="1"/>
        <v>5423</v>
      </c>
      <c r="BI7" s="28">
        <f t="shared" si="1"/>
        <v>6389</v>
      </c>
      <c r="BJ7" s="28">
        <f t="shared" si="1"/>
        <v>7787</v>
      </c>
      <c r="BK7" s="28">
        <f t="shared" si="1"/>
        <v>10571</v>
      </c>
      <c r="BL7" s="28">
        <f t="shared" si="1"/>
        <v>9893</v>
      </c>
      <c r="BM7" s="28">
        <f t="shared" si="1"/>
        <v>12038</v>
      </c>
      <c r="BN7" s="28">
        <f t="shared" si="1"/>
        <v>18058</v>
      </c>
      <c r="BO7" s="28">
        <f t="shared" ref="BO7:CE7" si="2">BO4-BN4</f>
        <v>17821</v>
      </c>
      <c r="BP7" s="28">
        <f t="shared" si="2"/>
        <v>19821</v>
      </c>
      <c r="BQ7" s="28">
        <f t="shared" si="2"/>
        <v>19408</v>
      </c>
      <c r="BR7" s="28">
        <f t="shared" si="2"/>
        <v>20921</v>
      </c>
      <c r="BS7" s="28">
        <f t="shared" si="2"/>
        <v>-161807</v>
      </c>
      <c r="BT7" s="28">
        <f t="shared" si="2"/>
        <v>0</v>
      </c>
      <c r="BU7" s="28">
        <f t="shared" si="2"/>
        <v>0</v>
      </c>
      <c r="BV7" s="28">
        <f t="shared" si="2"/>
        <v>0</v>
      </c>
      <c r="BW7" s="28">
        <f t="shared" si="2"/>
        <v>0</v>
      </c>
      <c r="BX7" s="28">
        <f t="shared" si="2"/>
        <v>0</v>
      </c>
      <c r="BY7" s="28">
        <f t="shared" si="2"/>
        <v>0</v>
      </c>
      <c r="BZ7" s="28">
        <f t="shared" si="2"/>
        <v>0</v>
      </c>
      <c r="CA7" s="28">
        <f t="shared" si="2"/>
        <v>0</v>
      </c>
      <c r="CB7" s="28">
        <f t="shared" si="2"/>
        <v>0</v>
      </c>
      <c r="CC7" s="28">
        <f t="shared" si="2"/>
        <v>0</v>
      </c>
      <c r="CD7" s="28">
        <f t="shared" si="2"/>
        <v>0</v>
      </c>
      <c r="CE7" s="28">
        <f t="shared" si="2"/>
        <v>0</v>
      </c>
    </row>
    <row r="8" spans="1:83" s="11" customFormat="1" ht="12.75" x14ac:dyDescent="0.2">
      <c r="A8" s="26" t="s">
        <v>436</v>
      </c>
      <c r="B8" s="28"/>
      <c r="C8" s="28">
        <f t="shared" ref="C8:AH8" si="3">C5-B5</f>
        <v>0</v>
      </c>
      <c r="D8" s="28">
        <f t="shared" si="3"/>
        <v>0</v>
      </c>
      <c r="E8" s="28">
        <f t="shared" si="3"/>
        <v>0</v>
      </c>
      <c r="F8" s="28">
        <f t="shared" si="3"/>
        <v>0</v>
      </c>
      <c r="G8" s="28">
        <f t="shared" si="3"/>
        <v>0</v>
      </c>
      <c r="H8" s="28">
        <f t="shared" si="3"/>
        <v>0</v>
      </c>
      <c r="I8" s="28">
        <f t="shared" si="3"/>
        <v>0</v>
      </c>
      <c r="J8" s="28">
        <f t="shared" si="3"/>
        <v>0</v>
      </c>
      <c r="K8" s="28">
        <f t="shared" si="3"/>
        <v>0</v>
      </c>
      <c r="L8" s="28">
        <f t="shared" si="3"/>
        <v>0</v>
      </c>
      <c r="M8" s="28">
        <f t="shared" si="3"/>
        <v>0</v>
      </c>
      <c r="N8" s="28">
        <f t="shared" si="3"/>
        <v>0</v>
      </c>
      <c r="O8" s="28">
        <f t="shared" si="3"/>
        <v>0</v>
      </c>
      <c r="P8" s="28">
        <f t="shared" si="3"/>
        <v>0</v>
      </c>
      <c r="Q8" s="28">
        <f t="shared" si="3"/>
        <v>0</v>
      </c>
      <c r="R8" s="28">
        <f t="shared" si="3"/>
        <v>0</v>
      </c>
      <c r="S8" s="28">
        <f t="shared" si="3"/>
        <v>0</v>
      </c>
      <c r="T8" s="28">
        <f t="shared" si="3"/>
        <v>0</v>
      </c>
      <c r="U8" s="28">
        <f t="shared" si="3"/>
        <v>0</v>
      </c>
      <c r="V8" s="28">
        <f t="shared" si="3"/>
        <v>0</v>
      </c>
      <c r="W8" s="28">
        <f t="shared" si="3"/>
        <v>0</v>
      </c>
      <c r="X8" s="28">
        <f t="shared" si="3"/>
        <v>0</v>
      </c>
      <c r="Y8" s="28">
        <f t="shared" si="3"/>
        <v>0</v>
      </c>
      <c r="Z8" s="28">
        <f t="shared" si="3"/>
        <v>0</v>
      </c>
      <c r="AA8" s="28">
        <f t="shared" si="3"/>
        <v>0</v>
      </c>
      <c r="AB8" s="28">
        <f t="shared" si="3"/>
        <v>0</v>
      </c>
      <c r="AC8" s="28">
        <f t="shared" si="3"/>
        <v>0</v>
      </c>
      <c r="AD8" s="28">
        <f t="shared" si="3"/>
        <v>0</v>
      </c>
      <c r="AE8" s="28">
        <f t="shared" si="3"/>
        <v>0</v>
      </c>
      <c r="AF8" s="28">
        <f t="shared" si="3"/>
        <v>0</v>
      </c>
      <c r="AG8" s="28">
        <f t="shared" si="3"/>
        <v>0</v>
      </c>
      <c r="AH8" s="28">
        <f t="shared" si="3"/>
        <v>0</v>
      </c>
      <c r="AI8" s="28">
        <f t="shared" ref="AI8:BN8" si="4">AI5-AH5</f>
        <v>0</v>
      </c>
      <c r="AJ8" s="28">
        <f t="shared" si="4"/>
        <v>0</v>
      </c>
      <c r="AK8" s="28">
        <f t="shared" si="4"/>
        <v>0</v>
      </c>
      <c r="AL8" s="28">
        <f t="shared" si="4"/>
        <v>0</v>
      </c>
      <c r="AM8" s="28">
        <f t="shared" si="4"/>
        <v>0</v>
      </c>
      <c r="AN8" s="28">
        <f t="shared" si="4"/>
        <v>1</v>
      </c>
      <c r="AO8" s="28">
        <f t="shared" si="4"/>
        <v>0</v>
      </c>
      <c r="AP8" s="28">
        <f t="shared" si="4"/>
        <v>5</v>
      </c>
      <c r="AQ8" s="28">
        <f t="shared" si="4"/>
        <v>1</v>
      </c>
      <c r="AR8" s="28">
        <f t="shared" si="4"/>
        <v>4</v>
      </c>
      <c r="AS8" s="28">
        <f t="shared" si="4"/>
        <v>1</v>
      </c>
      <c r="AT8" s="28">
        <f t="shared" si="4"/>
        <v>2</v>
      </c>
      <c r="AU8" s="28">
        <f t="shared" si="4"/>
        <v>3</v>
      </c>
      <c r="AV8" s="28">
        <f t="shared" si="4"/>
        <v>4</v>
      </c>
      <c r="AW8" s="28">
        <f t="shared" si="4"/>
        <v>1</v>
      </c>
      <c r="AX8" s="28">
        <f t="shared" si="4"/>
        <v>6</v>
      </c>
      <c r="AY8" s="28">
        <f t="shared" si="4"/>
        <v>8</v>
      </c>
      <c r="AZ8" s="28">
        <f t="shared" si="4"/>
        <v>4</v>
      </c>
      <c r="BA8" s="28">
        <f t="shared" si="4"/>
        <v>7</v>
      </c>
      <c r="BB8" s="28">
        <f t="shared" si="4"/>
        <v>7</v>
      </c>
      <c r="BC8" s="28">
        <f t="shared" si="4"/>
        <v>9</v>
      </c>
      <c r="BD8" s="28">
        <f t="shared" si="4"/>
        <v>22</v>
      </c>
      <c r="BE8" s="28">
        <f t="shared" si="4"/>
        <v>23</v>
      </c>
      <c r="BF8" s="28">
        <f t="shared" si="4"/>
        <v>10</v>
      </c>
      <c r="BG8" s="28">
        <f t="shared" si="4"/>
        <v>82</v>
      </c>
      <c r="BH8" s="28">
        <f t="shared" si="4"/>
        <v>44</v>
      </c>
      <c r="BI8" s="28">
        <f t="shared" si="4"/>
        <v>63</v>
      </c>
      <c r="BJ8" s="28">
        <f t="shared" si="4"/>
        <v>110</v>
      </c>
      <c r="BK8" s="28">
        <f t="shared" si="4"/>
        <v>140</v>
      </c>
      <c r="BL8" s="28">
        <f t="shared" si="4"/>
        <v>149</v>
      </c>
      <c r="BM8" s="28">
        <f t="shared" si="4"/>
        <v>236</v>
      </c>
      <c r="BN8" s="28">
        <f t="shared" si="4"/>
        <v>267</v>
      </c>
      <c r="BO8" s="28">
        <f t="shared" ref="BO8:CE8" si="5">BO5-BN5</f>
        <v>372</v>
      </c>
      <c r="BP8" s="28">
        <f t="shared" si="5"/>
        <v>445</v>
      </c>
      <c r="BQ8" s="28">
        <f t="shared" si="5"/>
        <v>441</v>
      </c>
      <c r="BR8" s="28">
        <f t="shared" si="5"/>
        <v>511</v>
      </c>
      <c r="BS8" s="28">
        <f t="shared" si="5"/>
        <v>-2978</v>
      </c>
      <c r="BT8" s="28">
        <f t="shared" si="5"/>
        <v>0</v>
      </c>
      <c r="BU8" s="28">
        <f t="shared" si="5"/>
        <v>0</v>
      </c>
      <c r="BV8" s="28">
        <f t="shared" si="5"/>
        <v>0</v>
      </c>
      <c r="BW8" s="28">
        <f t="shared" si="5"/>
        <v>0</v>
      </c>
      <c r="BX8" s="28">
        <f t="shared" si="5"/>
        <v>0</v>
      </c>
      <c r="BY8" s="28">
        <f t="shared" si="5"/>
        <v>0</v>
      </c>
      <c r="BZ8" s="28">
        <f t="shared" si="5"/>
        <v>0</v>
      </c>
      <c r="CA8" s="28">
        <f t="shared" si="5"/>
        <v>0</v>
      </c>
      <c r="CB8" s="28">
        <f t="shared" si="5"/>
        <v>0</v>
      </c>
      <c r="CC8" s="28">
        <f t="shared" si="5"/>
        <v>0</v>
      </c>
      <c r="CD8" s="28">
        <f t="shared" si="5"/>
        <v>0</v>
      </c>
      <c r="CE8" s="28">
        <f t="shared" si="5"/>
        <v>0</v>
      </c>
    </row>
    <row r="9" spans="1:83" s="11" customFormat="1" ht="12.75" x14ac:dyDescent="0.2">
      <c r="A9" s="26" t="s">
        <v>438</v>
      </c>
      <c r="B9" s="28"/>
      <c r="C9" s="28">
        <f t="shared" ref="C9:AH9" si="6">C6-B6</f>
        <v>0</v>
      </c>
      <c r="D9" s="28">
        <f t="shared" si="6"/>
        <v>0</v>
      </c>
      <c r="E9" s="28">
        <f t="shared" si="6"/>
        <v>0</v>
      </c>
      <c r="F9" s="28">
        <f t="shared" si="6"/>
        <v>0</v>
      </c>
      <c r="G9" s="28">
        <f t="shared" si="6"/>
        <v>0</v>
      </c>
      <c r="H9" s="28">
        <f t="shared" si="6"/>
        <v>0</v>
      </c>
      <c r="I9" s="28">
        <f t="shared" si="6"/>
        <v>0</v>
      </c>
      <c r="J9" s="28">
        <f t="shared" si="6"/>
        <v>0</v>
      </c>
      <c r="K9" s="28">
        <f t="shared" si="6"/>
        <v>0</v>
      </c>
      <c r="L9" s="28">
        <f t="shared" si="6"/>
        <v>0</v>
      </c>
      <c r="M9" s="28">
        <f t="shared" si="6"/>
        <v>0</v>
      </c>
      <c r="N9" s="28">
        <f t="shared" si="6"/>
        <v>0</v>
      </c>
      <c r="O9" s="28">
        <f t="shared" si="6"/>
        <v>0</v>
      </c>
      <c r="P9" s="28">
        <f t="shared" si="6"/>
        <v>0</v>
      </c>
      <c r="Q9" s="28">
        <f t="shared" si="6"/>
        <v>0</v>
      </c>
      <c r="R9" s="28">
        <f t="shared" si="6"/>
        <v>0</v>
      </c>
      <c r="S9" s="28">
        <f t="shared" si="6"/>
        <v>0</v>
      </c>
      <c r="T9" s="28">
        <f t="shared" si="6"/>
        <v>3</v>
      </c>
      <c r="U9" s="28">
        <f t="shared" si="6"/>
        <v>0</v>
      </c>
      <c r="V9" s="28">
        <f t="shared" si="6"/>
        <v>0</v>
      </c>
      <c r="W9" s="28">
        <f t="shared" si="6"/>
        <v>0</v>
      </c>
      <c r="X9" s="28">
        <f t="shared" si="6"/>
        <v>0</v>
      </c>
      <c r="Y9" s="28">
        <f t="shared" si="6"/>
        <v>0</v>
      </c>
      <c r="Z9" s="28">
        <f t="shared" si="6"/>
        <v>0</v>
      </c>
      <c r="AA9" s="28">
        <f t="shared" si="6"/>
        <v>0</v>
      </c>
      <c r="AB9" s="28">
        <f t="shared" si="6"/>
        <v>0</v>
      </c>
      <c r="AC9" s="28">
        <f t="shared" si="6"/>
        <v>0</v>
      </c>
      <c r="AD9" s="28">
        <f t="shared" si="6"/>
        <v>0</v>
      </c>
      <c r="AE9" s="28">
        <f t="shared" si="6"/>
        <v>0</v>
      </c>
      <c r="AF9" s="28">
        <f t="shared" si="6"/>
        <v>2</v>
      </c>
      <c r="AG9" s="28">
        <f t="shared" si="6"/>
        <v>0</v>
      </c>
      <c r="AH9" s="28">
        <f t="shared" si="6"/>
        <v>0</v>
      </c>
      <c r="AI9" s="28">
        <f t="shared" ref="AI9:BN9" si="7">AI6-AH6</f>
        <v>0</v>
      </c>
      <c r="AJ9" s="28">
        <f t="shared" si="7"/>
        <v>1</v>
      </c>
      <c r="AK9" s="28">
        <f t="shared" si="7"/>
        <v>0</v>
      </c>
      <c r="AL9" s="28">
        <f t="shared" si="7"/>
        <v>0</v>
      </c>
      <c r="AM9" s="28">
        <f t="shared" si="7"/>
        <v>1</v>
      </c>
      <c r="AN9" s="28">
        <f t="shared" si="7"/>
        <v>0</v>
      </c>
      <c r="AO9" s="28">
        <f t="shared" si="7"/>
        <v>0</v>
      </c>
      <c r="AP9" s="28">
        <f t="shared" si="7"/>
        <v>0</v>
      </c>
      <c r="AQ9" s="28">
        <f t="shared" si="7"/>
        <v>0</v>
      </c>
      <c r="AR9" s="28">
        <f t="shared" si="7"/>
        <v>0</v>
      </c>
      <c r="AS9" s="28">
        <f t="shared" si="7"/>
        <v>0</v>
      </c>
      <c r="AT9" s="28">
        <f t="shared" si="7"/>
        <v>0</v>
      </c>
      <c r="AU9" s="28">
        <f t="shared" si="7"/>
        <v>0</v>
      </c>
      <c r="AV9" s="28">
        <f t="shared" si="7"/>
        <v>0</v>
      </c>
      <c r="AW9" s="28">
        <f t="shared" si="7"/>
        <v>0</v>
      </c>
      <c r="AX9" s="28">
        <f t="shared" si="7"/>
        <v>1</v>
      </c>
      <c r="AY9" s="28">
        <f t="shared" si="7"/>
        <v>0</v>
      </c>
      <c r="AZ9" s="28">
        <f t="shared" si="7"/>
        <v>4</v>
      </c>
      <c r="BA9" s="28">
        <f t="shared" si="7"/>
        <v>0</v>
      </c>
      <c r="BB9" s="28">
        <f t="shared" si="7"/>
        <v>0</v>
      </c>
      <c r="BC9" s="28">
        <f t="shared" si="7"/>
        <v>0</v>
      </c>
      <c r="BD9" s="28">
        <f t="shared" si="7"/>
        <v>5</v>
      </c>
      <c r="BE9" s="28">
        <f t="shared" si="7"/>
        <v>0</v>
      </c>
      <c r="BF9" s="28">
        <f t="shared" si="7"/>
        <v>88</v>
      </c>
      <c r="BG9" s="28">
        <f t="shared" si="7"/>
        <v>16</v>
      </c>
      <c r="BH9" s="28">
        <f t="shared" si="7"/>
        <v>26</v>
      </c>
      <c r="BI9" s="28">
        <f t="shared" si="7"/>
        <v>29</v>
      </c>
      <c r="BJ9" s="28">
        <f t="shared" si="7"/>
        <v>2</v>
      </c>
      <c r="BK9" s="28">
        <f t="shared" si="7"/>
        <v>0</v>
      </c>
      <c r="BL9" s="28">
        <f t="shared" si="7"/>
        <v>170</v>
      </c>
      <c r="BM9" s="28">
        <f t="shared" si="7"/>
        <v>13</v>
      </c>
      <c r="BN9" s="28">
        <f t="shared" si="7"/>
        <v>320</v>
      </c>
      <c r="BO9" s="28">
        <f t="shared" ref="BO9:CE9" si="8">BO6-BN6</f>
        <v>188</v>
      </c>
      <c r="BP9" s="28">
        <f t="shared" si="8"/>
        <v>203</v>
      </c>
      <c r="BQ9" s="28">
        <f t="shared" si="8"/>
        <v>1593</v>
      </c>
      <c r="BR9" s="28">
        <f t="shared" si="8"/>
        <v>2979</v>
      </c>
      <c r="BS9" s="28">
        <f t="shared" si="8"/>
        <v>-5644</v>
      </c>
      <c r="BT9" s="28">
        <f t="shared" si="8"/>
        <v>0</v>
      </c>
      <c r="BU9" s="28">
        <f t="shared" si="8"/>
        <v>0</v>
      </c>
      <c r="BV9" s="28">
        <f t="shared" si="8"/>
        <v>0</v>
      </c>
      <c r="BW9" s="28">
        <f t="shared" si="8"/>
        <v>0</v>
      </c>
      <c r="BX9" s="28">
        <f t="shared" si="8"/>
        <v>0</v>
      </c>
      <c r="BY9" s="28">
        <f t="shared" si="8"/>
        <v>0</v>
      </c>
      <c r="BZ9" s="28">
        <f t="shared" si="8"/>
        <v>0</v>
      </c>
      <c r="CA9" s="28">
        <f t="shared" si="8"/>
        <v>0</v>
      </c>
      <c r="CB9" s="28">
        <f t="shared" si="8"/>
        <v>0</v>
      </c>
      <c r="CC9" s="28">
        <f t="shared" si="8"/>
        <v>0</v>
      </c>
      <c r="CD9" s="28">
        <f t="shared" si="8"/>
        <v>0</v>
      </c>
      <c r="CE9" s="28">
        <f t="shared" si="8"/>
        <v>0</v>
      </c>
    </row>
    <row r="10" spans="1:83" s="11" customFormat="1" ht="12.75" x14ac:dyDescent="0.2">
      <c r="A10" s="26" t="s">
        <v>441</v>
      </c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32">
        <f t="shared" ref="AO10:CE10" si="9">IF(AO4=0,"",AO5/AO4)</f>
        <v>1.3513513513513514E-2</v>
      </c>
      <c r="AP10" s="32">
        <f t="shared" si="9"/>
        <v>6.1224489795918366E-2</v>
      </c>
      <c r="AQ10" s="32">
        <f t="shared" si="9"/>
        <v>5.9322033898305086E-2</v>
      </c>
      <c r="AR10" s="32">
        <f t="shared" si="9"/>
        <v>7.3825503355704702E-2</v>
      </c>
      <c r="AS10" s="32">
        <f t="shared" si="9"/>
        <v>5.5299539170506916E-2</v>
      </c>
      <c r="AT10" s="32">
        <f t="shared" si="9"/>
        <v>5.3435114503816793E-2</v>
      </c>
      <c r="AU10" s="32">
        <f t="shared" si="9"/>
        <v>4.228855721393035E-2</v>
      </c>
      <c r="AV10" s="32">
        <f t="shared" si="9"/>
        <v>4.0540540540540543E-2</v>
      </c>
      <c r="AW10" s="32">
        <f t="shared" si="9"/>
        <v>3.7735849056603772E-2</v>
      </c>
      <c r="AX10" s="32">
        <f t="shared" si="9"/>
        <v>2.9197080291970802E-2</v>
      </c>
      <c r="AY10" s="32">
        <f t="shared" si="9"/>
        <v>2.8103044496487119E-2</v>
      </c>
      <c r="AZ10" s="32">
        <f t="shared" si="9"/>
        <v>2.4052916416115455E-2</v>
      </c>
      <c r="BA10" s="32">
        <f t="shared" si="9"/>
        <v>2.1569527306103717E-2</v>
      </c>
      <c r="BB10" s="32">
        <f t="shared" si="9"/>
        <v>1.9801980198019802E-2</v>
      </c>
      <c r="BC10" s="32">
        <f t="shared" si="9"/>
        <v>1.8005144326950558E-2</v>
      </c>
      <c r="BD10" s="32">
        <f t="shared" si="9"/>
        <v>1.8350604490500865E-2</v>
      </c>
      <c r="BE10" s="32">
        <f t="shared" si="9"/>
        <v>1.6819809998442611E-2</v>
      </c>
      <c r="BF10" s="32">
        <f t="shared" si="9"/>
        <v>1.5161248875754851E-2</v>
      </c>
      <c r="BG10" s="32">
        <f t="shared" si="9"/>
        <v>1.4623089858887182E-2</v>
      </c>
      <c r="BH10" s="32">
        <f t="shared" si="9"/>
        <v>1.2774869109947644E-2</v>
      </c>
      <c r="BI10" s="32">
        <f t="shared" si="9"/>
        <v>1.2044411314684766E-2</v>
      </c>
      <c r="BJ10" s="32">
        <f t="shared" si="9"/>
        <v>1.2531554273350162E-2</v>
      </c>
      <c r="BK10" s="32">
        <f t="shared" si="9"/>
        <v>1.2703263621228362E-2</v>
      </c>
      <c r="BL10" s="32">
        <f t="shared" si="9"/>
        <v>1.313732787495348E-2</v>
      </c>
      <c r="BM10" s="32">
        <f t="shared" si="9"/>
        <v>1.4320897564535254E-2</v>
      </c>
      <c r="BN10" s="32">
        <f t="shared" si="9"/>
        <v>1.4421012452884203E-2</v>
      </c>
      <c r="BO10" s="32">
        <f t="shared" si="9"/>
        <v>1.5552298415259156E-2</v>
      </c>
      <c r="BP10" s="32">
        <f t="shared" si="9"/>
        <v>1.6677916989084444E-2</v>
      </c>
      <c r="BQ10" s="32">
        <f t="shared" si="9"/>
        <v>1.7510611416322416E-2</v>
      </c>
      <c r="BR10" s="32">
        <f t="shared" si="9"/>
        <v>1.8404642567997676E-2</v>
      </c>
      <c r="BS10" s="32" t="str">
        <f t="shared" si="9"/>
        <v/>
      </c>
      <c r="BT10" s="32" t="str">
        <f t="shared" si="9"/>
        <v/>
      </c>
      <c r="BU10" s="32" t="str">
        <f t="shared" si="9"/>
        <v/>
      </c>
      <c r="BV10" s="32" t="str">
        <f t="shared" si="9"/>
        <v/>
      </c>
      <c r="BW10" s="32" t="str">
        <f t="shared" si="9"/>
        <v/>
      </c>
      <c r="BX10" s="32" t="str">
        <f t="shared" si="9"/>
        <v/>
      </c>
      <c r="BY10" s="32" t="str">
        <f t="shared" si="9"/>
        <v/>
      </c>
      <c r="BZ10" s="32" t="str">
        <f t="shared" si="9"/>
        <v/>
      </c>
      <c r="CA10" s="32" t="str">
        <f t="shared" si="9"/>
        <v/>
      </c>
      <c r="CB10" s="32" t="str">
        <f t="shared" si="9"/>
        <v/>
      </c>
      <c r="CC10" s="32" t="str">
        <f t="shared" si="9"/>
        <v/>
      </c>
      <c r="CD10" s="32" t="str">
        <f t="shared" si="9"/>
        <v/>
      </c>
      <c r="CE10" s="32" t="str">
        <f t="shared" si="9"/>
        <v/>
      </c>
    </row>
    <row r="11" spans="1:83" s="11" customFormat="1" ht="12.75" x14ac:dyDescent="0.2">
      <c r="A11" s="26" t="s">
        <v>307</v>
      </c>
      <c r="B11" s="31"/>
      <c r="C11" s="31" t="str">
        <f>IF(C4-B4,(2*B4-C4)/(C4-B4)+1,"infinite")</f>
        <v>infinite</v>
      </c>
      <c r="D11" s="31">
        <f>IF(D4-C4,(2*C4-D4)/(D4-C4)+1,"infinite")</f>
        <v>1</v>
      </c>
      <c r="E11" s="31" t="str">
        <f>IF(E4-D4,(2*D4-E4)/(E4-D4)+1,"infinite")</f>
        <v>infinite</v>
      </c>
      <c r="F11" s="31">
        <f>IF(F4-E4,(2*E4-F4)/(F4-E4)+1,"infinite")</f>
        <v>0.66666666666666674</v>
      </c>
      <c r="G11" s="31" t="str">
        <f>IF(G4-F4,(2*F4-G4)/(G4-F4)+1,"infinite")</f>
        <v>infinite</v>
      </c>
      <c r="H11" s="31" t="str">
        <f>IF(H4-G4,(2*G4-H4)/(H4-G4)+1,"infinite")</f>
        <v>infinite</v>
      </c>
      <c r="I11" s="31" t="str">
        <f>IF(I4-H4,(2*H4-I4)/(I4-H4)+1,"infinite")</f>
        <v>infinite</v>
      </c>
      <c r="J11" s="31" t="str">
        <f>IF(J4-I4,(2*I4-J4)/(J4-I4)+1,"infinite")</f>
        <v>infinite</v>
      </c>
      <c r="K11" s="31">
        <f>IF(K4-J4,(2*J4-K4)/(K4-J4)+1,"infinite")</f>
        <v>2.5</v>
      </c>
      <c r="L11" s="31">
        <f>IF(L4-K4,(2*K4-L4)/(L4-K4)+1,"infinite")</f>
        <v>7</v>
      </c>
      <c r="M11" s="31" t="str">
        <f>IF(M4-L4,(2*L4-M4)/(M4-L4)+1,"infinite")</f>
        <v>infinite</v>
      </c>
      <c r="N11" s="31">
        <f>IF(N4-M4,(2*M4-N4)/(N4-M4)+1,"infinite")</f>
        <v>2.666666666666667</v>
      </c>
      <c r="O11" s="31" t="str">
        <f>IF(O4-N4,(2*N4-O4)/(O4-N4)+1,"infinite")</f>
        <v>infinite</v>
      </c>
      <c r="P11" s="31" t="str">
        <f>IF(P4-O4,(2*O4-P4)/(P4-O4)+1,"infinite")</f>
        <v>infinite</v>
      </c>
      <c r="Q11" s="31" t="str">
        <f>IF(Q4-P4,(2*P4-Q4)/(Q4-P4)+1,"infinite")</f>
        <v>infinite</v>
      </c>
      <c r="R11" s="31" t="str">
        <f>IF(R4-Q4,(2*Q4-R4)/(R4-Q4)+1,"infinite")</f>
        <v>infinite</v>
      </c>
      <c r="S11" s="31" t="str">
        <f>IF(S4-R4,(2*R4-S4)/(S4-R4)+1,"infinite")</f>
        <v>infinite</v>
      </c>
      <c r="T11" s="31" t="str">
        <f>IF(T4-S4,(2*S4-T4)/(T4-S4)+1,"infinite")</f>
        <v>infinite</v>
      </c>
      <c r="U11" s="31" t="str">
        <f>IF(U4-T4,(2*T4-U4)/(U4-T4)+1,"infinite")</f>
        <v>infinite</v>
      </c>
      <c r="V11" s="31">
        <f>IF(V4-U4,(2*U4-V4)/(V4-U4)+1,"infinite")</f>
        <v>11</v>
      </c>
      <c r="W11" s="31" t="str">
        <f>IF(W4-V4,(2*V4-W4)/(W4-V4)+1,"infinite")</f>
        <v>infinite</v>
      </c>
      <c r="X11" s="31">
        <f>IF(X4-W4,(2*W4-X4)/(X4-W4)+1,"infinite")</f>
        <v>12</v>
      </c>
      <c r="Y11" s="31" t="str">
        <f>IF(Y4-X4,(2*X4-Y4)/(Y4-X4)+1,"infinite")</f>
        <v>infinite</v>
      </c>
      <c r="Z11" s="31" t="str">
        <f>IF(Z4-Y4,(2*Y4-Z4)/(Z4-Y4)+1,"infinite")</f>
        <v>infinite</v>
      </c>
      <c r="AA11" s="31" t="str">
        <f>IF(AA4-Z4,(2*Z4-AA4)/(AA4-Z4)+1,"infinite")</f>
        <v>infinite</v>
      </c>
      <c r="AB11" s="31" t="str">
        <f>IF(AB4-AA4,(2*AA4-AB4)/(AB4-AA4)+1,"infinite")</f>
        <v>infinite</v>
      </c>
      <c r="AC11" s="31" t="str">
        <f>IF(AC4-AB4,(2*AB4-AC4)/(AC4-AB4)+1,"infinite")</f>
        <v>infinite</v>
      </c>
      <c r="AD11" s="31" t="str">
        <f>IF(AD4-AC4,(2*AC4-AD4)/(AD4-AC4)+1,"infinite")</f>
        <v>infinite</v>
      </c>
      <c r="AE11" s="31" t="str">
        <f>IF(AE4-AD4,(2*AD4-AE4)/(AE4-AD4)+1,"infinite")</f>
        <v>infinite</v>
      </c>
      <c r="AF11" s="31">
        <f>IF(AF4-AE4,(2*AE4-AF4)/(AF4-AE4)+1,"infinite")</f>
        <v>6.5</v>
      </c>
      <c r="AG11" s="31" t="str">
        <f>IF(AG4-AF4,(2*AF4-AG4)/(AG4-AF4)+1,"infinite")</f>
        <v>infinite</v>
      </c>
      <c r="AH11" s="31" t="str">
        <f>IF(AH4-AG4,(2*AG4-AH4)/(AH4-AG4)+1,"infinite")</f>
        <v>infinite</v>
      </c>
      <c r="AI11" s="31">
        <f>IF(AI4-AH4,(2*AH4-AI4)/(AI4-AH4)+1,"infinite")</f>
        <v>0.41666666666666663</v>
      </c>
      <c r="AJ11" s="31" t="str">
        <f>IF(AJ4-AI4,(2*AI4-AJ4)/(AJ4-AI4)+1,"infinite")</f>
        <v>infinite</v>
      </c>
      <c r="AK11" s="31">
        <f>IF(AK4-AJ4,(2*AJ4-AK4)/(AK4-AJ4)+1,"infinite")</f>
        <v>8.5</v>
      </c>
      <c r="AL11" s="31">
        <f>IF(AL4-AK4,(2*AK4-AL4)/(AL4-AK4)+1,"infinite")</f>
        <v>57</v>
      </c>
      <c r="AM11" s="31">
        <f>IF(AM4-AL4,(2*AL4-AM4)/(AM4-AL4)+1,"infinite")</f>
        <v>29</v>
      </c>
      <c r="AN11" s="31">
        <f>IF(AN4-AM4,(2*AM4-AN4)/(AN4-AM4)+1,"infinite")</f>
        <v>7.5</v>
      </c>
      <c r="AO11" s="31">
        <f>IF(AO4-AN4,(2*AN4-AO4)/(AO4-AN4)+1,"infinite")</f>
        <v>11.333333333333334</v>
      </c>
      <c r="AP11" s="31">
        <f>IF(AP4-AO4,(2*AO4-AP4)/(AP4-AO4)+1,"infinite")</f>
        <v>3.0833333333333335</v>
      </c>
      <c r="AQ11" s="31">
        <f>IF(AQ4-AP4,(2*AP4-AQ4)/(AQ4-AP4)+1,"infinite")</f>
        <v>4.9000000000000004</v>
      </c>
      <c r="AR11" s="31">
        <f>IF(AR4-AQ4,(2*AQ4-AR4)/(AR4-AQ4)+1,"infinite")</f>
        <v>3.806451612903226</v>
      </c>
      <c r="AS11" s="31">
        <f>IF(AS4-AR4,(2*AR4-AS4)/(AS4-AR4)+1,"infinite")</f>
        <v>2.1911764705882355</v>
      </c>
      <c r="AT11" s="31">
        <f>IF(AT4-AS4,(2*AS4-AT4)/(AT4-AS4)+1,"infinite")</f>
        <v>4.8222222222222229</v>
      </c>
      <c r="AU11" s="31">
        <f>IF(AU4-AT4,(2*AT4-AU4)/(AU4-AT4)+1,"infinite")</f>
        <v>1.8714285714285714</v>
      </c>
      <c r="AV11" s="31">
        <f>IF(AV4-AU4,(2*AU4-AV4)/(AV4-AU4)+1,"infinite")</f>
        <v>3.4655172413793105</v>
      </c>
      <c r="AW11" s="31">
        <f>IF(AW4-AV4,(2*AV4-AW4)/(AW4-AV4)+1,"infinite")</f>
        <v>7.9692307692307693</v>
      </c>
      <c r="AX11" s="31">
        <f>IF(AX4-AW4,(2*AW4-AX4)/(AX4-AW4)+1,"infinite")</f>
        <v>1.550531914893617</v>
      </c>
      <c r="AY11" s="31">
        <f>IF(AY4-AX4,(2*AX4-AY4)/(AY4-AX4)+1,"infinite")</f>
        <v>2.9782608695652173</v>
      </c>
      <c r="AZ11" s="31">
        <f>IF(AZ4-AY4,(2*AY4-AZ4)/(AZ4-AY4)+1,"infinite")</f>
        <v>3.3534031413612566</v>
      </c>
      <c r="BA11" s="31">
        <f>IF(BA4-AZ4,(2*AZ4-BA4)/(BA4-AZ4)+1,"infinite")</f>
        <v>3.2228682170542635</v>
      </c>
      <c r="BB11" s="31">
        <f>IF(BB4-BA4,(2*BA4-BB4)/(BB4-BA4)+1,"infinite")</f>
        <v>3.9762773722627736</v>
      </c>
      <c r="BC11" s="31">
        <f>IF(BC4-BB4,(2*BB4-BC4)/(BC4-BB4)+1,"infinite")</f>
        <v>3.5323834196891193</v>
      </c>
      <c r="BD11" s="31">
        <f>IF(BD4-BC4,(2*BC4-BD4)/(BD4-BC4)+1,"infinite")</f>
        <v>3.0882612533097968</v>
      </c>
      <c r="BE11" s="31">
        <f>IF(BE4-BD4,(2*BD4-BE4)/(BE4-BD4)+1,"infinite")</f>
        <v>2.5891559530463946</v>
      </c>
      <c r="BF11" s="31">
        <f>IF(BF4-BE4,(2*BE4-BF4)/(BF4-BE4)+1,"infinite")</f>
        <v>4.7143906020558006</v>
      </c>
      <c r="BG11" s="31">
        <f>IF(BG4-BF4,(2*BF4-BG4)/(BG4-BF4)+1,"infinite")</f>
        <v>1.3204954190702409</v>
      </c>
      <c r="BH11" s="31">
        <f>IF(BH4-BG4,(2*BG4-BH4)/(BH4-BG4)+1,"infinite")</f>
        <v>2.5220357735570715</v>
      </c>
      <c r="BI11" s="31">
        <f>IF(BI4-BH4,(2*BH4-BI4)/(BI4-BH4)+1,"infinite")</f>
        <v>2.9895132258569417</v>
      </c>
      <c r="BJ11" s="31">
        <f>IF(BJ4-BI4,(2*BI4-BJ4)/(BJ4-BI4)+1,"infinite")</f>
        <v>3.2732759727751382</v>
      </c>
      <c r="BK11" s="31">
        <f>IF(BK4-BJ4,(2*BJ4-BK4)/(BK4-BJ4)+1,"infinite")</f>
        <v>3.1478573455680636</v>
      </c>
      <c r="BL11" s="31">
        <f>IF(BL4-BK4,(2*BK4-BL4)/(BL4-BK4)+1,"infinite")</f>
        <v>4.4321237238451427</v>
      </c>
      <c r="BM11" s="31">
        <f>IF(BM4-BL4,(2*BL4-BM4)/(BM4-BL4)+1,"infinite")</f>
        <v>4.4641967104170126</v>
      </c>
      <c r="BN11" s="31">
        <f>IF(BN4-BM4,(2*BM4-BN4)/(BN4-BM4)+1,"infinite")</f>
        <v>3.6425960793000334</v>
      </c>
      <c r="BO11" s="31">
        <f>IF(BO4-BN4,(2*BN4-BO4)/(BO4-BN4)+1,"infinite")</f>
        <v>4.7043375792604234</v>
      </c>
      <c r="BP11" s="31">
        <f>IF(BP4-BO4,(2*BO4-BP4)/(BP4-BO4)+1,"infinite")</f>
        <v>5.128752333383785</v>
      </c>
      <c r="BQ11" s="31">
        <f>IF(BQ4-BP4,(2*BP4-BQ4)/(BQ4-BP4)+1,"infinite")</f>
        <v>6.259171475680132</v>
      </c>
      <c r="BR11" s="31">
        <f>IF(BR4-BQ4,(2*BQ4-BR4)/(BR4-BQ4)+1,"infinite")</f>
        <v>6.7341905262654747</v>
      </c>
      <c r="BS11" s="31">
        <f>IF(BS4-BR4,(2*BR4-BS4)/(BS4-BR4)+1,"infinite")</f>
        <v>-1</v>
      </c>
      <c r="BT11" s="31" t="str">
        <f>IF(BT4-BS4,(2*BS4-BT4)/(BT4-BS4)+1,"infinite")</f>
        <v>infinite</v>
      </c>
      <c r="BU11" s="31" t="str">
        <f>IF(BU4-BT4,(2*BT4-BU4)/(BU4-BT4)+1,"infinite")</f>
        <v>infinite</v>
      </c>
      <c r="BV11" s="31" t="str">
        <f>IF(BV4-BU4,(2*BU4-BV4)/(BV4-BU4)+1,"infinite")</f>
        <v>infinite</v>
      </c>
      <c r="BW11" s="31" t="str">
        <f>IF(BW4-BV4,(2*BV4-BW4)/(BW4-BV4)+1,"infinite")</f>
        <v>infinite</v>
      </c>
      <c r="BX11" s="31" t="str">
        <f>IF(BX4-BW4,(2*BW4-BX4)/(BX4-BW4)+1,"infinite")</f>
        <v>infinite</v>
      </c>
      <c r="BY11" s="31" t="str">
        <f>IF(BY4-BX4,(2*BX4-BY4)/(BY4-BX4)+1,"infinite")</f>
        <v>infinite</v>
      </c>
      <c r="BZ11" s="31" t="str">
        <f>IF(BZ4-BY4,(2*BY4-BZ4)/(BZ4-BY4)+1,"infinite")</f>
        <v>infinite</v>
      </c>
      <c r="CA11" s="31" t="str">
        <f>IF(CA4-BZ4,(2*BZ4-CA4)/(CA4-BZ4)+1,"infinite")</f>
        <v>infinite</v>
      </c>
      <c r="CB11" s="31" t="str">
        <f>IF(CB4-CA4,(2*CA4-CB4)/(CB4-CA4)+1,"infinite")</f>
        <v>infinite</v>
      </c>
      <c r="CC11" s="31" t="str">
        <f>IF(CC4-CB4,(2*CB4-CC4)/(CC4-CB4)+1,"infinite")</f>
        <v>infinite</v>
      </c>
      <c r="CD11" s="31" t="str">
        <f>IF(CD4-CC4,(2*CC4-CD4)/(CD4-CC4)+1,"infinite")</f>
        <v>infinite</v>
      </c>
      <c r="CE11" s="31" t="str">
        <f>IF(CE4-CD4,(2*CD4-CE4)/(CE4-CD4)+1,"infinite")</f>
        <v>infinite</v>
      </c>
    </row>
    <row r="12" spans="1:83" s="11" customFormat="1" ht="12.75" x14ac:dyDescent="0.2">
      <c r="A12" s="26" t="s">
        <v>447</v>
      </c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32">
        <f>IF(AO4=0,"",AO6/AO4)</f>
        <v>9.45945945945946E-2</v>
      </c>
      <c r="AP12" s="32">
        <f>IF(AP4=0,"",AP6/AP4)</f>
        <v>7.1428571428571425E-2</v>
      </c>
      <c r="AQ12" s="32">
        <f>IF(AQ4=0,"",AQ6/AQ4)</f>
        <v>5.9322033898305086E-2</v>
      </c>
      <c r="AR12" s="32">
        <f>IF(AR4=0,"",AR6/AR4)</f>
        <v>4.6979865771812082E-2</v>
      </c>
      <c r="AS12" s="32">
        <f>IF(AS4=0,"",AS6/AS4)</f>
        <v>3.2258064516129031E-2</v>
      </c>
      <c r="AT12" s="32">
        <f>IF(AT4=0,"",AT6/AT4)</f>
        <v>2.6717557251908396E-2</v>
      </c>
      <c r="AU12" s="32">
        <f>IF(AU4=0,"",AU6/AU4)</f>
        <v>1.7412935323383085E-2</v>
      </c>
      <c r="AV12" s="32">
        <f>IF(AV4=0,"",AV6/AV4)</f>
        <v>1.3513513513513514E-2</v>
      </c>
      <c r="AW12" s="32">
        <f>IF(AW4=0,"",AW6/AW4)</f>
        <v>1.2006861063464836E-2</v>
      </c>
      <c r="AX12" s="32">
        <f>IF(AX4=0,"",AX6/AX4)</f>
        <v>8.3420229405630868E-3</v>
      </c>
      <c r="AY12" s="32">
        <f>IF(AY4=0,"",AY6/AY4)</f>
        <v>6.2451209992193599E-3</v>
      </c>
      <c r="AZ12" s="32">
        <f>IF(AZ4=0,"",AZ6/AZ4)</f>
        <v>7.2158749248346366E-3</v>
      </c>
      <c r="BA12" s="32">
        <f>IF(BA4=0,"",BA6/BA4)</f>
        <v>5.507113354749885E-3</v>
      </c>
      <c r="BB12" s="32">
        <f>IF(BB4=0,"",BB6/BB4)</f>
        <v>4.4004400440044002E-3</v>
      </c>
      <c r="BC12" s="32">
        <f>IF(BC4=0,"",BC6/BC4)</f>
        <v>3.4295513003715348E-3</v>
      </c>
      <c r="BD12" s="32">
        <f>IF(BD4=0,"",BD6/BD4)</f>
        <v>3.6701208981001726E-3</v>
      </c>
      <c r="BE12" s="32">
        <f>IF(BE4=0,"",BE6/BE4)</f>
        <v>2.6475626849400405E-3</v>
      </c>
      <c r="BF12" s="32">
        <f>IF(BF4=0,"",BF6/BF4)</f>
        <v>1.3490941796222537E-2</v>
      </c>
      <c r="BG12" s="32">
        <f>IF(BG4=0,"",BG6/BG4)</f>
        <v>8.8469693646267451E-3</v>
      </c>
      <c r="BH12" s="32">
        <f>IF(BH4=0,"",BH6/BH4)</f>
        <v>7.6963350785340312E-3</v>
      </c>
      <c r="BI12" s="32">
        <f>IF(BI4=0,"",BI6/BI4)</f>
        <v>6.9049393856173251E-3</v>
      </c>
      <c r="BJ12" s="32">
        <f>IF(BJ4=0,"",BJ6/BJ4)</f>
        <v>5.3492006250751289E-3</v>
      </c>
      <c r="BK12" s="32">
        <f>IF(BK4=0,"",BK6/BK4)</f>
        <v>4.0595707802130133E-3</v>
      </c>
      <c r="BL12" s="32">
        <f>IF(BL4=0,"",BL6/BL4)</f>
        <v>6.4756233717901002E-3</v>
      </c>
      <c r="BM12" s="32">
        <f>IF(BM4=0,"",BM6/BM4)</f>
        <v>5.4881571346042752E-3</v>
      </c>
      <c r="BN12" s="32">
        <f>IF(BN4=0,"",BN6/BN4)</f>
        <v>8.1230020516246011E-3</v>
      </c>
      <c r="BO12" s="32">
        <f>IF(BO4=0,"",BO6/BO4)</f>
        <v>8.5483537779001938E-3</v>
      </c>
      <c r="BP12" s="32">
        <f>IF(BP4=0,"",BP6/BP4)</f>
        <v>8.8246431452608711E-3</v>
      </c>
      <c r="BQ12" s="32">
        <f>IF(BQ4=0,"",BQ6/BQ4)</f>
        <v>1.8916003009525433E-2</v>
      </c>
      <c r="BR12" s="32">
        <f>IF(BR4=0,"",BR6/BR4)</f>
        <v>3.4881062005970076E-2</v>
      </c>
      <c r="BS12" s="32" t="str">
        <f>IF(BS4=0,"",BS6/BS4)</f>
        <v/>
      </c>
      <c r="BT12" s="32" t="str">
        <f>IF(BT4=0,"",BT6/BT4)</f>
        <v/>
      </c>
      <c r="BU12" s="32" t="str">
        <f>IF(BU4=0,"",BU6/BU4)</f>
        <v/>
      </c>
      <c r="BV12" s="32" t="str">
        <f>IF(BV4=0,"",BV6/BV4)</f>
        <v/>
      </c>
      <c r="BW12" s="32" t="str">
        <f>IF(BW4=0,"",BW6/BW4)</f>
        <v/>
      </c>
      <c r="BX12" s="32" t="str">
        <f>IF(BX4=0,"",BX6/BX4)</f>
        <v/>
      </c>
      <c r="BY12" s="32" t="str">
        <f>IF(BY4=0,"",BY6/BY4)</f>
        <v/>
      </c>
      <c r="BZ12" s="32" t="str">
        <f>IF(BZ4=0,"",BZ6/BZ4)</f>
        <v/>
      </c>
      <c r="CA12" s="32" t="str">
        <f>IF(CA4=0,"",CA6/CA4)</f>
        <v/>
      </c>
      <c r="CB12" s="32" t="str">
        <f>IF(CB4=0,"",CB6/CB4)</f>
        <v/>
      </c>
      <c r="CC12" s="32" t="str">
        <f>IF(CC4=0,"",CC6/CC4)</f>
        <v/>
      </c>
      <c r="CD12" s="32" t="str">
        <f>IF(CD4=0,"",CD6/CD4)</f>
        <v/>
      </c>
      <c r="CE12" s="32" t="str">
        <f>IF(CE4=0,"",CE6/CE4)</f>
        <v/>
      </c>
    </row>
    <row r="13" spans="1:83" s="12" customFormat="1" x14ac:dyDescent="0.25">
      <c r="B13" s="13"/>
    </row>
    <row r="14" spans="1:83" s="16" customFormat="1" ht="29.25" customHeight="1" x14ac:dyDescent="0.25">
      <c r="A14" s="14" t="s">
        <v>241</v>
      </c>
      <c r="B14" s="15"/>
    </row>
    <row r="15" spans="1:83" s="30" customFormat="1" ht="24.75" customHeight="1" x14ac:dyDescent="0.25">
      <c r="A15" s="22" t="s">
        <v>0</v>
      </c>
      <c r="B15" s="20" t="s">
        <v>246</v>
      </c>
      <c r="C15" s="21" t="s">
        <v>247</v>
      </c>
      <c r="D15" s="21" t="s">
        <v>248</v>
      </c>
      <c r="E15" s="21" t="s">
        <v>249</v>
      </c>
      <c r="F15" s="21" t="s">
        <v>250</v>
      </c>
      <c r="G15" s="21" t="s">
        <v>251</v>
      </c>
      <c r="H15" s="21" t="s">
        <v>252</v>
      </c>
      <c r="I15" s="21" t="s">
        <v>253</v>
      </c>
      <c r="J15" s="21" t="s">
        <v>254</v>
      </c>
      <c r="K15" s="21" t="s">
        <v>255</v>
      </c>
      <c r="L15" s="21" t="s">
        <v>256</v>
      </c>
      <c r="M15" s="21" t="s">
        <v>257</v>
      </c>
      <c r="N15" s="21" t="s">
        <v>258</v>
      </c>
      <c r="O15" s="21" t="s">
        <v>259</v>
      </c>
      <c r="P15" s="21" t="s">
        <v>260</v>
      </c>
      <c r="Q15" s="21" t="s">
        <v>261</v>
      </c>
      <c r="R15" s="21" t="s">
        <v>262</v>
      </c>
      <c r="S15" s="21" t="s">
        <v>263</v>
      </c>
      <c r="T15" s="21" t="s">
        <v>264</v>
      </c>
      <c r="U15" s="21" t="s">
        <v>265</v>
      </c>
      <c r="V15" s="21" t="s">
        <v>266</v>
      </c>
      <c r="W15" s="21" t="s">
        <v>267</v>
      </c>
      <c r="X15" s="21" t="s">
        <v>268</v>
      </c>
      <c r="Y15" s="21" t="s">
        <v>269</v>
      </c>
      <c r="Z15" s="21" t="s">
        <v>270</v>
      </c>
      <c r="AA15" s="21" t="s">
        <v>271</v>
      </c>
      <c r="AB15" s="21" t="s">
        <v>272</v>
      </c>
      <c r="AC15" s="21" t="s">
        <v>273</v>
      </c>
      <c r="AD15" s="21" t="s">
        <v>274</v>
      </c>
      <c r="AE15" s="21" t="s">
        <v>275</v>
      </c>
      <c r="AF15" s="21" t="s">
        <v>276</v>
      </c>
      <c r="AG15" s="21" t="s">
        <v>277</v>
      </c>
      <c r="AH15" s="21" t="s">
        <v>278</v>
      </c>
      <c r="AI15" s="21" t="s">
        <v>279</v>
      </c>
      <c r="AJ15" s="21" t="s">
        <v>280</v>
      </c>
      <c r="AK15" s="21" t="s">
        <v>281</v>
      </c>
      <c r="AL15" s="21" t="s">
        <v>282</v>
      </c>
      <c r="AM15" s="21" t="s">
        <v>283</v>
      </c>
      <c r="AN15" s="21" t="s">
        <v>284</v>
      </c>
      <c r="AO15" s="21" t="s">
        <v>285</v>
      </c>
      <c r="AP15" s="21" t="s">
        <v>286</v>
      </c>
      <c r="AQ15" s="21" t="s">
        <v>287</v>
      </c>
      <c r="AR15" s="21" t="s">
        <v>288</v>
      </c>
      <c r="AS15" s="21" t="s">
        <v>289</v>
      </c>
      <c r="AT15" s="21" t="s">
        <v>290</v>
      </c>
      <c r="AU15" s="21" t="s">
        <v>291</v>
      </c>
      <c r="AV15" s="21" t="s">
        <v>292</v>
      </c>
      <c r="AW15" s="21" t="s">
        <v>293</v>
      </c>
      <c r="AX15" s="21" t="s">
        <v>294</v>
      </c>
      <c r="AY15" s="21" t="s">
        <v>295</v>
      </c>
      <c r="AZ15" s="21" t="s">
        <v>296</v>
      </c>
      <c r="BA15" s="21" t="s">
        <v>297</v>
      </c>
      <c r="BB15" s="21" t="s">
        <v>298</v>
      </c>
      <c r="BC15" s="21" t="s">
        <v>299</v>
      </c>
      <c r="BD15" s="21" t="s">
        <v>300</v>
      </c>
      <c r="BE15" s="21" t="s">
        <v>301</v>
      </c>
      <c r="BF15" s="21" t="s">
        <v>302</v>
      </c>
      <c r="BG15" s="21" t="s">
        <v>303</v>
      </c>
      <c r="BH15" s="21" t="s">
        <v>304</v>
      </c>
      <c r="BI15" s="21" t="s">
        <v>305</v>
      </c>
      <c r="BJ15" s="21" t="s">
        <v>306</v>
      </c>
      <c r="BK15" s="21" t="s">
        <v>308</v>
      </c>
      <c r="BL15" s="21" t="s">
        <v>309</v>
      </c>
      <c r="BM15" s="21" t="s">
        <v>310</v>
      </c>
      <c r="BN15" s="21" t="s">
        <v>311</v>
      </c>
      <c r="BO15" s="21" t="s">
        <v>312</v>
      </c>
      <c r="BP15" s="21" t="s">
        <v>313</v>
      </c>
      <c r="BQ15" s="21" t="s">
        <v>314</v>
      </c>
      <c r="BR15" s="21" t="s">
        <v>315</v>
      </c>
      <c r="BS15" s="21" t="s">
        <v>316</v>
      </c>
      <c r="BT15" s="21" t="s">
        <v>317</v>
      </c>
      <c r="BU15" s="21" t="s">
        <v>318</v>
      </c>
      <c r="BV15" s="21" t="s">
        <v>319</v>
      </c>
      <c r="BW15" s="21" t="s">
        <v>320</v>
      </c>
      <c r="BX15" s="21" t="s">
        <v>321</v>
      </c>
      <c r="BY15" s="21" t="s">
        <v>322</v>
      </c>
      <c r="BZ15" s="21" t="s">
        <v>323</v>
      </c>
      <c r="CA15" s="21" t="s">
        <v>324</v>
      </c>
      <c r="CB15" s="21" t="s">
        <v>325</v>
      </c>
      <c r="CC15" s="21" t="s">
        <v>326</v>
      </c>
      <c r="CD15" s="21" t="s">
        <v>327</v>
      </c>
      <c r="CE15" s="21" t="s">
        <v>328</v>
      </c>
    </row>
    <row r="16" spans="1:83" s="11" customFormat="1" ht="12.75" x14ac:dyDescent="0.2">
      <c r="A16" s="27" t="s">
        <v>15</v>
      </c>
      <c r="B16" s="9">
        <f>SUMIF(RAW_Cases!$B:$B,Tabelle2[[#This Row],[Country/Region]],RAW_Cases!C:C)</f>
        <v>0</v>
      </c>
      <c r="C16" s="9">
        <f>SUMIF(RAW_Cases!$B:$B,Tabelle2[[#This Row],[Country/Region]],RAW_Cases!D:D)</f>
        <v>0</v>
      </c>
      <c r="D16" s="9">
        <f>SUMIF(RAW_Cases!$B:$B,Tabelle2[[#This Row],[Country/Region]],RAW_Cases!E:E)</f>
        <v>0</v>
      </c>
      <c r="E16" s="9">
        <f>SUMIF(RAW_Cases!$B:$B,Tabelle2[[#This Row],[Country/Region]],RAW_Cases!F:F)</f>
        <v>0</v>
      </c>
      <c r="F16" s="9">
        <f>SUMIF(RAW_Cases!$B:$B,Tabelle2[[#This Row],[Country/Region]],RAW_Cases!G:G)</f>
        <v>0</v>
      </c>
      <c r="G16" s="9">
        <f>SUMIF(RAW_Cases!$B:$B,Tabelle2[[#This Row],[Country/Region]],RAW_Cases!H:H)</f>
        <v>1</v>
      </c>
      <c r="H16" s="9">
        <f>SUMIF(RAW_Cases!$B:$B,Tabelle2[[#This Row],[Country/Region]],RAW_Cases!I:I)</f>
        <v>4</v>
      </c>
      <c r="I16" s="9">
        <f>SUMIF(RAW_Cases!$B:$B,Tabelle2[[#This Row],[Country/Region]],RAW_Cases!J:J)</f>
        <v>4</v>
      </c>
      <c r="J16" s="9">
        <f>SUMIF(RAW_Cases!$B:$B,Tabelle2[[#This Row],[Country/Region]],RAW_Cases!K:K)</f>
        <v>4</v>
      </c>
      <c r="K16" s="9">
        <f>SUMIF(RAW_Cases!$B:$B,Tabelle2[[#This Row],[Country/Region]],RAW_Cases!L:L)</f>
        <v>5</v>
      </c>
      <c r="L16" s="9">
        <f>SUMIF(RAW_Cases!$B:$B,Tabelle2[[#This Row],[Country/Region]],RAW_Cases!M:M)</f>
        <v>8</v>
      </c>
      <c r="M16" s="9">
        <f>SUMIF(RAW_Cases!$B:$B,Tabelle2[[#This Row],[Country/Region]],RAW_Cases!N:N)</f>
        <v>10</v>
      </c>
      <c r="N16" s="9">
        <f>SUMIF(RAW_Cases!$B:$B,Tabelle2[[#This Row],[Country/Region]],RAW_Cases!O:O)</f>
        <v>12</v>
      </c>
      <c r="O16" s="9">
        <f>SUMIF(RAW_Cases!$B:$B,Tabelle2[[#This Row],[Country/Region]],RAW_Cases!P:P)</f>
        <v>12</v>
      </c>
      <c r="P16" s="9">
        <f>SUMIF(RAW_Cases!$B:$B,Tabelle2[[#This Row],[Country/Region]],RAW_Cases!Q:Q)</f>
        <v>12</v>
      </c>
      <c r="Q16" s="9">
        <f>SUMIF(RAW_Cases!$B:$B,Tabelle2[[#This Row],[Country/Region]],RAW_Cases!R:R)</f>
        <v>12</v>
      </c>
      <c r="R16" s="9">
        <f>SUMIF(RAW_Cases!$B:$B,Tabelle2[[#This Row],[Country/Region]],RAW_Cases!S:S)</f>
        <v>13</v>
      </c>
      <c r="S16" s="9">
        <f>SUMIF(RAW_Cases!$B:$B,Tabelle2[[#This Row],[Country/Region]],RAW_Cases!T:T)</f>
        <v>13</v>
      </c>
      <c r="T16" s="9">
        <f>SUMIF(RAW_Cases!$B:$B,Tabelle2[[#This Row],[Country/Region]],RAW_Cases!U:U)</f>
        <v>14</v>
      </c>
      <c r="U16" s="9">
        <f>SUMIF(RAW_Cases!$B:$B,Tabelle2[[#This Row],[Country/Region]],RAW_Cases!V:V)</f>
        <v>14</v>
      </c>
      <c r="V16" s="9">
        <f>SUMIF(RAW_Cases!$B:$B,Tabelle2[[#This Row],[Country/Region]],RAW_Cases!W:W)</f>
        <v>16</v>
      </c>
      <c r="W16" s="9">
        <f>SUMIF(RAW_Cases!$B:$B,Tabelle2[[#This Row],[Country/Region]],RAW_Cases!X:X)</f>
        <v>16</v>
      </c>
      <c r="X16" s="9">
        <f>SUMIF(RAW_Cases!$B:$B,Tabelle2[[#This Row],[Country/Region]],RAW_Cases!Y:Y)</f>
        <v>16</v>
      </c>
      <c r="Y16" s="9">
        <f>SUMIF(RAW_Cases!$B:$B,Tabelle2[[#This Row],[Country/Region]],RAW_Cases!Z:Z)</f>
        <v>16</v>
      </c>
      <c r="Z16" s="9">
        <f>SUMIF(RAW_Cases!$B:$B,Tabelle2[[#This Row],[Country/Region]],RAW_Cases!AA:AA)</f>
        <v>16</v>
      </c>
      <c r="AA16" s="9">
        <f>SUMIF(RAW_Cases!$B:$B,Tabelle2[[#This Row],[Country/Region]],RAW_Cases!AB:AB)</f>
        <v>16</v>
      </c>
      <c r="AB16" s="9">
        <f>SUMIF(RAW_Cases!$B:$B,Tabelle2[[#This Row],[Country/Region]],RAW_Cases!AC:AC)</f>
        <v>16</v>
      </c>
      <c r="AC16" s="9">
        <f>SUMIF(RAW_Cases!$B:$B,Tabelle2[[#This Row],[Country/Region]],RAW_Cases!AD:AD)</f>
        <v>16</v>
      </c>
      <c r="AD16" s="9">
        <f>SUMIF(RAW_Cases!$B:$B,Tabelle2[[#This Row],[Country/Region]],RAW_Cases!AE:AE)</f>
        <v>16</v>
      </c>
      <c r="AE16" s="9">
        <f>SUMIF(RAW_Cases!$B:$B,Tabelle2[[#This Row],[Country/Region]],RAW_Cases!AF:AF)</f>
        <v>16</v>
      </c>
      <c r="AF16" s="9">
        <f>SUMIF(RAW_Cases!$B:$B,Tabelle2[[#This Row],[Country/Region]],RAW_Cases!AG:AG)</f>
        <v>16</v>
      </c>
      <c r="AG16" s="9">
        <f>SUMIF(RAW_Cases!$B:$B,Tabelle2[[#This Row],[Country/Region]],RAW_Cases!AH:AH)</f>
        <v>16</v>
      </c>
      <c r="AH16" s="9">
        <f>SUMIF(RAW_Cases!$B:$B,Tabelle2[[#This Row],[Country/Region]],RAW_Cases!AI:AI)</f>
        <v>16</v>
      </c>
      <c r="AI16" s="9">
        <f>SUMIF(RAW_Cases!$B:$B,Tabelle2[[#This Row],[Country/Region]],RAW_Cases!AJ:AJ)</f>
        <v>16</v>
      </c>
      <c r="AJ16" s="9">
        <f>SUMIF(RAW_Cases!$B:$B,Tabelle2[[#This Row],[Country/Region]],RAW_Cases!AK:AK)</f>
        <v>17</v>
      </c>
      <c r="AK16" s="9">
        <f>SUMIF(RAW_Cases!$B:$B,Tabelle2[[#This Row],[Country/Region]],RAW_Cases!AL:AL)</f>
        <v>27</v>
      </c>
      <c r="AL16" s="9">
        <f>SUMIF(RAW_Cases!$B:$B,Tabelle2[[#This Row],[Country/Region]],RAW_Cases!AM:AM)</f>
        <v>46</v>
      </c>
      <c r="AM16" s="9">
        <f>SUMIF(RAW_Cases!$B:$B,Tabelle2[[#This Row],[Country/Region]],RAW_Cases!AN:AN)</f>
        <v>48</v>
      </c>
      <c r="AN16" s="9">
        <f>SUMIF(RAW_Cases!$B:$B,Tabelle2[[#This Row],[Country/Region]],RAW_Cases!AO:AO)</f>
        <v>79</v>
      </c>
      <c r="AO16" s="9">
        <f>SUMIF(RAW_Cases!$B:$B,Tabelle2[[#This Row],[Country/Region]],RAW_Cases!AP:AP)</f>
        <v>130</v>
      </c>
      <c r="AP16" s="9">
        <f>SUMIF(RAW_Cases!$B:$B,Tabelle2[[#This Row],[Country/Region]],RAW_Cases!AQ:AQ)</f>
        <v>159</v>
      </c>
      <c r="AQ16" s="9">
        <f>SUMIF(RAW_Cases!$B:$B,Tabelle2[[#This Row],[Country/Region]],RAW_Cases!AR:AR)</f>
        <v>196</v>
      </c>
      <c r="AR16" s="9">
        <f>SUMIF(RAW_Cases!$B:$B,Tabelle2[[#This Row],[Country/Region]],RAW_Cases!AS:AS)</f>
        <v>262</v>
      </c>
      <c r="AS16" s="9">
        <f>SUMIF(RAW_Cases!$B:$B,Tabelle2[[#This Row],[Country/Region]],RAW_Cases!AT:AT)</f>
        <v>482</v>
      </c>
      <c r="AT16" s="9">
        <f>SUMIF(RAW_Cases!$B:$B,Tabelle2[[#This Row],[Country/Region]],RAW_Cases!AU:AU)</f>
        <v>670</v>
      </c>
      <c r="AU16" s="9">
        <f>SUMIF(RAW_Cases!$B:$B,Tabelle2[[#This Row],[Country/Region]],RAW_Cases!AV:AV)</f>
        <v>799</v>
      </c>
      <c r="AV16" s="9">
        <f>SUMIF(RAW_Cases!$B:$B,Tabelle2[[#This Row],[Country/Region]],RAW_Cases!AW:AW)</f>
        <v>1040</v>
      </c>
      <c r="AW16" s="9">
        <f>SUMIF(RAW_Cases!$B:$B,Tabelle2[[#This Row],[Country/Region]],RAW_Cases!AX:AX)</f>
        <v>1176</v>
      </c>
      <c r="AX16" s="9">
        <f>SUMIF(RAW_Cases!$B:$B,Tabelle2[[#This Row],[Country/Region]],RAW_Cases!AY:AY)</f>
        <v>1457</v>
      </c>
      <c r="AY16" s="9">
        <f>SUMIF(RAW_Cases!$B:$B,Tabelle2[[#This Row],[Country/Region]],RAW_Cases!AZ:AZ)</f>
        <v>1908</v>
      </c>
      <c r="AZ16" s="9">
        <f>SUMIF(RAW_Cases!$B:$B,Tabelle2[[#This Row],[Country/Region]],RAW_Cases!BA:BA)</f>
        <v>2078</v>
      </c>
      <c r="BA16" s="9">
        <f>SUMIF(RAW_Cases!$B:$B,Tabelle2[[#This Row],[Country/Region]],RAW_Cases!BB:BB)</f>
        <v>3675</v>
      </c>
      <c r="BB16" s="9">
        <f>SUMIF(RAW_Cases!$B:$B,Tabelle2[[#This Row],[Country/Region]],RAW_Cases!BC:BC)</f>
        <v>4585</v>
      </c>
      <c r="BC16" s="9">
        <f>SUMIF(RAW_Cases!$B:$B,Tabelle2[[#This Row],[Country/Region]],RAW_Cases!BD:BD)</f>
        <v>5795</v>
      </c>
      <c r="BD16" s="9">
        <f>SUMIF(RAW_Cases!$B:$B,Tabelle2[[#This Row],[Country/Region]],RAW_Cases!BE:BE)</f>
        <v>7272</v>
      </c>
      <c r="BE16" s="9">
        <f>SUMIF(RAW_Cases!$B:$B,Tabelle2[[#This Row],[Country/Region]],RAW_Cases!BF:BF)</f>
        <v>9257</v>
      </c>
      <c r="BF16" s="9">
        <f>SUMIF(RAW_Cases!$B:$B,Tabelle2[[#This Row],[Country/Region]],RAW_Cases!BG:BG)</f>
        <v>12327</v>
      </c>
      <c r="BG16" s="9">
        <f>SUMIF(RAW_Cases!$B:$B,Tabelle2[[#This Row],[Country/Region]],RAW_Cases!BH:BH)</f>
        <v>15320</v>
      </c>
      <c r="BH16" s="9">
        <f>SUMIF(RAW_Cases!$B:$B,Tabelle2[[#This Row],[Country/Region]],RAW_Cases!BI:BI)</f>
        <v>19848</v>
      </c>
      <c r="BI16" s="9">
        <f>SUMIF(RAW_Cases!$B:$B,Tabelle2[[#This Row],[Country/Region]],RAW_Cases!BJ:BJ)</f>
        <v>22213</v>
      </c>
      <c r="BJ16" s="9">
        <f>SUMIF(RAW_Cases!$B:$B,Tabelle2[[#This Row],[Country/Region]],RAW_Cases!BK:BK)</f>
        <v>24873</v>
      </c>
      <c r="BK16" s="9">
        <f>SUMIF(RAW_Cases!$B:$B,Tabelle2[[#This Row],[Country/Region]],RAW_Cases!BL:BL)</f>
        <v>29056</v>
      </c>
      <c r="BL16" s="9">
        <f>SUMIF(RAW_Cases!$B:$B,Tabelle2[[#This Row],[Country/Region]],RAW_Cases!BM:BM)</f>
        <v>32986</v>
      </c>
      <c r="BM16" s="9">
        <f>SUMIF(RAW_Cases!$B:$B,Tabelle2[[#This Row],[Country/Region]],RAW_Cases!BN:BN)</f>
        <v>37323</v>
      </c>
      <c r="BN16" s="9">
        <f>SUMIF(RAW_Cases!$B:$B,Tabelle2[[#This Row],[Country/Region]],RAW_Cases!BO:BO)</f>
        <v>43938</v>
      </c>
      <c r="BO16" s="9">
        <f>SUMIF(RAW_Cases!$B:$B,Tabelle2[[#This Row],[Country/Region]],RAW_Cases!BP:BP)</f>
        <v>50871</v>
      </c>
      <c r="BP16" s="9">
        <f>SUMIF(RAW_Cases!$B:$B,Tabelle2[[#This Row],[Country/Region]],RAW_Cases!BQ:BQ)</f>
        <v>57695</v>
      </c>
      <c r="BQ16" s="9">
        <f>SUMIF(RAW_Cases!$B:$B,Tabelle2[[#This Row],[Country/Region]],RAW_Cases!BR:BR)</f>
        <v>62095</v>
      </c>
      <c r="BR16" s="9">
        <f>SUMIF(RAW_Cases!$B:$B,Tabelle2[[#This Row],[Country/Region]],RAW_Cases!BS:BS)</f>
        <v>66885</v>
      </c>
      <c r="BS16" s="9">
        <f>SUMIF(RAW_Cases!$B:$B,Tabelle2[[#This Row],[Country/Region]],RAW_Cases!BT:BT)</f>
        <v>0</v>
      </c>
      <c r="BT16" s="9">
        <f>SUMIF(RAW_Cases!$B:$B,Tabelle2[[#This Row],[Country/Region]],RAW_Cases!BU:BU)</f>
        <v>0</v>
      </c>
      <c r="BU16" s="9">
        <f>SUMIF(RAW_Cases!$B:$B,Tabelle2[[#This Row],[Country/Region]],RAW_Cases!BV:BV)</f>
        <v>0</v>
      </c>
      <c r="BV16" s="9">
        <f>SUMIF(RAW_Cases!$B:$B,Tabelle2[[#This Row],[Country/Region]],RAW_Cases!BW:BW)</f>
        <v>0</v>
      </c>
      <c r="BW16" s="9">
        <f>SUMIF(RAW_Cases!$B:$B,Tabelle2[[#This Row],[Country/Region]],RAW_Cases!BX:BX)</f>
        <v>0</v>
      </c>
      <c r="BX16" s="9">
        <f>SUMIF(RAW_Cases!$B:$B,Tabelle2[[#This Row],[Country/Region]],RAW_Cases!BY:BY)</f>
        <v>0</v>
      </c>
      <c r="BY16" s="9">
        <f>SUMIF(RAW_Cases!$B:$B,Tabelle2[[#This Row],[Country/Region]],RAW_Cases!BZ:BZ)</f>
        <v>0</v>
      </c>
      <c r="BZ16" s="9">
        <f>SUMIF(RAW_Cases!$B:$B,Tabelle2[[#This Row],[Country/Region]],RAW_Cases!CA:CA)</f>
        <v>0</v>
      </c>
      <c r="CA16" s="9">
        <f>SUMIF(RAW_Cases!$B:$B,Tabelle2[[#This Row],[Country/Region]],RAW_Cases!CB:CB)</f>
        <v>0</v>
      </c>
      <c r="CB16" s="9">
        <f>SUMIF(RAW_Cases!$B:$B,Tabelle2[[#This Row],[Country/Region]],RAW_Cases!CC:CC)</f>
        <v>0</v>
      </c>
      <c r="CC16" s="9">
        <f>SUMIF(RAW_Cases!$B:$B,Tabelle2[[#This Row],[Country/Region]],RAW_Cases!CD:CD)</f>
        <v>0</v>
      </c>
      <c r="CD16" s="9">
        <f>SUMIF(RAW_Cases!$B:$B,Tabelle2[[#This Row],[Country/Region]],RAW_Cases!CE:CE)</f>
        <v>0</v>
      </c>
      <c r="CE16" s="9">
        <f>SUMIF(RAW_Cases!$B:$B,Tabelle2[[#This Row],[Country/Region]],RAW_Cases!CF:CF)</f>
        <v>0</v>
      </c>
    </row>
    <row r="17" spans="1:87" s="11" customFormat="1" ht="12.75" x14ac:dyDescent="0.2">
      <c r="A17" s="27" t="s">
        <v>101</v>
      </c>
      <c r="B17" s="9">
        <f>SUMIF(RAW_Cases!$B:$B,Tabelle2[[#This Row],[Country/Region]],RAW_Cases!C:C)</f>
        <v>1</v>
      </c>
      <c r="C17" s="9">
        <f>SUMIF(RAW_Cases!$B:$B,Tabelle2[[#This Row],[Country/Region]],RAW_Cases!D:D)</f>
        <v>1</v>
      </c>
      <c r="D17" s="9">
        <f>SUMIF(RAW_Cases!$B:$B,Tabelle2[[#This Row],[Country/Region]],RAW_Cases!E:E)</f>
        <v>2</v>
      </c>
      <c r="E17" s="9">
        <f>SUMIF(RAW_Cases!$B:$B,Tabelle2[[#This Row],[Country/Region]],RAW_Cases!F:F)</f>
        <v>2</v>
      </c>
      <c r="F17" s="9">
        <f>SUMIF(RAW_Cases!$B:$B,Tabelle2[[#This Row],[Country/Region]],RAW_Cases!G:G)</f>
        <v>5</v>
      </c>
      <c r="G17" s="9">
        <f>SUMIF(RAW_Cases!$B:$B,Tabelle2[[#This Row],[Country/Region]],RAW_Cases!H:H)</f>
        <v>5</v>
      </c>
      <c r="H17" s="9">
        <f>SUMIF(RAW_Cases!$B:$B,Tabelle2[[#This Row],[Country/Region]],RAW_Cases!I:I)</f>
        <v>5</v>
      </c>
      <c r="I17" s="9">
        <f>SUMIF(RAW_Cases!$B:$B,Tabelle2[[#This Row],[Country/Region]],RAW_Cases!J:J)</f>
        <v>5</v>
      </c>
      <c r="J17" s="9">
        <f>SUMIF(RAW_Cases!$B:$B,Tabelle2[[#This Row],[Country/Region]],RAW_Cases!K:K)</f>
        <v>5</v>
      </c>
      <c r="K17" s="9">
        <f>SUMIF(RAW_Cases!$B:$B,Tabelle2[[#This Row],[Country/Region]],RAW_Cases!L:L)</f>
        <v>7</v>
      </c>
      <c r="L17" s="9">
        <f>SUMIF(RAW_Cases!$B:$B,Tabelle2[[#This Row],[Country/Region]],RAW_Cases!M:M)</f>
        <v>8</v>
      </c>
      <c r="M17" s="9">
        <f>SUMIF(RAW_Cases!$B:$B,Tabelle2[[#This Row],[Country/Region]],RAW_Cases!N:N)</f>
        <v>8</v>
      </c>
      <c r="N17" s="9">
        <f>SUMIF(RAW_Cases!$B:$B,Tabelle2[[#This Row],[Country/Region]],RAW_Cases!O:O)</f>
        <v>11</v>
      </c>
      <c r="O17" s="9">
        <f>SUMIF(RAW_Cases!$B:$B,Tabelle2[[#This Row],[Country/Region]],RAW_Cases!P:P)</f>
        <v>11</v>
      </c>
      <c r="P17" s="9">
        <f>SUMIF(RAW_Cases!$B:$B,Tabelle2[[#This Row],[Country/Region]],RAW_Cases!Q:Q)</f>
        <v>11</v>
      </c>
      <c r="Q17" s="9">
        <f>SUMIF(RAW_Cases!$B:$B,Tabelle2[[#This Row],[Country/Region]],RAW_Cases!R:R)</f>
        <v>11</v>
      </c>
      <c r="R17" s="9">
        <f>SUMIF(RAW_Cases!$B:$B,Tabelle2[[#This Row],[Country/Region]],RAW_Cases!S:S)</f>
        <v>11</v>
      </c>
      <c r="S17" s="9">
        <f>SUMIF(RAW_Cases!$B:$B,Tabelle2[[#This Row],[Country/Region]],RAW_Cases!T:T)</f>
        <v>11</v>
      </c>
      <c r="T17" s="9">
        <f>SUMIF(RAW_Cases!$B:$B,Tabelle2[[#This Row],[Country/Region]],RAW_Cases!U:U)</f>
        <v>11</v>
      </c>
      <c r="U17" s="9">
        <f>SUMIF(RAW_Cases!$B:$B,Tabelle2[[#This Row],[Country/Region]],RAW_Cases!V:V)</f>
        <v>11</v>
      </c>
      <c r="V17" s="9">
        <f>SUMIF(RAW_Cases!$B:$B,Tabelle2[[#This Row],[Country/Region]],RAW_Cases!W:W)</f>
        <v>12</v>
      </c>
      <c r="W17" s="9">
        <f>SUMIF(RAW_Cases!$B:$B,Tabelle2[[#This Row],[Country/Region]],RAW_Cases!X:X)</f>
        <v>12</v>
      </c>
      <c r="X17" s="9">
        <f>SUMIF(RAW_Cases!$B:$B,Tabelle2[[#This Row],[Country/Region]],RAW_Cases!Y:Y)</f>
        <v>13</v>
      </c>
      <c r="Y17" s="9">
        <f>SUMIF(RAW_Cases!$B:$B,Tabelle2[[#This Row],[Country/Region]],RAW_Cases!Z:Z)</f>
        <v>13</v>
      </c>
      <c r="Z17" s="9">
        <f>SUMIF(RAW_Cases!$B:$B,Tabelle2[[#This Row],[Country/Region]],RAW_Cases!AA:AA)</f>
        <v>13</v>
      </c>
      <c r="AA17" s="9">
        <f>SUMIF(RAW_Cases!$B:$B,Tabelle2[[#This Row],[Country/Region]],RAW_Cases!AB:AB)</f>
        <v>13</v>
      </c>
      <c r="AB17" s="9">
        <f>SUMIF(RAW_Cases!$B:$B,Tabelle2[[#This Row],[Country/Region]],RAW_Cases!AC:AC)</f>
        <v>13</v>
      </c>
      <c r="AC17" s="9">
        <f>SUMIF(RAW_Cases!$B:$B,Tabelle2[[#This Row],[Country/Region]],RAW_Cases!AD:AD)</f>
        <v>13</v>
      </c>
      <c r="AD17" s="9">
        <f>SUMIF(RAW_Cases!$B:$B,Tabelle2[[#This Row],[Country/Region]],RAW_Cases!AE:AE)</f>
        <v>13</v>
      </c>
      <c r="AE17" s="9">
        <f>SUMIF(RAW_Cases!$B:$B,Tabelle2[[#This Row],[Country/Region]],RAW_Cases!AF:AF)</f>
        <v>13</v>
      </c>
      <c r="AF17" s="9">
        <f>SUMIF(RAW_Cases!$B:$B,Tabelle2[[#This Row],[Country/Region]],RAW_Cases!AG:AG)</f>
        <v>15</v>
      </c>
      <c r="AG17" s="9">
        <f>SUMIF(RAW_Cases!$B:$B,Tabelle2[[#This Row],[Country/Region]],RAW_Cases!AH:AH)</f>
        <v>15</v>
      </c>
      <c r="AH17" s="9">
        <f>SUMIF(RAW_Cases!$B:$B,Tabelle2[[#This Row],[Country/Region]],RAW_Cases!AI:AI)</f>
        <v>15</v>
      </c>
      <c r="AI17" s="9">
        <f>SUMIF(RAW_Cases!$B:$B,Tabelle2[[#This Row],[Country/Region]],RAW_Cases!AJ:AJ)</f>
        <v>51</v>
      </c>
      <c r="AJ17" s="9">
        <f>SUMIF(RAW_Cases!$B:$B,Tabelle2[[#This Row],[Country/Region]],RAW_Cases!AK:AK)</f>
        <v>51</v>
      </c>
      <c r="AK17" s="9">
        <f>SUMIF(RAW_Cases!$B:$B,Tabelle2[[#This Row],[Country/Region]],RAW_Cases!AL:AL)</f>
        <v>57</v>
      </c>
      <c r="AL17" s="9">
        <f>SUMIF(RAW_Cases!$B:$B,Tabelle2[[#This Row],[Country/Region]],RAW_Cases!AM:AM)</f>
        <v>58</v>
      </c>
      <c r="AM17" s="9">
        <f>SUMIF(RAW_Cases!$B:$B,Tabelle2[[#This Row],[Country/Region]],RAW_Cases!AN:AN)</f>
        <v>60</v>
      </c>
      <c r="AN17" s="9">
        <f>SUMIF(RAW_Cases!$B:$B,Tabelle2[[#This Row],[Country/Region]],RAW_Cases!AO:AO)</f>
        <v>68</v>
      </c>
      <c r="AO17" s="9">
        <f>SUMIF(RAW_Cases!$B:$B,Tabelle2[[#This Row],[Country/Region]],RAW_Cases!AP:AP)</f>
        <v>74</v>
      </c>
      <c r="AP17" s="9">
        <f>SUMIF(RAW_Cases!$B:$B,Tabelle2[[#This Row],[Country/Region]],RAW_Cases!AQ:AQ)</f>
        <v>98</v>
      </c>
      <c r="AQ17" s="9">
        <f>SUMIF(RAW_Cases!$B:$B,Tabelle2[[#This Row],[Country/Region]],RAW_Cases!AR:AR)</f>
        <v>118</v>
      </c>
      <c r="AR17" s="9">
        <f>SUMIF(RAW_Cases!$B:$B,Tabelle2[[#This Row],[Country/Region]],RAW_Cases!AS:AS)</f>
        <v>149</v>
      </c>
      <c r="AS17" s="9">
        <f>SUMIF(RAW_Cases!$B:$B,Tabelle2[[#This Row],[Country/Region]],RAW_Cases!AT:AT)</f>
        <v>217</v>
      </c>
      <c r="AT17" s="9">
        <f>SUMIF(RAW_Cases!$B:$B,Tabelle2[[#This Row],[Country/Region]],RAW_Cases!AU:AU)</f>
        <v>262</v>
      </c>
      <c r="AU17" s="9">
        <f>SUMIF(RAW_Cases!$B:$B,Tabelle2[[#This Row],[Country/Region]],RAW_Cases!AV:AV)</f>
        <v>402</v>
      </c>
      <c r="AV17" s="9">
        <f>SUMIF(RAW_Cases!$B:$B,Tabelle2[[#This Row],[Country/Region]],RAW_Cases!AW:AW)</f>
        <v>518</v>
      </c>
      <c r="AW17" s="9">
        <f>SUMIF(RAW_Cases!$B:$B,Tabelle2[[#This Row],[Country/Region]],RAW_Cases!AX:AX)</f>
        <v>583</v>
      </c>
      <c r="AX17" s="9">
        <f>SUMIF(RAW_Cases!$B:$B,Tabelle2[[#This Row],[Country/Region]],RAW_Cases!AY:AY)</f>
        <v>959</v>
      </c>
      <c r="AY17" s="9">
        <f>SUMIF(RAW_Cases!$B:$B,Tabelle2[[#This Row],[Country/Region]],RAW_Cases!AZ:AZ)</f>
        <v>1281</v>
      </c>
      <c r="AZ17" s="9">
        <f>SUMIF(RAW_Cases!$B:$B,Tabelle2[[#This Row],[Country/Region]],RAW_Cases!BA:BA)</f>
        <v>1663</v>
      </c>
      <c r="BA17" s="9">
        <f>SUMIF(RAW_Cases!$B:$B,Tabelle2[[#This Row],[Country/Region]],RAW_Cases!BB:BB)</f>
        <v>2179</v>
      </c>
      <c r="BB17" s="9">
        <f>SUMIF(RAW_Cases!$B:$B,Tabelle2[[#This Row],[Country/Region]],RAW_Cases!BC:BC)</f>
        <v>2727</v>
      </c>
      <c r="BC17" s="9">
        <f>SUMIF(RAW_Cases!$B:$B,Tabelle2[[#This Row],[Country/Region]],RAW_Cases!BD:BD)</f>
        <v>3499</v>
      </c>
      <c r="BD17" s="9">
        <f>SUMIF(RAW_Cases!$B:$B,Tabelle2[[#This Row],[Country/Region]],RAW_Cases!BE:BE)</f>
        <v>4632</v>
      </c>
      <c r="BE17" s="9">
        <f>SUMIF(RAW_Cases!$B:$B,Tabelle2[[#This Row],[Country/Region]],RAW_Cases!BF:BF)</f>
        <v>6421</v>
      </c>
      <c r="BF17" s="9">
        <f>SUMIF(RAW_Cases!$B:$B,Tabelle2[[#This Row],[Country/Region]],RAW_Cases!BG:BG)</f>
        <v>7783</v>
      </c>
      <c r="BG17" s="9">
        <f>SUMIF(RAW_Cases!$B:$B,Tabelle2[[#This Row],[Country/Region]],RAW_Cases!BH:BH)</f>
        <v>13677</v>
      </c>
      <c r="BH17" s="9">
        <f>SUMIF(RAW_Cases!$B:$B,Tabelle2[[#This Row],[Country/Region]],RAW_Cases!BI:BI)</f>
        <v>19100</v>
      </c>
      <c r="BI17" s="9">
        <f>SUMIF(RAW_Cases!$B:$B,Tabelle2[[#This Row],[Country/Region]],RAW_Cases!BJ:BJ)</f>
        <v>25489</v>
      </c>
      <c r="BJ17" s="9">
        <f>SUMIF(RAW_Cases!$B:$B,Tabelle2[[#This Row],[Country/Region]],RAW_Cases!BK:BK)</f>
        <v>33276</v>
      </c>
      <c r="BK17" s="9">
        <f>SUMIF(RAW_Cases!$B:$B,Tabelle2[[#This Row],[Country/Region]],RAW_Cases!BL:BL)</f>
        <v>43847</v>
      </c>
      <c r="BL17" s="9">
        <f>SUMIF(RAW_Cases!$B:$B,Tabelle2[[#This Row],[Country/Region]],RAW_Cases!BM:BM)</f>
        <v>53740</v>
      </c>
      <c r="BM17" s="9">
        <f>SUMIF(RAW_Cases!$B:$B,Tabelle2[[#This Row],[Country/Region]],RAW_Cases!BN:BN)</f>
        <v>65778</v>
      </c>
      <c r="BN17" s="9">
        <f>SUMIF(RAW_Cases!$B:$B,Tabelle2[[#This Row],[Country/Region]],RAW_Cases!BO:BO)</f>
        <v>83836</v>
      </c>
      <c r="BO17" s="9">
        <f>SUMIF(RAW_Cases!$B:$B,Tabelle2[[#This Row],[Country/Region]],RAW_Cases!BP:BP)</f>
        <v>101657</v>
      </c>
      <c r="BP17" s="9">
        <f>SUMIF(RAW_Cases!$B:$B,Tabelle2[[#This Row],[Country/Region]],RAW_Cases!BQ:BQ)</f>
        <v>121478</v>
      </c>
      <c r="BQ17" s="9">
        <f>SUMIF(RAW_Cases!$B:$B,Tabelle2[[#This Row],[Country/Region]],RAW_Cases!BR:BR)</f>
        <v>140886</v>
      </c>
      <c r="BR17" s="9">
        <f>SUMIF(RAW_Cases!$B:$B,Tabelle2[[#This Row],[Country/Region]],RAW_Cases!BS:BS)</f>
        <v>161807</v>
      </c>
      <c r="BS17" s="9">
        <f>SUMIF(RAW_Cases!$B:$B,Tabelle2[[#This Row],[Country/Region]],RAW_Cases!BT:BT)</f>
        <v>0</v>
      </c>
      <c r="BT17" s="9">
        <f>SUMIF(RAW_Cases!$B:$B,Tabelle2[[#This Row],[Country/Region]],RAW_Cases!BU:BU)</f>
        <v>0</v>
      </c>
      <c r="BU17" s="9">
        <f>SUMIF(RAW_Cases!$B:$B,Tabelle2[[#This Row],[Country/Region]],RAW_Cases!BV:BV)</f>
        <v>0</v>
      </c>
      <c r="BV17" s="9">
        <f>SUMIF(RAW_Cases!$B:$B,Tabelle2[[#This Row],[Country/Region]],RAW_Cases!BW:BW)</f>
        <v>0</v>
      </c>
      <c r="BW17" s="9">
        <f>SUMIF(RAW_Cases!$B:$B,Tabelle2[[#This Row],[Country/Region]],RAW_Cases!BX:BX)</f>
        <v>0</v>
      </c>
      <c r="BX17" s="9">
        <f>SUMIF(RAW_Cases!$B:$B,Tabelle2[[#This Row],[Country/Region]],RAW_Cases!BY:BY)</f>
        <v>0</v>
      </c>
      <c r="BY17" s="9">
        <f>SUMIF(RAW_Cases!$B:$B,Tabelle2[[#This Row],[Country/Region]],RAW_Cases!BZ:BZ)</f>
        <v>0</v>
      </c>
      <c r="BZ17" s="9">
        <f>SUMIF(RAW_Cases!$B:$B,Tabelle2[[#This Row],[Country/Region]],RAW_Cases!CA:CA)</f>
        <v>0</v>
      </c>
      <c r="CA17" s="9">
        <f>SUMIF(RAW_Cases!$B:$B,Tabelle2[[#This Row],[Country/Region]],RAW_Cases!CB:CB)</f>
        <v>0</v>
      </c>
      <c r="CB17" s="9">
        <f>SUMIF(RAW_Cases!$B:$B,Tabelle2[[#This Row],[Country/Region]],RAW_Cases!CC:CC)</f>
        <v>0</v>
      </c>
      <c r="CC17" s="9">
        <f>SUMIF(RAW_Cases!$B:$B,Tabelle2[[#This Row],[Country/Region]],RAW_Cases!CD:CD)</f>
        <v>0</v>
      </c>
      <c r="CD17" s="9">
        <f>SUMIF(RAW_Cases!$B:$B,Tabelle2[[#This Row],[Country/Region]],RAW_Cases!CE:CE)</f>
        <v>0</v>
      </c>
      <c r="CE17" s="9">
        <f>SUMIF(RAW_Cases!$B:$B,Tabelle2[[#This Row],[Country/Region]],RAW_Cases!CF:CF)</f>
        <v>0</v>
      </c>
    </row>
    <row r="18" spans="1:87" s="11" customFormat="1" ht="12.75" x14ac:dyDescent="0.2">
      <c r="A18" s="27" t="s">
        <v>20</v>
      </c>
      <c r="B18" s="9">
        <f>SUMIF(RAW_Cases!$B:$B,Tabelle2[[#This Row],[Country/Region]],RAW_Cases!C:C)</f>
        <v>0</v>
      </c>
      <c r="C18" s="9">
        <f>SUMIF(RAW_Cases!$B:$B,Tabelle2[[#This Row],[Country/Region]],RAW_Cases!D:D)</f>
        <v>0</v>
      </c>
      <c r="D18" s="9">
        <f>SUMIF(RAW_Cases!$B:$B,Tabelle2[[#This Row],[Country/Region]],RAW_Cases!E:E)</f>
        <v>0</v>
      </c>
      <c r="E18" s="9">
        <f>SUMIF(RAW_Cases!$B:$B,Tabelle2[[#This Row],[Country/Region]],RAW_Cases!F:F)</f>
        <v>0</v>
      </c>
      <c r="F18" s="9">
        <f>SUMIF(RAW_Cases!$B:$B,Tabelle2[[#This Row],[Country/Region]],RAW_Cases!G:G)</f>
        <v>0</v>
      </c>
      <c r="G18" s="9">
        <f>SUMIF(RAW_Cases!$B:$B,Tabelle2[[#This Row],[Country/Region]],RAW_Cases!H:H)</f>
        <v>0</v>
      </c>
      <c r="H18" s="9">
        <f>SUMIF(RAW_Cases!$B:$B,Tabelle2[[#This Row],[Country/Region]],RAW_Cases!I:I)</f>
        <v>0</v>
      </c>
      <c r="I18" s="9">
        <f>SUMIF(RAW_Cases!$B:$B,Tabelle2[[#This Row],[Country/Region]],RAW_Cases!J:J)</f>
        <v>0</v>
      </c>
      <c r="J18" s="9">
        <f>SUMIF(RAW_Cases!$B:$B,Tabelle2[[#This Row],[Country/Region]],RAW_Cases!K:K)</f>
        <v>0</v>
      </c>
      <c r="K18" s="9">
        <f>SUMIF(RAW_Cases!$B:$B,Tabelle2[[#This Row],[Country/Region]],RAW_Cases!L:L)</f>
        <v>2</v>
      </c>
      <c r="L18" s="9">
        <f>SUMIF(RAW_Cases!$B:$B,Tabelle2[[#This Row],[Country/Region]],RAW_Cases!M:M)</f>
        <v>2</v>
      </c>
      <c r="M18" s="9">
        <f>SUMIF(RAW_Cases!$B:$B,Tabelle2[[#This Row],[Country/Region]],RAW_Cases!N:N)</f>
        <v>2</v>
      </c>
      <c r="N18" s="9">
        <f>SUMIF(RAW_Cases!$B:$B,Tabelle2[[#This Row],[Country/Region]],RAW_Cases!O:O)</f>
        <v>2</v>
      </c>
      <c r="O18" s="9">
        <f>SUMIF(RAW_Cases!$B:$B,Tabelle2[[#This Row],[Country/Region]],RAW_Cases!P:P)</f>
        <v>2</v>
      </c>
      <c r="P18" s="9">
        <f>SUMIF(RAW_Cases!$B:$B,Tabelle2[[#This Row],[Country/Region]],RAW_Cases!Q:Q)</f>
        <v>2</v>
      </c>
      <c r="Q18" s="9">
        <f>SUMIF(RAW_Cases!$B:$B,Tabelle2[[#This Row],[Country/Region]],RAW_Cases!R:R)</f>
        <v>2</v>
      </c>
      <c r="R18" s="9">
        <f>SUMIF(RAW_Cases!$B:$B,Tabelle2[[#This Row],[Country/Region]],RAW_Cases!S:S)</f>
        <v>3</v>
      </c>
      <c r="S18" s="9">
        <f>SUMIF(RAW_Cases!$B:$B,Tabelle2[[#This Row],[Country/Region]],RAW_Cases!T:T)</f>
        <v>3</v>
      </c>
      <c r="T18" s="9">
        <f>SUMIF(RAW_Cases!$B:$B,Tabelle2[[#This Row],[Country/Region]],RAW_Cases!U:U)</f>
        <v>3</v>
      </c>
      <c r="U18" s="9">
        <f>SUMIF(RAW_Cases!$B:$B,Tabelle2[[#This Row],[Country/Region]],RAW_Cases!V:V)</f>
        <v>3</v>
      </c>
      <c r="V18" s="9">
        <f>SUMIF(RAW_Cases!$B:$B,Tabelle2[[#This Row],[Country/Region]],RAW_Cases!W:W)</f>
        <v>3</v>
      </c>
      <c r="W18" s="9">
        <f>SUMIF(RAW_Cases!$B:$B,Tabelle2[[#This Row],[Country/Region]],RAW_Cases!X:X)</f>
        <v>3</v>
      </c>
      <c r="X18" s="9">
        <f>SUMIF(RAW_Cases!$B:$B,Tabelle2[[#This Row],[Country/Region]],RAW_Cases!Y:Y)</f>
        <v>3</v>
      </c>
      <c r="Y18" s="9">
        <f>SUMIF(RAW_Cases!$B:$B,Tabelle2[[#This Row],[Country/Region]],RAW_Cases!Z:Z)</f>
        <v>3</v>
      </c>
      <c r="Z18" s="9">
        <f>SUMIF(RAW_Cases!$B:$B,Tabelle2[[#This Row],[Country/Region]],RAW_Cases!AA:AA)</f>
        <v>3</v>
      </c>
      <c r="AA18" s="9">
        <f>SUMIF(RAW_Cases!$B:$B,Tabelle2[[#This Row],[Country/Region]],RAW_Cases!AB:AB)</f>
        <v>3</v>
      </c>
      <c r="AB18" s="9">
        <f>SUMIF(RAW_Cases!$B:$B,Tabelle2[[#This Row],[Country/Region]],RAW_Cases!AC:AC)</f>
        <v>3</v>
      </c>
      <c r="AC18" s="9">
        <f>SUMIF(RAW_Cases!$B:$B,Tabelle2[[#This Row],[Country/Region]],RAW_Cases!AD:AD)</f>
        <v>3</v>
      </c>
      <c r="AD18" s="9">
        <f>SUMIF(RAW_Cases!$B:$B,Tabelle2[[#This Row],[Country/Region]],RAW_Cases!AE:AE)</f>
        <v>3</v>
      </c>
      <c r="AE18" s="9">
        <f>SUMIF(RAW_Cases!$B:$B,Tabelle2[[#This Row],[Country/Region]],RAW_Cases!AF:AF)</f>
        <v>3</v>
      </c>
      <c r="AF18" s="9">
        <f>SUMIF(RAW_Cases!$B:$B,Tabelle2[[#This Row],[Country/Region]],RAW_Cases!AG:AG)</f>
        <v>20</v>
      </c>
      <c r="AG18" s="9">
        <f>SUMIF(RAW_Cases!$B:$B,Tabelle2[[#This Row],[Country/Region]],RAW_Cases!AH:AH)</f>
        <v>62</v>
      </c>
      <c r="AH18" s="9">
        <f>SUMIF(RAW_Cases!$B:$B,Tabelle2[[#This Row],[Country/Region]],RAW_Cases!AI:AI)</f>
        <v>155</v>
      </c>
      <c r="AI18" s="9">
        <f>SUMIF(RAW_Cases!$B:$B,Tabelle2[[#This Row],[Country/Region]],RAW_Cases!AJ:AJ)</f>
        <v>229</v>
      </c>
      <c r="AJ18" s="9">
        <f>SUMIF(RAW_Cases!$B:$B,Tabelle2[[#This Row],[Country/Region]],RAW_Cases!AK:AK)</f>
        <v>322</v>
      </c>
      <c r="AK18" s="9">
        <f>SUMIF(RAW_Cases!$B:$B,Tabelle2[[#This Row],[Country/Region]],RAW_Cases!AL:AL)</f>
        <v>453</v>
      </c>
      <c r="AL18" s="9">
        <f>SUMIF(RAW_Cases!$B:$B,Tabelle2[[#This Row],[Country/Region]],RAW_Cases!AM:AM)</f>
        <v>655</v>
      </c>
      <c r="AM18" s="9">
        <f>SUMIF(RAW_Cases!$B:$B,Tabelle2[[#This Row],[Country/Region]],RAW_Cases!AN:AN)</f>
        <v>888</v>
      </c>
      <c r="AN18" s="9">
        <f>SUMIF(RAW_Cases!$B:$B,Tabelle2[[#This Row],[Country/Region]],RAW_Cases!AO:AO)</f>
        <v>1128</v>
      </c>
      <c r="AO18" s="9">
        <f>SUMIF(RAW_Cases!$B:$B,Tabelle2[[#This Row],[Country/Region]],RAW_Cases!AP:AP)</f>
        <v>1694</v>
      </c>
      <c r="AP18" s="9">
        <f>SUMIF(RAW_Cases!$B:$B,Tabelle2[[#This Row],[Country/Region]],RAW_Cases!AQ:AQ)</f>
        <v>2036</v>
      </c>
      <c r="AQ18" s="9">
        <f>SUMIF(RAW_Cases!$B:$B,Tabelle2[[#This Row],[Country/Region]],RAW_Cases!AR:AR)</f>
        <v>2502</v>
      </c>
      <c r="AR18" s="9">
        <f>SUMIF(RAW_Cases!$B:$B,Tabelle2[[#This Row],[Country/Region]],RAW_Cases!AS:AS)</f>
        <v>3089</v>
      </c>
      <c r="AS18" s="9">
        <f>SUMIF(RAW_Cases!$B:$B,Tabelle2[[#This Row],[Country/Region]],RAW_Cases!AT:AT)</f>
        <v>3858</v>
      </c>
      <c r="AT18" s="9">
        <f>SUMIF(RAW_Cases!$B:$B,Tabelle2[[#This Row],[Country/Region]],RAW_Cases!AU:AU)</f>
        <v>4636</v>
      </c>
      <c r="AU18" s="9">
        <f>SUMIF(RAW_Cases!$B:$B,Tabelle2[[#This Row],[Country/Region]],RAW_Cases!AV:AV)</f>
        <v>5883</v>
      </c>
      <c r="AV18" s="9">
        <f>SUMIF(RAW_Cases!$B:$B,Tabelle2[[#This Row],[Country/Region]],RAW_Cases!AW:AW)</f>
        <v>7375</v>
      </c>
      <c r="AW18" s="9">
        <f>SUMIF(RAW_Cases!$B:$B,Tabelle2[[#This Row],[Country/Region]],RAW_Cases!AX:AX)</f>
        <v>9172</v>
      </c>
      <c r="AX18" s="9">
        <f>SUMIF(RAW_Cases!$B:$B,Tabelle2[[#This Row],[Country/Region]],RAW_Cases!AY:AY)</f>
        <v>10149</v>
      </c>
      <c r="AY18" s="9">
        <f>SUMIF(RAW_Cases!$B:$B,Tabelle2[[#This Row],[Country/Region]],RAW_Cases!AZ:AZ)</f>
        <v>12462</v>
      </c>
      <c r="AZ18" s="9">
        <f>SUMIF(RAW_Cases!$B:$B,Tabelle2[[#This Row],[Country/Region]],RAW_Cases!BA:BA)</f>
        <v>12462</v>
      </c>
      <c r="BA18" s="9">
        <f>SUMIF(RAW_Cases!$B:$B,Tabelle2[[#This Row],[Country/Region]],RAW_Cases!BB:BB)</f>
        <v>17660</v>
      </c>
      <c r="BB18" s="9">
        <f>SUMIF(RAW_Cases!$B:$B,Tabelle2[[#This Row],[Country/Region]],RAW_Cases!BC:BC)</f>
        <v>21157</v>
      </c>
      <c r="BC18" s="9">
        <f>SUMIF(RAW_Cases!$B:$B,Tabelle2[[#This Row],[Country/Region]],RAW_Cases!BD:BD)</f>
        <v>24747</v>
      </c>
      <c r="BD18" s="9">
        <f>SUMIF(RAW_Cases!$B:$B,Tabelle2[[#This Row],[Country/Region]],RAW_Cases!BE:BE)</f>
        <v>27980</v>
      </c>
      <c r="BE18" s="9">
        <f>SUMIF(RAW_Cases!$B:$B,Tabelle2[[#This Row],[Country/Region]],RAW_Cases!BF:BF)</f>
        <v>31506</v>
      </c>
      <c r="BF18" s="9">
        <f>SUMIF(RAW_Cases!$B:$B,Tabelle2[[#This Row],[Country/Region]],RAW_Cases!BG:BG)</f>
        <v>35713</v>
      </c>
      <c r="BG18" s="9">
        <f>SUMIF(RAW_Cases!$B:$B,Tabelle2[[#This Row],[Country/Region]],RAW_Cases!BH:BH)</f>
        <v>41035</v>
      </c>
      <c r="BH18" s="9">
        <f>SUMIF(RAW_Cases!$B:$B,Tabelle2[[#This Row],[Country/Region]],RAW_Cases!BI:BI)</f>
        <v>47021</v>
      </c>
      <c r="BI18" s="9">
        <f>SUMIF(RAW_Cases!$B:$B,Tabelle2[[#This Row],[Country/Region]],RAW_Cases!BJ:BJ)</f>
        <v>53578</v>
      </c>
      <c r="BJ18" s="9">
        <f>SUMIF(RAW_Cases!$B:$B,Tabelle2[[#This Row],[Country/Region]],RAW_Cases!BK:BK)</f>
        <v>59138</v>
      </c>
      <c r="BK18" s="9">
        <f>SUMIF(RAW_Cases!$B:$B,Tabelle2[[#This Row],[Country/Region]],RAW_Cases!BL:BL)</f>
        <v>63927</v>
      </c>
      <c r="BL18" s="9">
        <f>SUMIF(RAW_Cases!$B:$B,Tabelle2[[#This Row],[Country/Region]],RAW_Cases!BM:BM)</f>
        <v>69176</v>
      </c>
      <c r="BM18" s="9">
        <f>SUMIF(RAW_Cases!$B:$B,Tabelle2[[#This Row],[Country/Region]],RAW_Cases!BN:BN)</f>
        <v>74386</v>
      </c>
      <c r="BN18" s="9">
        <f>SUMIF(RAW_Cases!$B:$B,Tabelle2[[#This Row],[Country/Region]],RAW_Cases!BO:BO)</f>
        <v>80589</v>
      </c>
      <c r="BO18" s="9">
        <f>SUMIF(RAW_Cases!$B:$B,Tabelle2[[#This Row],[Country/Region]],RAW_Cases!BP:BP)</f>
        <v>86498</v>
      </c>
      <c r="BP18" s="9">
        <f>SUMIF(RAW_Cases!$B:$B,Tabelle2[[#This Row],[Country/Region]],RAW_Cases!BQ:BQ)</f>
        <v>92472</v>
      </c>
      <c r="BQ18" s="9">
        <f>SUMIF(RAW_Cases!$B:$B,Tabelle2[[#This Row],[Country/Region]],RAW_Cases!BR:BR)</f>
        <v>97689</v>
      </c>
      <c r="BR18" s="9">
        <f>SUMIF(RAW_Cases!$B:$B,Tabelle2[[#This Row],[Country/Region]],RAW_Cases!BS:BS)</f>
        <v>101739</v>
      </c>
      <c r="BS18" s="9">
        <f>SUMIF(RAW_Cases!$B:$B,Tabelle2[[#This Row],[Country/Region]],RAW_Cases!BT:BT)</f>
        <v>0</v>
      </c>
      <c r="BT18" s="9">
        <f>SUMIF(RAW_Cases!$B:$B,Tabelle2[[#This Row],[Country/Region]],RAW_Cases!BU:BU)</f>
        <v>0</v>
      </c>
      <c r="BU18" s="9">
        <f>SUMIF(RAW_Cases!$B:$B,Tabelle2[[#This Row],[Country/Region]],RAW_Cases!BV:BV)</f>
        <v>0</v>
      </c>
      <c r="BV18" s="9">
        <f>SUMIF(RAW_Cases!$B:$B,Tabelle2[[#This Row],[Country/Region]],RAW_Cases!BW:BW)</f>
        <v>0</v>
      </c>
      <c r="BW18" s="9">
        <f>SUMIF(RAW_Cases!$B:$B,Tabelle2[[#This Row],[Country/Region]],RAW_Cases!BX:BX)</f>
        <v>0</v>
      </c>
      <c r="BX18" s="9">
        <f>SUMIF(RAW_Cases!$B:$B,Tabelle2[[#This Row],[Country/Region]],RAW_Cases!BY:BY)</f>
        <v>0</v>
      </c>
      <c r="BY18" s="9">
        <f>SUMIF(RAW_Cases!$B:$B,Tabelle2[[#This Row],[Country/Region]],RAW_Cases!BZ:BZ)</f>
        <v>0</v>
      </c>
      <c r="BZ18" s="9">
        <f>SUMIF(RAW_Cases!$B:$B,Tabelle2[[#This Row],[Country/Region]],RAW_Cases!CA:CA)</f>
        <v>0</v>
      </c>
      <c r="CA18" s="9">
        <f>SUMIF(RAW_Cases!$B:$B,Tabelle2[[#This Row],[Country/Region]],RAW_Cases!CB:CB)</f>
        <v>0</v>
      </c>
      <c r="CB18" s="9">
        <f>SUMIF(RAW_Cases!$B:$B,Tabelle2[[#This Row],[Country/Region]],RAW_Cases!CC:CC)</f>
        <v>0</v>
      </c>
      <c r="CC18" s="9">
        <f>SUMIF(RAW_Cases!$B:$B,Tabelle2[[#This Row],[Country/Region]],RAW_Cases!CD:CD)</f>
        <v>0</v>
      </c>
      <c r="CD18" s="9">
        <f>SUMIF(RAW_Cases!$B:$B,Tabelle2[[#This Row],[Country/Region]],RAW_Cases!CE:CE)</f>
        <v>0</v>
      </c>
      <c r="CE18" s="9">
        <f>SUMIF(RAW_Cases!$B:$B,Tabelle2[[#This Row],[Country/Region]],RAW_Cases!CF:CF)</f>
        <v>0</v>
      </c>
    </row>
    <row r="19" spans="1:87" s="11" customFormat="1" ht="12.75" x14ac:dyDescent="0.2">
      <c r="A19" s="27" t="s">
        <v>199</v>
      </c>
      <c r="B19" s="9">
        <f>SUMIF(RAW_Cases!$B:$B,Tabelle2[[#This Row],[Country/Region]],RAW_Cases!C:C)</f>
        <v>0</v>
      </c>
      <c r="C19" s="9">
        <f>SUMIF(RAW_Cases!$B:$B,Tabelle2[[#This Row],[Country/Region]],RAW_Cases!D:D)</f>
        <v>0</v>
      </c>
      <c r="D19" s="9">
        <f>SUMIF(RAW_Cases!$B:$B,Tabelle2[[#This Row],[Country/Region]],RAW_Cases!E:E)</f>
        <v>0</v>
      </c>
      <c r="E19" s="9">
        <f>SUMIF(RAW_Cases!$B:$B,Tabelle2[[#This Row],[Country/Region]],RAW_Cases!F:F)</f>
        <v>0</v>
      </c>
      <c r="F19" s="9">
        <f>SUMIF(RAW_Cases!$B:$B,Tabelle2[[#This Row],[Country/Region]],RAW_Cases!G:G)</f>
        <v>0</v>
      </c>
      <c r="G19" s="9">
        <f>SUMIF(RAW_Cases!$B:$B,Tabelle2[[#This Row],[Country/Region]],RAW_Cases!H:H)</f>
        <v>0</v>
      </c>
      <c r="H19" s="9">
        <f>SUMIF(RAW_Cases!$B:$B,Tabelle2[[#This Row],[Country/Region]],RAW_Cases!I:I)</f>
        <v>0</v>
      </c>
      <c r="I19" s="9">
        <f>SUMIF(RAW_Cases!$B:$B,Tabelle2[[#This Row],[Country/Region]],RAW_Cases!J:J)</f>
        <v>0</v>
      </c>
      <c r="J19" s="9">
        <f>SUMIF(RAW_Cases!$B:$B,Tabelle2[[#This Row],[Country/Region]],RAW_Cases!K:K)</f>
        <v>0</v>
      </c>
      <c r="K19" s="9">
        <f>SUMIF(RAW_Cases!$B:$B,Tabelle2[[#This Row],[Country/Region]],RAW_Cases!L:L)</f>
        <v>0</v>
      </c>
      <c r="L19" s="9">
        <f>SUMIF(RAW_Cases!$B:$B,Tabelle2[[#This Row],[Country/Region]],RAW_Cases!M:M)</f>
        <v>0</v>
      </c>
      <c r="M19" s="9">
        <f>SUMIF(RAW_Cases!$B:$B,Tabelle2[[#This Row],[Country/Region]],RAW_Cases!N:N)</f>
        <v>0</v>
      </c>
      <c r="N19" s="9">
        <f>SUMIF(RAW_Cases!$B:$B,Tabelle2[[#This Row],[Country/Region]],RAW_Cases!O:O)</f>
        <v>0</v>
      </c>
      <c r="O19" s="9">
        <f>SUMIF(RAW_Cases!$B:$B,Tabelle2[[#This Row],[Country/Region]],RAW_Cases!P:P)</f>
        <v>0</v>
      </c>
      <c r="P19" s="9">
        <f>SUMIF(RAW_Cases!$B:$B,Tabelle2[[#This Row],[Country/Region]],RAW_Cases!Q:Q)</f>
        <v>0</v>
      </c>
      <c r="Q19" s="9">
        <f>SUMIF(RAW_Cases!$B:$B,Tabelle2[[#This Row],[Country/Region]],RAW_Cases!R:R)</f>
        <v>0</v>
      </c>
      <c r="R19" s="9">
        <f>SUMIF(RAW_Cases!$B:$B,Tabelle2[[#This Row],[Country/Region]],RAW_Cases!S:S)</f>
        <v>0</v>
      </c>
      <c r="S19" s="9">
        <f>SUMIF(RAW_Cases!$B:$B,Tabelle2[[#This Row],[Country/Region]],RAW_Cases!T:T)</f>
        <v>0</v>
      </c>
      <c r="T19" s="9">
        <f>SUMIF(RAW_Cases!$B:$B,Tabelle2[[#This Row],[Country/Region]],RAW_Cases!U:U)</f>
        <v>0</v>
      </c>
      <c r="U19" s="9">
        <f>SUMIF(RAW_Cases!$B:$B,Tabelle2[[#This Row],[Country/Region]],RAW_Cases!V:V)</f>
        <v>0</v>
      </c>
      <c r="V19" s="9">
        <f>SUMIF(RAW_Cases!$B:$B,Tabelle2[[#This Row],[Country/Region]],RAW_Cases!W:W)</f>
        <v>0</v>
      </c>
      <c r="W19" s="9">
        <f>SUMIF(RAW_Cases!$B:$B,Tabelle2[[#This Row],[Country/Region]],RAW_Cases!X:X)</f>
        <v>0</v>
      </c>
      <c r="X19" s="9">
        <f>SUMIF(RAW_Cases!$B:$B,Tabelle2[[#This Row],[Country/Region]],RAW_Cases!Y:Y)</f>
        <v>0</v>
      </c>
      <c r="Y19" s="9">
        <f>SUMIF(RAW_Cases!$B:$B,Tabelle2[[#This Row],[Country/Region]],RAW_Cases!Z:Z)</f>
        <v>0</v>
      </c>
      <c r="Z19" s="9">
        <f>SUMIF(RAW_Cases!$B:$B,Tabelle2[[#This Row],[Country/Region]],RAW_Cases!AA:AA)</f>
        <v>0</v>
      </c>
      <c r="AA19" s="9">
        <f>SUMIF(RAW_Cases!$B:$B,Tabelle2[[#This Row],[Country/Region]],RAW_Cases!AB:AB)</f>
        <v>0</v>
      </c>
      <c r="AB19" s="9">
        <f>SUMIF(RAW_Cases!$B:$B,Tabelle2[[#This Row],[Country/Region]],RAW_Cases!AC:AC)</f>
        <v>0</v>
      </c>
      <c r="AC19" s="9">
        <f>SUMIF(RAW_Cases!$B:$B,Tabelle2[[#This Row],[Country/Region]],RAW_Cases!AD:AD)</f>
        <v>0</v>
      </c>
      <c r="AD19" s="9">
        <f>SUMIF(RAW_Cases!$B:$B,Tabelle2[[#This Row],[Country/Region]],RAW_Cases!AE:AE)</f>
        <v>0</v>
      </c>
      <c r="AE19" s="9">
        <f>SUMIF(RAW_Cases!$B:$B,Tabelle2[[#This Row],[Country/Region]],RAW_Cases!AF:AF)</f>
        <v>0</v>
      </c>
      <c r="AF19" s="9">
        <f>SUMIF(RAW_Cases!$B:$B,Tabelle2[[#This Row],[Country/Region]],RAW_Cases!AG:AG)</f>
        <v>0</v>
      </c>
      <c r="AG19" s="9">
        <f>SUMIF(RAW_Cases!$B:$B,Tabelle2[[#This Row],[Country/Region]],RAW_Cases!AH:AH)</f>
        <v>0</v>
      </c>
      <c r="AH19" s="9">
        <f>SUMIF(RAW_Cases!$B:$B,Tabelle2[[#This Row],[Country/Region]],RAW_Cases!AI:AI)</f>
        <v>0</v>
      </c>
      <c r="AI19" s="9">
        <f>SUMIF(RAW_Cases!$B:$B,Tabelle2[[#This Row],[Country/Region]],RAW_Cases!AJ:AJ)</f>
        <v>0</v>
      </c>
      <c r="AJ19" s="9">
        <f>SUMIF(RAW_Cases!$B:$B,Tabelle2[[#This Row],[Country/Region]],RAW_Cases!AK:AK)</f>
        <v>0</v>
      </c>
      <c r="AK19" s="9">
        <f>SUMIF(RAW_Cases!$B:$B,Tabelle2[[#This Row],[Country/Region]],RAW_Cases!AL:AL)</f>
        <v>0</v>
      </c>
      <c r="AL19" s="9">
        <f>SUMIF(RAW_Cases!$B:$B,Tabelle2[[#This Row],[Country/Region]],RAW_Cases!AM:AM)</f>
        <v>1</v>
      </c>
      <c r="AM19" s="9">
        <f>SUMIF(RAW_Cases!$B:$B,Tabelle2[[#This Row],[Country/Region]],RAW_Cases!AN:AN)</f>
        <v>1</v>
      </c>
      <c r="AN19" s="9">
        <f>SUMIF(RAW_Cases!$B:$B,Tabelle2[[#This Row],[Country/Region]],RAW_Cases!AO:AO)</f>
        <v>6</v>
      </c>
      <c r="AO19" s="9">
        <f>SUMIF(RAW_Cases!$B:$B,Tabelle2[[#This Row],[Country/Region]],RAW_Cases!AP:AP)</f>
        <v>10</v>
      </c>
      <c r="AP19" s="9">
        <f>SUMIF(RAW_Cases!$B:$B,Tabelle2[[#This Row],[Country/Region]],RAW_Cases!AQ:AQ)</f>
        <v>18</v>
      </c>
      <c r="AQ19" s="9">
        <f>SUMIF(RAW_Cases!$B:$B,Tabelle2[[#This Row],[Country/Region]],RAW_Cases!AR:AR)</f>
        <v>24</v>
      </c>
      <c r="AR19" s="9">
        <f>SUMIF(RAW_Cases!$B:$B,Tabelle2[[#This Row],[Country/Region]],RAW_Cases!AS:AS)</f>
        <v>38</v>
      </c>
      <c r="AS19" s="9">
        <f>SUMIF(RAW_Cases!$B:$B,Tabelle2[[#This Row],[Country/Region]],RAW_Cases!AT:AT)</f>
        <v>82</v>
      </c>
      <c r="AT19" s="9">
        <f>SUMIF(RAW_Cases!$B:$B,Tabelle2[[#This Row],[Country/Region]],RAW_Cases!AU:AU)</f>
        <v>128</v>
      </c>
      <c r="AU19" s="9">
        <f>SUMIF(RAW_Cases!$B:$B,Tabelle2[[#This Row],[Country/Region]],RAW_Cases!AV:AV)</f>
        <v>188</v>
      </c>
      <c r="AV19" s="9">
        <f>SUMIF(RAW_Cases!$B:$B,Tabelle2[[#This Row],[Country/Region]],RAW_Cases!AW:AW)</f>
        <v>265</v>
      </c>
      <c r="AW19" s="9">
        <f>SUMIF(RAW_Cases!$B:$B,Tabelle2[[#This Row],[Country/Region]],RAW_Cases!AX:AX)</f>
        <v>321</v>
      </c>
      <c r="AX19" s="9">
        <f>SUMIF(RAW_Cases!$B:$B,Tabelle2[[#This Row],[Country/Region]],RAW_Cases!AY:AY)</f>
        <v>382</v>
      </c>
      <c r="AY19" s="9">
        <f>SUMIF(RAW_Cases!$B:$B,Tabelle2[[#This Row],[Country/Region]],RAW_Cases!AZ:AZ)</f>
        <v>503</v>
      </c>
      <c r="AZ19" s="9">
        <f>SUMIF(RAW_Cases!$B:$B,Tabelle2[[#This Row],[Country/Region]],RAW_Cases!BA:BA)</f>
        <v>503</v>
      </c>
      <c r="BA19" s="9">
        <f>SUMIF(RAW_Cases!$B:$B,Tabelle2[[#This Row],[Country/Region]],RAW_Cases!BB:BB)</f>
        <v>806</v>
      </c>
      <c r="BB19" s="9">
        <f>SUMIF(RAW_Cases!$B:$B,Tabelle2[[#This Row],[Country/Region]],RAW_Cases!BC:BC)</f>
        <v>962</v>
      </c>
      <c r="BC19" s="9">
        <f>SUMIF(RAW_Cases!$B:$B,Tabelle2[[#This Row],[Country/Region]],RAW_Cases!BD:BD)</f>
        <v>1138</v>
      </c>
      <c r="BD19" s="9">
        <f>SUMIF(RAW_Cases!$B:$B,Tabelle2[[#This Row],[Country/Region]],RAW_Cases!BE:BE)</f>
        <v>1416</v>
      </c>
      <c r="BE19" s="9">
        <f>SUMIF(RAW_Cases!$B:$B,Tabelle2[[#This Row],[Country/Region]],RAW_Cases!BF:BF)</f>
        <v>1711</v>
      </c>
      <c r="BF19" s="9">
        <f>SUMIF(RAW_Cases!$B:$B,Tabelle2[[#This Row],[Country/Region]],RAW_Cases!BG:BG)</f>
        <v>2058</v>
      </c>
      <c r="BG19" s="9">
        <f>SUMIF(RAW_Cases!$B:$B,Tabelle2[[#This Row],[Country/Region]],RAW_Cases!BH:BH)</f>
        <v>2467</v>
      </c>
      <c r="BH19" s="9">
        <f>SUMIF(RAW_Cases!$B:$B,Tabelle2[[#This Row],[Country/Region]],RAW_Cases!BI:BI)</f>
        <v>3003</v>
      </c>
      <c r="BI19" s="9">
        <f>SUMIF(RAW_Cases!$B:$B,Tabelle2[[#This Row],[Country/Region]],RAW_Cases!BJ:BJ)</f>
        <v>3640</v>
      </c>
      <c r="BJ19" s="9">
        <f>SUMIF(RAW_Cases!$B:$B,Tabelle2[[#This Row],[Country/Region]],RAW_Cases!BK:BK)</f>
        <v>4217</v>
      </c>
      <c r="BK19" s="9">
        <f>SUMIF(RAW_Cases!$B:$B,Tabelle2[[#This Row],[Country/Region]],RAW_Cases!BL:BL)</f>
        <v>4764</v>
      </c>
      <c r="BL19" s="9">
        <f>SUMIF(RAW_Cases!$B:$B,Tabelle2[[#This Row],[Country/Region]],RAW_Cases!BM:BM)</f>
        <v>5580</v>
      </c>
      <c r="BM19" s="9">
        <f>SUMIF(RAW_Cases!$B:$B,Tabelle2[[#This Row],[Country/Region]],RAW_Cases!BN:BN)</f>
        <v>6438</v>
      </c>
      <c r="BN19" s="9">
        <f>SUMIF(RAW_Cases!$B:$B,Tabelle2[[#This Row],[Country/Region]],RAW_Cases!BO:BO)</f>
        <v>7468</v>
      </c>
      <c r="BO19" s="9">
        <f>SUMIF(RAW_Cases!$B:$B,Tabelle2[[#This Row],[Country/Region]],RAW_Cases!BP:BP)</f>
        <v>8647</v>
      </c>
      <c r="BP19" s="9">
        <f>SUMIF(RAW_Cases!$B:$B,Tabelle2[[#This Row],[Country/Region]],RAW_Cases!BQ:BQ)</f>
        <v>9819</v>
      </c>
      <c r="BQ19" s="9">
        <f>SUMIF(RAW_Cases!$B:$B,Tabelle2[[#This Row],[Country/Region]],RAW_Cases!BR:BR)</f>
        <v>10930</v>
      </c>
      <c r="BR19" s="9">
        <f>SUMIF(RAW_Cases!$B:$B,Tabelle2[[#This Row],[Country/Region]],RAW_Cases!BS:BS)</f>
        <v>11817</v>
      </c>
      <c r="BS19" s="9">
        <f>SUMIF(RAW_Cases!$B:$B,Tabelle2[[#This Row],[Country/Region]],RAW_Cases!BT:BT)</f>
        <v>0</v>
      </c>
      <c r="BT19" s="9">
        <f>SUMIF(RAW_Cases!$B:$B,Tabelle2[[#This Row],[Country/Region]],RAW_Cases!BU:BU)</f>
        <v>0</v>
      </c>
      <c r="BU19" s="9">
        <f>SUMIF(RAW_Cases!$B:$B,Tabelle2[[#This Row],[Country/Region]],RAW_Cases!BV:BV)</f>
        <v>0</v>
      </c>
      <c r="BV19" s="9">
        <f>SUMIF(RAW_Cases!$B:$B,Tabelle2[[#This Row],[Country/Region]],RAW_Cases!BW:BW)</f>
        <v>0</v>
      </c>
      <c r="BW19" s="9">
        <f>SUMIF(RAW_Cases!$B:$B,Tabelle2[[#This Row],[Country/Region]],RAW_Cases!BX:BX)</f>
        <v>0</v>
      </c>
      <c r="BX19" s="9">
        <f>SUMIF(RAW_Cases!$B:$B,Tabelle2[[#This Row],[Country/Region]],RAW_Cases!BY:BY)</f>
        <v>0</v>
      </c>
      <c r="BY19" s="9">
        <f>SUMIF(RAW_Cases!$B:$B,Tabelle2[[#This Row],[Country/Region]],RAW_Cases!BZ:BZ)</f>
        <v>0</v>
      </c>
      <c r="BZ19" s="9">
        <f>SUMIF(RAW_Cases!$B:$B,Tabelle2[[#This Row],[Country/Region]],RAW_Cases!CA:CA)</f>
        <v>0</v>
      </c>
      <c r="CA19" s="9">
        <f>SUMIF(RAW_Cases!$B:$B,Tabelle2[[#This Row],[Country/Region]],RAW_Cases!CB:CB)</f>
        <v>0</v>
      </c>
      <c r="CB19" s="9">
        <f>SUMIF(RAW_Cases!$B:$B,Tabelle2[[#This Row],[Country/Region]],RAW_Cases!CC:CC)</f>
        <v>0</v>
      </c>
      <c r="CC19" s="9">
        <f>SUMIF(RAW_Cases!$B:$B,Tabelle2[[#This Row],[Country/Region]],RAW_Cases!CD:CD)</f>
        <v>0</v>
      </c>
      <c r="CD19" s="9">
        <f>SUMIF(RAW_Cases!$B:$B,Tabelle2[[#This Row],[Country/Region]],RAW_Cases!CE:CE)</f>
        <v>0</v>
      </c>
      <c r="CE19" s="9">
        <f>SUMIF(RAW_Cases!$B:$B,Tabelle2[[#This Row],[Country/Region]],RAW_Cases!CF:CF)</f>
        <v>0</v>
      </c>
    </row>
    <row r="20" spans="1:87" s="11" customFormat="1" ht="12.75" x14ac:dyDescent="0.2">
      <c r="A20" s="27" t="s">
        <v>111</v>
      </c>
      <c r="B20" s="9">
        <f>SUMIF(RAW_Cases!$B:$B,Tabelle2[[#This Row],[Country/Region]],RAW_Cases!C:C)</f>
        <v>1</v>
      </c>
      <c r="C20" s="9">
        <f>SUMIF(RAW_Cases!$B:$B,Tabelle2[[#This Row],[Country/Region]],RAW_Cases!D:D)</f>
        <v>1</v>
      </c>
      <c r="D20" s="9">
        <f>SUMIF(RAW_Cases!$B:$B,Tabelle2[[#This Row],[Country/Region]],RAW_Cases!E:E)</f>
        <v>2</v>
      </c>
      <c r="E20" s="9">
        <f>SUMIF(RAW_Cases!$B:$B,Tabelle2[[#This Row],[Country/Region]],RAW_Cases!F:F)</f>
        <v>2</v>
      </c>
      <c r="F20" s="9">
        <f>SUMIF(RAW_Cases!$B:$B,Tabelle2[[#This Row],[Country/Region]],RAW_Cases!G:G)</f>
        <v>3</v>
      </c>
      <c r="G20" s="9">
        <f>SUMIF(RAW_Cases!$B:$B,Tabelle2[[#This Row],[Country/Region]],RAW_Cases!H:H)</f>
        <v>4</v>
      </c>
      <c r="H20" s="9">
        <f>SUMIF(RAW_Cases!$B:$B,Tabelle2[[#This Row],[Country/Region]],RAW_Cases!I:I)</f>
        <v>4</v>
      </c>
      <c r="I20" s="9">
        <f>SUMIF(RAW_Cases!$B:$B,Tabelle2[[#This Row],[Country/Region]],RAW_Cases!J:J)</f>
        <v>4</v>
      </c>
      <c r="J20" s="9">
        <f>SUMIF(RAW_Cases!$B:$B,Tabelle2[[#This Row],[Country/Region]],RAW_Cases!K:K)</f>
        <v>4</v>
      </c>
      <c r="K20" s="9">
        <f>SUMIF(RAW_Cases!$B:$B,Tabelle2[[#This Row],[Country/Region]],RAW_Cases!L:L)</f>
        <v>11</v>
      </c>
      <c r="L20" s="9">
        <f>SUMIF(RAW_Cases!$B:$B,Tabelle2[[#This Row],[Country/Region]],RAW_Cases!M:M)</f>
        <v>12</v>
      </c>
      <c r="M20" s="9">
        <f>SUMIF(RAW_Cases!$B:$B,Tabelle2[[#This Row],[Country/Region]],RAW_Cases!N:N)</f>
        <v>15</v>
      </c>
      <c r="N20" s="9">
        <f>SUMIF(RAW_Cases!$B:$B,Tabelle2[[#This Row],[Country/Region]],RAW_Cases!O:O)</f>
        <v>15</v>
      </c>
      <c r="O20" s="9">
        <f>SUMIF(RAW_Cases!$B:$B,Tabelle2[[#This Row],[Country/Region]],RAW_Cases!P:P)</f>
        <v>16</v>
      </c>
      <c r="P20" s="9">
        <f>SUMIF(RAW_Cases!$B:$B,Tabelle2[[#This Row],[Country/Region]],RAW_Cases!Q:Q)</f>
        <v>19</v>
      </c>
      <c r="Q20" s="9">
        <f>SUMIF(RAW_Cases!$B:$B,Tabelle2[[#This Row],[Country/Region]],RAW_Cases!R:R)</f>
        <v>23</v>
      </c>
      <c r="R20" s="9">
        <f>SUMIF(RAW_Cases!$B:$B,Tabelle2[[#This Row],[Country/Region]],RAW_Cases!S:S)</f>
        <v>24</v>
      </c>
      <c r="S20" s="9">
        <f>SUMIF(RAW_Cases!$B:$B,Tabelle2[[#This Row],[Country/Region]],RAW_Cases!T:T)</f>
        <v>24</v>
      </c>
      <c r="T20" s="9">
        <f>SUMIF(RAW_Cases!$B:$B,Tabelle2[[#This Row],[Country/Region]],RAW_Cases!U:U)</f>
        <v>25</v>
      </c>
      <c r="U20" s="9">
        <f>SUMIF(RAW_Cases!$B:$B,Tabelle2[[#This Row],[Country/Region]],RAW_Cases!V:V)</f>
        <v>27</v>
      </c>
      <c r="V20" s="9">
        <f>SUMIF(RAW_Cases!$B:$B,Tabelle2[[#This Row],[Country/Region]],RAW_Cases!W:W)</f>
        <v>28</v>
      </c>
      <c r="W20" s="9">
        <f>SUMIF(RAW_Cases!$B:$B,Tabelle2[[#This Row],[Country/Region]],RAW_Cases!X:X)</f>
        <v>28</v>
      </c>
      <c r="X20" s="9">
        <f>SUMIF(RAW_Cases!$B:$B,Tabelle2[[#This Row],[Country/Region]],RAW_Cases!Y:Y)</f>
        <v>28</v>
      </c>
      <c r="Y20" s="9">
        <f>SUMIF(RAW_Cases!$B:$B,Tabelle2[[#This Row],[Country/Region]],RAW_Cases!Z:Z)</f>
        <v>28</v>
      </c>
      <c r="Z20" s="9">
        <f>SUMIF(RAW_Cases!$B:$B,Tabelle2[[#This Row],[Country/Region]],RAW_Cases!AA:AA)</f>
        <v>28</v>
      </c>
      <c r="AA20" s="9">
        <f>SUMIF(RAW_Cases!$B:$B,Tabelle2[[#This Row],[Country/Region]],RAW_Cases!AB:AB)</f>
        <v>29</v>
      </c>
      <c r="AB20" s="9">
        <f>SUMIF(RAW_Cases!$B:$B,Tabelle2[[#This Row],[Country/Region]],RAW_Cases!AC:AC)</f>
        <v>30</v>
      </c>
      <c r="AC20" s="9">
        <f>SUMIF(RAW_Cases!$B:$B,Tabelle2[[#This Row],[Country/Region]],RAW_Cases!AD:AD)</f>
        <v>31</v>
      </c>
      <c r="AD20" s="9">
        <f>SUMIF(RAW_Cases!$B:$B,Tabelle2[[#This Row],[Country/Region]],RAW_Cases!AE:AE)</f>
        <v>31</v>
      </c>
      <c r="AE20" s="9">
        <f>SUMIF(RAW_Cases!$B:$B,Tabelle2[[#This Row],[Country/Region]],RAW_Cases!AF:AF)</f>
        <v>104</v>
      </c>
      <c r="AF20" s="9">
        <f>SUMIF(RAW_Cases!$B:$B,Tabelle2[[#This Row],[Country/Region]],RAW_Cases!AG:AG)</f>
        <v>204</v>
      </c>
      <c r="AG20" s="9">
        <f>SUMIF(RAW_Cases!$B:$B,Tabelle2[[#This Row],[Country/Region]],RAW_Cases!AH:AH)</f>
        <v>433</v>
      </c>
      <c r="AH20" s="9">
        <f>SUMIF(RAW_Cases!$B:$B,Tabelle2[[#This Row],[Country/Region]],RAW_Cases!AI:AI)</f>
        <v>602</v>
      </c>
      <c r="AI20" s="9">
        <f>SUMIF(RAW_Cases!$B:$B,Tabelle2[[#This Row],[Country/Region]],RAW_Cases!AJ:AJ)</f>
        <v>833</v>
      </c>
      <c r="AJ20" s="9">
        <f>SUMIF(RAW_Cases!$B:$B,Tabelle2[[#This Row],[Country/Region]],RAW_Cases!AK:AK)</f>
        <v>977</v>
      </c>
      <c r="AK20" s="9">
        <f>SUMIF(RAW_Cases!$B:$B,Tabelle2[[#This Row],[Country/Region]],RAW_Cases!AL:AL)</f>
        <v>1261</v>
      </c>
      <c r="AL20" s="9">
        <f>SUMIF(RAW_Cases!$B:$B,Tabelle2[[#This Row],[Country/Region]],RAW_Cases!AM:AM)</f>
        <v>1766</v>
      </c>
      <c r="AM20" s="9">
        <f>SUMIF(RAW_Cases!$B:$B,Tabelle2[[#This Row],[Country/Region]],RAW_Cases!AN:AN)</f>
        <v>2337</v>
      </c>
      <c r="AN20" s="9">
        <f>SUMIF(RAW_Cases!$B:$B,Tabelle2[[#This Row],[Country/Region]],RAW_Cases!AO:AO)</f>
        <v>3150</v>
      </c>
      <c r="AO20" s="9">
        <f>SUMIF(RAW_Cases!$B:$B,Tabelle2[[#This Row],[Country/Region]],RAW_Cases!AP:AP)</f>
        <v>3736</v>
      </c>
      <c r="AP20" s="9">
        <f>SUMIF(RAW_Cases!$B:$B,Tabelle2[[#This Row],[Country/Region]],RAW_Cases!AQ:AQ)</f>
        <v>4335</v>
      </c>
      <c r="AQ20" s="9">
        <f>SUMIF(RAW_Cases!$B:$B,Tabelle2[[#This Row],[Country/Region]],RAW_Cases!AR:AR)</f>
        <v>5186</v>
      </c>
      <c r="AR20" s="9">
        <f>SUMIF(RAW_Cases!$B:$B,Tabelle2[[#This Row],[Country/Region]],RAW_Cases!AS:AS)</f>
        <v>5621</v>
      </c>
      <c r="AS20" s="9">
        <f>SUMIF(RAW_Cases!$B:$B,Tabelle2[[#This Row],[Country/Region]],RAW_Cases!AT:AT)</f>
        <v>6088</v>
      </c>
      <c r="AT20" s="9">
        <f>SUMIF(RAW_Cases!$B:$B,Tabelle2[[#This Row],[Country/Region]],RAW_Cases!AU:AU)</f>
        <v>6593</v>
      </c>
      <c r="AU20" s="9">
        <f>SUMIF(RAW_Cases!$B:$B,Tabelle2[[#This Row],[Country/Region]],RAW_Cases!AV:AV)</f>
        <v>7041</v>
      </c>
      <c r="AV20" s="9">
        <f>SUMIF(RAW_Cases!$B:$B,Tabelle2[[#This Row],[Country/Region]],RAW_Cases!AW:AW)</f>
        <v>7314</v>
      </c>
      <c r="AW20" s="9">
        <f>SUMIF(RAW_Cases!$B:$B,Tabelle2[[#This Row],[Country/Region]],RAW_Cases!AX:AX)</f>
        <v>7478</v>
      </c>
      <c r="AX20" s="9">
        <f>SUMIF(RAW_Cases!$B:$B,Tabelle2[[#This Row],[Country/Region]],RAW_Cases!AY:AY)</f>
        <v>7513</v>
      </c>
      <c r="AY20" s="9">
        <f>SUMIF(RAW_Cases!$B:$B,Tabelle2[[#This Row],[Country/Region]],RAW_Cases!AZ:AZ)</f>
        <v>7755</v>
      </c>
      <c r="AZ20" s="9">
        <f>SUMIF(RAW_Cases!$B:$B,Tabelle2[[#This Row],[Country/Region]],RAW_Cases!BA:BA)</f>
        <v>7869</v>
      </c>
      <c r="BA20" s="9">
        <f>SUMIF(RAW_Cases!$B:$B,Tabelle2[[#This Row],[Country/Region]],RAW_Cases!BB:BB)</f>
        <v>7979</v>
      </c>
      <c r="BB20" s="9">
        <f>SUMIF(RAW_Cases!$B:$B,Tabelle2[[#This Row],[Country/Region]],RAW_Cases!BC:BC)</f>
        <v>8086</v>
      </c>
      <c r="BC20" s="9">
        <f>SUMIF(RAW_Cases!$B:$B,Tabelle2[[#This Row],[Country/Region]],RAW_Cases!BD:BD)</f>
        <v>8162</v>
      </c>
      <c r="BD20" s="9">
        <f>SUMIF(RAW_Cases!$B:$B,Tabelle2[[#This Row],[Country/Region]],RAW_Cases!BE:BE)</f>
        <v>8236</v>
      </c>
      <c r="BE20" s="9">
        <f>SUMIF(RAW_Cases!$B:$B,Tabelle2[[#This Row],[Country/Region]],RAW_Cases!BF:BF)</f>
        <v>8320</v>
      </c>
      <c r="BF20" s="9">
        <f>SUMIF(RAW_Cases!$B:$B,Tabelle2[[#This Row],[Country/Region]],RAW_Cases!BG:BG)</f>
        <v>8413</v>
      </c>
      <c r="BG20" s="9">
        <f>SUMIF(RAW_Cases!$B:$B,Tabelle2[[#This Row],[Country/Region]],RAW_Cases!BH:BH)</f>
        <v>8565</v>
      </c>
      <c r="BH20" s="9">
        <f>SUMIF(RAW_Cases!$B:$B,Tabelle2[[#This Row],[Country/Region]],RAW_Cases!BI:BI)</f>
        <v>8652</v>
      </c>
      <c r="BI20" s="9">
        <f>SUMIF(RAW_Cases!$B:$B,Tabelle2[[#This Row],[Country/Region]],RAW_Cases!BJ:BJ)</f>
        <v>8799</v>
      </c>
      <c r="BJ20" s="9">
        <f>SUMIF(RAW_Cases!$B:$B,Tabelle2[[#This Row],[Country/Region]],RAW_Cases!BK:BK)</f>
        <v>8961</v>
      </c>
      <c r="BK20" s="9">
        <f>SUMIF(RAW_Cases!$B:$B,Tabelle2[[#This Row],[Country/Region]],RAW_Cases!BL:BL)</f>
        <v>8961</v>
      </c>
      <c r="BL20" s="9">
        <f>SUMIF(RAW_Cases!$B:$B,Tabelle2[[#This Row],[Country/Region]],RAW_Cases!BM:BM)</f>
        <v>9037</v>
      </c>
      <c r="BM20" s="9">
        <f>SUMIF(RAW_Cases!$B:$B,Tabelle2[[#This Row],[Country/Region]],RAW_Cases!BN:BN)</f>
        <v>9137</v>
      </c>
      <c r="BN20" s="9">
        <f>SUMIF(RAW_Cases!$B:$B,Tabelle2[[#This Row],[Country/Region]],RAW_Cases!BO:BO)</f>
        <v>9241</v>
      </c>
      <c r="BO20" s="9">
        <f>SUMIF(RAW_Cases!$B:$B,Tabelle2[[#This Row],[Country/Region]],RAW_Cases!BP:BP)</f>
        <v>9332</v>
      </c>
      <c r="BP20" s="9">
        <f>SUMIF(RAW_Cases!$B:$B,Tabelle2[[#This Row],[Country/Region]],RAW_Cases!BQ:BQ)</f>
        <v>9478</v>
      </c>
      <c r="BQ20" s="9">
        <f>SUMIF(RAW_Cases!$B:$B,Tabelle2[[#This Row],[Country/Region]],RAW_Cases!BR:BR)</f>
        <v>9583</v>
      </c>
      <c r="BR20" s="9">
        <f>SUMIF(RAW_Cases!$B:$B,Tabelle2[[#This Row],[Country/Region]],RAW_Cases!BS:BS)</f>
        <v>9661</v>
      </c>
      <c r="BS20" s="9">
        <f>SUMIF(RAW_Cases!$B:$B,Tabelle2[[#This Row],[Country/Region]],RAW_Cases!BT:BT)</f>
        <v>0</v>
      </c>
      <c r="BT20" s="9">
        <f>SUMIF(RAW_Cases!$B:$B,Tabelle2[[#This Row],[Country/Region]],RAW_Cases!BU:BU)</f>
        <v>0</v>
      </c>
      <c r="BU20" s="9">
        <f>SUMIF(RAW_Cases!$B:$B,Tabelle2[[#This Row],[Country/Region]],RAW_Cases!BV:BV)</f>
        <v>0</v>
      </c>
      <c r="BV20" s="9">
        <f>SUMIF(RAW_Cases!$B:$B,Tabelle2[[#This Row],[Country/Region]],RAW_Cases!BW:BW)</f>
        <v>0</v>
      </c>
      <c r="BW20" s="9">
        <f>SUMIF(RAW_Cases!$B:$B,Tabelle2[[#This Row],[Country/Region]],RAW_Cases!BX:BX)</f>
        <v>0</v>
      </c>
      <c r="BX20" s="9">
        <f>SUMIF(RAW_Cases!$B:$B,Tabelle2[[#This Row],[Country/Region]],RAW_Cases!BY:BY)</f>
        <v>0</v>
      </c>
      <c r="BY20" s="9">
        <f>SUMIF(RAW_Cases!$B:$B,Tabelle2[[#This Row],[Country/Region]],RAW_Cases!BZ:BZ)</f>
        <v>0</v>
      </c>
      <c r="BZ20" s="9">
        <f>SUMIF(RAW_Cases!$B:$B,Tabelle2[[#This Row],[Country/Region]],RAW_Cases!CA:CA)</f>
        <v>0</v>
      </c>
      <c r="CA20" s="9">
        <f>SUMIF(RAW_Cases!$B:$B,Tabelle2[[#This Row],[Country/Region]],RAW_Cases!CB:CB)</f>
        <v>0</v>
      </c>
      <c r="CB20" s="9">
        <f>SUMIF(RAW_Cases!$B:$B,Tabelle2[[#This Row],[Country/Region]],RAW_Cases!CC:CC)</f>
        <v>0</v>
      </c>
      <c r="CC20" s="9">
        <f>SUMIF(RAW_Cases!$B:$B,Tabelle2[[#This Row],[Country/Region]],RAW_Cases!CD:CD)</f>
        <v>0</v>
      </c>
      <c r="CD20" s="9">
        <f>SUMIF(RAW_Cases!$B:$B,Tabelle2[[#This Row],[Country/Region]],RAW_Cases!CE:CE)</f>
        <v>0</v>
      </c>
      <c r="CE20" s="9">
        <f>SUMIF(RAW_Cases!$B:$B,Tabelle2[[#This Row],[Country/Region]],RAW_Cases!CF:CF)</f>
        <v>0</v>
      </c>
    </row>
    <row r="21" spans="1:87" s="11" customFormat="1" ht="12.75" x14ac:dyDescent="0.2">
      <c r="A21" s="27" t="s">
        <v>22</v>
      </c>
      <c r="B21" s="9">
        <f>SUMIF(RAW_Cases!$B:$B,Tabelle2[[#This Row],[Country/Region]],RAW_Cases!C:C)</f>
        <v>0</v>
      </c>
      <c r="C21" s="9">
        <f>SUMIF(RAW_Cases!$B:$B,Tabelle2[[#This Row],[Country/Region]],RAW_Cases!D:D)</f>
        <v>0</v>
      </c>
      <c r="D21" s="9">
        <f>SUMIF(RAW_Cases!$B:$B,Tabelle2[[#This Row],[Country/Region]],RAW_Cases!E:E)</f>
        <v>0</v>
      </c>
      <c r="E21" s="9">
        <f>SUMIF(RAW_Cases!$B:$B,Tabelle2[[#This Row],[Country/Region]],RAW_Cases!F:F)</f>
        <v>0</v>
      </c>
      <c r="F21" s="9">
        <f>SUMIF(RAW_Cases!$B:$B,Tabelle2[[#This Row],[Country/Region]],RAW_Cases!G:G)</f>
        <v>0</v>
      </c>
      <c r="G21" s="9">
        <f>SUMIF(RAW_Cases!$B:$B,Tabelle2[[#This Row],[Country/Region]],RAW_Cases!H:H)</f>
        <v>0</v>
      </c>
      <c r="H21" s="9">
        <f>SUMIF(RAW_Cases!$B:$B,Tabelle2[[#This Row],[Country/Region]],RAW_Cases!I:I)</f>
        <v>0</v>
      </c>
      <c r="I21" s="9">
        <f>SUMIF(RAW_Cases!$B:$B,Tabelle2[[#This Row],[Country/Region]],RAW_Cases!J:J)</f>
        <v>0</v>
      </c>
      <c r="J21" s="9">
        <f>SUMIF(RAW_Cases!$B:$B,Tabelle2[[#This Row],[Country/Region]],RAW_Cases!K:K)</f>
        <v>0</v>
      </c>
      <c r="K21" s="9">
        <f>SUMIF(RAW_Cases!$B:$B,Tabelle2[[#This Row],[Country/Region]],RAW_Cases!L:L)</f>
        <v>0</v>
      </c>
      <c r="L21" s="9">
        <f>SUMIF(RAW_Cases!$B:$B,Tabelle2[[#This Row],[Country/Region]],RAW_Cases!M:M)</f>
        <v>1</v>
      </c>
      <c r="M21" s="9">
        <f>SUMIF(RAW_Cases!$B:$B,Tabelle2[[#This Row],[Country/Region]],RAW_Cases!N:N)</f>
        <v>1</v>
      </c>
      <c r="N21" s="9">
        <f>SUMIF(RAW_Cases!$B:$B,Tabelle2[[#This Row],[Country/Region]],RAW_Cases!O:O)</f>
        <v>1</v>
      </c>
      <c r="O21" s="9">
        <f>SUMIF(RAW_Cases!$B:$B,Tabelle2[[#This Row],[Country/Region]],RAW_Cases!P:P)</f>
        <v>1</v>
      </c>
      <c r="P21" s="9">
        <f>SUMIF(RAW_Cases!$B:$B,Tabelle2[[#This Row],[Country/Region]],RAW_Cases!Q:Q)</f>
        <v>1</v>
      </c>
      <c r="Q21" s="9">
        <f>SUMIF(RAW_Cases!$B:$B,Tabelle2[[#This Row],[Country/Region]],RAW_Cases!R:R)</f>
        <v>1</v>
      </c>
      <c r="R21" s="9">
        <f>SUMIF(RAW_Cases!$B:$B,Tabelle2[[#This Row],[Country/Region]],RAW_Cases!S:S)</f>
        <v>1</v>
      </c>
      <c r="S21" s="9">
        <f>SUMIF(RAW_Cases!$B:$B,Tabelle2[[#This Row],[Country/Region]],RAW_Cases!T:T)</f>
        <v>1</v>
      </c>
      <c r="T21" s="9">
        <f>SUMIF(RAW_Cases!$B:$B,Tabelle2[[#This Row],[Country/Region]],RAW_Cases!U:U)</f>
        <v>2</v>
      </c>
      <c r="U21" s="9">
        <f>SUMIF(RAW_Cases!$B:$B,Tabelle2[[#This Row],[Country/Region]],RAW_Cases!V:V)</f>
        <v>2</v>
      </c>
      <c r="V21" s="9">
        <f>SUMIF(RAW_Cases!$B:$B,Tabelle2[[#This Row],[Country/Region]],RAW_Cases!W:W)</f>
        <v>2</v>
      </c>
      <c r="W21" s="9">
        <f>SUMIF(RAW_Cases!$B:$B,Tabelle2[[#This Row],[Country/Region]],RAW_Cases!X:X)</f>
        <v>2</v>
      </c>
      <c r="X21" s="9">
        <f>SUMIF(RAW_Cases!$B:$B,Tabelle2[[#This Row],[Country/Region]],RAW_Cases!Y:Y)</f>
        <v>2</v>
      </c>
      <c r="Y21" s="9">
        <f>SUMIF(RAW_Cases!$B:$B,Tabelle2[[#This Row],[Country/Region]],RAW_Cases!Z:Z)</f>
        <v>2</v>
      </c>
      <c r="Z21" s="9">
        <f>SUMIF(RAW_Cases!$B:$B,Tabelle2[[#This Row],[Country/Region]],RAW_Cases!AA:AA)</f>
        <v>2</v>
      </c>
      <c r="AA21" s="9">
        <f>SUMIF(RAW_Cases!$B:$B,Tabelle2[[#This Row],[Country/Region]],RAW_Cases!AB:AB)</f>
        <v>2</v>
      </c>
      <c r="AB21" s="9">
        <f>SUMIF(RAW_Cases!$B:$B,Tabelle2[[#This Row],[Country/Region]],RAW_Cases!AC:AC)</f>
        <v>2</v>
      </c>
      <c r="AC21" s="9">
        <f>SUMIF(RAW_Cases!$B:$B,Tabelle2[[#This Row],[Country/Region]],RAW_Cases!AD:AD)</f>
        <v>2</v>
      </c>
      <c r="AD21" s="9">
        <f>SUMIF(RAW_Cases!$B:$B,Tabelle2[[#This Row],[Country/Region]],RAW_Cases!AE:AE)</f>
        <v>2</v>
      </c>
      <c r="AE21" s="9">
        <f>SUMIF(RAW_Cases!$B:$B,Tabelle2[[#This Row],[Country/Region]],RAW_Cases!AF:AF)</f>
        <v>2</v>
      </c>
      <c r="AF21" s="9">
        <f>SUMIF(RAW_Cases!$B:$B,Tabelle2[[#This Row],[Country/Region]],RAW_Cases!AG:AG)</f>
        <v>2</v>
      </c>
      <c r="AG21" s="9">
        <f>SUMIF(RAW_Cases!$B:$B,Tabelle2[[#This Row],[Country/Region]],RAW_Cases!AH:AH)</f>
        <v>2</v>
      </c>
      <c r="AH21" s="9">
        <f>SUMIF(RAW_Cases!$B:$B,Tabelle2[[#This Row],[Country/Region]],RAW_Cases!AI:AI)</f>
        <v>2</v>
      </c>
      <c r="AI21" s="9">
        <f>SUMIF(RAW_Cases!$B:$B,Tabelle2[[#This Row],[Country/Region]],RAW_Cases!AJ:AJ)</f>
        <v>2</v>
      </c>
      <c r="AJ21" s="9">
        <f>SUMIF(RAW_Cases!$B:$B,Tabelle2[[#This Row],[Country/Region]],RAW_Cases!AK:AK)</f>
        <v>6</v>
      </c>
      <c r="AK21" s="9">
        <f>SUMIF(RAW_Cases!$B:$B,Tabelle2[[#This Row],[Country/Region]],RAW_Cases!AL:AL)</f>
        <v>13</v>
      </c>
      <c r="AL21" s="9">
        <f>SUMIF(RAW_Cases!$B:$B,Tabelle2[[#This Row],[Country/Region]],RAW_Cases!AM:AM)</f>
        <v>15</v>
      </c>
      <c r="AM21" s="9">
        <f>SUMIF(RAW_Cases!$B:$B,Tabelle2[[#This Row],[Country/Region]],RAW_Cases!AN:AN)</f>
        <v>32</v>
      </c>
      <c r="AN21" s="9">
        <f>SUMIF(RAW_Cases!$B:$B,Tabelle2[[#This Row],[Country/Region]],RAW_Cases!AO:AO)</f>
        <v>45</v>
      </c>
      <c r="AO21" s="9">
        <f>SUMIF(RAW_Cases!$B:$B,Tabelle2[[#This Row],[Country/Region]],RAW_Cases!AP:AP)</f>
        <v>84</v>
      </c>
      <c r="AP21" s="9">
        <f>SUMIF(RAW_Cases!$B:$B,Tabelle2[[#This Row],[Country/Region]],RAW_Cases!AQ:AQ)</f>
        <v>120</v>
      </c>
      <c r="AQ21" s="9">
        <f>SUMIF(RAW_Cases!$B:$B,Tabelle2[[#This Row],[Country/Region]],RAW_Cases!AR:AR)</f>
        <v>165</v>
      </c>
      <c r="AR21" s="9">
        <f>SUMIF(RAW_Cases!$B:$B,Tabelle2[[#This Row],[Country/Region]],RAW_Cases!AS:AS)</f>
        <v>222</v>
      </c>
      <c r="AS21" s="9">
        <f>SUMIF(RAW_Cases!$B:$B,Tabelle2[[#This Row],[Country/Region]],RAW_Cases!AT:AT)</f>
        <v>259</v>
      </c>
      <c r="AT21" s="9">
        <f>SUMIF(RAW_Cases!$B:$B,Tabelle2[[#This Row],[Country/Region]],RAW_Cases!AU:AU)</f>
        <v>400</v>
      </c>
      <c r="AU21" s="9">
        <f>SUMIF(RAW_Cases!$B:$B,Tabelle2[[#This Row],[Country/Region]],RAW_Cases!AV:AV)</f>
        <v>500</v>
      </c>
      <c r="AV21" s="9">
        <f>SUMIF(RAW_Cases!$B:$B,Tabelle2[[#This Row],[Country/Region]],RAW_Cases!AW:AW)</f>
        <v>673</v>
      </c>
      <c r="AW21" s="9">
        <f>SUMIF(RAW_Cases!$B:$B,Tabelle2[[#This Row],[Country/Region]],RAW_Cases!AX:AX)</f>
        <v>1073</v>
      </c>
      <c r="AX21" s="9">
        <f>SUMIF(RAW_Cases!$B:$B,Tabelle2[[#This Row],[Country/Region]],RAW_Cases!AY:AY)</f>
        <v>1695</v>
      </c>
      <c r="AY21" s="9">
        <f>SUMIF(RAW_Cases!$B:$B,Tabelle2[[#This Row],[Country/Region]],RAW_Cases!AZ:AZ)</f>
        <v>2277</v>
      </c>
      <c r="AZ21" s="9">
        <f>SUMIF(RAW_Cases!$B:$B,Tabelle2[[#This Row],[Country/Region]],RAW_Cases!BA:BA)</f>
        <v>2277</v>
      </c>
      <c r="BA21" s="9">
        <f>SUMIF(RAW_Cases!$B:$B,Tabelle2[[#This Row],[Country/Region]],RAW_Cases!BB:BB)</f>
        <v>5232</v>
      </c>
      <c r="BB21" s="9">
        <f>SUMIF(RAW_Cases!$B:$B,Tabelle2[[#This Row],[Country/Region]],RAW_Cases!BC:BC)</f>
        <v>6391</v>
      </c>
      <c r="BC21" s="9">
        <f>SUMIF(RAW_Cases!$B:$B,Tabelle2[[#This Row],[Country/Region]],RAW_Cases!BD:BD)</f>
        <v>7798</v>
      </c>
      <c r="BD21" s="9">
        <f>SUMIF(RAW_Cases!$B:$B,Tabelle2[[#This Row],[Country/Region]],RAW_Cases!BE:BE)</f>
        <v>9942</v>
      </c>
      <c r="BE21" s="9">
        <f>SUMIF(RAW_Cases!$B:$B,Tabelle2[[#This Row],[Country/Region]],RAW_Cases!BF:BF)</f>
        <v>11748</v>
      </c>
      <c r="BF21" s="9">
        <f>SUMIF(RAW_Cases!$B:$B,Tabelle2[[#This Row],[Country/Region]],RAW_Cases!BG:BG)</f>
        <v>13910</v>
      </c>
      <c r="BG21" s="9">
        <f>SUMIF(RAW_Cases!$B:$B,Tabelle2[[#This Row],[Country/Region]],RAW_Cases!BH:BH)</f>
        <v>17963</v>
      </c>
      <c r="BH21" s="9">
        <f>SUMIF(RAW_Cases!$B:$B,Tabelle2[[#This Row],[Country/Region]],RAW_Cases!BI:BI)</f>
        <v>20410</v>
      </c>
      <c r="BI21" s="9">
        <f>SUMIF(RAW_Cases!$B:$B,Tabelle2[[#This Row],[Country/Region]],RAW_Cases!BJ:BJ)</f>
        <v>25374</v>
      </c>
      <c r="BJ21" s="9">
        <f>SUMIF(RAW_Cases!$B:$B,Tabelle2[[#This Row],[Country/Region]],RAW_Cases!BK:BK)</f>
        <v>28768</v>
      </c>
      <c r="BK21" s="9">
        <f>SUMIF(RAW_Cases!$B:$B,Tabelle2[[#This Row],[Country/Region]],RAW_Cases!BL:BL)</f>
        <v>35136</v>
      </c>
      <c r="BL21" s="9">
        <f>SUMIF(RAW_Cases!$B:$B,Tabelle2[[#This Row],[Country/Region]],RAW_Cases!BM:BM)</f>
        <v>39885</v>
      </c>
      <c r="BM21" s="9">
        <f>SUMIF(RAW_Cases!$B:$B,Tabelle2[[#This Row],[Country/Region]],RAW_Cases!BN:BN)</f>
        <v>49515</v>
      </c>
      <c r="BN21" s="9">
        <f>SUMIF(RAW_Cases!$B:$B,Tabelle2[[#This Row],[Country/Region]],RAW_Cases!BO:BO)</f>
        <v>57786</v>
      </c>
      <c r="BO21" s="9">
        <f>SUMIF(RAW_Cases!$B:$B,Tabelle2[[#This Row],[Country/Region]],RAW_Cases!BP:BP)</f>
        <v>65719</v>
      </c>
      <c r="BP21" s="9">
        <f>SUMIF(RAW_Cases!$B:$B,Tabelle2[[#This Row],[Country/Region]],RAW_Cases!BQ:BQ)</f>
        <v>73235</v>
      </c>
      <c r="BQ21" s="9">
        <f>SUMIF(RAW_Cases!$B:$B,Tabelle2[[#This Row],[Country/Region]],RAW_Cases!BR:BR)</f>
        <v>80110</v>
      </c>
      <c r="BR21" s="9">
        <f>SUMIF(RAW_Cases!$B:$B,Tabelle2[[#This Row],[Country/Region]],RAW_Cases!BS:BS)</f>
        <v>87956</v>
      </c>
      <c r="BS21" s="9">
        <f>SUMIF(RAW_Cases!$B:$B,Tabelle2[[#This Row],[Country/Region]],RAW_Cases!BT:BT)</f>
        <v>0</v>
      </c>
      <c r="BT21" s="9">
        <f>SUMIF(RAW_Cases!$B:$B,Tabelle2[[#This Row],[Country/Region]],RAW_Cases!BU:BU)</f>
        <v>0</v>
      </c>
      <c r="BU21" s="9">
        <f>SUMIF(RAW_Cases!$B:$B,Tabelle2[[#This Row],[Country/Region]],RAW_Cases!BV:BV)</f>
        <v>0</v>
      </c>
      <c r="BV21" s="9">
        <f>SUMIF(RAW_Cases!$B:$B,Tabelle2[[#This Row],[Country/Region]],RAW_Cases!BW:BW)</f>
        <v>0</v>
      </c>
      <c r="BW21" s="9">
        <f>SUMIF(RAW_Cases!$B:$B,Tabelle2[[#This Row],[Country/Region]],RAW_Cases!BX:BX)</f>
        <v>0</v>
      </c>
      <c r="BX21" s="9">
        <f>SUMIF(RAW_Cases!$B:$B,Tabelle2[[#This Row],[Country/Region]],RAW_Cases!BY:BY)</f>
        <v>0</v>
      </c>
      <c r="BY21" s="9">
        <f>SUMIF(RAW_Cases!$B:$B,Tabelle2[[#This Row],[Country/Region]],RAW_Cases!BZ:BZ)</f>
        <v>0</v>
      </c>
      <c r="BZ21" s="9">
        <f>SUMIF(RAW_Cases!$B:$B,Tabelle2[[#This Row],[Country/Region]],RAW_Cases!CA:CA)</f>
        <v>0</v>
      </c>
      <c r="CA21" s="9">
        <f>SUMIF(RAW_Cases!$B:$B,Tabelle2[[#This Row],[Country/Region]],RAW_Cases!CB:CB)</f>
        <v>0</v>
      </c>
      <c r="CB21" s="9">
        <f>SUMIF(RAW_Cases!$B:$B,Tabelle2[[#This Row],[Country/Region]],RAW_Cases!CC:CC)</f>
        <v>0</v>
      </c>
      <c r="CC21" s="9">
        <f>SUMIF(RAW_Cases!$B:$B,Tabelle2[[#This Row],[Country/Region]],RAW_Cases!CD:CD)</f>
        <v>0</v>
      </c>
      <c r="CD21" s="9">
        <f>SUMIF(RAW_Cases!$B:$B,Tabelle2[[#This Row],[Country/Region]],RAW_Cases!CE:CE)</f>
        <v>0</v>
      </c>
      <c r="CE21" s="9">
        <f>SUMIF(RAW_Cases!$B:$B,Tabelle2[[#This Row],[Country/Region]],RAW_Cases!CF:CF)</f>
        <v>0</v>
      </c>
    </row>
    <row r="22" spans="1:87" s="11" customFormat="1" ht="12.75" x14ac:dyDescent="0.2">
      <c r="A22" s="27" t="s">
        <v>112</v>
      </c>
      <c r="B22" s="9">
        <f>SUMIF(RAW_Cases!$B:$B,Tabelle2[[#This Row],[Country/Region]],RAW_Cases!C:C)</f>
        <v>0</v>
      </c>
      <c r="C22" s="9">
        <f>SUMIF(RAW_Cases!$B:$B,Tabelle2[[#This Row],[Country/Region]],RAW_Cases!D:D)</f>
        <v>0</v>
      </c>
      <c r="D22" s="9">
        <f>SUMIF(RAW_Cases!$B:$B,Tabelle2[[#This Row],[Country/Region]],RAW_Cases!E:E)</f>
        <v>2</v>
      </c>
      <c r="E22" s="9">
        <f>SUMIF(RAW_Cases!$B:$B,Tabelle2[[#This Row],[Country/Region]],RAW_Cases!F:F)</f>
        <v>3</v>
      </c>
      <c r="F22" s="9">
        <f>SUMIF(RAW_Cases!$B:$B,Tabelle2[[#This Row],[Country/Region]],RAW_Cases!G:G)</f>
        <v>3</v>
      </c>
      <c r="G22" s="9">
        <f>SUMIF(RAW_Cases!$B:$B,Tabelle2[[#This Row],[Country/Region]],RAW_Cases!H:H)</f>
        <v>3</v>
      </c>
      <c r="H22" s="9">
        <f>SUMIF(RAW_Cases!$B:$B,Tabelle2[[#This Row],[Country/Region]],RAW_Cases!I:I)</f>
        <v>4</v>
      </c>
      <c r="I22" s="9">
        <f>SUMIF(RAW_Cases!$B:$B,Tabelle2[[#This Row],[Country/Region]],RAW_Cases!J:J)</f>
        <v>5</v>
      </c>
      <c r="J22" s="9">
        <f>SUMIF(RAW_Cases!$B:$B,Tabelle2[[#This Row],[Country/Region]],RAW_Cases!K:K)</f>
        <v>5</v>
      </c>
      <c r="K22" s="9">
        <f>SUMIF(RAW_Cases!$B:$B,Tabelle2[[#This Row],[Country/Region]],RAW_Cases!L:L)</f>
        <v>5</v>
      </c>
      <c r="L22" s="9">
        <f>SUMIF(RAW_Cases!$B:$B,Tabelle2[[#This Row],[Country/Region]],RAW_Cases!M:M)</f>
        <v>6</v>
      </c>
      <c r="M22" s="9">
        <f>SUMIF(RAW_Cases!$B:$B,Tabelle2[[#This Row],[Country/Region]],RAW_Cases!N:N)</f>
        <v>6</v>
      </c>
      <c r="N22" s="9">
        <f>SUMIF(RAW_Cases!$B:$B,Tabelle2[[#This Row],[Country/Region]],RAW_Cases!O:O)</f>
        <v>6</v>
      </c>
      <c r="O22" s="9">
        <f>SUMIF(RAW_Cases!$B:$B,Tabelle2[[#This Row],[Country/Region]],RAW_Cases!P:P)</f>
        <v>6</v>
      </c>
      <c r="P22" s="9">
        <f>SUMIF(RAW_Cases!$B:$B,Tabelle2[[#This Row],[Country/Region]],RAW_Cases!Q:Q)</f>
        <v>6</v>
      </c>
      <c r="Q22" s="9">
        <f>SUMIF(RAW_Cases!$B:$B,Tabelle2[[#This Row],[Country/Region]],RAW_Cases!R:R)</f>
        <v>6</v>
      </c>
      <c r="R22" s="9">
        <f>SUMIF(RAW_Cases!$B:$B,Tabelle2[[#This Row],[Country/Region]],RAW_Cases!S:S)</f>
        <v>6</v>
      </c>
      <c r="S22" s="9">
        <f>SUMIF(RAW_Cases!$B:$B,Tabelle2[[#This Row],[Country/Region]],RAW_Cases!T:T)</f>
        <v>11</v>
      </c>
      <c r="T22" s="9">
        <f>SUMIF(RAW_Cases!$B:$B,Tabelle2[[#This Row],[Country/Region]],RAW_Cases!U:U)</f>
        <v>11</v>
      </c>
      <c r="U22" s="9">
        <f>SUMIF(RAW_Cases!$B:$B,Tabelle2[[#This Row],[Country/Region]],RAW_Cases!V:V)</f>
        <v>11</v>
      </c>
      <c r="V22" s="9">
        <f>SUMIF(RAW_Cases!$B:$B,Tabelle2[[#This Row],[Country/Region]],RAW_Cases!W:W)</f>
        <v>11</v>
      </c>
      <c r="W22" s="9">
        <f>SUMIF(RAW_Cases!$B:$B,Tabelle2[[#This Row],[Country/Region]],RAW_Cases!X:X)</f>
        <v>11</v>
      </c>
      <c r="X22" s="9">
        <f>SUMIF(RAW_Cases!$B:$B,Tabelle2[[#This Row],[Country/Region]],RAW_Cases!Y:Y)</f>
        <v>11</v>
      </c>
      <c r="Y22" s="9">
        <f>SUMIF(RAW_Cases!$B:$B,Tabelle2[[#This Row],[Country/Region]],RAW_Cases!Z:Z)</f>
        <v>11</v>
      </c>
      <c r="Z22" s="9">
        <f>SUMIF(RAW_Cases!$B:$B,Tabelle2[[#This Row],[Country/Region]],RAW_Cases!AA:AA)</f>
        <v>12</v>
      </c>
      <c r="AA22" s="9">
        <f>SUMIF(RAW_Cases!$B:$B,Tabelle2[[#This Row],[Country/Region]],RAW_Cases!AB:AB)</f>
        <v>12</v>
      </c>
      <c r="AB22" s="9">
        <f>SUMIF(RAW_Cases!$B:$B,Tabelle2[[#This Row],[Country/Region]],RAW_Cases!AC:AC)</f>
        <v>12</v>
      </c>
      <c r="AC22" s="9">
        <f>SUMIF(RAW_Cases!$B:$B,Tabelle2[[#This Row],[Country/Region]],RAW_Cases!AD:AD)</f>
        <v>12</v>
      </c>
      <c r="AD22" s="9">
        <f>SUMIF(RAW_Cases!$B:$B,Tabelle2[[#This Row],[Country/Region]],RAW_Cases!AE:AE)</f>
        <v>12</v>
      </c>
      <c r="AE22" s="9">
        <f>SUMIF(RAW_Cases!$B:$B,Tabelle2[[#This Row],[Country/Region]],RAW_Cases!AF:AF)</f>
        <v>12</v>
      </c>
      <c r="AF22" s="9">
        <f>SUMIF(RAW_Cases!$B:$B,Tabelle2[[#This Row],[Country/Region]],RAW_Cases!AG:AG)</f>
        <v>12</v>
      </c>
      <c r="AG22" s="9">
        <f>SUMIF(RAW_Cases!$B:$B,Tabelle2[[#This Row],[Country/Region]],RAW_Cases!AH:AH)</f>
        <v>12</v>
      </c>
      <c r="AH22" s="9">
        <f>SUMIF(RAW_Cases!$B:$B,Tabelle2[[#This Row],[Country/Region]],RAW_Cases!AI:AI)</f>
        <v>12</v>
      </c>
      <c r="AI22" s="9">
        <f>SUMIF(RAW_Cases!$B:$B,Tabelle2[[#This Row],[Country/Region]],RAW_Cases!AJ:AJ)</f>
        <v>12</v>
      </c>
      <c r="AJ22" s="9">
        <f>SUMIF(RAW_Cases!$B:$B,Tabelle2[[#This Row],[Country/Region]],RAW_Cases!AK:AK)</f>
        <v>14</v>
      </c>
      <c r="AK22" s="9">
        <f>SUMIF(RAW_Cases!$B:$B,Tabelle2[[#This Row],[Country/Region]],RAW_Cases!AL:AL)</f>
        <v>18</v>
      </c>
      <c r="AL22" s="9">
        <f>SUMIF(RAW_Cases!$B:$B,Tabelle2[[#This Row],[Country/Region]],RAW_Cases!AM:AM)</f>
        <v>38</v>
      </c>
      <c r="AM22" s="9">
        <f>SUMIF(RAW_Cases!$B:$B,Tabelle2[[#This Row],[Country/Region]],RAW_Cases!AN:AN)</f>
        <v>57</v>
      </c>
      <c r="AN22" s="9">
        <f>SUMIF(RAW_Cases!$B:$B,Tabelle2[[#This Row],[Country/Region]],RAW_Cases!AO:AO)</f>
        <v>100</v>
      </c>
      <c r="AO22" s="9">
        <f>SUMIF(RAW_Cases!$B:$B,Tabelle2[[#This Row],[Country/Region]],RAW_Cases!AP:AP)</f>
        <v>130</v>
      </c>
      <c r="AP22" s="9">
        <f>SUMIF(RAW_Cases!$B:$B,Tabelle2[[#This Row],[Country/Region]],RAW_Cases!AQ:AQ)</f>
        <v>191</v>
      </c>
      <c r="AQ22" s="9">
        <f>SUMIF(RAW_Cases!$B:$B,Tabelle2[[#This Row],[Country/Region]],RAW_Cases!AR:AR)</f>
        <v>204</v>
      </c>
      <c r="AR22" s="9">
        <f>SUMIF(RAW_Cases!$B:$B,Tabelle2[[#This Row],[Country/Region]],RAW_Cases!AS:AS)</f>
        <v>288</v>
      </c>
      <c r="AS22" s="9">
        <f>SUMIF(RAW_Cases!$B:$B,Tabelle2[[#This Row],[Country/Region]],RAW_Cases!AT:AT)</f>
        <v>380</v>
      </c>
      <c r="AT22" s="9">
        <f>SUMIF(RAW_Cases!$B:$B,Tabelle2[[#This Row],[Country/Region]],RAW_Cases!AU:AU)</f>
        <v>656</v>
      </c>
      <c r="AU22" s="9">
        <f>SUMIF(RAW_Cases!$B:$B,Tabelle2[[#This Row],[Country/Region]],RAW_Cases!AV:AV)</f>
        <v>959</v>
      </c>
      <c r="AV22" s="9">
        <f>SUMIF(RAW_Cases!$B:$B,Tabelle2[[#This Row],[Country/Region]],RAW_Cases!AW:AW)</f>
        <v>1136</v>
      </c>
      <c r="AW22" s="9">
        <f>SUMIF(RAW_Cases!$B:$B,Tabelle2[[#This Row],[Country/Region]],RAW_Cases!AX:AX)</f>
        <v>1219</v>
      </c>
      <c r="AX22" s="9">
        <f>SUMIF(RAW_Cases!$B:$B,Tabelle2[[#This Row],[Country/Region]],RAW_Cases!AY:AY)</f>
        <v>1794</v>
      </c>
      <c r="AY22" s="9">
        <f>SUMIF(RAW_Cases!$B:$B,Tabelle2[[#This Row],[Country/Region]],RAW_Cases!AZ:AZ)</f>
        <v>2293</v>
      </c>
      <c r="AZ22" s="9">
        <f>SUMIF(RAW_Cases!$B:$B,Tabelle2[[#This Row],[Country/Region]],RAW_Cases!BA:BA)</f>
        <v>2293</v>
      </c>
      <c r="BA22" s="9">
        <f>SUMIF(RAW_Cases!$B:$B,Tabelle2[[#This Row],[Country/Region]],RAW_Cases!BB:BB)</f>
        <v>3681</v>
      </c>
      <c r="BB22" s="9">
        <f>SUMIF(RAW_Cases!$B:$B,Tabelle2[[#This Row],[Country/Region]],RAW_Cases!BC:BC)</f>
        <v>4496</v>
      </c>
      <c r="BC22" s="9">
        <f>SUMIF(RAW_Cases!$B:$B,Tabelle2[[#This Row],[Country/Region]],RAW_Cases!BD:BD)</f>
        <v>4532</v>
      </c>
      <c r="BD22" s="9">
        <f>SUMIF(RAW_Cases!$B:$B,Tabelle2[[#This Row],[Country/Region]],RAW_Cases!BE:BE)</f>
        <v>6683</v>
      </c>
      <c r="BE22" s="9">
        <f>SUMIF(RAW_Cases!$B:$B,Tabelle2[[#This Row],[Country/Region]],RAW_Cases!BF:BF)</f>
        <v>7715</v>
      </c>
      <c r="BF22" s="9">
        <f>SUMIF(RAW_Cases!$B:$B,Tabelle2[[#This Row],[Country/Region]],RAW_Cases!BG:BG)</f>
        <v>9124</v>
      </c>
      <c r="BG22" s="9">
        <f>SUMIF(RAW_Cases!$B:$B,Tabelle2[[#This Row],[Country/Region]],RAW_Cases!BH:BH)</f>
        <v>10970</v>
      </c>
      <c r="BH22" s="9">
        <f>SUMIF(RAW_Cases!$B:$B,Tabelle2[[#This Row],[Country/Region]],RAW_Cases!BI:BI)</f>
        <v>12758</v>
      </c>
      <c r="BI22" s="9">
        <f>SUMIF(RAW_Cases!$B:$B,Tabelle2[[#This Row],[Country/Region]],RAW_Cases!BJ:BJ)</f>
        <v>14463</v>
      </c>
      <c r="BJ22" s="9">
        <f>SUMIF(RAW_Cases!$B:$B,Tabelle2[[#This Row],[Country/Region]],RAW_Cases!BK:BK)</f>
        <v>16243</v>
      </c>
      <c r="BK22" s="9">
        <f>SUMIF(RAW_Cases!$B:$B,Tabelle2[[#This Row],[Country/Region]],RAW_Cases!BL:BL)</f>
        <v>20123</v>
      </c>
      <c r="BL22" s="9">
        <f>SUMIF(RAW_Cases!$B:$B,Tabelle2[[#This Row],[Country/Region]],RAW_Cases!BM:BM)</f>
        <v>22622</v>
      </c>
      <c r="BM22" s="9">
        <f>SUMIF(RAW_Cases!$B:$B,Tabelle2[[#This Row],[Country/Region]],RAW_Cases!BN:BN)</f>
        <v>25600</v>
      </c>
      <c r="BN22" s="9">
        <f>SUMIF(RAW_Cases!$B:$B,Tabelle2[[#This Row],[Country/Region]],RAW_Cases!BO:BO)</f>
        <v>29551</v>
      </c>
      <c r="BO22" s="9">
        <f>SUMIF(RAW_Cases!$B:$B,Tabelle2[[#This Row],[Country/Region]],RAW_Cases!BP:BP)</f>
        <v>33402</v>
      </c>
      <c r="BP22" s="9">
        <f>SUMIF(RAW_Cases!$B:$B,Tabelle2[[#This Row],[Country/Region]],RAW_Cases!BQ:BQ)</f>
        <v>38105</v>
      </c>
      <c r="BQ22" s="9">
        <f>SUMIF(RAW_Cases!$B:$B,Tabelle2[[#This Row],[Country/Region]],RAW_Cases!BR:BR)</f>
        <v>40708</v>
      </c>
      <c r="BR22" s="9">
        <f>SUMIF(RAW_Cases!$B:$B,Tabelle2[[#This Row],[Country/Region]],RAW_Cases!BS:BS)</f>
        <v>45170</v>
      </c>
      <c r="BS22" s="9">
        <f>SUMIF(RAW_Cases!$B:$B,Tabelle2[[#This Row],[Country/Region]],RAW_Cases!BT:BT)</f>
        <v>0</v>
      </c>
      <c r="BT22" s="9">
        <f>SUMIF(RAW_Cases!$B:$B,Tabelle2[[#This Row],[Country/Region]],RAW_Cases!BU:BU)</f>
        <v>0</v>
      </c>
      <c r="BU22" s="9">
        <f>SUMIF(RAW_Cases!$B:$B,Tabelle2[[#This Row],[Country/Region]],RAW_Cases!BV:BV)</f>
        <v>0</v>
      </c>
      <c r="BV22" s="9">
        <f>SUMIF(RAW_Cases!$B:$B,Tabelle2[[#This Row],[Country/Region]],RAW_Cases!BW:BW)</f>
        <v>0</v>
      </c>
      <c r="BW22" s="9">
        <f>SUMIF(RAW_Cases!$B:$B,Tabelle2[[#This Row],[Country/Region]],RAW_Cases!BX:BX)</f>
        <v>0</v>
      </c>
      <c r="BX22" s="9">
        <f>SUMIF(RAW_Cases!$B:$B,Tabelle2[[#This Row],[Country/Region]],RAW_Cases!BY:BY)</f>
        <v>0</v>
      </c>
      <c r="BY22" s="9">
        <f>SUMIF(RAW_Cases!$B:$B,Tabelle2[[#This Row],[Country/Region]],RAW_Cases!BZ:BZ)</f>
        <v>0</v>
      </c>
      <c r="BZ22" s="9">
        <f>SUMIF(RAW_Cases!$B:$B,Tabelle2[[#This Row],[Country/Region]],RAW_Cases!CA:CA)</f>
        <v>0</v>
      </c>
      <c r="CA22" s="9">
        <f>SUMIF(RAW_Cases!$B:$B,Tabelle2[[#This Row],[Country/Region]],RAW_Cases!CB:CB)</f>
        <v>0</v>
      </c>
      <c r="CB22" s="9">
        <f>SUMIF(RAW_Cases!$B:$B,Tabelle2[[#This Row],[Country/Region]],RAW_Cases!CC:CC)</f>
        <v>0</v>
      </c>
      <c r="CC22" s="9">
        <f>SUMIF(RAW_Cases!$B:$B,Tabelle2[[#This Row],[Country/Region]],RAW_Cases!CD:CD)</f>
        <v>0</v>
      </c>
      <c r="CD22" s="9">
        <f>SUMIF(RAW_Cases!$B:$B,Tabelle2[[#This Row],[Country/Region]],RAW_Cases!CE:CE)</f>
        <v>0</v>
      </c>
      <c r="CE22" s="9">
        <f>SUMIF(RAW_Cases!$B:$B,Tabelle2[[#This Row],[Country/Region]],RAW_Cases!CF:CF)</f>
        <v>0</v>
      </c>
    </row>
    <row r="23" spans="1:87" s="17" customFormat="1" ht="12" x14ac:dyDescent="0.2">
      <c r="A23" s="17" t="s">
        <v>240</v>
      </c>
      <c r="B23" s="8">
        <f>SUM(RAW_Cases!C:C)</f>
        <v>555</v>
      </c>
      <c r="C23" s="8">
        <f>SUM(RAW_Cases!D:D)</f>
        <v>654</v>
      </c>
      <c r="D23" s="8">
        <f>SUM(RAW_Cases!E:E)</f>
        <v>941</v>
      </c>
      <c r="E23" s="8">
        <f>SUM(RAW_Cases!F:F)</f>
        <v>1434</v>
      </c>
      <c r="F23" s="8">
        <f>SUM(RAW_Cases!G:G)</f>
        <v>2118</v>
      </c>
      <c r="G23" s="8">
        <f>SUM(RAW_Cases!H:H)</f>
        <v>2927</v>
      </c>
      <c r="H23" s="8">
        <f>SUM(RAW_Cases!I:I)</f>
        <v>5578</v>
      </c>
      <c r="I23" s="8">
        <f>SUM(RAW_Cases!J:J)</f>
        <v>6166</v>
      </c>
      <c r="J23" s="8">
        <f>SUM(RAW_Cases!K:K)</f>
        <v>8234</v>
      </c>
      <c r="K23" s="8">
        <f>SUM(RAW_Cases!L:L)</f>
        <v>9927</v>
      </c>
      <c r="L23" s="8">
        <f>SUM(RAW_Cases!M:M)</f>
        <v>12038</v>
      </c>
      <c r="M23" s="8">
        <f>SUM(RAW_Cases!N:N)</f>
        <v>16787</v>
      </c>
      <c r="N23" s="8">
        <f>SUM(RAW_Cases!O:O)</f>
        <v>19881</v>
      </c>
      <c r="O23" s="8">
        <f>SUM(RAW_Cases!P:P)</f>
        <v>23892</v>
      </c>
      <c r="P23" s="8">
        <f>SUM(RAW_Cases!Q:Q)</f>
        <v>27635</v>
      </c>
      <c r="Q23" s="8">
        <f>SUM(RAW_Cases!R:R)</f>
        <v>30794</v>
      </c>
      <c r="R23" s="8">
        <f>SUM(RAW_Cases!S:S)</f>
        <v>34391</v>
      </c>
      <c r="S23" s="8">
        <f>SUM(RAW_Cases!T:T)</f>
        <v>37120</v>
      </c>
      <c r="T23" s="8">
        <f>SUM(RAW_Cases!U:U)</f>
        <v>40150</v>
      </c>
      <c r="U23" s="8">
        <f>SUM(RAW_Cases!V:V)</f>
        <v>42762</v>
      </c>
      <c r="V23" s="8">
        <f>SUM(RAW_Cases!W:W)</f>
        <v>44802</v>
      </c>
      <c r="W23" s="8">
        <f>SUM(RAW_Cases!X:X)</f>
        <v>45221</v>
      </c>
      <c r="X23" s="8">
        <f>SUM(RAW_Cases!Y:Y)</f>
        <v>60368</v>
      </c>
      <c r="Y23" s="8">
        <f>SUM(RAW_Cases!Z:Z)</f>
        <v>66885</v>
      </c>
      <c r="Z23" s="8">
        <f>SUM(RAW_Cases!AA:AA)</f>
        <v>69030</v>
      </c>
      <c r="AA23" s="8">
        <f>SUM(RAW_Cases!AB:AB)</f>
        <v>71224</v>
      </c>
      <c r="AB23" s="8">
        <f>SUM(RAW_Cases!AC:AC)</f>
        <v>73258</v>
      </c>
      <c r="AC23" s="8">
        <f>SUM(RAW_Cases!AD:AD)</f>
        <v>75136</v>
      </c>
      <c r="AD23" s="8">
        <f>SUM(RAW_Cases!AE:AE)</f>
        <v>75639</v>
      </c>
      <c r="AE23" s="8">
        <f>SUM(RAW_Cases!AF:AF)</f>
        <v>76197</v>
      </c>
      <c r="AF23" s="8">
        <f>SUM(RAW_Cases!AG:AG)</f>
        <v>76819</v>
      </c>
      <c r="AG23" s="8">
        <f>SUM(RAW_Cases!AH:AH)</f>
        <v>78572</v>
      </c>
      <c r="AH23" s="8">
        <f>SUM(RAW_Cases!AI:AI)</f>
        <v>78958</v>
      </c>
      <c r="AI23" s="8">
        <f>SUM(RAW_Cases!AJ:AJ)</f>
        <v>79561</v>
      </c>
      <c r="AJ23" s="8">
        <f>SUM(RAW_Cases!AK:AK)</f>
        <v>80406</v>
      </c>
      <c r="AK23" s="8">
        <f>SUM(RAW_Cases!AL:AL)</f>
        <v>81388</v>
      </c>
      <c r="AL23" s="8">
        <f>SUM(RAW_Cases!AM:AM)</f>
        <v>82746</v>
      </c>
      <c r="AM23" s="8">
        <f>SUM(RAW_Cases!AN:AN)</f>
        <v>84112</v>
      </c>
      <c r="AN23" s="8">
        <f>SUM(RAW_Cases!AO:AO)</f>
        <v>86011</v>
      </c>
      <c r="AO23" s="8">
        <f>SUM(RAW_Cases!AP:AP)</f>
        <v>88369</v>
      </c>
      <c r="AP23" s="8">
        <f>SUM(RAW_Cases!AQ:AQ)</f>
        <v>90306</v>
      </c>
      <c r="AQ23" s="8">
        <f>SUM(RAW_Cases!AR:AR)</f>
        <v>92840</v>
      </c>
      <c r="AR23" s="8">
        <f>SUM(RAW_Cases!AS:AS)</f>
        <v>95120</v>
      </c>
      <c r="AS23" s="8">
        <f>SUM(RAW_Cases!AT:AT)</f>
        <v>97886</v>
      </c>
      <c r="AT23" s="8">
        <f>SUM(RAW_Cases!AU:AU)</f>
        <v>101801</v>
      </c>
      <c r="AU23" s="8">
        <f>SUM(RAW_Cases!AV:AV)</f>
        <v>105847</v>
      </c>
      <c r="AV23" s="8">
        <f>SUM(RAW_Cases!AW:AW)</f>
        <v>109821</v>
      </c>
      <c r="AW23" s="8">
        <f>SUM(RAW_Cases!AX:AX)</f>
        <v>113590</v>
      </c>
      <c r="AX23" s="8">
        <f>SUM(RAW_Cases!AY:AY)</f>
        <v>118620</v>
      </c>
      <c r="AY23" s="8">
        <f>SUM(RAW_Cases!AZ:AZ)</f>
        <v>125875</v>
      </c>
      <c r="AZ23" s="8">
        <f>SUM(RAW_Cases!BA:BA)</f>
        <v>128352</v>
      </c>
      <c r="BA23" s="8">
        <f>SUM(RAW_Cases!BB:BB)</f>
        <v>145205</v>
      </c>
      <c r="BB23" s="8">
        <f>SUM(RAW_Cases!BC:BC)</f>
        <v>156101</v>
      </c>
      <c r="BC23" s="8">
        <f>SUM(RAW_Cases!BD:BD)</f>
        <v>167454</v>
      </c>
      <c r="BD23" s="8">
        <f>SUM(RAW_Cases!BE:BE)</f>
        <v>181574</v>
      </c>
      <c r="BE23" s="8">
        <f>SUM(RAW_Cases!BF:BF)</f>
        <v>197102</v>
      </c>
      <c r="BF23" s="8">
        <f>SUM(RAW_Cases!BG:BG)</f>
        <v>214821</v>
      </c>
      <c r="BG23" s="8">
        <f>SUM(RAW_Cases!BH:BH)</f>
        <v>242500</v>
      </c>
      <c r="BH23" s="8">
        <f>SUM(RAW_Cases!BI:BI)</f>
        <v>272035</v>
      </c>
      <c r="BI23" s="8">
        <f>SUM(RAW_Cases!BJ:BJ)</f>
        <v>304396</v>
      </c>
      <c r="BJ23" s="8">
        <f>SUM(RAW_Cases!BK:BK)</f>
        <v>336953</v>
      </c>
      <c r="BK23" s="8">
        <f>SUM(RAW_Cases!BL:BL)</f>
        <v>378235</v>
      </c>
      <c r="BL23" s="8">
        <f>SUM(RAW_Cases!BM:BM)</f>
        <v>418045</v>
      </c>
      <c r="BM23" s="8">
        <f>SUM(RAW_Cases!BN:BN)</f>
        <v>467653</v>
      </c>
      <c r="BN23" s="8">
        <f>SUM(RAW_Cases!BO:BO)</f>
        <v>529591</v>
      </c>
      <c r="BO23" s="8">
        <f>SUM(RAW_Cases!BP:BP)</f>
        <v>593291</v>
      </c>
      <c r="BP23" s="8">
        <f>SUM(RAW_Cases!BQ:BQ)</f>
        <v>660706</v>
      </c>
      <c r="BQ23" s="8">
        <f>SUM(RAW_Cases!BR:BR)</f>
        <v>720117</v>
      </c>
      <c r="BR23" s="8">
        <f>SUM(RAW_Cases!BS:BS)</f>
        <v>782365</v>
      </c>
      <c r="BS23" s="8">
        <f>SUM(RAW_Cases!BT:BT)</f>
        <v>0</v>
      </c>
      <c r="BT23" s="8">
        <f>SUM(RAW_Cases!BU:BU)</f>
        <v>0</v>
      </c>
      <c r="BU23" s="8">
        <f>SUM(RAW_Cases!BV:BV)</f>
        <v>0</v>
      </c>
      <c r="BV23" s="8">
        <f>SUM(RAW_Cases!BW:BW)</f>
        <v>0</v>
      </c>
      <c r="BW23" s="8">
        <f>SUM(RAW_Cases!BX:BX)</f>
        <v>0</v>
      </c>
      <c r="BX23" s="8">
        <f>SUM(RAW_Cases!BY:BY)</f>
        <v>0</v>
      </c>
      <c r="BY23" s="8">
        <f>SUM(RAW_Cases!BZ:BZ)</f>
        <v>0</v>
      </c>
      <c r="BZ23" s="8">
        <f>SUM(RAW_Cases!CA:CA)</f>
        <v>0</v>
      </c>
      <c r="CA23" s="8">
        <f>SUM(RAW_Cases!CB:CB)</f>
        <v>0</v>
      </c>
      <c r="CB23" s="8">
        <f>SUM(RAW_Cases!CC:CC)</f>
        <v>0</v>
      </c>
      <c r="CC23" s="8">
        <f>SUM(RAW_Cases!CD:CD)</f>
        <v>0</v>
      </c>
      <c r="CD23" s="8">
        <f>SUM(RAW_Cases!CE:CE)</f>
        <v>0</v>
      </c>
      <c r="CE23" s="8">
        <f>SUM(RAW_Cases!CF:CF)</f>
        <v>0</v>
      </c>
      <c r="CF23" s="8">
        <f>SUM(RAW_Cases!CG:CG)</f>
        <v>0</v>
      </c>
      <c r="CG23" s="8">
        <f>SUM(RAW_Cases!CH:CH)</f>
        <v>0</v>
      </c>
      <c r="CH23" s="8">
        <f>SUM(RAW_Cases!CI:CI)</f>
        <v>0</v>
      </c>
      <c r="CI23" s="8">
        <f>SUM(RAW_Cases!CJ:CJ)</f>
        <v>0</v>
      </c>
    </row>
    <row r="24" spans="1:87" s="18" customFormat="1" x14ac:dyDescent="0.25">
      <c r="B24" s="19"/>
    </row>
    <row r="25" spans="1:87" s="16" customFormat="1" ht="29.25" customHeight="1" x14ac:dyDescent="0.25">
      <c r="A25" s="14" t="s">
        <v>242</v>
      </c>
      <c r="B25" s="15"/>
    </row>
    <row r="26" spans="1:87" s="30" customFormat="1" ht="25.5" customHeight="1" x14ac:dyDescent="0.25">
      <c r="A26" s="22" t="s">
        <v>0</v>
      </c>
      <c r="B26" s="20" t="s">
        <v>246</v>
      </c>
      <c r="C26" s="21" t="s">
        <v>247</v>
      </c>
      <c r="D26" s="21" t="s">
        <v>248</v>
      </c>
      <c r="E26" s="21" t="s">
        <v>249</v>
      </c>
      <c r="F26" s="21" t="s">
        <v>250</v>
      </c>
      <c r="G26" s="21" t="s">
        <v>251</v>
      </c>
      <c r="H26" s="21" t="s">
        <v>252</v>
      </c>
      <c r="I26" s="21" t="s">
        <v>253</v>
      </c>
      <c r="J26" s="21" t="s">
        <v>254</v>
      </c>
      <c r="K26" s="21" t="s">
        <v>255</v>
      </c>
      <c r="L26" s="21" t="s">
        <v>256</v>
      </c>
      <c r="M26" s="21" t="s">
        <v>257</v>
      </c>
      <c r="N26" s="21" t="s">
        <v>258</v>
      </c>
      <c r="O26" s="21" t="s">
        <v>259</v>
      </c>
      <c r="P26" s="21" t="s">
        <v>260</v>
      </c>
      <c r="Q26" s="21" t="s">
        <v>261</v>
      </c>
      <c r="R26" s="21" t="s">
        <v>262</v>
      </c>
      <c r="S26" s="21" t="s">
        <v>263</v>
      </c>
      <c r="T26" s="21" t="s">
        <v>264</v>
      </c>
      <c r="U26" s="21" t="s">
        <v>265</v>
      </c>
      <c r="V26" s="21" t="s">
        <v>266</v>
      </c>
      <c r="W26" s="21" t="s">
        <v>267</v>
      </c>
      <c r="X26" s="21" t="s">
        <v>268</v>
      </c>
      <c r="Y26" s="21" t="s">
        <v>269</v>
      </c>
      <c r="Z26" s="21" t="s">
        <v>270</v>
      </c>
      <c r="AA26" s="21" t="s">
        <v>271</v>
      </c>
      <c r="AB26" s="21" t="s">
        <v>272</v>
      </c>
      <c r="AC26" s="21" t="s">
        <v>273</v>
      </c>
      <c r="AD26" s="21" t="s">
        <v>274</v>
      </c>
      <c r="AE26" s="21" t="s">
        <v>275</v>
      </c>
      <c r="AF26" s="21" t="s">
        <v>276</v>
      </c>
      <c r="AG26" s="21" t="s">
        <v>277</v>
      </c>
      <c r="AH26" s="21" t="s">
        <v>278</v>
      </c>
      <c r="AI26" s="21" t="s">
        <v>279</v>
      </c>
      <c r="AJ26" s="21" t="s">
        <v>280</v>
      </c>
      <c r="AK26" s="21" t="s">
        <v>281</v>
      </c>
      <c r="AL26" s="21" t="s">
        <v>282</v>
      </c>
      <c r="AM26" s="21" t="s">
        <v>283</v>
      </c>
      <c r="AN26" s="21" t="s">
        <v>284</v>
      </c>
      <c r="AO26" s="21" t="s">
        <v>285</v>
      </c>
      <c r="AP26" s="21" t="s">
        <v>286</v>
      </c>
      <c r="AQ26" s="21" t="s">
        <v>287</v>
      </c>
      <c r="AR26" s="21" t="s">
        <v>288</v>
      </c>
      <c r="AS26" s="21" t="s">
        <v>289</v>
      </c>
      <c r="AT26" s="21" t="s">
        <v>290</v>
      </c>
      <c r="AU26" s="21" t="s">
        <v>291</v>
      </c>
      <c r="AV26" s="21" t="s">
        <v>292</v>
      </c>
      <c r="AW26" s="21" t="s">
        <v>293</v>
      </c>
      <c r="AX26" s="21" t="s">
        <v>294</v>
      </c>
      <c r="AY26" s="21" t="s">
        <v>295</v>
      </c>
      <c r="AZ26" s="21" t="s">
        <v>296</v>
      </c>
      <c r="BA26" s="21" t="s">
        <v>297</v>
      </c>
      <c r="BB26" s="21" t="s">
        <v>298</v>
      </c>
      <c r="BC26" s="21" t="s">
        <v>299</v>
      </c>
      <c r="BD26" s="21" t="s">
        <v>300</v>
      </c>
      <c r="BE26" s="21" t="s">
        <v>301</v>
      </c>
      <c r="BF26" s="21" t="s">
        <v>302</v>
      </c>
      <c r="BG26" s="21" t="s">
        <v>303</v>
      </c>
      <c r="BH26" s="21" t="s">
        <v>304</v>
      </c>
      <c r="BI26" s="21" t="s">
        <v>305</v>
      </c>
      <c r="BJ26" s="21" t="s">
        <v>306</v>
      </c>
      <c r="BK26" s="21" t="s">
        <v>308</v>
      </c>
      <c r="BL26" s="21" t="s">
        <v>309</v>
      </c>
      <c r="BM26" s="21" t="s">
        <v>310</v>
      </c>
      <c r="BN26" s="21" t="s">
        <v>311</v>
      </c>
      <c r="BO26" s="21" t="s">
        <v>312</v>
      </c>
      <c r="BP26" s="21" t="s">
        <v>313</v>
      </c>
      <c r="BQ26" s="21" t="s">
        <v>314</v>
      </c>
      <c r="BR26" s="21" t="s">
        <v>315</v>
      </c>
      <c r="BS26" s="21" t="s">
        <v>316</v>
      </c>
      <c r="BT26" s="21" t="s">
        <v>317</v>
      </c>
      <c r="BU26" s="21" t="s">
        <v>318</v>
      </c>
      <c r="BV26" s="21" t="s">
        <v>319</v>
      </c>
      <c r="BW26" s="21" t="s">
        <v>320</v>
      </c>
      <c r="BX26" s="21" t="s">
        <v>321</v>
      </c>
      <c r="BY26" s="21" t="s">
        <v>322</v>
      </c>
      <c r="BZ26" s="21" t="s">
        <v>323</v>
      </c>
      <c r="CA26" s="21" t="s">
        <v>324</v>
      </c>
      <c r="CB26" s="21" t="s">
        <v>325</v>
      </c>
      <c r="CC26" s="21" t="s">
        <v>326</v>
      </c>
      <c r="CD26" s="21" t="s">
        <v>327</v>
      </c>
      <c r="CE26" s="21" t="s">
        <v>328</v>
      </c>
    </row>
    <row r="27" spans="1:87" s="11" customFormat="1" ht="12.75" x14ac:dyDescent="0.2">
      <c r="A27" s="27" t="str">
        <f t="shared" ref="A27:A31" si="10">IF(ISBLANK(A16),"",A16)</f>
        <v>Germany</v>
      </c>
      <c r="B27" s="28">
        <f>SUMIF(RAW_DEATHS!$B:$B,Tabelle28[[#This Row],[Country/Region]],RAW_DEATHS!C:C)</f>
        <v>0</v>
      </c>
      <c r="C27" s="28">
        <f>SUMIF(RAW_DEATHS!$B:$B,Tabelle28[[#This Row],[Country/Region]],RAW_DEATHS!D:D)</f>
        <v>0</v>
      </c>
      <c r="D27" s="28">
        <f>SUMIF(RAW_DEATHS!$B:$B,Tabelle28[[#This Row],[Country/Region]],RAW_DEATHS!E:E)</f>
        <v>0</v>
      </c>
      <c r="E27" s="28">
        <f>SUMIF(RAW_DEATHS!$B:$B,Tabelle28[[#This Row],[Country/Region]],RAW_DEATHS!F:F)</f>
        <v>0</v>
      </c>
      <c r="F27" s="28">
        <f>SUMIF(RAW_DEATHS!$B:$B,Tabelle28[[#This Row],[Country/Region]],RAW_DEATHS!G:G)</f>
        <v>0</v>
      </c>
      <c r="G27" s="28">
        <f>SUMIF(RAW_DEATHS!$B:$B,Tabelle28[[#This Row],[Country/Region]],RAW_DEATHS!H:H)</f>
        <v>0</v>
      </c>
      <c r="H27" s="28">
        <f>SUMIF(RAW_DEATHS!$B:$B,Tabelle28[[#This Row],[Country/Region]],RAW_DEATHS!I:I)</f>
        <v>0</v>
      </c>
      <c r="I27" s="28">
        <f>SUMIF(RAW_DEATHS!$B:$B,Tabelle28[[#This Row],[Country/Region]],RAW_DEATHS!J:J)</f>
        <v>0</v>
      </c>
      <c r="J27" s="28">
        <f>SUMIF(RAW_DEATHS!$B:$B,Tabelle28[[#This Row],[Country/Region]],RAW_DEATHS!K:K)</f>
        <v>0</v>
      </c>
      <c r="K27" s="28">
        <f>SUMIF(RAW_DEATHS!$B:$B,Tabelle28[[#This Row],[Country/Region]],RAW_DEATHS!L:L)</f>
        <v>0</v>
      </c>
      <c r="L27" s="28">
        <f>SUMIF(RAW_DEATHS!$B:$B,Tabelle28[[#This Row],[Country/Region]],RAW_DEATHS!M:M)</f>
        <v>0</v>
      </c>
      <c r="M27" s="28">
        <f>SUMIF(RAW_DEATHS!$B:$B,Tabelle28[[#This Row],[Country/Region]],RAW_DEATHS!N:N)</f>
        <v>0</v>
      </c>
      <c r="N27" s="28">
        <f>SUMIF(RAW_DEATHS!$B:$B,Tabelle28[[#This Row],[Country/Region]],RAW_DEATHS!O:O)</f>
        <v>0</v>
      </c>
      <c r="O27" s="28">
        <f>SUMIF(RAW_DEATHS!$B:$B,Tabelle28[[#This Row],[Country/Region]],RAW_DEATHS!P:P)</f>
        <v>0</v>
      </c>
      <c r="P27" s="28">
        <f>SUMIF(RAW_DEATHS!$B:$B,Tabelle28[[#This Row],[Country/Region]],RAW_DEATHS!Q:Q)</f>
        <v>0</v>
      </c>
      <c r="Q27" s="28">
        <f>SUMIF(RAW_DEATHS!$B:$B,Tabelle28[[#This Row],[Country/Region]],RAW_DEATHS!R:R)</f>
        <v>0</v>
      </c>
      <c r="R27" s="28">
        <f>SUMIF(RAW_DEATHS!$B:$B,Tabelle28[[#This Row],[Country/Region]],RAW_DEATHS!S:S)</f>
        <v>0</v>
      </c>
      <c r="S27" s="28">
        <f>SUMIF(RAW_DEATHS!$B:$B,Tabelle28[[#This Row],[Country/Region]],RAW_DEATHS!T:T)</f>
        <v>0</v>
      </c>
      <c r="T27" s="28">
        <f>SUMIF(RAW_DEATHS!$B:$B,Tabelle28[[#This Row],[Country/Region]],RAW_DEATHS!U:U)</f>
        <v>0</v>
      </c>
      <c r="U27" s="28">
        <f>SUMIF(RAW_DEATHS!$B:$B,Tabelle28[[#This Row],[Country/Region]],RAW_DEATHS!V:V)</f>
        <v>0</v>
      </c>
      <c r="V27" s="28">
        <f>SUMIF(RAW_DEATHS!$B:$B,Tabelle28[[#This Row],[Country/Region]],RAW_DEATHS!W:W)</f>
        <v>0</v>
      </c>
      <c r="W27" s="28">
        <f>SUMIF(RAW_DEATHS!$B:$B,Tabelle28[[#This Row],[Country/Region]],RAW_DEATHS!X:X)</f>
        <v>0</v>
      </c>
      <c r="X27" s="28">
        <f>SUMIF(RAW_DEATHS!$B:$B,Tabelle28[[#This Row],[Country/Region]],RAW_DEATHS!Y:Y)</f>
        <v>0</v>
      </c>
      <c r="Y27" s="28">
        <f>SUMIF(RAW_DEATHS!$B:$B,Tabelle28[[#This Row],[Country/Region]],RAW_DEATHS!Z:Z)</f>
        <v>0</v>
      </c>
      <c r="Z27" s="28">
        <f>SUMIF(RAW_DEATHS!$B:$B,Tabelle28[[#This Row],[Country/Region]],RAW_DEATHS!AA:AA)</f>
        <v>0</v>
      </c>
      <c r="AA27" s="28">
        <f>SUMIF(RAW_DEATHS!$B:$B,Tabelle28[[#This Row],[Country/Region]],RAW_DEATHS!AB:AB)</f>
        <v>0</v>
      </c>
      <c r="AB27" s="28">
        <f>SUMIF(RAW_DEATHS!$B:$B,Tabelle28[[#This Row],[Country/Region]],RAW_DEATHS!AC:AC)</f>
        <v>0</v>
      </c>
      <c r="AC27" s="28">
        <f>SUMIF(RAW_DEATHS!$B:$B,Tabelle28[[#This Row],[Country/Region]],RAW_DEATHS!AD:AD)</f>
        <v>0</v>
      </c>
      <c r="AD27" s="28">
        <f>SUMIF(RAW_DEATHS!$B:$B,Tabelle28[[#This Row],[Country/Region]],RAW_DEATHS!AE:AE)</f>
        <v>0</v>
      </c>
      <c r="AE27" s="28">
        <f>SUMIF(RAW_DEATHS!$B:$B,Tabelle28[[#This Row],[Country/Region]],RAW_DEATHS!AF:AF)</f>
        <v>0</v>
      </c>
      <c r="AF27" s="28">
        <f>SUMIF(RAW_DEATHS!$B:$B,Tabelle28[[#This Row],[Country/Region]],RAW_DEATHS!AG:AG)</f>
        <v>0</v>
      </c>
      <c r="AG27" s="28">
        <f>SUMIF(RAW_DEATHS!$B:$B,Tabelle28[[#This Row],[Country/Region]],RAW_DEATHS!AH:AH)</f>
        <v>0</v>
      </c>
      <c r="AH27" s="28">
        <f>SUMIF(RAW_DEATHS!$B:$B,Tabelle28[[#This Row],[Country/Region]],RAW_DEATHS!AI:AI)</f>
        <v>0</v>
      </c>
      <c r="AI27" s="28">
        <f>SUMIF(RAW_DEATHS!$B:$B,Tabelle28[[#This Row],[Country/Region]],RAW_DEATHS!AJ:AJ)</f>
        <v>0</v>
      </c>
      <c r="AJ27" s="28">
        <f>SUMIF(RAW_DEATHS!$B:$B,Tabelle28[[#This Row],[Country/Region]],RAW_DEATHS!AK:AK)</f>
        <v>0</v>
      </c>
      <c r="AK27" s="28">
        <f>SUMIF(RAW_DEATHS!$B:$B,Tabelle28[[#This Row],[Country/Region]],RAW_DEATHS!AL:AL)</f>
        <v>0</v>
      </c>
      <c r="AL27" s="28">
        <f>SUMIF(RAW_DEATHS!$B:$B,Tabelle28[[#This Row],[Country/Region]],RAW_DEATHS!AM:AM)</f>
        <v>0</v>
      </c>
      <c r="AM27" s="28">
        <f>SUMIF(RAW_DEATHS!$B:$B,Tabelle28[[#This Row],[Country/Region]],RAW_DEATHS!AN:AN)</f>
        <v>0</v>
      </c>
      <c r="AN27" s="28">
        <f>SUMIF(RAW_DEATHS!$B:$B,Tabelle28[[#This Row],[Country/Region]],RAW_DEATHS!AO:AO)</f>
        <v>0</v>
      </c>
      <c r="AO27" s="28">
        <f>SUMIF(RAW_DEATHS!$B:$B,Tabelle28[[#This Row],[Country/Region]],RAW_DEATHS!AP:AP)</f>
        <v>0</v>
      </c>
      <c r="AP27" s="28">
        <f>SUMIF(RAW_DEATHS!$B:$B,Tabelle28[[#This Row],[Country/Region]],RAW_DEATHS!AQ:AQ)</f>
        <v>0</v>
      </c>
      <c r="AQ27" s="28">
        <f>SUMIF(RAW_DEATHS!$B:$B,Tabelle28[[#This Row],[Country/Region]],RAW_DEATHS!AR:AR)</f>
        <v>0</v>
      </c>
      <c r="AR27" s="28">
        <f>SUMIF(RAW_DEATHS!$B:$B,Tabelle28[[#This Row],[Country/Region]],RAW_DEATHS!AS:AS)</f>
        <v>0</v>
      </c>
      <c r="AS27" s="28">
        <f>SUMIF(RAW_DEATHS!$B:$B,Tabelle28[[#This Row],[Country/Region]],RAW_DEATHS!AT:AT)</f>
        <v>0</v>
      </c>
      <c r="AT27" s="28">
        <f>SUMIF(RAW_DEATHS!$B:$B,Tabelle28[[#This Row],[Country/Region]],RAW_DEATHS!AU:AU)</f>
        <v>0</v>
      </c>
      <c r="AU27" s="28">
        <f>SUMIF(RAW_DEATHS!$B:$B,Tabelle28[[#This Row],[Country/Region]],RAW_DEATHS!AV:AV)</f>
        <v>0</v>
      </c>
      <c r="AV27" s="28">
        <f>SUMIF(RAW_DEATHS!$B:$B,Tabelle28[[#This Row],[Country/Region]],RAW_DEATHS!AW:AW)</f>
        <v>0</v>
      </c>
      <c r="AW27" s="28">
        <f>SUMIF(RAW_DEATHS!$B:$B,Tabelle28[[#This Row],[Country/Region]],RAW_DEATHS!AX:AX)</f>
        <v>2</v>
      </c>
      <c r="AX27" s="28">
        <f>SUMIF(RAW_DEATHS!$B:$B,Tabelle28[[#This Row],[Country/Region]],RAW_DEATHS!AY:AY)</f>
        <v>2</v>
      </c>
      <c r="AY27" s="28">
        <f>SUMIF(RAW_DEATHS!$B:$B,Tabelle28[[#This Row],[Country/Region]],RAW_DEATHS!AZ:AZ)</f>
        <v>3</v>
      </c>
      <c r="AZ27" s="28">
        <f>SUMIF(RAW_DEATHS!$B:$B,Tabelle28[[#This Row],[Country/Region]],RAW_DEATHS!BA:BA)</f>
        <v>3</v>
      </c>
      <c r="BA27" s="28">
        <f>SUMIF(RAW_DEATHS!$B:$B,Tabelle28[[#This Row],[Country/Region]],RAW_DEATHS!BB:BB)</f>
        <v>7</v>
      </c>
      <c r="BB27" s="28">
        <f>SUMIF(RAW_DEATHS!$B:$B,Tabelle28[[#This Row],[Country/Region]],RAW_DEATHS!BC:BC)</f>
        <v>9</v>
      </c>
      <c r="BC27" s="28">
        <f>SUMIF(RAW_DEATHS!$B:$B,Tabelle28[[#This Row],[Country/Region]],RAW_DEATHS!BD:BD)</f>
        <v>11</v>
      </c>
      <c r="BD27" s="28">
        <f>SUMIF(RAW_DEATHS!$B:$B,Tabelle28[[#This Row],[Country/Region]],RAW_DEATHS!BE:BE)</f>
        <v>17</v>
      </c>
      <c r="BE27" s="28">
        <f>SUMIF(RAW_DEATHS!$B:$B,Tabelle28[[#This Row],[Country/Region]],RAW_DEATHS!BF:BF)</f>
        <v>24</v>
      </c>
      <c r="BF27" s="28">
        <f>SUMIF(RAW_DEATHS!$B:$B,Tabelle28[[#This Row],[Country/Region]],RAW_DEATHS!BG:BG)</f>
        <v>28</v>
      </c>
      <c r="BG27" s="28">
        <f>SUMIF(RAW_DEATHS!$B:$B,Tabelle28[[#This Row],[Country/Region]],RAW_DEATHS!BH:BH)</f>
        <v>44</v>
      </c>
      <c r="BH27" s="28">
        <f>SUMIF(RAW_DEATHS!$B:$B,Tabelle28[[#This Row],[Country/Region]],RAW_DEATHS!BI:BI)</f>
        <v>67</v>
      </c>
      <c r="BI27" s="28">
        <f>SUMIF(RAW_DEATHS!$B:$B,Tabelle28[[#This Row],[Country/Region]],RAW_DEATHS!BJ:BJ)</f>
        <v>84</v>
      </c>
      <c r="BJ27" s="28">
        <f>SUMIF(RAW_DEATHS!$B:$B,Tabelle28[[#This Row],[Country/Region]],RAW_DEATHS!BK:BK)</f>
        <v>94</v>
      </c>
      <c r="BK27" s="28">
        <f>SUMIF(RAW_DEATHS!$B:$B,Tabelle28[[#This Row],[Country/Region]],RAW_DEATHS!BL:BL)</f>
        <v>123</v>
      </c>
      <c r="BL27" s="28">
        <f>SUMIF(RAW_DEATHS!$B:$B,Tabelle28[[#This Row],[Country/Region]],RAW_DEATHS!BM:BM)</f>
        <v>157</v>
      </c>
      <c r="BM27" s="28">
        <f>SUMIF(RAW_DEATHS!$B:$B,Tabelle28[[#This Row],[Country/Region]],RAW_DEATHS!BN:BN)</f>
        <v>206</v>
      </c>
      <c r="BN27" s="28">
        <f>SUMIF(RAW_DEATHS!$B:$B,Tabelle28[[#This Row],[Country/Region]],RAW_DEATHS!BO:BO)</f>
        <v>267</v>
      </c>
      <c r="BO27" s="28">
        <f>SUMIF(RAW_DEATHS!$B:$B,Tabelle28[[#This Row],[Country/Region]],RAW_DEATHS!BP:BP)</f>
        <v>342</v>
      </c>
      <c r="BP27" s="28">
        <f>SUMIF(RAW_DEATHS!$B:$B,Tabelle28[[#This Row],[Country/Region]],RAW_DEATHS!BQ:BQ)</f>
        <v>433</v>
      </c>
      <c r="BQ27" s="28">
        <f>SUMIF(RAW_DEATHS!$B:$B,Tabelle28[[#This Row],[Country/Region]],RAW_DEATHS!BR:BR)</f>
        <v>533</v>
      </c>
      <c r="BR27" s="28">
        <f>SUMIF(RAW_DEATHS!$B:$B,Tabelle28[[#This Row],[Country/Region]],RAW_DEATHS!BS:BS)</f>
        <v>645</v>
      </c>
      <c r="BS27" s="28">
        <f>SUMIF(RAW_DEATHS!$B:$B,Tabelle28[[#This Row],[Country/Region]],RAW_DEATHS!BT:BT)</f>
        <v>0</v>
      </c>
      <c r="BT27" s="28">
        <f>SUMIF(RAW_DEATHS!$B:$B,Tabelle28[[#This Row],[Country/Region]],RAW_DEATHS!BU:BU)</f>
        <v>0</v>
      </c>
      <c r="BU27" s="28">
        <f>SUMIF(RAW_DEATHS!$B:$B,Tabelle28[[#This Row],[Country/Region]],RAW_DEATHS!BV:BV)</f>
        <v>0</v>
      </c>
      <c r="BV27" s="28">
        <f>SUMIF(RAW_DEATHS!$B:$B,Tabelle28[[#This Row],[Country/Region]],RAW_DEATHS!BW:BW)</f>
        <v>0</v>
      </c>
      <c r="BW27" s="28">
        <f>SUMIF(RAW_DEATHS!$B:$B,Tabelle28[[#This Row],[Country/Region]],RAW_DEATHS!BX:BX)</f>
        <v>0</v>
      </c>
      <c r="BX27" s="28">
        <f>SUMIF(RAW_DEATHS!$B:$B,Tabelle28[[#This Row],[Country/Region]],RAW_DEATHS!BY:BY)</f>
        <v>0</v>
      </c>
      <c r="BY27" s="28">
        <f>SUMIF(RAW_DEATHS!$B:$B,Tabelle28[[#This Row],[Country/Region]],RAW_DEATHS!BZ:BZ)</f>
        <v>0</v>
      </c>
      <c r="BZ27" s="28">
        <f>SUMIF(RAW_DEATHS!$B:$B,Tabelle28[[#This Row],[Country/Region]],RAW_DEATHS!CA:CA)</f>
        <v>0</v>
      </c>
      <c r="CA27" s="28">
        <f>SUMIF(RAW_DEATHS!$B:$B,Tabelle28[[#This Row],[Country/Region]],RAW_DEATHS!CB:CB)</f>
        <v>0</v>
      </c>
      <c r="CB27" s="28">
        <f>SUMIF(RAW_DEATHS!$B:$B,Tabelle28[[#This Row],[Country/Region]],RAW_DEATHS!CC:CC)</f>
        <v>0</v>
      </c>
      <c r="CC27" s="28">
        <f>SUMIF(RAW_DEATHS!$B:$B,Tabelle28[[#This Row],[Country/Region]],RAW_DEATHS!CD:CD)</f>
        <v>0</v>
      </c>
      <c r="CD27" s="28">
        <f>SUMIF(RAW_DEATHS!$B:$B,Tabelle28[[#This Row],[Country/Region]],RAW_DEATHS!CE:CE)</f>
        <v>0</v>
      </c>
      <c r="CE27" s="28">
        <f>SUMIF(RAW_DEATHS!$B:$B,Tabelle28[[#This Row],[Country/Region]],RAW_DEATHS!CF:CF)</f>
        <v>0</v>
      </c>
    </row>
    <row r="28" spans="1:87" s="11" customFormat="1" ht="12.75" x14ac:dyDescent="0.2">
      <c r="A28" s="27" t="str">
        <f t="shared" si="10"/>
        <v>US</v>
      </c>
      <c r="B28" s="28">
        <f>SUMIF(RAW_DEATHS!$B:$B,Tabelle28[[#This Row],[Country/Region]],RAW_DEATHS!C:C)</f>
        <v>0</v>
      </c>
      <c r="C28" s="28">
        <f>SUMIF(RAW_DEATHS!$B:$B,Tabelle28[[#This Row],[Country/Region]],RAW_DEATHS!D:D)</f>
        <v>0</v>
      </c>
      <c r="D28" s="28">
        <f>SUMIF(RAW_DEATHS!$B:$B,Tabelle28[[#This Row],[Country/Region]],RAW_DEATHS!E:E)</f>
        <v>0</v>
      </c>
      <c r="E28" s="28">
        <f>SUMIF(RAW_DEATHS!$B:$B,Tabelle28[[#This Row],[Country/Region]],RAW_DEATHS!F:F)</f>
        <v>0</v>
      </c>
      <c r="F28" s="28">
        <f>SUMIF(RAW_DEATHS!$B:$B,Tabelle28[[#This Row],[Country/Region]],RAW_DEATHS!G:G)</f>
        <v>0</v>
      </c>
      <c r="G28" s="28">
        <f>SUMIF(RAW_DEATHS!$B:$B,Tabelle28[[#This Row],[Country/Region]],RAW_DEATHS!H:H)</f>
        <v>0</v>
      </c>
      <c r="H28" s="28">
        <f>SUMIF(RAW_DEATHS!$B:$B,Tabelle28[[#This Row],[Country/Region]],RAW_DEATHS!I:I)</f>
        <v>0</v>
      </c>
      <c r="I28" s="28">
        <f>SUMIF(RAW_DEATHS!$B:$B,Tabelle28[[#This Row],[Country/Region]],RAW_DEATHS!J:J)</f>
        <v>0</v>
      </c>
      <c r="J28" s="28">
        <f>SUMIF(RAW_DEATHS!$B:$B,Tabelle28[[#This Row],[Country/Region]],RAW_DEATHS!K:K)</f>
        <v>0</v>
      </c>
      <c r="K28" s="28">
        <f>SUMIF(RAW_DEATHS!$B:$B,Tabelle28[[#This Row],[Country/Region]],RAW_DEATHS!L:L)</f>
        <v>0</v>
      </c>
      <c r="L28" s="28">
        <f>SUMIF(RAW_DEATHS!$B:$B,Tabelle28[[#This Row],[Country/Region]],RAW_DEATHS!M:M)</f>
        <v>0</v>
      </c>
      <c r="M28" s="28">
        <f>SUMIF(RAW_DEATHS!$B:$B,Tabelle28[[#This Row],[Country/Region]],RAW_DEATHS!N:N)</f>
        <v>0</v>
      </c>
      <c r="N28" s="28">
        <f>SUMIF(RAW_DEATHS!$B:$B,Tabelle28[[#This Row],[Country/Region]],RAW_DEATHS!O:O)</f>
        <v>0</v>
      </c>
      <c r="O28" s="28">
        <f>SUMIF(RAW_DEATHS!$B:$B,Tabelle28[[#This Row],[Country/Region]],RAW_DEATHS!P:P)</f>
        <v>0</v>
      </c>
      <c r="P28" s="28">
        <f>SUMIF(RAW_DEATHS!$B:$B,Tabelle28[[#This Row],[Country/Region]],RAW_DEATHS!Q:Q)</f>
        <v>0</v>
      </c>
      <c r="Q28" s="28">
        <f>SUMIF(RAW_DEATHS!$B:$B,Tabelle28[[#This Row],[Country/Region]],RAW_DEATHS!R:R)</f>
        <v>0</v>
      </c>
      <c r="R28" s="28">
        <f>SUMIF(RAW_DEATHS!$B:$B,Tabelle28[[#This Row],[Country/Region]],RAW_DEATHS!S:S)</f>
        <v>0</v>
      </c>
      <c r="S28" s="28">
        <f>SUMIF(RAW_DEATHS!$B:$B,Tabelle28[[#This Row],[Country/Region]],RAW_DEATHS!T:T)</f>
        <v>0</v>
      </c>
      <c r="T28" s="28">
        <f>SUMIF(RAW_DEATHS!$B:$B,Tabelle28[[#This Row],[Country/Region]],RAW_DEATHS!U:U)</f>
        <v>0</v>
      </c>
      <c r="U28" s="28">
        <f>SUMIF(RAW_DEATHS!$B:$B,Tabelle28[[#This Row],[Country/Region]],RAW_DEATHS!V:V)</f>
        <v>0</v>
      </c>
      <c r="V28" s="28">
        <f>SUMIF(RAW_DEATHS!$B:$B,Tabelle28[[#This Row],[Country/Region]],RAW_DEATHS!W:W)</f>
        <v>0</v>
      </c>
      <c r="W28" s="28">
        <f>SUMIF(RAW_DEATHS!$B:$B,Tabelle28[[#This Row],[Country/Region]],RAW_DEATHS!X:X)</f>
        <v>0</v>
      </c>
      <c r="X28" s="28">
        <f>SUMIF(RAW_DEATHS!$B:$B,Tabelle28[[#This Row],[Country/Region]],RAW_DEATHS!Y:Y)</f>
        <v>0</v>
      </c>
      <c r="Y28" s="28">
        <f>SUMIF(RAW_DEATHS!$B:$B,Tabelle28[[#This Row],[Country/Region]],RAW_DEATHS!Z:Z)</f>
        <v>0</v>
      </c>
      <c r="Z28" s="28">
        <f>SUMIF(RAW_DEATHS!$B:$B,Tabelle28[[#This Row],[Country/Region]],RAW_DEATHS!AA:AA)</f>
        <v>0</v>
      </c>
      <c r="AA28" s="28">
        <f>SUMIF(RAW_DEATHS!$B:$B,Tabelle28[[#This Row],[Country/Region]],RAW_DEATHS!AB:AB)</f>
        <v>0</v>
      </c>
      <c r="AB28" s="28">
        <f>SUMIF(RAW_DEATHS!$B:$B,Tabelle28[[#This Row],[Country/Region]],RAW_DEATHS!AC:AC)</f>
        <v>0</v>
      </c>
      <c r="AC28" s="28">
        <f>SUMIF(RAW_DEATHS!$B:$B,Tabelle28[[#This Row],[Country/Region]],RAW_DEATHS!AD:AD)</f>
        <v>0</v>
      </c>
      <c r="AD28" s="28">
        <f>SUMIF(RAW_DEATHS!$B:$B,Tabelle28[[#This Row],[Country/Region]],RAW_DEATHS!AE:AE)</f>
        <v>0</v>
      </c>
      <c r="AE28" s="28">
        <f>SUMIF(RAW_DEATHS!$B:$B,Tabelle28[[#This Row],[Country/Region]],RAW_DEATHS!AF:AF)</f>
        <v>0</v>
      </c>
      <c r="AF28" s="28">
        <f>SUMIF(RAW_DEATHS!$B:$B,Tabelle28[[#This Row],[Country/Region]],RAW_DEATHS!AG:AG)</f>
        <v>0</v>
      </c>
      <c r="AG28" s="28">
        <f>SUMIF(RAW_DEATHS!$B:$B,Tabelle28[[#This Row],[Country/Region]],RAW_DEATHS!AH:AH)</f>
        <v>0</v>
      </c>
      <c r="AH28" s="28">
        <f>SUMIF(RAW_DEATHS!$B:$B,Tabelle28[[#This Row],[Country/Region]],RAW_DEATHS!AI:AI)</f>
        <v>0</v>
      </c>
      <c r="AI28" s="28">
        <f>SUMIF(RAW_DEATHS!$B:$B,Tabelle28[[#This Row],[Country/Region]],RAW_DEATHS!AJ:AJ)</f>
        <v>0</v>
      </c>
      <c r="AJ28" s="28">
        <f>SUMIF(RAW_DEATHS!$B:$B,Tabelle28[[#This Row],[Country/Region]],RAW_DEATHS!AK:AK)</f>
        <v>0</v>
      </c>
      <c r="AK28" s="28">
        <f>SUMIF(RAW_DEATHS!$B:$B,Tabelle28[[#This Row],[Country/Region]],RAW_DEATHS!AL:AL)</f>
        <v>0</v>
      </c>
      <c r="AL28" s="28">
        <f>SUMIF(RAW_DEATHS!$B:$B,Tabelle28[[#This Row],[Country/Region]],RAW_DEATHS!AM:AM)</f>
        <v>0</v>
      </c>
      <c r="AM28" s="28">
        <f>SUMIF(RAW_DEATHS!$B:$B,Tabelle28[[#This Row],[Country/Region]],RAW_DEATHS!AN:AN)</f>
        <v>0</v>
      </c>
      <c r="AN28" s="28">
        <f>SUMIF(RAW_DEATHS!$B:$B,Tabelle28[[#This Row],[Country/Region]],RAW_DEATHS!AO:AO)</f>
        <v>1</v>
      </c>
      <c r="AO28" s="28">
        <f>SUMIF(RAW_DEATHS!$B:$B,Tabelle28[[#This Row],[Country/Region]],RAW_DEATHS!AP:AP)</f>
        <v>1</v>
      </c>
      <c r="AP28" s="28">
        <f>SUMIF(RAW_DEATHS!$B:$B,Tabelle28[[#This Row],[Country/Region]],RAW_DEATHS!AQ:AQ)</f>
        <v>6</v>
      </c>
      <c r="AQ28" s="28">
        <f>SUMIF(RAW_DEATHS!$B:$B,Tabelle28[[#This Row],[Country/Region]],RAW_DEATHS!AR:AR)</f>
        <v>7</v>
      </c>
      <c r="AR28" s="28">
        <f>SUMIF(RAW_DEATHS!$B:$B,Tabelle28[[#This Row],[Country/Region]],RAW_DEATHS!AS:AS)</f>
        <v>11</v>
      </c>
      <c r="AS28" s="28">
        <f>SUMIF(RAW_DEATHS!$B:$B,Tabelle28[[#This Row],[Country/Region]],RAW_DEATHS!AT:AT)</f>
        <v>12</v>
      </c>
      <c r="AT28" s="28">
        <f>SUMIF(RAW_DEATHS!$B:$B,Tabelle28[[#This Row],[Country/Region]],RAW_DEATHS!AU:AU)</f>
        <v>14</v>
      </c>
      <c r="AU28" s="28">
        <f>SUMIF(RAW_DEATHS!$B:$B,Tabelle28[[#This Row],[Country/Region]],RAW_DEATHS!AV:AV)</f>
        <v>17</v>
      </c>
      <c r="AV28" s="28">
        <f>SUMIF(RAW_DEATHS!$B:$B,Tabelle28[[#This Row],[Country/Region]],RAW_DEATHS!AW:AW)</f>
        <v>21</v>
      </c>
      <c r="AW28" s="28">
        <f>SUMIF(RAW_DEATHS!$B:$B,Tabelle28[[#This Row],[Country/Region]],RAW_DEATHS!AX:AX)</f>
        <v>22</v>
      </c>
      <c r="AX28" s="28">
        <f>SUMIF(RAW_DEATHS!$B:$B,Tabelle28[[#This Row],[Country/Region]],RAW_DEATHS!AY:AY)</f>
        <v>28</v>
      </c>
      <c r="AY28" s="28">
        <f>SUMIF(RAW_DEATHS!$B:$B,Tabelle28[[#This Row],[Country/Region]],RAW_DEATHS!AZ:AZ)</f>
        <v>36</v>
      </c>
      <c r="AZ28" s="28">
        <f>SUMIF(RAW_DEATHS!$B:$B,Tabelle28[[#This Row],[Country/Region]],RAW_DEATHS!BA:BA)</f>
        <v>40</v>
      </c>
      <c r="BA28" s="28">
        <f>SUMIF(RAW_DEATHS!$B:$B,Tabelle28[[#This Row],[Country/Region]],RAW_DEATHS!BB:BB)</f>
        <v>47</v>
      </c>
      <c r="BB28" s="28">
        <f>SUMIF(RAW_DEATHS!$B:$B,Tabelle28[[#This Row],[Country/Region]],RAW_DEATHS!BC:BC)</f>
        <v>54</v>
      </c>
      <c r="BC28" s="28">
        <f>SUMIF(RAW_DEATHS!$B:$B,Tabelle28[[#This Row],[Country/Region]],RAW_DEATHS!BD:BD)</f>
        <v>63</v>
      </c>
      <c r="BD28" s="28">
        <f>SUMIF(RAW_DEATHS!$B:$B,Tabelle28[[#This Row],[Country/Region]],RAW_DEATHS!BE:BE)</f>
        <v>85</v>
      </c>
      <c r="BE28" s="28">
        <f>SUMIF(RAW_DEATHS!$B:$B,Tabelle28[[#This Row],[Country/Region]],RAW_DEATHS!BF:BF)</f>
        <v>108</v>
      </c>
      <c r="BF28" s="28">
        <f>SUMIF(RAW_DEATHS!$B:$B,Tabelle28[[#This Row],[Country/Region]],RAW_DEATHS!BG:BG)</f>
        <v>118</v>
      </c>
      <c r="BG28" s="28">
        <f>SUMIF(RAW_DEATHS!$B:$B,Tabelle28[[#This Row],[Country/Region]],RAW_DEATHS!BH:BH)</f>
        <v>200</v>
      </c>
      <c r="BH28" s="28">
        <f>SUMIF(RAW_DEATHS!$B:$B,Tabelle28[[#This Row],[Country/Region]],RAW_DEATHS!BI:BI)</f>
        <v>244</v>
      </c>
      <c r="BI28" s="28">
        <f>SUMIF(RAW_DEATHS!$B:$B,Tabelle28[[#This Row],[Country/Region]],RAW_DEATHS!BJ:BJ)</f>
        <v>307</v>
      </c>
      <c r="BJ28" s="28">
        <f>SUMIF(RAW_DEATHS!$B:$B,Tabelle28[[#This Row],[Country/Region]],RAW_DEATHS!BK:BK)</f>
        <v>417</v>
      </c>
      <c r="BK28" s="28">
        <f>SUMIF(RAW_DEATHS!$B:$B,Tabelle28[[#This Row],[Country/Region]],RAW_DEATHS!BL:BL)</f>
        <v>557</v>
      </c>
      <c r="BL28" s="28">
        <f>SUMIF(RAW_DEATHS!$B:$B,Tabelle28[[#This Row],[Country/Region]],RAW_DEATHS!BM:BM)</f>
        <v>706</v>
      </c>
      <c r="BM28" s="28">
        <f>SUMIF(RAW_DEATHS!$B:$B,Tabelle28[[#This Row],[Country/Region]],RAW_DEATHS!BN:BN)</f>
        <v>942</v>
      </c>
      <c r="BN28" s="28">
        <f>SUMIF(RAW_DEATHS!$B:$B,Tabelle28[[#This Row],[Country/Region]],RAW_DEATHS!BO:BO)</f>
        <v>1209</v>
      </c>
      <c r="BO28" s="28">
        <f>SUMIF(RAW_DEATHS!$B:$B,Tabelle28[[#This Row],[Country/Region]],RAW_DEATHS!BP:BP)</f>
        <v>1581</v>
      </c>
      <c r="BP28" s="28">
        <f>SUMIF(RAW_DEATHS!$B:$B,Tabelle28[[#This Row],[Country/Region]],RAW_DEATHS!BQ:BQ)</f>
        <v>2026</v>
      </c>
      <c r="BQ28" s="28">
        <f>SUMIF(RAW_DEATHS!$B:$B,Tabelle28[[#This Row],[Country/Region]],RAW_DEATHS!BR:BR)</f>
        <v>2467</v>
      </c>
      <c r="BR28" s="28">
        <f>SUMIF(RAW_DEATHS!$B:$B,Tabelle28[[#This Row],[Country/Region]],RAW_DEATHS!BS:BS)</f>
        <v>2978</v>
      </c>
      <c r="BS28" s="28">
        <f>SUMIF(RAW_DEATHS!$B:$B,Tabelle28[[#This Row],[Country/Region]],RAW_DEATHS!BT:BT)</f>
        <v>0</v>
      </c>
      <c r="BT28" s="28">
        <f>SUMIF(RAW_DEATHS!$B:$B,Tabelle28[[#This Row],[Country/Region]],RAW_DEATHS!BU:BU)</f>
        <v>0</v>
      </c>
      <c r="BU28" s="28">
        <f>SUMIF(RAW_DEATHS!$B:$B,Tabelle28[[#This Row],[Country/Region]],RAW_DEATHS!BV:BV)</f>
        <v>0</v>
      </c>
      <c r="BV28" s="28">
        <f>SUMIF(RAW_DEATHS!$B:$B,Tabelle28[[#This Row],[Country/Region]],RAW_DEATHS!BW:BW)</f>
        <v>0</v>
      </c>
      <c r="BW28" s="28">
        <f>SUMIF(RAW_DEATHS!$B:$B,Tabelle28[[#This Row],[Country/Region]],RAW_DEATHS!BX:BX)</f>
        <v>0</v>
      </c>
      <c r="BX28" s="28">
        <f>SUMIF(RAW_DEATHS!$B:$B,Tabelle28[[#This Row],[Country/Region]],RAW_DEATHS!BY:BY)</f>
        <v>0</v>
      </c>
      <c r="BY28" s="28">
        <f>SUMIF(RAW_DEATHS!$B:$B,Tabelle28[[#This Row],[Country/Region]],RAW_DEATHS!BZ:BZ)</f>
        <v>0</v>
      </c>
      <c r="BZ28" s="28">
        <f>SUMIF(RAW_DEATHS!$B:$B,Tabelle28[[#This Row],[Country/Region]],RAW_DEATHS!CA:CA)</f>
        <v>0</v>
      </c>
      <c r="CA28" s="28">
        <f>SUMIF(RAW_DEATHS!$B:$B,Tabelle28[[#This Row],[Country/Region]],RAW_DEATHS!CB:CB)</f>
        <v>0</v>
      </c>
      <c r="CB28" s="28">
        <f>SUMIF(RAW_DEATHS!$B:$B,Tabelle28[[#This Row],[Country/Region]],RAW_DEATHS!CC:CC)</f>
        <v>0</v>
      </c>
      <c r="CC28" s="28">
        <f>SUMIF(RAW_DEATHS!$B:$B,Tabelle28[[#This Row],[Country/Region]],RAW_DEATHS!CD:CD)</f>
        <v>0</v>
      </c>
      <c r="CD28" s="28">
        <f>SUMIF(RAW_DEATHS!$B:$B,Tabelle28[[#This Row],[Country/Region]],RAW_DEATHS!CE:CE)</f>
        <v>0</v>
      </c>
      <c r="CE28" s="28">
        <f>SUMIF(RAW_DEATHS!$B:$B,Tabelle28[[#This Row],[Country/Region]],RAW_DEATHS!CF:CF)</f>
        <v>0</v>
      </c>
    </row>
    <row r="29" spans="1:87" s="11" customFormat="1" ht="12.75" x14ac:dyDescent="0.2">
      <c r="A29" s="27" t="str">
        <f t="shared" si="10"/>
        <v>Italy</v>
      </c>
      <c r="B29" s="28">
        <f>SUMIF(RAW_DEATHS!$B:$B,Tabelle28[[#This Row],[Country/Region]],RAW_DEATHS!C:C)</f>
        <v>0</v>
      </c>
      <c r="C29" s="28">
        <f>SUMIF(RAW_DEATHS!$B:$B,Tabelle28[[#This Row],[Country/Region]],RAW_DEATHS!D:D)</f>
        <v>0</v>
      </c>
      <c r="D29" s="28">
        <f>SUMIF(RAW_DEATHS!$B:$B,Tabelle28[[#This Row],[Country/Region]],RAW_DEATHS!E:E)</f>
        <v>0</v>
      </c>
      <c r="E29" s="28">
        <f>SUMIF(RAW_DEATHS!$B:$B,Tabelle28[[#This Row],[Country/Region]],RAW_DEATHS!F:F)</f>
        <v>0</v>
      </c>
      <c r="F29" s="28">
        <f>SUMIF(RAW_DEATHS!$B:$B,Tabelle28[[#This Row],[Country/Region]],RAW_DEATHS!G:G)</f>
        <v>0</v>
      </c>
      <c r="G29" s="28">
        <f>SUMIF(RAW_DEATHS!$B:$B,Tabelle28[[#This Row],[Country/Region]],RAW_DEATHS!H:H)</f>
        <v>0</v>
      </c>
      <c r="H29" s="28">
        <f>SUMIF(RAW_DEATHS!$B:$B,Tabelle28[[#This Row],[Country/Region]],RAW_DEATHS!I:I)</f>
        <v>0</v>
      </c>
      <c r="I29" s="28">
        <f>SUMIF(RAW_DEATHS!$B:$B,Tabelle28[[#This Row],[Country/Region]],RAW_DEATHS!J:J)</f>
        <v>0</v>
      </c>
      <c r="J29" s="28">
        <f>SUMIF(RAW_DEATHS!$B:$B,Tabelle28[[#This Row],[Country/Region]],RAW_DEATHS!K:K)</f>
        <v>0</v>
      </c>
      <c r="K29" s="28">
        <f>SUMIF(RAW_DEATHS!$B:$B,Tabelle28[[#This Row],[Country/Region]],RAW_DEATHS!L:L)</f>
        <v>0</v>
      </c>
      <c r="L29" s="28">
        <f>SUMIF(RAW_DEATHS!$B:$B,Tabelle28[[#This Row],[Country/Region]],RAW_DEATHS!M:M)</f>
        <v>0</v>
      </c>
      <c r="M29" s="28">
        <f>SUMIF(RAW_DEATHS!$B:$B,Tabelle28[[#This Row],[Country/Region]],RAW_DEATHS!N:N)</f>
        <v>0</v>
      </c>
      <c r="N29" s="28">
        <f>SUMIF(RAW_DEATHS!$B:$B,Tabelle28[[#This Row],[Country/Region]],RAW_DEATHS!O:O)</f>
        <v>0</v>
      </c>
      <c r="O29" s="28">
        <f>SUMIF(RAW_DEATHS!$B:$B,Tabelle28[[#This Row],[Country/Region]],RAW_DEATHS!P:P)</f>
        <v>0</v>
      </c>
      <c r="P29" s="28">
        <f>SUMIF(RAW_DEATHS!$B:$B,Tabelle28[[#This Row],[Country/Region]],RAW_DEATHS!Q:Q)</f>
        <v>0</v>
      </c>
      <c r="Q29" s="28">
        <f>SUMIF(RAW_DEATHS!$B:$B,Tabelle28[[#This Row],[Country/Region]],RAW_DEATHS!R:R)</f>
        <v>0</v>
      </c>
      <c r="R29" s="28">
        <f>SUMIF(RAW_DEATHS!$B:$B,Tabelle28[[#This Row],[Country/Region]],RAW_DEATHS!S:S)</f>
        <v>0</v>
      </c>
      <c r="S29" s="28">
        <f>SUMIF(RAW_DEATHS!$B:$B,Tabelle28[[#This Row],[Country/Region]],RAW_DEATHS!T:T)</f>
        <v>0</v>
      </c>
      <c r="T29" s="28">
        <f>SUMIF(RAW_DEATHS!$B:$B,Tabelle28[[#This Row],[Country/Region]],RAW_DEATHS!U:U)</f>
        <v>0</v>
      </c>
      <c r="U29" s="28">
        <f>SUMIF(RAW_DEATHS!$B:$B,Tabelle28[[#This Row],[Country/Region]],RAW_DEATHS!V:V)</f>
        <v>0</v>
      </c>
      <c r="V29" s="28">
        <f>SUMIF(RAW_DEATHS!$B:$B,Tabelle28[[#This Row],[Country/Region]],RAW_DEATHS!W:W)</f>
        <v>0</v>
      </c>
      <c r="W29" s="28">
        <f>SUMIF(RAW_DEATHS!$B:$B,Tabelle28[[#This Row],[Country/Region]],RAW_DEATHS!X:X)</f>
        <v>0</v>
      </c>
      <c r="X29" s="28">
        <f>SUMIF(RAW_DEATHS!$B:$B,Tabelle28[[#This Row],[Country/Region]],RAW_DEATHS!Y:Y)</f>
        <v>0</v>
      </c>
      <c r="Y29" s="28">
        <f>SUMIF(RAW_DEATHS!$B:$B,Tabelle28[[#This Row],[Country/Region]],RAW_DEATHS!Z:Z)</f>
        <v>0</v>
      </c>
      <c r="Z29" s="28">
        <f>SUMIF(RAW_DEATHS!$B:$B,Tabelle28[[#This Row],[Country/Region]],RAW_DEATHS!AA:AA)</f>
        <v>0</v>
      </c>
      <c r="AA29" s="28">
        <f>SUMIF(RAW_DEATHS!$B:$B,Tabelle28[[#This Row],[Country/Region]],RAW_DEATHS!AB:AB)</f>
        <v>0</v>
      </c>
      <c r="AB29" s="28">
        <f>SUMIF(RAW_DEATHS!$B:$B,Tabelle28[[#This Row],[Country/Region]],RAW_DEATHS!AC:AC)</f>
        <v>0</v>
      </c>
      <c r="AC29" s="28">
        <f>SUMIF(RAW_DEATHS!$B:$B,Tabelle28[[#This Row],[Country/Region]],RAW_DEATHS!AD:AD)</f>
        <v>0</v>
      </c>
      <c r="AD29" s="28">
        <f>SUMIF(RAW_DEATHS!$B:$B,Tabelle28[[#This Row],[Country/Region]],RAW_DEATHS!AE:AE)</f>
        <v>0</v>
      </c>
      <c r="AE29" s="28">
        <f>SUMIF(RAW_DEATHS!$B:$B,Tabelle28[[#This Row],[Country/Region]],RAW_DEATHS!AF:AF)</f>
        <v>0</v>
      </c>
      <c r="AF29" s="28">
        <f>SUMIF(RAW_DEATHS!$B:$B,Tabelle28[[#This Row],[Country/Region]],RAW_DEATHS!AG:AG)</f>
        <v>1</v>
      </c>
      <c r="AG29" s="28">
        <f>SUMIF(RAW_DEATHS!$B:$B,Tabelle28[[#This Row],[Country/Region]],RAW_DEATHS!AH:AH)</f>
        <v>2</v>
      </c>
      <c r="AH29" s="28">
        <f>SUMIF(RAW_DEATHS!$B:$B,Tabelle28[[#This Row],[Country/Region]],RAW_DEATHS!AI:AI)</f>
        <v>3</v>
      </c>
      <c r="AI29" s="28">
        <f>SUMIF(RAW_DEATHS!$B:$B,Tabelle28[[#This Row],[Country/Region]],RAW_DEATHS!AJ:AJ)</f>
        <v>7</v>
      </c>
      <c r="AJ29" s="28">
        <f>SUMIF(RAW_DEATHS!$B:$B,Tabelle28[[#This Row],[Country/Region]],RAW_DEATHS!AK:AK)</f>
        <v>10</v>
      </c>
      <c r="AK29" s="28">
        <f>SUMIF(RAW_DEATHS!$B:$B,Tabelle28[[#This Row],[Country/Region]],RAW_DEATHS!AL:AL)</f>
        <v>12</v>
      </c>
      <c r="AL29" s="28">
        <f>SUMIF(RAW_DEATHS!$B:$B,Tabelle28[[#This Row],[Country/Region]],RAW_DEATHS!AM:AM)</f>
        <v>17</v>
      </c>
      <c r="AM29" s="28">
        <f>SUMIF(RAW_DEATHS!$B:$B,Tabelle28[[#This Row],[Country/Region]],RAW_DEATHS!AN:AN)</f>
        <v>21</v>
      </c>
      <c r="AN29" s="28">
        <f>SUMIF(RAW_DEATHS!$B:$B,Tabelle28[[#This Row],[Country/Region]],RAW_DEATHS!AO:AO)</f>
        <v>29</v>
      </c>
      <c r="AO29" s="28">
        <f>SUMIF(RAW_DEATHS!$B:$B,Tabelle28[[#This Row],[Country/Region]],RAW_DEATHS!AP:AP)</f>
        <v>34</v>
      </c>
      <c r="AP29" s="28">
        <f>SUMIF(RAW_DEATHS!$B:$B,Tabelle28[[#This Row],[Country/Region]],RAW_DEATHS!AQ:AQ)</f>
        <v>52</v>
      </c>
      <c r="AQ29" s="28">
        <f>SUMIF(RAW_DEATHS!$B:$B,Tabelle28[[#This Row],[Country/Region]],RAW_DEATHS!AR:AR)</f>
        <v>79</v>
      </c>
      <c r="AR29" s="28">
        <f>SUMIF(RAW_DEATHS!$B:$B,Tabelle28[[#This Row],[Country/Region]],RAW_DEATHS!AS:AS)</f>
        <v>107</v>
      </c>
      <c r="AS29" s="28">
        <f>SUMIF(RAW_DEATHS!$B:$B,Tabelle28[[#This Row],[Country/Region]],RAW_DEATHS!AT:AT)</f>
        <v>148</v>
      </c>
      <c r="AT29" s="28">
        <f>SUMIF(RAW_DEATHS!$B:$B,Tabelle28[[#This Row],[Country/Region]],RAW_DEATHS!AU:AU)</f>
        <v>197</v>
      </c>
      <c r="AU29" s="28">
        <f>SUMIF(RAW_DEATHS!$B:$B,Tabelle28[[#This Row],[Country/Region]],RAW_DEATHS!AV:AV)</f>
        <v>233</v>
      </c>
      <c r="AV29" s="28">
        <f>SUMIF(RAW_DEATHS!$B:$B,Tabelle28[[#This Row],[Country/Region]],RAW_DEATHS!AW:AW)</f>
        <v>366</v>
      </c>
      <c r="AW29" s="28">
        <f>SUMIF(RAW_DEATHS!$B:$B,Tabelle28[[#This Row],[Country/Region]],RAW_DEATHS!AX:AX)</f>
        <v>463</v>
      </c>
      <c r="AX29" s="28">
        <f>SUMIF(RAW_DEATHS!$B:$B,Tabelle28[[#This Row],[Country/Region]],RAW_DEATHS!AY:AY)</f>
        <v>631</v>
      </c>
      <c r="AY29" s="28">
        <f>SUMIF(RAW_DEATHS!$B:$B,Tabelle28[[#This Row],[Country/Region]],RAW_DEATHS!AZ:AZ)</f>
        <v>827</v>
      </c>
      <c r="AZ29" s="28">
        <f>SUMIF(RAW_DEATHS!$B:$B,Tabelle28[[#This Row],[Country/Region]],RAW_DEATHS!BA:BA)</f>
        <v>827</v>
      </c>
      <c r="BA29" s="28">
        <f>SUMIF(RAW_DEATHS!$B:$B,Tabelle28[[#This Row],[Country/Region]],RAW_DEATHS!BB:BB)</f>
        <v>1266</v>
      </c>
      <c r="BB29" s="28">
        <f>SUMIF(RAW_DEATHS!$B:$B,Tabelle28[[#This Row],[Country/Region]],RAW_DEATHS!BC:BC)</f>
        <v>1441</v>
      </c>
      <c r="BC29" s="28">
        <f>SUMIF(RAW_DEATHS!$B:$B,Tabelle28[[#This Row],[Country/Region]],RAW_DEATHS!BD:BD)</f>
        <v>1809</v>
      </c>
      <c r="BD29" s="28">
        <f>SUMIF(RAW_DEATHS!$B:$B,Tabelle28[[#This Row],[Country/Region]],RAW_DEATHS!BE:BE)</f>
        <v>2158</v>
      </c>
      <c r="BE29" s="28">
        <f>SUMIF(RAW_DEATHS!$B:$B,Tabelle28[[#This Row],[Country/Region]],RAW_DEATHS!BF:BF)</f>
        <v>2503</v>
      </c>
      <c r="BF29" s="28">
        <f>SUMIF(RAW_DEATHS!$B:$B,Tabelle28[[#This Row],[Country/Region]],RAW_DEATHS!BG:BG)</f>
        <v>2978</v>
      </c>
      <c r="BG29" s="28">
        <f>SUMIF(RAW_DEATHS!$B:$B,Tabelle28[[#This Row],[Country/Region]],RAW_DEATHS!BH:BH)</f>
        <v>3405</v>
      </c>
      <c r="BH29" s="28">
        <f>SUMIF(RAW_DEATHS!$B:$B,Tabelle28[[#This Row],[Country/Region]],RAW_DEATHS!BI:BI)</f>
        <v>4032</v>
      </c>
      <c r="BI29" s="28">
        <f>SUMIF(RAW_DEATHS!$B:$B,Tabelle28[[#This Row],[Country/Region]],RAW_DEATHS!BJ:BJ)</f>
        <v>4825</v>
      </c>
      <c r="BJ29" s="28">
        <f>SUMIF(RAW_DEATHS!$B:$B,Tabelle28[[#This Row],[Country/Region]],RAW_DEATHS!BK:BK)</f>
        <v>5476</v>
      </c>
      <c r="BK29" s="28">
        <f>SUMIF(RAW_DEATHS!$B:$B,Tabelle28[[#This Row],[Country/Region]],RAW_DEATHS!BL:BL)</f>
        <v>6077</v>
      </c>
      <c r="BL29" s="28">
        <f>SUMIF(RAW_DEATHS!$B:$B,Tabelle28[[#This Row],[Country/Region]],RAW_DEATHS!BM:BM)</f>
        <v>6820</v>
      </c>
      <c r="BM29" s="28">
        <f>SUMIF(RAW_DEATHS!$B:$B,Tabelle28[[#This Row],[Country/Region]],RAW_DEATHS!BN:BN)</f>
        <v>7503</v>
      </c>
      <c r="BN29" s="28">
        <f>SUMIF(RAW_DEATHS!$B:$B,Tabelle28[[#This Row],[Country/Region]],RAW_DEATHS!BO:BO)</f>
        <v>8215</v>
      </c>
      <c r="BO29" s="28">
        <f>SUMIF(RAW_DEATHS!$B:$B,Tabelle28[[#This Row],[Country/Region]],RAW_DEATHS!BP:BP)</f>
        <v>9134</v>
      </c>
      <c r="BP29" s="28">
        <f>SUMIF(RAW_DEATHS!$B:$B,Tabelle28[[#This Row],[Country/Region]],RAW_DEATHS!BQ:BQ)</f>
        <v>10023</v>
      </c>
      <c r="BQ29" s="28">
        <f>SUMIF(RAW_DEATHS!$B:$B,Tabelle28[[#This Row],[Country/Region]],RAW_DEATHS!BR:BR)</f>
        <v>10779</v>
      </c>
      <c r="BR29" s="28">
        <f>SUMIF(RAW_DEATHS!$B:$B,Tabelle28[[#This Row],[Country/Region]],RAW_DEATHS!BS:BS)</f>
        <v>11591</v>
      </c>
      <c r="BS29" s="28">
        <f>SUMIF(RAW_DEATHS!$B:$B,Tabelle28[[#This Row],[Country/Region]],RAW_DEATHS!BT:BT)</f>
        <v>0</v>
      </c>
      <c r="BT29" s="28">
        <f>SUMIF(RAW_DEATHS!$B:$B,Tabelle28[[#This Row],[Country/Region]],RAW_DEATHS!BU:BU)</f>
        <v>0</v>
      </c>
      <c r="BU29" s="28">
        <f>SUMIF(RAW_DEATHS!$B:$B,Tabelle28[[#This Row],[Country/Region]],RAW_DEATHS!BV:BV)</f>
        <v>0</v>
      </c>
      <c r="BV29" s="28">
        <f>SUMIF(RAW_DEATHS!$B:$B,Tabelle28[[#This Row],[Country/Region]],RAW_DEATHS!BW:BW)</f>
        <v>0</v>
      </c>
      <c r="BW29" s="28">
        <f>SUMIF(RAW_DEATHS!$B:$B,Tabelle28[[#This Row],[Country/Region]],RAW_DEATHS!BX:BX)</f>
        <v>0</v>
      </c>
      <c r="BX29" s="28">
        <f>SUMIF(RAW_DEATHS!$B:$B,Tabelle28[[#This Row],[Country/Region]],RAW_DEATHS!BY:BY)</f>
        <v>0</v>
      </c>
      <c r="BY29" s="28">
        <f>SUMIF(RAW_DEATHS!$B:$B,Tabelle28[[#This Row],[Country/Region]],RAW_DEATHS!BZ:BZ)</f>
        <v>0</v>
      </c>
      <c r="BZ29" s="28">
        <f>SUMIF(RAW_DEATHS!$B:$B,Tabelle28[[#This Row],[Country/Region]],RAW_DEATHS!CA:CA)</f>
        <v>0</v>
      </c>
      <c r="CA29" s="28">
        <f>SUMIF(RAW_DEATHS!$B:$B,Tabelle28[[#This Row],[Country/Region]],RAW_DEATHS!CB:CB)</f>
        <v>0</v>
      </c>
      <c r="CB29" s="28">
        <f>SUMIF(RAW_DEATHS!$B:$B,Tabelle28[[#This Row],[Country/Region]],RAW_DEATHS!CC:CC)</f>
        <v>0</v>
      </c>
      <c r="CC29" s="28">
        <f>SUMIF(RAW_DEATHS!$B:$B,Tabelle28[[#This Row],[Country/Region]],RAW_DEATHS!CD:CD)</f>
        <v>0</v>
      </c>
      <c r="CD29" s="28">
        <f>SUMIF(RAW_DEATHS!$B:$B,Tabelle28[[#This Row],[Country/Region]],RAW_DEATHS!CE:CE)</f>
        <v>0</v>
      </c>
      <c r="CE29" s="28">
        <f>SUMIF(RAW_DEATHS!$B:$B,Tabelle28[[#This Row],[Country/Region]],RAW_DEATHS!CF:CF)</f>
        <v>0</v>
      </c>
    </row>
    <row r="30" spans="1:87" s="11" customFormat="1" ht="12.75" x14ac:dyDescent="0.2">
      <c r="A30" s="27" t="str">
        <f t="shared" si="10"/>
        <v>Netherlands</v>
      </c>
      <c r="B30" s="28">
        <f>SUMIF(RAW_DEATHS!$B:$B,Tabelle28[[#This Row],[Country/Region]],RAW_DEATHS!C:C)</f>
        <v>0</v>
      </c>
      <c r="C30" s="28">
        <f>SUMIF(RAW_DEATHS!$B:$B,Tabelle28[[#This Row],[Country/Region]],RAW_DEATHS!D:D)</f>
        <v>0</v>
      </c>
      <c r="D30" s="28">
        <f>SUMIF(RAW_DEATHS!$B:$B,Tabelle28[[#This Row],[Country/Region]],RAW_DEATHS!E:E)</f>
        <v>0</v>
      </c>
      <c r="E30" s="28">
        <f>SUMIF(RAW_DEATHS!$B:$B,Tabelle28[[#This Row],[Country/Region]],RAW_DEATHS!F:F)</f>
        <v>0</v>
      </c>
      <c r="F30" s="28">
        <f>SUMIF(RAW_DEATHS!$B:$B,Tabelle28[[#This Row],[Country/Region]],RAW_DEATHS!G:G)</f>
        <v>0</v>
      </c>
      <c r="G30" s="28">
        <f>SUMIF(RAW_DEATHS!$B:$B,Tabelle28[[#This Row],[Country/Region]],RAW_DEATHS!H:H)</f>
        <v>0</v>
      </c>
      <c r="H30" s="28">
        <f>SUMIF(RAW_DEATHS!$B:$B,Tabelle28[[#This Row],[Country/Region]],RAW_DEATHS!I:I)</f>
        <v>0</v>
      </c>
      <c r="I30" s="28">
        <f>SUMIF(RAW_DEATHS!$B:$B,Tabelle28[[#This Row],[Country/Region]],RAW_DEATHS!J:J)</f>
        <v>0</v>
      </c>
      <c r="J30" s="28">
        <f>SUMIF(RAW_DEATHS!$B:$B,Tabelle28[[#This Row],[Country/Region]],RAW_DEATHS!K:K)</f>
        <v>0</v>
      </c>
      <c r="K30" s="28">
        <f>SUMIF(RAW_DEATHS!$B:$B,Tabelle28[[#This Row],[Country/Region]],RAW_DEATHS!L:L)</f>
        <v>0</v>
      </c>
      <c r="L30" s="28">
        <f>SUMIF(RAW_DEATHS!$B:$B,Tabelle28[[#This Row],[Country/Region]],RAW_DEATHS!M:M)</f>
        <v>0</v>
      </c>
      <c r="M30" s="28">
        <f>SUMIF(RAW_DEATHS!$B:$B,Tabelle28[[#This Row],[Country/Region]],RAW_DEATHS!N:N)</f>
        <v>0</v>
      </c>
      <c r="N30" s="28">
        <f>SUMIF(RAW_DEATHS!$B:$B,Tabelle28[[#This Row],[Country/Region]],RAW_DEATHS!O:O)</f>
        <v>0</v>
      </c>
      <c r="O30" s="28">
        <f>SUMIF(RAW_DEATHS!$B:$B,Tabelle28[[#This Row],[Country/Region]],RAW_DEATHS!P:P)</f>
        <v>0</v>
      </c>
      <c r="P30" s="28">
        <f>SUMIF(RAW_DEATHS!$B:$B,Tabelle28[[#This Row],[Country/Region]],RAW_DEATHS!Q:Q)</f>
        <v>0</v>
      </c>
      <c r="Q30" s="28">
        <f>SUMIF(RAW_DEATHS!$B:$B,Tabelle28[[#This Row],[Country/Region]],RAW_DEATHS!R:R)</f>
        <v>0</v>
      </c>
      <c r="R30" s="28">
        <f>SUMIF(RAW_DEATHS!$B:$B,Tabelle28[[#This Row],[Country/Region]],RAW_DEATHS!S:S)</f>
        <v>0</v>
      </c>
      <c r="S30" s="28">
        <f>SUMIF(RAW_DEATHS!$B:$B,Tabelle28[[#This Row],[Country/Region]],RAW_DEATHS!T:T)</f>
        <v>0</v>
      </c>
      <c r="T30" s="28">
        <f>SUMIF(RAW_DEATHS!$B:$B,Tabelle28[[#This Row],[Country/Region]],RAW_DEATHS!U:U)</f>
        <v>0</v>
      </c>
      <c r="U30" s="28">
        <f>SUMIF(RAW_DEATHS!$B:$B,Tabelle28[[#This Row],[Country/Region]],RAW_DEATHS!V:V)</f>
        <v>0</v>
      </c>
      <c r="V30" s="28">
        <f>SUMIF(RAW_DEATHS!$B:$B,Tabelle28[[#This Row],[Country/Region]],RAW_DEATHS!W:W)</f>
        <v>0</v>
      </c>
      <c r="W30" s="28">
        <f>SUMIF(RAW_DEATHS!$B:$B,Tabelle28[[#This Row],[Country/Region]],RAW_DEATHS!X:X)</f>
        <v>0</v>
      </c>
      <c r="X30" s="28">
        <f>SUMIF(RAW_DEATHS!$B:$B,Tabelle28[[#This Row],[Country/Region]],RAW_DEATHS!Y:Y)</f>
        <v>0</v>
      </c>
      <c r="Y30" s="28">
        <f>SUMIF(RAW_DEATHS!$B:$B,Tabelle28[[#This Row],[Country/Region]],RAW_DEATHS!Z:Z)</f>
        <v>0</v>
      </c>
      <c r="Z30" s="28">
        <f>SUMIF(RAW_DEATHS!$B:$B,Tabelle28[[#This Row],[Country/Region]],RAW_DEATHS!AA:AA)</f>
        <v>0</v>
      </c>
      <c r="AA30" s="28">
        <f>SUMIF(RAW_DEATHS!$B:$B,Tabelle28[[#This Row],[Country/Region]],RAW_DEATHS!AB:AB)</f>
        <v>0</v>
      </c>
      <c r="AB30" s="28">
        <f>SUMIF(RAW_DEATHS!$B:$B,Tabelle28[[#This Row],[Country/Region]],RAW_DEATHS!AC:AC)</f>
        <v>0</v>
      </c>
      <c r="AC30" s="28">
        <f>SUMIF(RAW_DEATHS!$B:$B,Tabelle28[[#This Row],[Country/Region]],RAW_DEATHS!AD:AD)</f>
        <v>0</v>
      </c>
      <c r="AD30" s="28">
        <f>SUMIF(RAW_DEATHS!$B:$B,Tabelle28[[#This Row],[Country/Region]],RAW_DEATHS!AE:AE)</f>
        <v>0</v>
      </c>
      <c r="AE30" s="28">
        <f>SUMIF(RAW_DEATHS!$B:$B,Tabelle28[[#This Row],[Country/Region]],RAW_DEATHS!AF:AF)</f>
        <v>0</v>
      </c>
      <c r="AF30" s="28">
        <f>SUMIF(RAW_DEATHS!$B:$B,Tabelle28[[#This Row],[Country/Region]],RAW_DEATHS!AG:AG)</f>
        <v>0</v>
      </c>
      <c r="AG30" s="28">
        <f>SUMIF(RAW_DEATHS!$B:$B,Tabelle28[[#This Row],[Country/Region]],RAW_DEATHS!AH:AH)</f>
        <v>0</v>
      </c>
      <c r="AH30" s="28">
        <f>SUMIF(RAW_DEATHS!$B:$B,Tabelle28[[#This Row],[Country/Region]],RAW_DEATHS!AI:AI)</f>
        <v>0</v>
      </c>
      <c r="AI30" s="28">
        <f>SUMIF(RAW_DEATHS!$B:$B,Tabelle28[[#This Row],[Country/Region]],RAW_DEATHS!AJ:AJ)</f>
        <v>0</v>
      </c>
      <c r="AJ30" s="28">
        <f>SUMIF(RAW_DEATHS!$B:$B,Tabelle28[[#This Row],[Country/Region]],RAW_DEATHS!AK:AK)</f>
        <v>0</v>
      </c>
      <c r="AK30" s="28">
        <f>SUMIF(RAW_DEATHS!$B:$B,Tabelle28[[#This Row],[Country/Region]],RAW_DEATHS!AL:AL)</f>
        <v>0</v>
      </c>
      <c r="AL30" s="28">
        <f>SUMIF(RAW_DEATHS!$B:$B,Tabelle28[[#This Row],[Country/Region]],RAW_DEATHS!AM:AM)</f>
        <v>0</v>
      </c>
      <c r="AM30" s="28">
        <f>SUMIF(RAW_DEATHS!$B:$B,Tabelle28[[#This Row],[Country/Region]],RAW_DEATHS!AN:AN)</f>
        <v>0</v>
      </c>
      <c r="AN30" s="28">
        <f>SUMIF(RAW_DEATHS!$B:$B,Tabelle28[[#This Row],[Country/Region]],RAW_DEATHS!AO:AO)</f>
        <v>0</v>
      </c>
      <c r="AO30" s="28">
        <f>SUMIF(RAW_DEATHS!$B:$B,Tabelle28[[#This Row],[Country/Region]],RAW_DEATHS!AP:AP)</f>
        <v>0</v>
      </c>
      <c r="AP30" s="28">
        <f>SUMIF(RAW_DEATHS!$B:$B,Tabelle28[[#This Row],[Country/Region]],RAW_DEATHS!AQ:AQ)</f>
        <v>0</v>
      </c>
      <c r="AQ30" s="28">
        <f>SUMIF(RAW_DEATHS!$B:$B,Tabelle28[[#This Row],[Country/Region]],RAW_DEATHS!AR:AR)</f>
        <v>0</v>
      </c>
      <c r="AR30" s="28">
        <f>SUMIF(RAW_DEATHS!$B:$B,Tabelle28[[#This Row],[Country/Region]],RAW_DEATHS!AS:AS)</f>
        <v>0</v>
      </c>
      <c r="AS30" s="28">
        <f>SUMIF(RAW_DEATHS!$B:$B,Tabelle28[[#This Row],[Country/Region]],RAW_DEATHS!AT:AT)</f>
        <v>0</v>
      </c>
      <c r="AT30" s="28">
        <f>SUMIF(RAW_DEATHS!$B:$B,Tabelle28[[#This Row],[Country/Region]],RAW_DEATHS!AU:AU)</f>
        <v>1</v>
      </c>
      <c r="AU30" s="28">
        <f>SUMIF(RAW_DEATHS!$B:$B,Tabelle28[[#This Row],[Country/Region]],RAW_DEATHS!AV:AV)</f>
        <v>1</v>
      </c>
      <c r="AV30" s="28">
        <f>SUMIF(RAW_DEATHS!$B:$B,Tabelle28[[#This Row],[Country/Region]],RAW_DEATHS!AW:AW)</f>
        <v>3</v>
      </c>
      <c r="AW30" s="28">
        <f>SUMIF(RAW_DEATHS!$B:$B,Tabelle28[[#This Row],[Country/Region]],RAW_DEATHS!AX:AX)</f>
        <v>3</v>
      </c>
      <c r="AX30" s="28">
        <f>SUMIF(RAW_DEATHS!$B:$B,Tabelle28[[#This Row],[Country/Region]],RAW_DEATHS!AY:AY)</f>
        <v>4</v>
      </c>
      <c r="AY30" s="28">
        <f>SUMIF(RAW_DEATHS!$B:$B,Tabelle28[[#This Row],[Country/Region]],RAW_DEATHS!AZ:AZ)</f>
        <v>5</v>
      </c>
      <c r="AZ30" s="28">
        <f>SUMIF(RAW_DEATHS!$B:$B,Tabelle28[[#This Row],[Country/Region]],RAW_DEATHS!BA:BA)</f>
        <v>5</v>
      </c>
      <c r="BA30" s="28">
        <f>SUMIF(RAW_DEATHS!$B:$B,Tabelle28[[#This Row],[Country/Region]],RAW_DEATHS!BB:BB)</f>
        <v>10</v>
      </c>
      <c r="BB30" s="28">
        <f>SUMIF(RAW_DEATHS!$B:$B,Tabelle28[[#This Row],[Country/Region]],RAW_DEATHS!BC:BC)</f>
        <v>12</v>
      </c>
      <c r="BC30" s="28">
        <f>SUMIF(RAW_DEATHS!$B:$B,Tabelle28[[#This Row],[Country/Region]],RAW_DEATHS!BD:BD)</f>
        <v>20</v>
      </c>
      <c r="BD30" s="28">
        <f>SUMIF(RAW_DEATHS!$B:$B,Tabelle28[[#This Row],[Country/Region]],RAW_DEATHS!BE:BE)</f>
        <v>24</v>
      </c>
      <c r="BE30" s="28">
        <f>SUMIF(RAW_DEATHS!$B:$B,Tabelle28[[#This Row],[Country/Region]],RAW_DEATHS!BF:BF)</f>
        <v>43</v>
      </c>
      <c r="BF30" s="28">
        <f>SUMIF(RAW_DEATHS!$B:$B,Tabelle28[[#This Row],[Country/Region]],RAW_DEATHS!BG:BG)</f>
        <v>58</v>
      </c>
      <c r="BG30" s="28">
        <f>SUMIF(RAW_DEATHS!$B:$B,Tabelle28[[#This Row],[Country/Region]],RAW_DEATHS!BH:BH)</f>
        <v>77</v>
      </c>
      <c r="BH30" s="28">
        <f>SUMIF(RAW_DEATHS!$B:$B,Tabelle28[[#This Row],[Country/Region]],RAW_DEATHS!BI:BI)</f>
        <v>107</v>
      </c>
      <c r="BI30" s="28">
        <f>SUMIF(RAW_DEATHS!$B:$B,Tabelle28[[#This Row],[Country/Region]],RAW_DEATHS!BJ:BJ)</f>
        <v>137</v>
      </c>
      <c r="BJ30" s="28">
        <f>SUMIF(RAW_DEATHS!$B:$B,Tabelle28[[#This Row],[Country/Region]],RAW_DEATHS!BK:BK)</f>
        <v>180</v>
      </c>
      <c r="BK30" s="28">
        <f>SUMIF(RAW_DEATHS!$B:$B,Tabelle28[[#This Row],[Country/Region]],RAW_DEATHS!BL:BL)</f>
        <v>214</v>
      </c>
      <c r="BL30" s="28">
        <f>SUMIF(RAW_DEATHS!$B:$B,Tabelle28[[#This Row],[Country/Region]],RAW_DEATHS!BM:BM)</f>
        <v>277</v>
      </c>
      <c r="BM30" s="28">
        <f>SUMIF(RAW_DEATHS!$B:$B,Tabelle28[[#This Row],[Country/Region]],RAW_DEATHS!BN:BN)</f>
        <v>357</v>
      </c>
      <c r="BN30" s="28">
        <f>SUMIF(RAW_DEATHS!$B:$B,Tabelle28[[#This Row],[Country/Region]],RAW_DEATHS!BO:BO)</f>
        <v>435</v>
      </c>
      <c r="BO30" s="28">
        <f>SUMIF(RAW_DEATHS!$B:$B,Tabelle28[[#This Row],[Country/Region]],RAW_DEATHS!BP:BP)</f>
        <v>547</v>
      </c>
      <c r="BP30" s="28">
        <f>SUMIF(RAW_DEATHS!$B:$B,Tabelle28[[#This Row],[Country/Region]],RAW_DEATHS!BQ:BQ)</f>
        <v>640</v>
      </c>
      <c r="BQ30" s="28">
        <f>SUMIF(RAW_DEATHS!$B:$B,Tabelle28[[#This Row],[Country/Region]],RAW_DEATHS!BR:BR)</f>
        <v>772</v>
      </c>
      <c r="BR30" s="28">
        <f>SUMIF(RAW_DEATHS!$B:$B,Tabelle28[[#This Row],[Country/Region]],RAW_DEATHS!BS:BS)</f>
        <v>865</v>
      </c>
      <c r="BS30" s="28">
        <f>SUMIF(RAW_DEATHS!$B:$B,Tabelle28[[#This Row],[Country/Region]],RAW_DEATHS!BT:BT)</f>
        <v>0</v>
      </c>
      <c r="BT30" s="28">
        <f>SUMIF(RAW_DEATHS!$B:$B,Tabelle28[[#This Row],[Country/Region]],RAW_DEATHS!BU:BU)</f>
        <v>0</v>
      </c>
      <c r="BU30" s="28">
        <f>SUMIF(RAW_DEATHS!$B:$B,Tabelle28[[#This Row],[Country/Region]],RAW_DEATHS!BV:BV)</f>
        <v>0</v>
      </c>
      <c r="BV30" s="28">
        <f>SUMIF(RAW_DEATHS!$B:$B,Tabelle28[[#This Row],[Country/Region]],RAW_DEATHS!BW:BW)</f>
        <v>0</v>
      </c>
      <c r="BW30" s="28">
        <f>SUMIF(RAW_DEATHS!$B:$B,Tabelle28[[#This Row],[Country/Region]],RAW_DEATHS!BX:BX)</f>
        <v>0</v>
      </c>
      <c r="BX30" s="28">
        <f>SUMIF(RAW_DEATHS!$B:$B,Tabelle28[[#This Row],[Country/Region]],RAW_DEATHS!BY:BY)</f>
        <v>0</v>
      </c>
      <c r="BY30" s="28">
        <f>SUMIF(RAW_DEATHS!$B:$B,Tabelle28[[#This Row],[Country/Region]],RAW_DEATHS!BZ:BZ)</f>
        <v>0</v>
      </c>
      <c r="BZ30" s="28">
        <f>SUMIF(RAW_DEATHS!$B:$B,Tabelle28[[#This Row],[Country/Region]],RAW_DEATHS!CA:CA)</f>
        <v>0</v>
      </c>
      <c r="CA30" s="28">
        <f>SUMIF(RAW_DEATHS!$B:$B,Tabelle28[[#This Row],[Country/Region]],RAW_DEATHS!CB:CB)</f>
        <v>0</v>
      </c>
      <c r="CB30" s="28">
        <f>SUMIF(RAW_DEATHS!$B:$B,Tabelle28[[#This Row],[Country/Region]],RAW_DEATHS!CC:CC)</f>
        <v>0</v>
      </c>
      <c r="CC30" s="28">
        <f>SUMIF(RAW_DEATHS!$B:$B,Tabelle28[[#This Row],[Country/Region]],RAW_DEATHS!CD:CD)</f>
        <v>0</v>
      </c>
      <c r="CD30" s="28">
        <f>SUMIF(RAW_DEATHS!$B:$B,Tabelle28[[#This Row],[Country/Region]],RAW_DEATHS!CE:CE)</f>
        <v>0</v>
      </c>
      <c r="CE30" s="28">
        <f>SUMIF(RAW_DEATHS!$B:$B,Tabelle28[[#This Row],[Country/Region]],RAW_DEATHS!CF:CF)</f>
        <v>0</v>
      </c>
    </row>
    <row r="31" spans="1:87" s="11" customFormat="1" ht="12.75" x14ac:dyDescent="0.2">
      <c r="A31" s="27" t="str">
        <f t="shared" si="10"/>
        <v>Korea, South</v>
      </c>
      <c r="B31" s="28">
        <f>SUMIF(RAW_DEATHS!$B:$B,Tabelle28[[#This Row],[Country/Region]],RAW_DEATHS!C:C)</f>
        <v>0</v>
      </c>
      <c r="C31" s="28">
        <f>SUMIF(RAW_DEATHS!$B:$B,Tabelle28[[#This Row],[Country/Region]],RAW_DEATHS!D:D)</f>
        <v>0</v>
      </c>
      <c r="D31" s="28">
        <f>SUMIF(RAW_DEATHS!$B:$B,Tabelle28[[#This Row],[Country/Region]],RAW_DEATHS!E:E)</f>
        <v>0</v>
      </c>
      <c r="E31" s="28">
        <f>SUMIF(RAW_DEATHS!$B:$B,Tabelle28[[#This Row],[Country/Region]],RAW_DEATHS!F:F)</f>
        <v>0</v>
      </c>
      <c r="F31" s="28">
        <f>SUMIF(RAW_DEATHS!$B:$B,Tabelle28[[#This Row],[Country/Region]],RAW_DEATHS!G:G)</f>
        <v>0</v>
      </c>
      <c r="G31" s="28">
        <f>SUMIF(RAW_DEATHS!$B:$B,Tabelle28[[#This Row],[Country/Region]],RAW_DEATHS!H:H)</f>
        <v>0</v>
      </c>
      <c r="H31" s="28">
        <f>SUMIF(RAW_DEATHS!$B:$B,Tabelle28[[#This Row],[Country/Region]],RAW_DEATHS!I:I)</f>
        <v>0</v>
      </c>
      <c r="I31" s="28">
        <f>SUMIF(RAW_DEATHS!$B:$B,Tabelle28[[#This Row],[Country/Region]],RAW_DEATHS!J:J)</f>
        <v>0</v>
      </c>
      <c r="J31" s="28">
        <f>SUMIF(RAW_DEATHS!$B:$B,Tabelle28[[#This Row],[Country/Region]],RAW_DEATHS!K:K)</f>
        <v>0</v>
      </c>
      <c r="K31" s="28">
        <f>SUMIF(RAW_DEATHS!$B:$B,Tabelle28[[#This Row],[Country/Region]],RAW_DEATHS!L:L)</f>
        <v>0</v>
      </c>
      <c r="L31" s="28">
        <f>SUMIF(RAW_DEATHS!$B:$B,Tabelle28[[#This Row],[Country/Region]],RAW_DEATHS!M:M)</f>
        <v>0</v>
      </c>
      <c r="M31" s="28">
        <f>SUMIF(RAW_DEATHS!$B:$B,Tabelle28[[#This Row],[Country/Region]],RAW_DEATHS!N:N)</f>
        <v>0</v>
      </c>
      <c r="N31" s="28">
        <f>SUMIF(RAW_DEATHS!$B:$B,Tabelle28[[#This Row],[Country/Region]],RAW_DEATHS!O:O)</f>
        <v>0</v>
      </c>
      <c r="O31" s="28">
        <f>SUMIF(RAW_DEATHS!$B:$B,Tabelle28[[#This Row],[Country/Region]],RAW_DEATHS!P:P)</f>
        <v>0</v>
      </c>
      <c r="P31" s="28">
        <f>SUMIF(RAW_DEATHS!$B:$B,Tabelle28[[#This Row],[Country/Region]],RAW_DEATHS!Q:Q)</f>
        <v>0</v>
      </c>
      <c r="Q31" s="28">
        <f>SUMIF(RAW_DEATHS!$B:$B,Tabelle28[[#This Row],[Country/Region]],RAW_DEATHS!R:R)</f>
        <v>0</v>
      </c>
      <c r="R31" s="28">
        <f>SUMIF(RAW_DEATHS!$B:$B,Tabelle28[[#This Row],[Country/Region]],RAW_DEATHS!S:S)</f>
        <v>0</v>
      </c>
      <c r="S31" s="28">
        <f>SUMIF(RAW_DEATHS!$B:$B,Tabelle28[[#This Row],[Country/Region]],RAW_DEATHS!T:T)</f>
        <v>0</v>
      </c>
      <c r="T31" s="28">
        <f>SUMIF(RAW_DEATHS!$B:$B,Tabelle28[[#This Row],[Country/Region]],RAW_DEATHS!U:U)</f>
        <v>0</v>
      </c>
      <c r="U31" s="28">
        <f>SUMIF(RAW_DEATHS!$B:$B,Tabelle28[[#This Row],[Country/Region]],RAW_DEATHS!V:V)</f>
        <v>0</v>
      </c>
      <c r="V31" s="28">
        <f>SUMIF(RAW_DEATHS!$B:$B,Tabelle28[[#This Row],[Country/Region]],RAW_DEATHS!W:W)</f>
        <v>0</v>
      </c>
      <c r="W31" s="28">
        <f>SUMIF(RAW_DEATHS!$B:$B,Tabelle28[[#This Row],[Country/Region]],RAW_DEATHS!X:X)</f>
        <v>0</v>
      </c>
      <c r="X31" s="28">
        <f>SUMIF(RAW_DEATHS!$B:$B,Tabelle28[[#This Row],[Country/Region]],RAW_DEATHS!Y:Y)</f>
        <v>0</v>
      </c>
      <c r="Y31" s="28">
        <f>SUMIF(RAW_DEATHS!$B:$B,Tabelle28[[#This Row],[Country/Region]],RAW_DEATHS!Z:Z)</f>
        <v>0</v>
      </c>
      <c r="Z31" s="28">
        <f>SUMIF(RAW_DEATHS!$B:$B,Tabelle28[[#This Row],[Country/Region]],RAW_DEATHS!AA:AA)</f>
        <v>0</v>
      </c>
      <c r="AA31" s="28">
        <f>SUMIF(RAW_DEATHS!$B:$B,Tabelle28[[#This Row],[Country/Region]],RAW_DEATHS!AB:AB)</f>
        <v>0</v>
      </c>
      <c r="AB31" s="28">
        <f>SUMIF(RAW_DEATHS!$B:$B,Tabelle28[[#This Row],[Country/Region]],RAW_DEATHS!AC:AC)</f>
        <v>0</v>
      </c>
      <c r="AC31" s="28">
        <f>SUMIF(RAW_DEATHS!$B:$B,Tabelle28[[#This Row],[Country/Region]],RAW_DEATHS!AD:AD)</f>
        <v>0</v>
      </c>
      <c r="AD31" s="28">
        <f>SUMIF(RAW_DEATHS!$B:$B,Tabelle28[[#This Row],[Country/Region]],RAW_DEATHS!AE:AE)</f>
        <v>0</v>
      </c>
      <c r="AE31" s="28">
        <f>SUMIF(RAW_DEATHS!$B:$B,Tabelle28[[#This Row],[Country/Region]],RAW_DEATHS!AF:AF)</f>
        <v>1</v>
      </c>
      <c r="AF31" s="28">
        <f>SUMIF(RAW_DEATHS!$B:$B,Tabelle28[[#This Row],[Country/Region]],RAW_DEATHS!AG:AG)</f>
        <v>2</v>
      </c>
      <c r="AG31" s="28">
        <f>SUMIF(RAW_DEATHS!$B:$B,Tabelle28[[#This Row],[Country/Region]],RAW_DEATHS!AH:AH)</f>
        <v>2</v>
      </c>
      <c r="AH31" s="28">
        <f>SUMIF(RAW_DEATHS!$B:$B,Tabelle28[[#This Row],[Country/Region]],RAW_DEATHS!AI:AI)</f>
        <v>6</v>
      </c>
      <c r="AI31" s="28">
        <f>SUMIF(RAW_DEATHS!$B:$B,Tabelle28[[#This Row],[Country/Region]],RAW_DEATHS!AJ:AJ)</f>
        <v>8</v>
      </c>
      <c r="AJ31" s="28">
        <f>SUMIF(RAW_DEATHS!$B:$B,Tabelle28[[#This Row],[Country/Region]],RAW_DEATHS!AK:AK)</f>
        <v>10</v>
      </c>
      <c r="AK31" s="28">
        <f>SUMIF(RAW_DEATHS!$B:$B,Tabelle28[[#This Row],[Country/Region]],RAW_DEATHS!AL:AL)</f>
        <v>12</v>
      </c>
      <c r="AL31" s="28">
        <f>SUMIF(RAW_DEATHS!$B:$B,Tabelle28[[#This Row],[Country/Region]],RAW_DEATHS!AM:AM)</f>
        <v>13</v>
      </c>
      <c r="AM31" s="28">
        <f>SUMIF(RAW_DEATHS!$B:$B,Tabelle28[[#This Row],[Country/Region]],RAW_DEATHS!AN:AN)</f>
        <v>13</v>
      </c>
      <c r="AN31" s="28">
        <f>SUMIF(RAW_DEATHS!$B:$B,Tabelle28[[#This Row],[Country/Region]],RAW_DEATHS!AO:AO)</f>
        <v>16</v>
      </c>
      <c r="AO31" s="28">
        <f>SUMIF(RAW_DEATHS!$B:$B,Tabelle28[[#This Row],[Country/Region]],RAW_DEATHS!AP:AP)</f>
        <v>17</v>
      </c>
      <c r="AP31" s="28">
        <f>SUMIF(RAW_DEATHS!$B:$B,Tabelle28[[#This Row],[Country/Region]],RAW_DEATHS!AQ:AQ)</f>
        <v>28</v>
      </c>
      <c r="AQ31" s="28">
        <f>SUMIF(RAW_DEATHS!$B:$B,Tabelle28[[#This Row],[Country/Region]],RAW_DEATHS!AR:AR)</f>
        <v>28</v>
      </c>
      <c r="AR31" s="28">
        <f>SUMIF(RAW_DEATHS!$B:$B,Tabelle28[[#This Row],[Country/Region]],RAW_DEATHS!AS:AS)</f>
        <v>35</v>
      </c>
      <c r="AS31" s="28">
        <f>SUMIF(RAW_DEATHS!$B:$B,Tabelle28[[#This Row],[Country/Region]],RAW_DEATHS!AT:AT)</f>
        <v>35</v>
      </c>
      <c r="AT31" s="28">
        <f>SUMIF(RAW_DEATHS!$B:$B,Tabelle28[[#This Row],[Country/Region]],RAW_DEATHS!AU:AU)</f>
        <v>42</v>
      </c>
      <c r="AU31" s="28">
        <f>SUMIF(RAW_DEATHS!$B:$B,Tabelle28[[#This Row],[Country/Region]],RAW_DEATHS!AV:AV)</f>
        <v>44</v>
      </c>
      <c r="AV31" s="28">
        <f>SUMIF(RAW_DEATHS!$B:$B,Tabelle28[[#This Row],[Country/Region]],RAW_DEATHS!AW:AW)</f>
        <v>50</v>
      </c>
      <c r="AW31" s="28">
        <f>SUMIF(RAW_DEATHS!$B:$B,Tabelle28[[#This Row],[Country/Region]],RAW_DEATHS!AX:AX)</f>
        <v>53</v>
      </c>
      <c r="AX31" s="28">
        <f>SUMIF(RAW_DEATHS!$B:$B,Tabelle28[[#This Row],[Country/Region]],RAW_DEATHS!AY:AY)</f>
        <v>54</v>
      </c>
      <c r="AY31" s="28">
        <f>SUMIF(RAW_DEATHS!$B:$B,Tabelle28[[#This Row],[Country/Region]],RAW_DEATHS!AZ:AZ)</f>
        <v>60</v>
      </c>
      <c r="AZ31" s="28">
        <f>SUMIF(RAW_DEATHS!$B:$B,Tabelle28[[#This Row],[Country/Region]],RAW_DEATHS!BA:BA)</f>
        <v>66</v>
      </c>
      <c r="BA31" s="28">
        <f>SUMIF(RAW_DEATHS!$B:$B,Tabelle28[[#This Row],[Country/Region]],RAW_DEATHS!BB:BB)</f>
        <v>66</v>
      </c>
      <c r="BB31" s="28">
        <f>SUMIF(RAW_DEATHS!$B:$B,Tabelle28[[#This Row],[Country/Region]],RAW_DEATHS!BC:BC)</f>
        <v>72</v>
      </c>
      <c r="BC31" s="28">
        <f>SUMIF(RAW_DEATHS!$B:$B,Tabelle28[[#This Row],[Country/Region]],RAW_DEATHS!BD:BD)</f>
        <v>75</v>
      </c>
      <c r="BD31" s="28">
        <f>SUMIF(RAW_DEATHS!$B:$B,Tabelle28[[#This Row],[Country/Region]],RAW_DEATHS!BE:BE)</f>
        <v>75</v>
      </c>
      <c r="BE31" s="28">
        <f>SUMIF(RAW_DEATHS!$B:$B,Tabelle28[[#This Row],[Country/Region]],RAW_DEATHS!BF:BF)</f>
        <v>81</v>
      </c>
      <c r="BF31" s="28">
        <f>SUMIF(RAW_DEATHS!$B:$B,Tabelle28[[#This Row],[Country/Region]],RAW_DEATHS!BG:BG)</f>
        <v>84</v>
      </c>
      <c r="BG31" s="28">
        <f>SUMIF(RAW_DEATHS!$B:$B,Tabelle28[[#This Row],[Country/Region]],RAW_DEATHS!BH:BH)</f>
        <v>91</v>
      </c>
      <c r="BH31" s="28">
        <f>SUMIF(RAW_DEATHS!$B:$B,Tabelle28[[#This Row],[Country/Region]],RAW_DEATHS!BI:BI)</f>
        <v>94</v>
      </c>
      <c r="BI31" s="28">
        <f>SUMIF(RAW_DEATHS!$B:$B,Tabelle28[[#This Row],[Country/Region]],RAW_DEATHS!BJ:BJ)</f>
        <v>102</v>
      </c>
      <c r="BJ31" s="28">
        <f>SUMIF(RAW_DEATHS!$B:$B,Tabelle28[[#This Row],[Country/Region]],RAW_DEATHS!BK:BK)</f>
        <v>111</v>
      </c>
      <c r="BK31" s="28">
        <f>SUMIF(RAW_DEATHS!$B:$B,Tabelle28[[#This Row],[Country/Region]],RAW_DEATHS!BL:BL)</f>
        <v>111</v>
      </c>
      <c r="BL31" s="28">
        <f>SUMIF(RAW_DEATHS!$B:$B,Tabelle28[[#This Row],[Country/Region]],RAW_DEATHS!BM:BM)</f>
        <v>120</v>
      </c>
      <c r="BM31" s="28">
        <f>SUMIF(RAW_DEATHS!$B:$B,Tabelle28[[#This Row],[Country/Region]],RAW_DEATHS!BN:BN)</f>
        <v>126</v>
      </c>
      <c r="BN31" s="28">
        <f>SUMIF(RAW_DEATHS!$B:$B,Tabelle28[[#This Row],[Country/Region]],RAW_DEATHS!BO:BO)</f>
        <v>131</v>
      </c>
      <c r="BO31" s="28">
        <f>SUMIF(RAW_DEATHS!$B:$B,Tabelle28[[#This Row],[Country/Region]],RAW_DEATHS!BP:BP)</f>
        <v>139</v>
      </c>
      <c r="BP31" s="28">
        <f>SUMIF(RAW_DEATHS!$B:$B,Tabelle28[[#This Row],[Country/Region]],RAW_DEATHS!BQ:BQ)</f>
        <v>144</v>
      </c>
      <c r="BQ31" s="28">
        <f>SUMIF(RAW_DEATHS!$B:$B,Tabelle28[[#This Row],[Country/Region]],RAW_DEATHS!BR:BR)</f>
        <v>152</v>
      </c>
      <c r="BR31" s="28">
        <f>SUMIF(RAW_DEATHS!$B:$B,Tabelle28[[#This Row],[Country/Region]],RAW_DEATHS!BS:BS)</f>
        <v>158</v>
      </c>
      <c r="BS31" s="28">
        <f>SUMIF(RAW_DEATHS!$B:$B,Tabelle28[[#This Row],[Country/Region]],RAW_DEATHS!BT:BT)</f>
        <v>0</v>
      </c>
      <c r="BT31" s="28">
        <f>SUMIF(RAW_DEATHS!$B:$B,Tabelle28[[#This Row],[Country/Region]],RAW_DEATHS!BU:BU)</f>
        <v>0</v>
      </c>
      <c r="BU31" s="28">
        <f>SUMIF(RAW_DEATHS!$B:$B,Tabelle28[[#This Row],[Country/Region]],RAW_DEATHS!BV:BV)</f>
        <v>0</v>
      </c>
      <c r="BV31" s="28">
        <f>SUMIF(RAW_DEATHS!$B:$B,Tabelle28[[#This Row],[Country/Region]],RAW_DEATHS!BW:BW)</f>
        <v>0</v>
      </c>
      <c r="BW31" s="28">
        <f>SUMIF(RAW_DEATHS!$B:$B,Tabelle28[[#This Row],[Country/Region]],RAW_DEATHS!BX:BX)</f>
        <v>0</v>
      </c>
      <c r="BX31" s="28">
        <f>SUMIF(RAW_DEATHS!$B:$B,Tabelle28[[#This Row],[Country/Region]],RAW_DEATHS!BY:BY)</f>
        <v>0</v>
      </c>
      <c r="BY31" s="28">
        <f>SUMIF(RAW_DEATHS!$B:$B,Tabelle28[[#This Row],[Country/Region]],RAW_DEATHS!BZ:BZ)</f>
        <v>0</v>
      </c>
      <c r="BZ31" s="28">
        <f>SUMIF(RAW_DEATHS!$B:$B,Tabelle28[[#This Row],[Country/Region]],RAW_DEATHS!CA:CA)</f>
        <v>0</v>
      </c>
      <c r="CA31" s="28">
        <f>SUMIF(RAW_DEATHS!$B:$B,Tabelle28[[#This Row],[Country/Region]],RAW_DEATHS!CB:CB)</f>
        <v>0</v>
      </c>
      <c r="CB31" s="28">
        <f>SUMIF(RAW_DEATHS!$B:$B,Tabelle28[[#This Row],[Country/Region]],RAW_DEATHS!CC:CC)</f>
        <v>0</v>
      </c>
      <c r="CC31" s="28">
        <f>SUMIF(RAW_DEATHS!$B:$B,Tabelle28[[#This Row],[Country/Region]],RAW_DEATHS!CD:CD)</f>
        <v>0</v>
      </c>
      <c r="CD31" s="28">
        <f>SUMIF(RAW_DEATHS!$B:$B,Tabelle28[[#This Row],[Country/Region]],RAW_DEATHS!CE:CE)</f>
        <v>0</v>
      </c>
      <c r="CE31" s="28">
        <f>SUMIF(RAW_DEATHS!$B:$B,Tabelle28[[#This Row],[Country/Region]],RAW_DEATHS!CF:CF)</f>
        <v>0</v>
      </c>
    </row>
    <row r="32" spans="1:87" s="11" customFormat="1" ht="12.75" x14ac:dyDescent="0.2">
      <c r="A32" s="27" t="str">
        <f>IF(ISBLANK(A21),"",A21)</f>
        <v>Spain</v>
      </c>
      <c r="B32" s="28">
        <f>SUMIF(RAW_DEATHS!$B:$B,Tabelle28[[#This Row],[Country/Region]],RAW_DEATHS!C:C)</f>
        <v>0</v>
      </c>
      <c r="C32" s="28">
        <f>SUMIF(RAW_DEATHS!$B:$B,Tabelle28[[#This Row],[Country/Region]],RAW_DEATHS!D:D)</f>
        <v>0</v>
      </c>
      <c r="D32" s="28">
        <f>SUMIF(RAW_DEATHS!$B:$B,Tabelle28[[#This Row],[Country/Region]],RAW_DEATHS!E:E)</f>
        <v>0</v>
      </c>
      <c r="E32" s="28">
        <f>SUMIF(RAW_DEATHS!$B:$B,Tabelle28[[#This Row],[Country/Region]],RAW_DEATHS!F:F)</f>
        <v>0</v>
      </c>
      <c r="F32" s="28">
        <f>SUMIF(RAW_DEATHS!$B:$B,Tabelle28[[#This Row],[Country/Region]],RAW_DEATHS!G:G)</f>
        <v>0</v>
      </c>
      <c r="G32" s="28">
        <f>SUMIF(RAW_DEATHS!$B:$B,Tabelle28[[#This Row],[Country/Region]],RAW_DEATHS!H:H)</f>
        <v>0</v>
      </c>
      <c r="H32" s="28">
        <f>SUMIF(RAW_DEATHS!$B:$B,Tabelle28[[#This Row],[Country/Region]],RAW_DEATHS!I:I)</f>
        <v>0</v>
      </c>
      <c r="I32" s="28">
        <f>SUMIF(RAW_DEATHS!$B:$B,Tabelle28[[#This Row],[Country/Region]],RAW_DEATHS!J:J)</f>
        <v>0</v>
      </c>
      <c r="J32" s="28">
        <f>SUMIF(RAW_DEATHS!$B:$B,Tabelle28[[#This Row],[Country/Region]],RAW_DEATHS!K:K)</f>
        <v>0</v>
      </c>
      <c r="K32" s="28">
        <f>SUMIF(RAW_DEATHS!$B:$B,Tabelle28[[#This Row],[Country/Region]],RAW_DEATHS!L:L)</f>
        <v>0</v>
      </c>
      <c r="L32" s="28">
        <f>SUMIF(RAW_DEATHS!$B:$B,Tabelle28[[#This Row],[Country/Region]],RAW_DEATHS!M:M)</f>
        <v>0</v>
      </c>
      <c r="M32" s="28">
        <f>SUMIF(RAW_DEATHS!$B:$B,Tabelle28[[#This Row],[Country/Region]],RAW_DEATHS!N:N)</f>
        <v>0</v>
      </c>
      <c r="N32" s="28">
        <f>SUMIF(RAW_DEATHS!$B:$B,Tabelle28[[#This Row],[Country/Region]],RAW_DEATHS!O:O)</f>
        <v>0</v>
      </c>
      <c r="O32" s="28">
        <f>SUMIF(RAW_DEATHS!$B:$B,Tabelle28[[#This Row],[Country/Region]],RAW_DEATHS!P:P)</f>
        <v>0</v>
      </c>
      <c r="P32" s="28">
        <f>SUMIF(RAW_DEATHS!$B:$B,Tabelle28[[#This Row],[Country/Region]],RAW_DEATHS!Q:Q)</f>
        <v>0</v>
      </c>
      <c r="Q32" s="28">
        <f>SUMIF(RAW_DEATHS!$B:$B,Tabelle28[[#This Row],[Country/Region]],RAW_DEATHS!R:R)</f>
        <v>0</v>
      </c>
      <c r="R32" s="28">
        <f>SUMIF(RAW_DEATHS!$B:$B,Tabelle28[[#This Row],[Country/Region]],RAW_DEATHS!S:S)</f>
        <v>0</v>
      </c>
      <c r="S32" s="28">
        <f>SUMIF(RAW_DEATHS!$B:$B,Tabelle28[[#This Row],[Country/Region]],RAW_DEATHS!T:T)</f>
        <v>0</v>
      </c>
      <c r="T32" s="28">
        <f>SUMIF(RAW_DEATHS!$B:$B,Tabelle28[[#This Row],[Country/Region]],RAW_DEATHS!U:U)</f>
        <v>0</v>
      </c>
      <c r="U32" s="28">
        <f>SUMIF(RAW_DEATHS!$B:$B,Tabelle28[[#This Row],[Country/Region]],RAW_DEATHS!V:V)</f>
        <v>0</v>
      </c>
      <c r="V32" s="28">
        <f>SUMIF(RAW_DEATHS!$B:$B,Tabelle28[[#This Row],[Country/Region]],RAW_DEATHS!W:W)</f>
        <v>0</v>
      </c>
      <c r="W32" s="28">
        <f>SUMIF(RAW_DEATHS!$B:$B,Tabelle28[[#This Row],[Country/Region]],RAW_DEATHS!X:X)</f>
        <v>0</v>
      </c>
      <c r="X32" s="28">
        <f>SUMIF(RAW_DEATHS!$B:$B,Tabelle28[[#This Row],[Country/Region]],RAW_DEATHS!Y:Y)</f>
        <v>0</v>
      </c>
      <c r="Y32" s="28">
        <f>SUMIF(RAW_DEATHS!$B:$B,Tabelle28[[#This Row],[Country/Region]],RAW_DEATHS!Z:Z)</f>
        <v>0</v>
      </c>
      <c r="Z32" s="28">
        <f>SUMIF(RAW_DEATHS!$B:$B,Tabelle28[[#This Row],[Country/Region]],RAW_DEATHS!AA:AA)</f>
        <v>0</v>
      </c>
      <c r="AA32" s="28">
        <f>SUMIF(RAW_DEATHS!$B:$B,Tabelle28[[#This Row],[Country/Region]],RAW_DEATHS!AB:AB)</f>
        <v>0</v>
      </c>
      <c r="AB32" s="28">
        <f>SUMIF(RAW_DEATHS!$B:$B,Tabelle28[[#This Row],[Country/Region]],RAW_DEATHS!AC:AC)</f>
        <v>0</v>
      </c>
      <c r="AC32" s="28">
        <f>SUMIF(RAW_DEATHS!$B:$B,Tabelle28[[#This Row],[Country/Region]],RAW_DEATHS!AD:AD)</f>
        <v>0</v>
      </c>
      <c r="AD32" s="28">
        <f>SUMIF(RAW_DEATHS!$B:$B,Tabelle28[[#This Row],[Country/Region]],RAW_DEATHS!AE:AE)</f>
        <v>0</v>
      </c>
      <c r="AE32" s="28">
        <f>SUMIF(RAW_DEATHS!$B:$B,Tabelle28[[#This Row],[Country/Region]],RAW_DEATHS!AF:AF)</f>
        <v>0</v>
      </c>
      <c r="AF32" s="28">
        <f>SUMIF(RAW_DEATHS!$B:$B,Tabelle28[[#This Row],[Country/Region]],RAW_DEATHS!AG:AG)</f>
        <v>0</v>
      </c>
      <c r="AG32" s="28">
        <f>SUMIF(RAW_DEATHS!$B:$B,Tabelle28[[#This Row],[Country/Region]],RAW_DEATHS!AH:AH)</f>
        <v>0</v>
      </c>
      <c r="AH32" s="28">
        <f>SUMIF(RAW_DEATHS!$B:$B,Tabelle28[[#This Row],[Country/Region]],RAW_DEATHS!AI:AI)</f>
        <v>0</v>
      </c>
      <c r="AI32" s="28">
        <f>SUMIF(RAW_DEATHS!$B:$B,Tabelle28[[#This Row],[Country/Region]],RAW_DEATHS!AJ:AJ)</f>
        <v>0</v>
      </c>
      <c r="AJ32" s="28">
        <f>SUMIF(RAW_DEATHS!$B:$B,Tabelle28[[#This Row],[Country/Region]],RAW_DEATHS!AK:AK)</f>
        <v>0</v>
      </c>
      <c r="AK32" s="28">
        <f>SUMIF(RAW_DEATHS!$B:$B,Tabelle28[[#This Row],[Country/Region]],RAW_DEATHS!AL:AL)</f>
        <v>0</v>
      </c>
      <c r="AL32" s="28">
        <f>SUMIF(RAW_DEATHS!$B:$B,Tabelle28[[#This Row],[Country/Region]],RAW_DEATHS!AM:AM)</f>
        <v>0</v>
      </c>
      <c r="AM32" s="28">
        <f>SUMIF(RAW_DEATHS!$B:$B,Tabelle28[[#This Row],[Country/Region]],RAW_DEATHS!AN:AN)</f>
        <v>0</v>
      </c>
      <c r="AN32" s="28">
        <f>SUMIF(RAW_DEATHS!$B:$B,Tabelle28[[#This Row],[Country/Region]],RAW_DEATHS!AO:AO)</f>
        <v>0</v>
      </c>
      <c r="AO32" s="28">
        <f>SUMIF(RAW_DEATHS!$B:$B,Tabelle28[[#This Row],[Country/Region]],RAW_DEATHS!AP:AP)</f>
        <v>0</v>
      </c>
      <c r="AP32" s="28">
        <f>SUMIF(RAW_DEATHS!$B:$B,Tabelle28[[#This Row],[Country/Region]],RAW_DEATHS!AQ:AQ)</f>
        <v>0</v>
      </c>
      <c r="AQ32" s="28">
        <f>SUMIF(RAW_DEATHS!$B:$B,Tabelle28[[#This Row],[Country/Region]],RAW_DEATHS!AR:AR)</f>
        <v>1</v>
      </c>
      <c r="AR32" s="28">
        <f>SUMIF(RAW_DEATHS!$B:$B,Tabelle28[[#This Row],[Country/Region]],RAW_DEATHS!AS:AS)</f>
        <v>2</v>
      </c>
      <c r="AS32" s="28">
        <f>SUMIF(RAW_DEATHS!$B:$B,Tabelle28[[#This Row],[Country/Region]],RAW_DEATHS!AT:AT)</f>
        <v>3</v>
      </c>
      <c r="AT32" s="28">
        <f>SUMIF(RAW_DEATHS!$B:$B,Tabelle28[[#This Row],[Country/Region]],RAW_DEATHS!AU:AU)</f>
        <v>5</v>
      </c>
      <c r="AU32" s="28">
        <f>SUMIF(RAW_DEATHS!$B:$B,Tabelle28[[#This Row],[Country/Region]],RAW_DEATHS!AV:AV)</f>
        <v>10</v>
      </c>
      <c r="AV32" s="28">
        <f>SUMIF(RAW_DEATHS!$B:$B,Tabelle28[[#This Row],[Country/Region]],RAW_DEATHS!AW:AW)</f>
        <v>17</v>
      </c>
      <c r="AW32" s="28">
        <f>SUMIF(RAW_DEATHS!$B:$B,Tabelle28[[#This Row],[Country/Region]],RAW_DEATHS!AX:AX)</f>
        <v>28</v>
      </c>
      <c r="AX32" s="28">
        <f>SUMIF(RAW_DEATHS!$B:$B,Tabelle28[[#This Row],[Country/Region]],RAW_DEATHS!AY:AY)</f>
        <v>35</v>
      </c>
      <c r="AY32" s="28">
        <f>SUMIF(RAW_DEATHS!$B:$B,Tabelle28[[#This Row],[Country/Region]],RAW_DEATHS!AZ:AZ)</f>
        <v>54</v>
      </c>
      <c r="AZ32" s="28">
        <f>SUMIF(RAW_DEATHS!$B:$B,Tabelle28[[#This Row],[Country/Region]],RAW_DEATHS!BA:BA)</f>
        <v>55</v>
      </c>
      <c r="BA32" s="28">
        <f>SUMIF(RAW_DEATHS!$B:$B,Tabelle28[[#This Row],[Country/Region]],RAW_DEATHS!BB:BB)</f>
        <v>133</v>
      </c>
      <c r="BB32" s="28">
        <f>SUMIF(RAW_DEATHS!$B:$B,Tabelle28[[#This Row],[Country/Region]],RAW_DEATHS!BC:BC)</f>
        <v>195</v>
      </c>
      <c r="BC32" s="28">
        <f>SUMIF(RAW_DEATHS!$B:$B,Tabelle28[[#This Row],[Country/Region]],RAW_DEATHS!BD:BD)</f>
        <v>289</v>
      </c>
      <c r="BD32" s="28">
        <f>SUMIF(RAW_DEATHS!$B:$B,Tabelle28[[#This Row],[Country/Region]],RAW_DEATHS!BE:BE)</f>
        <v>342</v>
      </c>
      <c r="BE32" s="28">
        <f>SUMIF(RAW_DEATHS!$B:$B,Tabelle28[[#This Row],[Country/Region]],RAW_DEATHS!BF:BF)</f>
        <v>533</v>
      </c>
      <c r="BF32" s="28">
        <f>SUMIF(RAW_DEATHS!$B:$B,Tabelle28[[#This Row],[Country/Region]],RAW_DEATHS!BG:BG)</f>
        <v>623</v>
      </c>
      <c r="BG32" s="28">
        <f>SUMIF(RAW_DEATHS!$B:$B,Tabelle28[[#This Row],[Country/Region]],RAW_DEATHS!BH:BH)</f>
        <v>830</v>
      </c>
      <c r="BH32" s="28">
        <f>SUMIF(RAW_DEATHS!$B:$B,Tabelle28[[#This Row],[Country/Region]],RAW_DEATHS!BI:BI)</f>
        <v>1043</v>
      </c>
      <c r="BI32" s="28">
        <f>SUMIF(RAW_DEATHS!$B:$B,Tabelle28[[#This Row],[Country/Region]],RAW_DEATHS!BJ:BJ)</f>
        <v>1375</v>
      </c>
      <c r="BJ32" s="28">
        <f>SUMIF(RAW_DEATHS!$B:$B,Tabelle28[[#This Row],[Country/Region]],RAW_DEATHS!BK:BK)</f>
        <v>1772</v>
      </c>
      <c r="BK32" s="28">
        <f>SUMIF(RAW_DEATHS!$B:$B,Tabelle28[[#This Row],[Country/Region]],RAW_DEATHS!BL:BL)</f>
        <v>2311</v>
      </c>
      <c r="BL32" s="28">
        <f>SUMIF(RAW_DEATHS!$B:$B,Tabelle28[[#This Row],[Country/Region]],RAW_DEATHS!BM:BM)</f>
        <v>2808</v>
      </c>
      <c r="BM32" s="28">
        <f>SUMIF(RAW_DEATHS!$B:$B,Tabelle28[[#This Row],[Country/Region]],RAW_DEATHS!BN:BN)</f>
        <v>3647</v>
      </c>
      <c r="BN32" s="28">
        <f>SUMIF(RAW_DEATHS!$B:$B,Tabelle28[[#This Row],[Country/Region]],RAW_DEATHS!BO:BO)</f>
        <v>4365</v>
      </c>
      <c r="BO32" s="28">
        <f>SUMIF(RAW_DEATHS!$B:$B,Tabelle28[[#This Row],[Country/Region]],RAW_DEATHS!BP:BP)</f>
        <v>5138</v>
      </c>
      <c r="BP32" s="28">
        <f>SUMIF(RAW_DEATHS!$B:$B,Tabelle28[[#This Row],[Country/Region]],RAW_DEATHS!BQ:BQ)</f>
        <v>5982</v>
      </c>
      <c r="BQ32" s="28">
        <f>SUMIF(RAW_DEATHS!$B:$B,Tabelle28[[#This Row],[Country/Region]],RAW_DEATHS!BR:BR)</f>
        <v>6803</v>
      </c>
      <c r="BR32" s="28">
        <f>SUMIF(RAW_DEATHS!$B:$B,Tabelle28[[#This Row],[Country/Region]],RAW_DEATHS!BS:BS)</f>
        <v>7716</v>
      </c>
      <c r="BS32" s="28">
        <f>SUMIF(RAW_DEATHS!$B:$B,Tabelle28[[#This Row],[Country/Region]],RAW_DEATHS!BT:BT)</f>
        <v>0</v>
      </c>
      <c r="BT32" s="28">
        <f>SUMIF(RAW_DEATHS!$B:$B,Tabelle28[[#This Row],[Country/Region]],RAW_DEATHS!BU:BU)</f>
        <v>0</v>
      </c>
      <c r="BU32" s="28">
        <f>SUMIF(RAW_DEATHS!$B:$B,Tabelle28[[#This Row],[Country/Region]],RAW_DEATHS!BV:BV)</f>
        <v>0</v>
      </c>
      <c r="BV32" s="28">
        <f>SUMIF(RAW_DEATHS!$B:$B,Tabelle28[[#This Row],[Country/Region]],RAW_DEATHS!BW:BW)</f>
        <v>0</v>
      </c>
      <c r="BW32" s="28">
        <f>SUMIF(RAW_DEATHS!$B:$B,Tabelle28[[#This Row],[Country/Region]],RAW_DEATHS!BX:BX)</f>
        <v>0</v>
      </c>
      <c r="BX32" s="28">
        <f>SUMIF(RAW_DEATHS!$B:$B,Tabelle28[[#This Row],[Country/Region]],RAW_DEATHS!BY:BY)</f>
        <v>0</v>
      </c>
      <c r="BY32" s="28">
        <f>SUMIF(RAW_DEATHS!$B:$B,Tabelle28[[#This Row],[Country/Region]],RAW_DEATHS!BZ:BZ)</f>
        <v>0</v>
      </c>
      <c r="BZ32" s="28">
        <f>SUMIF(RAW_DEATHS!$B:$B,Tabelle28[[#This Row],[Country/Region]],RAW_DEATHS!CA:CA)</f>
        <v>0</v>
      </c>
      <c r="CA32" s="28">
        <f>SUMIF(RAW_DEATHS!$B:$B,Tabelle28[[#This Row],[Country/Region]],RAW_DEATHS!CB:CB)</f>
        <v>0</v>
      </c>
      <c r="CB32" s="28">
        <f>SUMIF(RAW_DEATHS!$B:$B,Tabelle28[[#This Row],[Country/Region]],RAW_DEATHS!CC:CC)</f>
        <v>0</v>
      </c>
      <c r="CC32" s="28">
        <f>SUMIF(RAW_DEATHS!$B:$B,Tabelle28[[#This Row],[Country/Region]],RAW_DEATHS!CD:CD)</f>
        <v>0</v>
      </c>
      <c r="CD32" s="28">
        <f>SUMIF(RAW_DEATHS!$B:$B,Tabelle28[[#This Row],[Country/Region]],RAW_DEATHS!CE:CE)</f>
        <v>0</v>
      </c>
      <c r="CE32" s="28">
        <f>SUMIF(RAW_DEATHS!$B:$B,Tabelle28[[#This Row],[Country/Region]],RAW_DEATHS!CF:CF)</f>
        <v>0</v>
      </c>
    </row>
    <row r="33" spans="1:87" s="11" customFormat="1" ht="12.75" x14ac:dyDescent="0.2">
      <c r="A33" s="27" t="str">
        <f t="shared" ref="A33" si="11">IF(ISBLANK(A22),"",A22)</f>
        <v>France</v>
      </c>
      <c r="B33" s="28">
        <f>SUMIF(RAW_DEATHS!$B:$B,Tabelle28[[#This Row],[Country/Region]],RAW_DEATHS!C:C)</f>
        <v>0</v>
      </c>
      <c r="C33" s="28">
        <f>SUMIF(RAW_DEATHS!$B:$B,Tabelle28[[#This Row],[Country/Region]],RAW_DEATHS!D:D)</f>
        <v>0</v>
      </c>
      <c r="D33" s="28">
        <f>SUMIF(RAW_DEATHS!$B:$B,Tabelle28[[#This Row],[Country/Region]],RAW_DEATHS!E:E)</f>
        <v>0</v>
      </c>
      <c r="E33" s="28">
        <f>SUMIF(RAW_DEATHS!$B:$B,Tabelle28[[#This Row],[Country/Region]],RAW_DEATHS!F:F)</f>
        <v>0</v>
      </c>
      <c r="F33" s="28">
        <f>SUMIF(RAW_DEATHS!$B:$B,Tabelle28[[#This Row],[Country/Region]],RAW_DEATHS!G:G)</f>
        <v>0</v>
      </c>
      <c r="G33" s="28">
        <f>SUMIF(RAW_DEATHS!$B:$B,Tabelle28[[#This Row],[Country/Region]],RAW_DEATHS!H:H)</f>
        <v>0</v>
      </c>
      <c r="H33" s="28">
        <f>SUMIF(RAW_DEATHS!$B:$B,Tabelle28[[#This Row],[Country/Region]],RAW_DEATHS!I:I)</f>
        <v>0</v>
      </c>
      <c r="I33" s="28">
        <f>SUMIF(RAW_DEATHS!$B:$B,Tabelle28[[#This Row],[Country/Region]],RAW_DEATHS!J:J)</f>
        <v>0</v>
      </c>
      <c r="J33" s="28">
        <f>SUMIF(RAW_DEATHS!$B:$B,Tabelle28[[#This Row],[Country/Region]],RAW_DEATHS!K:K)</f>
        <v>0</v>
      </c>
      <c r="K33" s="28">
        <f>SUMIF(RAW_DEATHS!$B:$B,Tabelle28[[#This Row],[Country/Region]],RAW_DEATHS!L:L)</f>
        <v>0</v>
      </c>
      <c r="L33" s="28">
        <f>SUMIF(RAW_DEATHS!$B:$B,Tabelle28[[#This Row],[Country/Region]],RAW_DEATHS!M:M)</f>
        <v>0</v>
      </c>
      <c r="M33" s="28">
        <f>SUMIF(RAW_DEATHS!$B:$B,Tabelle28[[#This Row],[Country/Region]],RAW_DEATHS!N:N)</f>
        <v>0</v>
      </c>
      <c r="N33" s="28">
        <f>SUMIF(RAW_DEATHS!$B:$B,Tabelle28[[#This Row],[Country/Region]],RAW_DEATHS!O:O)</f>
        <v>0</v>
      </c>
      <c r="O33" s="28">
        <f>SUMIF(RAW_DEATHS!$B:$B,Tabelle28[[#This Row],[Country/Region]],RAW_DEATHS!P:P)</f>
        <v>0</v>
      </c>
      <c r="P33" s="28">
        <f>SUMIF(RAW_DEATHS!$B:$B,Tabelle28[[#This Row],[Country/Region]],RAW_DEATHS!Q:Q)</f>
        <v>0</v>
      </c>
      <c r="Q33" s="28">
        <f>SUMIF(RAW_DEATHS!$B:$B,Tabelle28[[#This Row],[Country/Region]],RAW_DEATHS!R:R)</f>
        <v>0</v>
      </c>
      <c r="R33" s="28">
        <f>SUMIF(RAW_DEATHS!$B:$B,Tabelle28[[#This Row],[Country/Region]],RAW_DEATHS!S:S)</f>
        <v>0</v>
      </c>
      <c r="S33" s="28">
        <f>SUMIF(RAW_DEATHS!$B:$B,Tabelle28[[#This Row],[Country/Region]],RAW_DEATHS!T:T)</f>
        <v>0</v>
      </c>
      <c r="T33" s="28">
        <f>SUMIF(RAW_DEATHS!$B:$B,Tabelle28[[#This Row],[Country/Region]],RAW_DEATHS!U:U)</f>
        <v>0</v>
      </c>
      <c r="U33" s="28">
        <f>SUMIF(RAW_DEATHS!$B:$B,Tabelle28[[#This Row],[Country/Region]],RAW_DEATHS!V:V)</f>
        <v>0</v>
      </c>
      <c r="V33" s="28">
        <f>SUMIF(RAW_DEATHS!$B:$B,Tabelle28[[#This Row],[Country/Region]],RAW_DEATHS!W:W)</f>
        <v>0</v>
      </c>
      <c r="W33" s="28">
        <f>SUMIF(RAW_DEATHS!$B:$B,Tabelle28[[#This Row],[Country/Region]],RAW_DEATHS!X:X)</f>
        <v>0</v>
      </c>
      <c r="X33" s="28">
        <f>SUMIF(RAW_DEATHS!$B:$B,Tabelle28[[#This Row],[Country/Region]],RAW_DEATHS!Y:Y)</f>
        <v>0</v>
      </c>
      <c r="Y33" s="28">
        <f>SUMIF(RAW_DEATHS!$B:$B,Tabelle28[[#This Row],[Country/Region]],RAW_DEATHS!Z:Z)</f>
        <v>0</v>
      </c>
      <c r="Z33" s="28">
        <f>SUMIF(RAW_DEATHS!$B:$B,Tabelle28[[#This Row],[Country/Region]],RAW_DEATHS!AA:AA)</f>
        <v>1</v>
      </c>
      <c r="AA33" s="28">
        <f>SUMIF(RAW_DEATHS!$B:$B,Tabelle28[[#This Row],[Country/Region]],RAW_DEATHS!AB:AB)</f>
        <v>1</v>
      </c>
      <c r="AB33" s="28">
        <f>SUMIF(RAW_DEATHS!$B:$B,Tabelle28[[#This Row],[Country/Region]],RAW_DEATHS!AC:AC)</f>
        <v>1</v>
      </c>
      <c r="AC33" s="28">
        <f>SUMIF(RAW_DEATHS!$B:$B,Tabelle28[[#This Row],[Country/Region]],RAW_DEATHS!AD:AD)</f>
        <v>1</v>
      </c>
      <c r="AD33" s="28">
        <f>SUMIF(RAW_DEATHS!$B:$B,Tabelle28[[#This Row],[Country/Region]],RAW_DEATHS!AE:AE)</f>
        <v>1</v>
      </c>
      <c r="AE33" s="28">
        <f>SUMIF(RAW_DEATHS!$B:$B,Tabelle28[[#This Row],[Country/Region]],RAW_DEATHS!AF:AF)</f>
        <v>1</v>
      </c>
      <c r="AF33" s="28">
        <f>SUMIF(RAW_DEATHS!$B:$B,Tabelle28[[#This Row],[Country/Region]],RAW_DEATHS!AG:AG)</f>
        <v>1</v>
      </c>
      <c r="AG33" s="28">
        <f>SUMIF(RAW_DEATHS!$B:$B,Tabelle28[[#This Row],[Country/Region]],RAW_DEATHS!AH:AH)</f>
        <v>1</v>
      </c>
      <c r="AH33" s="28">
        <f>SUMIF(RAW_DEATHS!$B:$B,Tabelle28[[#This Row],[Country/Region]],RAW_DEATHS!AI:AI)</f>
        <v>1</v>
      </c>
      <c r="AI33" s="28">
        <f>SUMIF(RAW_DEATHS!$B:$B,Tabelle28[[#This Row],[Country/Region]],RAW_DEATHS!AJ:AJ)</f>
        <v>1</v>
      </c>
      <c r="AJ33" s="28">
        <f>SUMIF(RAW_DEATHS!$B:$B,Tabelle28[[#This Row],[Country/Region]],RAW_DEATHS!AK:AK)</f>
        <v>1</v>
      </c>
      <c r="AK33" s="28">
        <f>SUMIF(RAW_DEATHS!$B:$B,Tabelle28[[#This Row],[Country/Region]],RAW_DEATHS!AL:AL)</f>
        <v>2</v>
      </c>
      <c r="AL33" s="28">
        <f>SUMIF(RAW_DEATHS!$B:$B,Tabelle28[[#This Row],[Country/Region]],RAW_DEATHS!AM:AM)</f>
        <v>2</v>
      </c>
      <c r="AM33" s="28">
        <f>SUMIF(RAW_DEATHS!$B:$B,Tabelle28[[#This Row],[Country/Region]],RAW_DEATHS!AN:AN)</f>
        <v>2</v>
      </c>
      <c r="AN33" s="28">
        <f>SUMIF(RAW_DEATHS!$B:$B,Tabelle28[[#This Row],[Country/Region]],RAW_DEATHS!AO:AO)</f>
        <v>2</v>
      </c>
      <c r="AO33" s="28">
        <f>SUMIF(RAW_DEATHS!$B:$B,Tabelle28[[#This Row],[Country/Region]],RAW_DEATHS!AP:AP)</f>
        <v>2</v>
      </c>
      <c r="AP33" s="28">
        <f>SUMIF(RAW_DEATHS!$B:$B,Tabelle28[[#This Row],[Country/Region]],RAW_DEATHS!AQ:AQ)</f>
        <v>3</v>
      </c>
      <c r="AQ33" s="28">
        <f>SUMIF(RAW_DEATHS!$B:$B,Tabelle28[[#This Row],[Country/Region]],RAW_DEATHS!AR:AR)</f>
        <v>4</v>
      </c>
      <c r="AR33" s="28">
        <f>SUMIF(RAW_DEATHS!$B:$B,Tabelle28[[#This Row],[Country/Region]],RAW_DEATHS!AS:AS)</f>
        <v>4</v>
      </c>
      <c r="AS33" s="28">
        <f>SUMIF(RAW_DEATHS!$B:$B,Tabelle28[[#This Row],[Country/Region]],RAW_DEATHS!AT:AT)</f>
        <v>6</v>
      </c>
      <c r="AT33" s="28">
        <f>SUMIF(RAW_DEATHS!$B:$B,Tabelle28[[#This Row],[Country/Region]],RAW_DEATHS!AU:AU)</f>
        <v>9</v>
      </c>
      <c r="AU33" s="28">
        <f>SUMIF(RAW_DEATHS!$B:$B,Tabelle28[[#This Row],[Country/Region]],RAW_DEATHS!AV:AV)</f>
        <v>11</v>
      </c>
      <c r="AV33" s="28">
        <f>SUMIF(RAW_DEATHS!$B:$B,Tabelle28[[#This Row],[Country/Region]],RAW_DEATHS!AW:AW)</f>
        <v>19</v>
      </c>
      <c r="AW33" s="28">
        <f>SUMIF(RAW_DEATHS!$B:$B,Tabelle28[[#This Row],[Country/Region]],RAW_DEATHS!AX:AX)</f>
        <v>19</v>
      </c>
      <c r="AX33" s="28">
        <f>SUMIF(RAW_DEATHS!$B:$B,Tabelle28[[#This Row],[Country/Region]],RAW_DEATHS!AY:AY)</f>
        <v>33</v>
      </c>
      <c r="AY33" s="28">
        <f>SUMIF(RAW_DEATHS!$B:$B,Tabelle28[[#This Row],[Country/Region]],RAW_DEATHS!AZ:AZ)</f>
        <v>48</v>
      </c>
      <c r="AZ33" s="28">
        <f>SUMIF(RAW_DEATHS!$B:$B,Tabelle28[[#This Row],[Country/Region]],RAW_DEATHS!BA:BA)</f>
        <v>48</v>
      </c>
      <c r="BA33" s="28">
        <f>SUMIF(RAW_DEATHS!$B:$B,Tabelle28[[#This Row],[Country/Region]],RAW_DEATHS!BB:BB)</f>
        <v>79</v>
      </c>
      <c r="BB33" s="28">
        <f>SUMIF(RAW_DEATHS!$B:$B,Tabelle28[[#This Row],[Country/Region]],RAW_DEATHS!BC:BC)</f>
        <v>91</v>
      </c>
      <c r="BC33" s="28">
        <f>SUMIF(RAW_DEATHS!$B:$B,Tabelle28[[#This Row],[Country/Region]],RAW_DEATHS!BD:BD)</f>
        <v>91</v>
      </c>
      <c r="BD33" s="28">
        <f>SUMIF(RAW_DEATHS!$B:$B,Tabelle28[[#This Row],[Country/Region]],RAW_DEATHS!BE:BE)</f>
        <v>149</v>
      </c>
      <c r="BE33" s="28">
        <f>SUMIF(RAW_DEATHS!$B:$B,Tabelle28[[#This Row],[Country/Region]],RAW_DEATHS!BF:BF)</f>
        <v>149</v>
      </c>
      <c r="BF33" s="28">
        <f>SUMIF(RAW_DEATHS!$B:$B,Tabelle28[[#This Row],[Country/Region]],RAW_DEATHS!BG:BG)</f>
        <v>149</v>
      </c>
      <c r="BG33" s="28">
        <f>SUMIF(RAW_DEATHS!$B:$B,Tabelle28[[#This Row],[Country/Region]],RAW_DEATHS!BH:BH)</f>
        <v>244</v>
      </c>
      <c r="BH33" s="28">
        <f>SUMIF(RAW_DEATHS!$B:$B,Tabelle28[[#This Row],[Country/Region]],RAW_DEATHS!BI:BI)</f>
        <v>451</v>
      </c>
      <c r="BI33" s="28">
        <f>SUMIF(RAW_DEATHS!$B:$B,Tabelle28[[#This Row],[Country/Region]],RAW_DEATHS!BJ:BJ)</f>
        <v>563</v>
      </c>
      <c r="BJ33" s="28">
        <f>SUMIF(RAW_DEATHS!$B:$B,Tabelle28[[#This Row],[Country/Region]],RAW_DEATHS!BK:BK)</f>
        <v>676</v>
      </c>
      <c r="BK33" s="28">
        <f>SUMIF(RAW_DEATHS!$B:$B,Tabelle28[[#This Row],[Country/Region]],RAW_DEATHS!BL:BL)</f>
        <v>862</v>
      </c>
      <c r="BL33" s="28">
        <f>SUMIF(RAW_DEATHS!$B:$B,Tabelle28[[#This Row],[Country/Region]],RAW_DEATHS!BM:BM)</f>
        <v>1102</v>
      </c>
      <c r="BM33" s="28">
        <f>SUMIF(RAW_DEATHS!$B:$B,Tabelle28[[#This Row],[Country/Region]],RAW_DEATHS!BN:BN)</f>
        <v>1333</v>
      </c>
      <c r="BN33" s="28">
        <f>SUMIF(RAW_DEATHS!$B:$B,Tabelle28[[#This Row],[Country/Region]],RAW_DEATHS!BO:BO)</f>
        <v>1698</v>
      </c>
      <c r="BO33" s="28">
        <f>SUMIF(RAW_DEATHS!$B:$B,Tabelle28[[#This Row],[Country/Region]],RAW_DEATHS!BP:BP)</f>
        <v>1997</v>
      </c>
      <c r="BP33" s="28">
        <f>SUMIF(RAW_DEATHS!$B:$B,Tabelle28[[#This Row],[Country/Region]],RAW_DEATHS!BQ:BQ)</f>
        <v>2317</v>
      </c>
      <c r="BQ33" s="28">
        <f>SUMIF(RAW_DEATHS!$B:$B,Tabelle28[[#This Row],[Country/Region]],RAW_DEATHS!BR:BR)</f>
        <v>2611</v>
      </c>
      <c r="BR33" s="28">
        <f>SUMIF(RAW_DEATHS!$B:$B,Tabelle28[[#This Row],[Country/Region]],RAW_DEATHS!BS:BS)</f>
        <v>3030</v>
      </c>
      <c r="BS33" s="28">
        <f>SUMIF(RAW_DEATHS!$B:$B,Tabelle28[[#This Row],[Country/Region]],RAW_DEATHS!BT:BT)</f>
        <v>0</v>
      </c>
      <c r="BT33" s="28">
        <f>SUMIF(RAW_DEATHS!$B:$B,Tabelle28[[#This Row],[Country/Region]],RAW_DEATHS!BU:BU)</f>
        <v>0</v>
      </c>
      <c r="BU33" s="28">
        <f>SUMIF(RAW_DEATHS!$B:$B,Tabelle28[[#This Row],[Country/Region]],RAW_DEATHS!BV:BV)</f>
        <v>0</v>
      </c>
      <c r="BV33" s="28">
        <f>SUMIF(RAW_DEATHS!$B:$B,Tabelle28[[#This Row],[Country/Region]],RAW_DEATHS!BW:BW)</f>
        <v>0</v>
      </c>
      <c r="BW33" s="28">
        <f>SUMIF(RAW_DEATHS!$B:$B,Tabelle28[[#This Row],[Country/Region]],RAW_DEATHS!BX:BX)</f>
        <v>0</v>
      </c>
      <c r="BX33" s="28">
        <f>SUMIF(RAW_DEATHS!$B:$B,Tabelle28[[#This Row],[Country/Region]],RAW_DEATHS!BY:BY)</f>
        <v>0</v>
      </c>
      <c r="BY33" s="28">
        <f>SUMIF(RAW_DEATHS!$B:$B,Tabelle28[[#This Row],[Country/Region]],RAW_DEATHS!BZ:BZ)</f>
        <v>0</v>
      </c>
      <c r="BZ33" s="28">
        <f>SUMIF(RAW_DEATHS!$B:$B,Tabelle28[[#This Row],[Country/Region]],RAW_DEATHS!CA:CA)</f>
        <v>0</v>
      </c>
      <c r="CA33" s="28">
        <f>SUMIF(RAW_DEATHS!$B:$B,Tabelle28[[#This Row],[Country/Region]],RAW_DEATHS!CB:CB)</f>
        <v>0</v>
      </c>
      <c r="CB33" s="28">
        <f>SUMIF(RAW_DEATHS!$B:$B,Tabelle28[[#This Row],[Country/Region]],RAW_DEATHS!CC:CC)</f>
        <v>0</v>
      </c>
      <c r="CC33" s="28">
        <f>SUMIF(RAW_DEATHS!$B:$B,Tabelle28[[#This Row],[Country/Region]],RAW_DEATHS!CD:CD)</f>
        <v>0</v>
      </c>
      <c r="CD33" s="28">
        <f>SUMIF(RAW_DEATHS!$B:$B,Tabelle28[[#This Row],[Country/Region]],RAW_DEATHS!CE:CE)</f>
        <v>0</v>
      </c>
      <c r="CE33" s="28">
        <f>SUMIF(RAW_DEATHS!$B:$B,Tabelle28[[#This Row],[Country/Region]],RAW_DEATHS!CF:CF)</f>
        <v>0</v>
      </c>
    </row>
    <row r="34" spans="1:87" s="17" customFormat="1" ht="12" x14ac:dyDescent="0.2">
      <c r="A34" s="17" t="s">
        <v>240</v>
      </c>
      <c r="B34" s="8">
        <f>SUM(RAW_DEATHS!C:C)</f>
        <v>17</v>
      </c>
      <c r="C34" s="8">
        <f>SUM(RAW_DEATHS!D:D)</f>
        <v>18</v>
      </c>
      <c r="D34" s="8">
        <f>SUM(RAW_DEATHS!E:E)</f>
        <v>26</v>
      </c>
      <c r="E34" s="8">
        <f>SUM(RAW_DEATHS!F:F)</f>
        <v>42</v>
      </c>
      <c r="F34" s="8">
        <f>SUM(RAW_DEATHS!G:G)</f>
        <v>56</v>
      </c>
      <c r="G34" s="8">
        <f>SUM(RAW_DEATHS!H:H)</f>
        <v>82</v>
      </c>
      <c r="H34" s="8">
        <f>SUM(RAW_DEATHS!I:I)</f>
        <v>131</v>
      </c>
      <c r="I34" s="8">
        <f>SUM(RAW_DEATHS!J:J)</f>
        <v>133</v>
      </c>
      <c r="J34" s="8">
        <f>SUM(RAW_DEATHS!K:K)</f>
        <v>171</v>
      </c>
      <c r="K34" s="8">
        <f>SUM(RAW_DEATHS!L:L)</f>
        <v>213</v>
      </c>
      <c r="L34" s="8">
        <f>SUM(RAW_DEATHS!M:M)</f>
        <v>259</v>
      </c>
      <c r="M34" s="8">
        <f>SUM(RAW_DEATHS!N:N)</f>
        <v>362</v>
      </c>
      <c r="N34" s="8">
        <f>SUM(RAW_DEATHS!O:O)</f>
        <v>426</v>
      </c>
      <c r="O34" s="8">
        <f>SUM(RAW_DEATHS!P:P)</f>
        <v>492</v>
      </c>
      <c r="P34" s="8">
        <f>SUM(RAW_DEATHS!Q:Q)</f>
        <v>564</v>
      </c>
      <c r="Q34" s="8">
        <f>SUM(RAW_DEATHS!R:R)</f>
        <v>634</v>
      </c>
      <c r="R34" s="8">
        <f>SUM(RAW_DEATHS!S:S)</f>
        <v>719</v>
      </c>
      <c r="S34" s="8">
        <f>SUM(RAW_DEATHS!T:T)</f>
        <v>806</v>
      </c>
      <c r="T34" s="8">
        <f>SUM(RAW_DEATHS!U:U)</f>
        <v>906</v>
      </c>
      <c r="U34" s="8">
        <f>SUM(RAW_DEATHS!V:V)</f>
        <v>1013</v>
      </c>
      <c r="V34" s="8">
        <f>SUM(RAW_DEATHS!W:W)</f>
        <v>1113</v>
      </c>
      <c r="W34" s="8">
        <f>SUM(RAW_DEATHS!X:X)</f>
        <v>1118</v>
      </c>
      <c r="X34" s="8">
        <f>SUM(RAW_DEATHS!Y:Y)</f>
        <v>1371</v>
      </c>
      <c r="Y34" s="8">
        <f>SUM(RAW_DEATHS!Z:Z)</f>
        <v>1523</v>
      </c>
      <c r="Z34" s="8">
        <f>SUM(RAW_DEATHS!AA:AA)</f>
        <v>1666</v>
      </c>
      <c r="AA34" s="8">
        <f>SUM(RAW_DEATHS!AB:AB)</f>
        <v>1770</v>
      </c>
      <c r="AB34" s="8">
        <f>SUM(RAW_DEATHS!AC:AC)</f>
        <v>1868</v>
      </c>
      <c r="AC34" s="8">
        <f>SUM(RAW_DEATHS!AD:AD)</f>
        <v>2007</v>
      </c>
      <c r="AD34" s="8">
        <f>SUM(RAW_DEATHS!AE:AE)</f>
        <v>2122</v>
      </c>
      <c r="AE34" s="8">
        <f>SUM(RAW_DEATHS!AF:AF)</f>
        <v>2247</v>
      </c>
      <c r="AF34" s="8">
        <f>SUM(RAW_DEATHS!AG:AG)</f>
        <v>2251</v>
      </c>
      <c r="AG34" s="8">
        <f>SUM(RAW_DEATHS!AH:AH)</f>
        <v>2458</v>
      </c>
      <c r="AH34" s="8">
        <f>SUM(RAW_DEATHS!AI:AI)</f>
        <v>2469</v>
      </c>
      <c r="AI34" s="8">
        <f>SUM(RAW_DEATHS!AJ:AJ)</f>
        <v>2629</v>
      </c>
      <c r="AJ34" s="8">
        <f>SUM(RAW_DEATHS!AK:AK)</f>
        <v>2708</v>
      </c>
      <c r="AK34" s="8">
        <f>SUM(RAW_DEATHS!AL:AL)</f>
        <v>2770</v>
      </c>
      <c r="AL34" s="8">
        <f>SUM(RAW_DEATHS!AM:AM)</f>
        <v>2814</v>
      </c>
      <c r="AM34" s="8">
        <f>SUM(RAW_DEATHS!AN:AN)</f>
        <v>2872</v>
      </c>
      <c r="AN34" s="8">
        <f>SUM(RAW_DEATHS!AO:AO)</f>
        <v>2941</v>
      </c>
      <c r="AO34" s="8">
        <f>SUM(RAW_DEATHS!AP:AP)</f>
        <v>2996</v>
      </c>
      <c r="AP34" s="8">
        <f>SUM(RAW_DEATHS!AQ:AQ)</f>
        <v>3085</v>
      </c>
      <c r="AQ34" s="8">
        <f>SUM(RAW_DEATHS!AR:AR)</f>
        <v>3160</v>
      </c>
      <c r="AR34" s="8">
        <f>SUM(RAW_DEATHS!AS:AS)</f>
        <v>3254</v>
      </c>
      <c r="AS34" s="8">
        <f>SUM(RAW_DEATHS!AT:AT)</f>
        <v>3348</v>
      </c>
      <c r="AT34" s="8">
        <f>SUM(RAW_DEATHS!AU:AU)</f>
        <v>3460</v>
      </c>
      <c r="AU34" s="8">
        <f>SUM(RAW_DEATHS!AV:AV)</f>
        <v>3558</v>
      </c>
      <c r="AV34" s="8">
        <f>SUM(RAW_DEATHS!AW:AW)</f>
        <v>3802</v>
      </c>
      <c r="AW34" s="8">
        <f>SUM(RAW_DEATHS!AX:AX)</f>
        <v>3988</v>
      </c>
      <c r="AX34" s="8">
        <f>SUM(RAW_DEATHS!AY:AY)</f>
        <v>4262</v>
      </c>
      <c r="AY34" s="8">
        <f>SUM(RAW_DEATHS!AZ:AZ)</f>
        <v>4615</v>
      </c>
      <c r="AZ34" s="8">
        <f>SUM(RAW_DEATHS!BA:BA)</f>
        <v>4720</v>
      </c>
      <c r="BA34" s="8">
        <f>SUM(RAW_DEATHS!BB:BB)</f>
        <v>5404</v>
      </c>
      <c r="BB34" s="8">
        <f>SUM(RAW_DEATHS!BC:BC)</f>
        <v>5819</v>
      </c>
      <c r="BC34" s="8">
        <f>SUM(RAW_DEATHS!BD:BD)</f>
        <v>6440</v>
      </c>
      <c r="BD34" s="8">
        <f>SUM(RAW_DEATHS!BE:BE)</f>
        <v>7126</v>
      </c>
      <c r="BE34" s="8">
        <f>SUM(RAW_DEATHS!BF:BF)</f>
        <v>7905</v>
      </c>
      <c r="BF34" s="8">
        <f>SUM(RAW_DEATHS!BG:BG)</f>
        <v>8733</v>
      </c>
      <c r="BG34" s="8">
        <f>SUM(RAW_DEATHS!BH:BH)</f>
        <v>9867</v>
      </c>
      <c r="BH34" s="8">
        <f>SUM(RAW_DEATHS!BI:BI)</f>
        <v>11299</v>
      </c>
      <c r="BI34" s="8">
        <f>SUM(RAW_DEATHS!BJ:BJ)</f>
        <v>12973</v>
      </c>
      <c r="BJ34" s="8">
        <f>SUM(RAW_DEATHS!BK:BK)</f>
        <v>14651</v>
      </c>
      <c r="BK34" s="8">
        <f>SUM(RAW_DEATHS!BL:BL)</f>
        <v>16505</v>
      </c>
      <c r="BL34" s="8">
        <f>SUM(RAW_DEATHS!BM:BM)</f>
        <v>18625</v>
      </c>
      <c r="BM34" s="8">
        <f>SUM(RAW_DEATHS!BN:BN)</f>
        <v>21181</v>
      </c>
      <c r="BN34" s="8">
        <f>SUM(RAW_DEATHS!BO:BO)</f>
        <v>23970</v>
      </c>
      <c r="BO34" s="8">
        <f>SUM(RAW_DEATHS!BP:BP)</f>
        <v>27198</v>
      </c>
      <c r="BP34" s="8">
        <f>SUM(RAW_DEATHS!BQ:BQ)</f>
        <v>30652</v>
      </c>
      <c r="BQ34" s="8">
        <f>SUM(RAW_DEATHS!BR:BR)</f>
        <v>33925</v>
      </c>
      <c r="BR34" s="8">
        <f>SUM(RAW_DEATHS!BS:BS)</f>
        <v>37582</v>
      </c>
      <c r="BS34" s="8">
        <f>SUM(RAW_DEATHS!BT:BT)</f>
        <v>0</v>
      </c>
      <c r="BT34" s="8">
        <f>SUM(RAW_DEATHS!BU:BU)</f>
        <v>0</v>
      </c>
      <c r="BU34" s="8">
        <f>SUM(RAW_DEATHS!BV:BV)</f>
        <v>0</v>
      </c>
      <c r="BV34" s="8">
        <f>SUM(RAW_DEATHS!BW:BW)</f>
        <v>0</v>
      </c>
      <c r="BW34" s="8">
        <f>SUM(RAW_DEATHS!BX:BX)</f>
        <v>0</v>
      </c>
      <c r="BX34" s="8">
        <f>SUM(RAW_DEATHS!BY:BY)</f>
        <v>0</v>
      </c>
      <c r="BY34" s="8">
        <f>SUM(RAW_DEATHS!BZ:BZ)</f>
        <v>0</v>
      </c>
      <c r="BZ34" s="8">
        <f>SUM(RAW_DEATHS!CA:CA)</f>
        <v>0</v>
      </c>
      <c r="CA34" s="8">
        <f>SUM(RAW_DEATHS!CB:CB)</f>
        <v>0</v>
      </c>
      <c r="CB34" s="8">
        <f>SUM(RAW_DEATHS!CC:CC)</f>
        <v>0</v>
      </c>
      <c r="CC34" s="8">
        <f>SUM(RAW_DEATHS!CD:CD)</f>
        <v>0</v>
      </c>
      <c r="CD34" s="8">
        <f>SUM(RAW_DEATHS!CE:CE)</f>
        <v>0</v>
      </c>
      <c r="CE34" s="8">
        <f>SUM(RAW_DEATHS!CF:CF)</f>
        <v>0</v>
      </c>
      <c r="CF34" s="8">
        <f>SUM(RAW_DEATHS!CG:CG)</f>
        <v>0</v>
      </c>
      <c r="CG34" s="8">
        <f>SUM(RAW_DEATHS!CH:CH)</f>
        <v>0</v>
      </c>
      <c r="CH34" s="8">
        <f>SUM(RAW_DEATHS!CI:CI)</f>
        <v>0</v>
      </c>
      <c r="CI34" s="8">
        <f>SUM(RAW_DEATHS!CJ:CJ)</f>
        <v>0</v>
      </c>
    </row>
    <row r="35" spans="1:87" s="18" customFormat="1" x14ac:dyDescent="0.25">
      <c r="B35" s="19"/>
    </row>
    <row r="36" spans="1:87" s="16" customFormat="1" ht="29.25" customHeight="1" x14ac:dyDescent="0.25">
      <c r="A36" s="14" t="s">
        <v>243</v>
      </c>
      <c r="B36" s="15"/>
    </row>
    <row r="37" spans="1:87" s="29" customFormat="1" ht="25.5" customHeight="1" x14ac:dyDescent="0.25">
      <c r="A37" s="22" t="s">
        <v>0</v>
      </c>
      <c r="B37" s="29" t="s">
        <v>246</v>
      </c>
      <c r="C37" s="29" t="s">
        <v>247</v>
      </c>
      <c r="D37" s="29" t="s">
        <v>248</v>
      </c>
      <c r="E37" s="29" t="s">
        <v>249</v>
      </c>
      <c r="F37" s="29" t="s">
        <v>250</v>
      </c>
      <c r="G37" s="29" t="s">
        <v>251</v>
      </c>
      <c r="H37" s="29" t="s">
        <v>252</v>
      </c>
      <c r="I37" s="29" t="s">
        <v>253</v>
      </c>
      <c r="J37" s="29" t="s">
        <v>254</v>
      </c>
      <c r="K37" s="29" t="s">
        <v>255</v>
      </c>
      <c r="L37" s="29" t="s">
        <v>256</v>
      </c>
      <c r="M37" s="29" t="s">
        <v>257</v>
      </c>
      <c r="N37" s="29" t="s">
        <v>258</v>
      </c>
      <c r="O37" s="29" t="s">
        <v>259</v>
      </c>
      <c r="P37" s="29" t="s">
        <v>260</v>
      </c>
      <c r="Q37" s="29" t="s">
        <v>261</v>
      </c>
      <c r="R37" s="29" t="s">
        <v>262</v>
      </c>
      <c r="S37" s="29" t="s">
        <v>263</v>
      </c>
      <c r="T37" s="29" t="s">
        <v>264</v>
      </c>
      <c r="U37" s="29" t="s">
        <v>265</v>
      </c>
      <c r="V37" s="29" t="s">
        <v>266</v>
      </c>
      <c r="W37" s="29" t="s">
        <v>267</v>
      </c>
      <c r="X37" s="29" t="s">
        <v>268</v>
      </c>
      <c r="Y37" s="29" t="s">
        <v>269</v>
      </c>
      <c r="Z37" s="29" t="s">
        <v>270</v>
      </c>
      <c r="AA37" s="29" t="s">
        <v>271</v>
      </c>
      <c r="AB37" s="29" t="s">
        <v>272</v>
      </c>
      <c r="AC37" s="29" t="s">
        <v>273</v>
      </c>
      <c r="AD37" s="29" t="s">
        <v>274</v>
      </c>
      <c r="AE37" s="29" t="s">
        <v>275</v>
      </c>
      <c r="AF37" s="29" t="s">
        <v>276</v>
      </c>
      <c r="AG37" s="29" t="s">
        <v>277</v>
      </c>
      <c r="AH37" s="29" t="s">
        <v>278</v>
      </c>
      <c r="AI37" s="29" t="s">
        <v>279</v>
      </c>
      <c r="AJ37" s="29" t="s">
        <v>280</v>
      </c>
      <c r="AK37" s="29" t="s">
        <v>281</v>
      </c>
      <c r="AL37" s="29" t="s">
        <v>282</v>
      </c>
      <c r="AM37" s="29" t="s">
        <v>283</v>
      </c>
      <c r="AN37" s="29" t="s">
        <v>284</v>
      </c>
      <c r="AO37" s="29" t="s">
        <v>285</v>
      </c>
      <c r="AP37" s="29" t="s">
        <v>286</v>
      </c>
      <c r="AQ37" s="29" t="s">
        <v>287</v>
      </c>
      <c r="AR37" s="29" t="s">
        <v>288</v>
      </c>
      <c r="AS37" s="29" t="s">
        <v>289</v>
      </c>
      <c r="AT37" s="29" t="s">
        <v>290</v>
      </c>
      <c r="AU37" s="29" t="s">
        <v>291</v>
      </c>
      <c r="AV37" s="29" t="s">
        <v>292</v>
      </c>
      <c r="AW37" s="29" t="s">
        <v>293</v>
      </c>
      <c r="AX37" s="29" t="s">
        <v>294</v>
      </c>
      <c r="AY37" s="29" t="s">
        <v>295</v>
      </c>
      <c r="AZ37" s="29" t="s">
        <v>296</v>
      </c>
      <c r="BA37" s="29" t="s">
        <v>297</v>
      </c>
      <c r="BB37" s="29" t="s">
        <v>298</v>
      </c>
      <c r="BC37" s="29" t="s">
        <v>299</v>
      </c>
      <c r="BD37" s="29" t="s">
        <v>300</v>
      </c>
      <c r="BE37" s="29" t="s">
        <v>301</v>
      </c>
      <c r="BF37" s="29" t="s">
        <v>302</v>
      </c>
      <c r="BG37" s="29" t="s">
        <v>303</v>
      </c>
      <c r="BH37" s="29" t="s">
        <v>304</v>
      </c>
      <c r="BI37" s="29" t="s">
        <v>305</v>
      </c>
      <c r="BJ37" s="29" t="s">
        <v>306</v>
      </c>
      <c r="BK37" s="29" t="s">
        <v>308</v>
      </c>
      <c r="BL37" s="29" t="s">
        <v>309</v>
      </c>
      <c r="BM37" s="29" t="s">
        <v>310</v>
      </c>
      <c r="BN37" s="29" t="s">
        <v>311</v>
      </c>
      <c r="BO37" s="29" t="s">
        <v>312</v>
      </c>
      <c r="BP37" s="29" t="s">
        <v>313</v>
      </c>
      <c r="BQ37" s="29" t="s">
        <v>314</v>
      </c>
      <c r="BR37" s="29" t="s">
        <v>315</v>
      </c>
      <c r="BS37" s="29" t="s">
        <v>316</v>
      </c>
      <c r="BT37" s="29" t="s">
        <v>317</v>
      </c>
      <c r="BU37" s="29" t="s">
        <v>318</v>
      </c>
      <c r="BV37" s="29" t="s">
        <v>319</v>
      </c>
      <c r="BW37" s="29" t="s">
        <v>320</v>
      </c>
      <c r="BX37" s="29" t="s">
        <v>321</v>
      </c>
      <c r="BY37" s="29" t="s">
        <v>322</v>
      </c>
      <c r="BZ37" s="29" t="s">
        <v>323</v>
      </c>
      <c r="CA37" s="29" t="s">
        <v>324</v>
      </c>
      <c r="CB37" s="29" t="s">
        <v>325</v>
      </c>
      <c r="CC37" s="29" t="s">
        <v>326</v>
      </c>
      <c r="CD37" s="29" t="s">
        <v>327</v>
      </c>
      <c r="CE37" s="29" t="s">
        <v>328</v>
      </c>
    </row>
    <row r="38" spans="1:87" s="11" customFormat="1" ht="12.75" x14ac:dyDescent="0.2">
      <c r="A38" s="27" t="str">
        <f t="shared" ref="A38:A44" si="12">IF(ISBLANK(A27),"",A27)</f>
        <v>Germany</v>
      </c>
      <c r="B38" s="28">
        <f>SUMIF(RAW_RECOVERED!$B:$B,Tabelle289[[#This Row],[Country/Region]],RAW_RECOVERED!C:C)</f>
        <v>0</v>
      </c>
      <c r="C38" s="28">
        <f>SUMIF(RAW_RECOVERED!$B:$B,Tabelle289[[#This Row],[Country/Region]],RAW_RECOVERED!D:D)</f>
        <v>0</v>
      </c>
      <c r="D38" s="28">
        <f>SUMIF(RAW_RECOVERED!$B:$B,Tabelle289[[#This Row],[Country/Region]],RAW_RECOVERED!E:E)</f>
        <v>0</v>
      </c>
      <c r="E38" s="28">
        <f>SUMIF(RAW_RECOVERED!$B:$B,Tabelle289[[#This Row],[Country/Region]],RAW_RECOVERED!F:F)</f>
        <v>0</v>
      </c>
      <c r="F38" s="28">
        <f>SUMIF(RAW_RECOVERED!$B:$B,Tabelle289[[#This Row],[Country/Region]],RAW_RECOVERED!G:G)</f>
        <v>0</v>
      </c>
      <c r="G38" s="28">
        <f>SUMIF(RAW_RECOVERED!$B:$B,Tabelle289[[#This Row],[Country/Region]],RAW_RECOVERED!H:H)</f>
        <v>0</v>
      </c>
      <c r="H38" s="28">
        <f>SUMIF(RAW_RECOVERED!$B:$B,Tabelle289[[#This Row],[Country/Region]],RAW_RECOVERED!I:I)</f>
        <v>0</v>
      </c>
      <c r="I38" s="28">
        <f>SUMIF(RAW_RECOVERED!$B:$B,Tabelle289[[#This Row],[Country/Region]],RAW_RECOVERED!J:J)</f>
        <v>0</v>
      </c>
      <c r="J38" s="28">
        <f>SUMIF(RAW_RECOVERED!$B:$B,Tabelle289[[#This Row],[Country/Region]],RAW_RECOVERED!K:K)</f>
        <v>0</v>
      </c>
      <c r="K38" s="28">
        <f>SUMIF(RAW_RECOVERED!$B:$B,Tabelle289[[#This Row],[Country/Region]],RAW_RECOVERED!L:L)</f>
        <v>0</v>
      </c>
      <c r="L38" s="28">
        <f>SUMIF(RAW_RECOVERED!$B:$B,Tabelle289[[#This Row],[Country/Region]],RAW_RECOVERED!M:M)</f>
        <v>0</v>
      </c>
      <c r="M38" s="28">
        <f>SUMIF(RAW_RECOVERED!$B:$B,Tabelle289[[#This Row],[Country/Region]],RAW_RECOVERED!N:N)</f>
        <v>0</v>
      </c>
      <c r="N38" s="28">
        <f>SUMIF(RAW_RECOVERED!$B:$B,Tabelle289[[#This Row],[Country/Region]],RAW_RECOVERED!O:O)</f>
        <v>0</v>
      </c>
      <c r="O38" s="28">
        <f>SUMIF(RAW_RECOVERED!$B:$B,Tabelle289[[#This Row],[Country/Region]],RAW_RECOVERED!P:P)</f>
        <v>0</v>
      </c>
      <c r="P38" s="28">
        <f>SUMIF(RAW_RECOVERED!$B:$B,Tabelle289[[#This Row],[Country/Region]],RAW_RECOVERED!Q:Q)</f>
        <v>0</v>
      </c>
      <c r="Q38" s="28">
        <f>SUMIF(RAW_RECOVERED!$B:$B,Tabelle289[[#This Row],[Country/Region]],RAW_RECOVERED!R:R)</f>
        <v>0</v>
      </c>
      <c r="R38" s="28">
        <f>SUMIF(RAW_RECOVERED!$B:$B,Tabelle289[[#This Row],[Country/Region]],RAW_RECOVERED!S:S)</f>
        <v>0</v>
      </c>
      <c r="S38" s="28">
        <f>SUMIF(RAW_RECOVERED!$B:$B,Tabelle289[[#This Row],[Country/Region]],RAW_RECOVERED!T:T)</f>
        <v>0</v>
      </c>
      <c r="T38" s="28">
        <f>SUMIF(RAW_RECOVERED!$B:$B,Tabelle289[[#This Row],[Country/Region]],RAW_RECOVERED!U:U)</f>
        <v>0</v>
      </c>
      <c r="U38" s="28">
        <f>SUMIF(RAW_RECOVERED!$B:$B,Tabelle289[[#This Row],[Country/Region]],RAW_RECOVERED!V:V)</f>
        <v>0</v>
      </c>
      <c r="V38" s="28">
        <f>SUMIF(RAW_RECOVERED!$B:$B,Tabelle289[[#This Row],[Country/Region]],RAW_RECOVERED!W:W)</f>
        <v>0</v>
      </c>
      <c r="W38" s="28">
        <f>SUMIF(RAW_RECOVERED!$B:$B,Tabelle289[[#This Row],[Country/Region]],RAW_RECOVERED!X:X)</f>
        <v>0</v>
      </c>
      <c r="X38" s="28">
        <f>SUMIF(RAW_RECOVERED!$B:$B,Tabelle289[[#This Row],[Country/Region]],RAW_RECOVERED!Y:Y)</f>
        <v>1</v>
      </c>
      <c r="Y38" s="28">
        <f>SUMIF(RAW_RECOVERED!$B:$B,Tabelle289[[#This Row],[Country/Region]],RAW_RECOVERED!Z:Z)</f>
        <v>1</v>
      </c>
      <c r="Z38" s="28">
        <f>SUMIF(RAW_RECOVERED!$B:$B,Tabelle289[[#This Row],[Country/Region]],RAW_RECOVERED!AA:AA)</f>
        <v>1</v>
      </c>
      <c r="AA38" s="28">
        <f>SUMIF(RAW_RECOVERED!$B:$B,Tabelle289[[#This Row],[Country/Region]],RAW_RECOVERED!AB:AB)</f>
        <v>1</v>
      </c>
      <c r="AB38" s="28">
        <f>SUMIF(RAW_RECOVERED!$B:$B,Tabelle289[[#This Row],[Country/Region]],RAW_RECOVERED!AC:AC)</f>
        <v>1</v>
      </c>
      <c r="AC38" s="28">
        <f>SUMIF(RAW_RECOVERED!$B:$B,Tabelle289[[#This Row],[Country/Region]],RAW_RECOVERED!AD:AD)</f>
        <v>12</v>
      </c>
      <c r="AD38" s="28">
        <f>SUMIF(RAW_RECOVERED!$B:$B,Tabelle289[[#This Row],[Country/Region]],RAW_RECOVERED!AE:AE)</f>
        <v>12</v>
      </c>
      <c r="AE38" s="28">
        <f>SUMIF(RAW_RECOVERED!$B:$B,Tabelle289[[#This Row],[Country/Region]],RAW_RECOVERED!AF:AF)</f>
        <v>12</v>
      </c>
      <c r="AF38" s="28">
        <f>SUMIF(RAW_RECOVERED!$B:$B,Tabelle289[[#This Row],[Country/Region]],RAW_RECOVERED!AG:AG)</f>
        <v>14</v>
      </c>
      <c r="AG38" s="28">
        <f>SUMIF(RAW_RECOVERED!$B:$B,Tabelle289[[#This Row],[Country/Region]],RAW_RECOVERED!AH:AH)</f>
        <v>14</v>
      </c>
      <c r="AH38" s="28">
        <f>SUMIF(RAW_RECOVERED!$B:$B,Tabelle289[[#This Row],[Country/Region]],RAW_RECOVERED!AI:AI)</f>
        <v>14</v>
      </c>
      <c r="AI38" s="28">
        <f>SUMIF(RAW_RECOVERED!$B:$B,Tabelle289[[#This Row],[Country/Region]],RAW_RECOVERED!AJ:AJ)</f>
        <v>14</v>
      </c>
      <c r="AJ38" s="28">
        <f>SUMIF(RAW_RECOVERED!$B:$B,Tabelle289[[#This Row],[Country/Region]],RAW_RECOVERED!AK:AK)</f>
        <v>14</v>
      </c>
      <c r="AK38" s="28">
        <f>SUMIF(RAW_RECOVERED!$B:$B,Tabelle289[[#This Row],[Country/Region]],RAW_RECOVERED!AL:AL)</f>
        <v>15</v>
      </c>
      <c r="AL38" s="28">
        <f>SUMIF(RAW_RECOVERED!$B:$B,Tabelle289[[#This Row],[Country/Region]],RAW_RECOVERED!AM:AM)</f>
        <v>16</v>
      </c>
      <c r="AM38" s="28">
        <f>SUMIF(RAW_RECOVERED!$B:$B,Tabelle289[[#This Row],[Country/Region]],RAW_RECOVERED!AN:AN)</f>
        <v>16</v>
      </c>
      <c r="AN38" s="28">
        <f>SUMIF(RAW_RECOVERED!$B:$B,Tabelle289[[#This Row],[Country/Region]],RAW_RECOVERED!AO:AO)</f>
        <v>16</v>
      </c>
      <c r="AO38" s="28">
        <f>SUMIF(RAW_RECOVERED!$B:$B,Tabelle289[[#This Row],[Country/Region]],RAW_RECOVERED!AP:AP)</f>
        <v>16</v>
      </c>
      <c r="AP38" s="28">
        <f>SUMIF(RAW_RECOVERED!$B:$B,Tabelle289[[#This Row],[Country/Region]],RAW_RECOVERED!AQ:AQ)</f>
        <v>16</v>
      </c>
      <c r="AQ38" s="28">
        <f>SUMIF(RAW_RECOVERED!$B:$B,Tabelle289[[#This Row],[Country/Region]],RAW_RECOVERED!AR:AR)</f>
        <v>16</v>
      </c>
      <c r="AR38" s="28">
        <f>SUMIF(RAW_RECOVERED!$B:$B,Tabelle289[[#This Row],[Country/Region]],RAW_RECOVERED!AS:AS)</f>
        <v>16</v>
      </c>
      <c r="AS38" s="28">
        <f>SUMIF(RAW_RECOVERED!$B:$B,Tabelle289[[#This Row],[Country/Region]],RAW_RECOVERED!AT:AT)</f>
        <v>16</v>
      </c>
      <c r="AT38" s="28">
        <f>SUMIF(RAW_RECOVERED!$B:$B,Tabelle289[[#This Row],[Country/Region]],RAW_RECOVERED!AU:AU)</f>
        <v>17</v>
      </c>
      <c r="AU38" s="28">
        <f>SUMIF(RAW_RECOVERED!$B:$B,Tabelle289[[#This Row],[Country/Region]],RAW_RECOVERED!AV:AV)</f>
        <v>18</v>
      </c>
      <c r="AV38" s="28">
        <f>SUMIF(RAW_RECOVERED!$B:$B,Tabelle289[[#This Row],[Country/Region]],RAW_RECOVERED!AW:AW)</f>
        <v>18</v>
      </c>
      <c r="AW38" s="28">
        <f>SUMIF(RAW_RECOVERED!$B:$B,Tabelle289[[#This Row],[Country/Region]],RAW_RECOVERED!AX:AX)</f>
        <v>18</v>
      </c>
      <c r="AX38" s="28">
        <f>SUMIF(RAW_RECOVERED!$B:$B,Tabelle289[[#This Row],[Country/Region]],RAW_RECOVERED!AY:AY)</f>
        <v>18</v>
      </c>
      <c r="AY38" s="28">
        <f>SUMIF(RAW_RECOVERED!$B:$B,Tabelle289[[#This Row],[Country/Region]],RAW_RECOVERED!AZ:AZ)</f>
        <v>25</v>
      </c>
      <c r="AZ38" s="28">
        <f>SUMIF(RAW_RECOVERED!$B:$B,Tabelle289[[#This Row],[Country/Region]],RAW_RECOVERED!BA:BA)</f>
        <v>25</v>
      </c>
      <c r="BA38" s="28">
        <f>SUMIF(RAW_RECOVERED!$B:$B,Tabelle289[[#This Row],[Country/Region]],RAW_RECOVERED!BB:BB)</f>
        <v>46</v>
      </c>
      <c r="BB38" s="28">
        <f>SUMIF(RAW_RECOVERED!$B:$B,Tabelle289[[#This Row],[Country/Region]],RAW_RECOVERED!BC:BC)</f>
        <v>46</v>
      </c>
      <c r="BC38" s="28">
        <f>SUMIF(RAW_RECOVERED!$B:$B,Tabelle289[[#This Row],[Country/Region]],RAW_RECOVERED!BD:BD)</f>
        <v>46</v>
      </c>
      <c r="BD38" s="28">
        <f>SUMIF(RAW_RECOVERED!$B:$B,Tabelle289[[#This Row],[Country/Region]],RAW_RECOVERED!BE:BE)</f>
        <v>67</v>
      </c>
      <c r="BE38" s="28">
        <f>SUMIF(RAW_RECOVERED!$B:$B,Tabelle289[[#This Row],[Country/Region]],RAW_RECOVERED!BF:BF)</f>
        <v>67</v>
      </c>
      <c r="BF38" s="28">
        <f>SUMIF(RAW_RECOVERED!$B:$B,Tabelle289[[#This Row],[Country/Region]],RAW_RECOVERED!BG:BG)</f>
        <v>105</v>
      </c>
      <c r="BG38" s="28">
        <f>SUMIF(RAW_RECOVERED!$B:$B,Tabelle289[[#This Row],[Country/Region]],RAW_RECOVERED!BH:BH)</f>
        <v>113</v>
      </c>
      <c r="BH38" s="28">
        <f>SUMIF(RAW_RECOVERED!$B:$B,Tabelle289[[#This Row],[Country/Region]],RAW_RECOVERED!BI:BI)</f>
        <v>180</v>
      </c>
      <c r="BI38" s="28">
        <f>SUMIF(RAW_RECOVERED!$B:$B,Tabelle289[[#This Row],[Country/Region]],RAW_RECOVERED!BJ:BJ)</f>
        <v>233</v>
      </c>
      <c r="BJ38" s="28">
        <f>SUMIF(RAW_RECOVERED!$B:$B,Tabelle289[[#This Row],[Country/Region]],RAW_RECOVERED!BK:BK)</f>
        <v>266</v>
      </c>
      <c r="BK38" s="28">
        <f>SUMIF(RAW_RECOVERED!$B:$B,Tabelle289[[#This Row],[Country/Region]],RAW_RECOVERED!BL:BL)</f>
        <v>266</v>
      </c>
      <c r="BL38" s="28">
        <f>SUMIF(RAW_RECOVERED!$B:$B,Tabelle289[[#This Row],[Country/Region]],RAW_RECOVERED!BM:BM)</f>
        <v>3243</v>
      </c>
      <c r="BM38" s="28">
        <f>SUMIF(RAW_RECOVERED!$B:$B,Tabelle289[[#This Row],[Country/Region]],RAW_RECOVERED!BN:BN)</f>
        <v>3547</v>
      </c>
      <c r="BN38" s="28">
        <f>SUMIF(RAW_RECOVERED!$B:$B,Tabelle289[[#This Row],[Country/Region]],RAW_RECOVERED!BO:BO)</f>
        <v>5673</v>
      </c>
      <c r="BO38" s="28">
        <f>SUMIF(RAW_RECOVERED!$B:$B,Tabelle289[[#This Row],[Country/Region]],RAW_RECOVERED!BP:BP)</f>
        <v>6658</v>
      </c>
      <c r="BP38" s="28">
        <f>SUMIF(RAW_RECOVERED!$B:$B,Tabelle289[[#This Row],[Country/Region]],RAW_RECOVERED!BQ:BQ)</f>
        <v>8481</v>
      </c>
      <c r="BQ38" s="28">
        <f>SUMIF(RAW_RECOVERED!$B:$B,Tabelle289[[#This Row],[Country/Region]],RAW_RECOVERED!BR:BR)</f>
        <v>9211</v>
      </c>
      <c r="BR38" s="28">
        <f>SUMIF(RAW_RECOVERED!$B:$B,Tabelle289[[#This Row],[Country/Region]],RAW_RECOVERED!BS:BS)</f>
        <v>13500</v>
      </c>
      <c r="BS38" s="28">
        <f>SUMIF(RAW_RECOVERED!$B:$B,Tabelle289[[#This Row],[Country/Region]],RAW_RECOVERED!BT:BT)</f>
        <v>0</v>
      </c>
      <c r="BT38" s="28">
        <f>SUMIF(RAW_RECOVERED!$B:$B,Tabelle289[[#This Row],[Country/Region]],RAW_RECOVERED!BU:BU)</f>
        <v>0</v>
      </c>
      <c r="BU38" s="28">
        <f>SUMIF(RAW_RECOVERED!$B:$B,Tabelle289[[#This Row],[Country/Region]],RAW_RECOVERED!BV:BV)</f>
        <v>0</v>
      </c>
      <c r="BV38" s="28">
        <f>SUMIF(RAW_RECOVERED!$B:$B,Tabelle289[[#This Row],[Country/Region]],RAW_RECOVERED!BW:BW)</f>
        <v>0</v>
      </c>
      <c r="BW38" s="28">
        <f>SUMIF(RAW_RECOVERED!$B:$B,Tabelle289[[#This Row],[Country/Region]],RAW_RECOVERED!BX:BX)</f>
        <v>0</v>
      </c>
      <c r="BX38" s="28">
        <f>SUMIF(RAW_RECOVERED!$B:$B,Tabelle289[[#This Row],[Country/Region]],RAW_RECOVERED!BY:BY)</f>
        <v>0</v>
      </c>
      <c r="BY38" s="28">
        <f>SUMIF(RAW_RECOVERED!$B:$B,Tabelle289[[#This Row],[Country/Region]],RAW_RECOVERED!BZ:BZ)</f>
        <v>0</v>
      </c>
      <c r="BZ38" s="28">
        <f>SUMIF(RAW_RECOVERED!$B:$B,Tabelle289[[#This Row],[Country/Region]],RAW_RECOVERED!CA:CA)</f>
        <v>0</v>
      </c>
      <c r="CA38" s="28">
        <f>SUMIF(RAW_RECOVERED!$B:$B,Tabelle289[[#This Row],[Country/Region]],RAW_RECOVERED!CB:CB)</f>
        <v>0</v>
      </c>
      <c r="CB38" s="28">
        <f>SUMIF(RAW_RECOVERED!$B:$B,Tabelle289[[#This Row],[Country/Region]],RAW_RECOVERED!CC:CC)</f>
        <v>0</v>
      </c>
      <c r="CC38" s="28">
        <f>SUMIF(RAW_RECOVERED!$B:$B,Tabelle289[[#This Row],[Country/Region]],RAW_RECOVERED!CD:CD)</f>
        <v>0</v>
      </c>
      <c r="CD38" s="28">
        <f>SUMIF(RAW_RECOVERED!$B:$B,Tabelle289[[#This Row],[Country/Region]],RAW_RECOVERED!CE:CE)</f>
        <v>0</v>
      </c>
      <c r="CE38" s="28"/>
      <c r="CF38" s="28"/>
      <c r="CG38" s="28"/>
      <c r="CH38" s="28"/>
      <c r="CI38" s="28"/>
    </row>
    <row r="39" spans="1:87" s="11" customFormat="1" ht="12.75" x14ac:dyDescent="0.2">
      <c r="A39" s="27" t="str">
        <f t="shared" si="12"/>
        <v>US</v>
      </c>
      <c r="B39" s="28">
        <f>SUMIF(RAW_RECOVERED!$B:$B,Tabelle289[[#This Row],[Country/Region]],RAW_RECOVERED!C:C)</f>
        <v>0</v>
      </c>
      <c r="C39" s="28">
        <f>SUMIF(RAW_RECOVERED!$B:$B,Tabelle289[[#This Row],[Country/Region]],RAW_RECOVERED!D:D)</f>
        <v>0</v>
      </c>
      <c r="D39" s="28">
        <f>SUMIF(RAW_RECOVERED!$B:$B,Tabelle289[[#This Row],[Country/Region]],RAW_RECOVERED!E:E)</f>
        <v>0</v>
      </c>
      <c r="E39" s="28">
        <f>SUMIF(RAW_RECOVERED!$B:$B,Tabelle289[[#This Row],[Country/Region]],RAW_RECOVERED!F:F)</f>
        <v>0</v>
      </c>
      <c r="F39" s="28">
        <f>SUMIF(RAW_RECOVERED!$B:$B,Tabelle289[[#This Row],[Country/Region]],RAW_RECOVERED!G:G)</f>
        <v>0</v>
      </c>
      <c r="G39" s="28">
        <f>SUMIF(RAW_RECOVERED!$B:$B,Tabelle289[[#This Row],[Country/Region]],RAW_RECOVERED!H:H)</f>
        <v>0</v>
      </c>
      <c r="H39" s="28">
        <f>SUMIF(RAW_RECOVERED!$B:$B,Tabelle289[[#This Row],[Country/Region]],RAW_RECOVERED!I:I)</f>
        <v>0</v>
      </c>
      <c r="I39" s="28">
        <f>SUMIF(RAW_RECOVERED!$B:$B,Tabelle289[[#This Row],[Country/Region]],RAW_RECOVERED!J:J)</f>
        <v>0</v>
      </c>
      <c r="J39" s="28">
        <f>SUMIF(RAW_RECOVERED!$B:$B,Tabelle289[[#This Row],[Country/Region]],RAW_RECOVERED!K:K)</f>
        <v>0</v>
      </c>
      <c r="K39" s="28">
        <f>SUMIF(RAW_RECOVERED!$B:$B,Tabelle289[[#This Row],[Country/Region]],RAW_RECOVERED!L:L)</f>
        <v>0</v>
      </c>
      <c r="L39" s="28">
        <f>SUMIF(RAW_RECOVERED!$B:$B,Tabelle289[[#This Row],[Country/Region]],RAW_RECOVERED!M:M)</f>
        <v>0</v>
      </c>
      <c r="M39" s="28">
        <f>SUMIF(RAW_RECOVERED!$B:$B,Tabelle289[[#This Row],[Country/Region]],RAW_RECOVERED!N:N)</f>
        <v>0</v>
      </c>
      <c r="N39" s="28">
        <f>SUMIF(RAW_RECOVERED!$B:$B,Tabelle289[[#This Row],[Country/Region]],RAW_RECOVERED!O:O)</f>
        <v>0</v>
      </c>
      <c r="O39" s="28">
        <f>SUMIF(RAW_RECOVERED!$B:$B,Tabelle289[[#This Row],[Country/Region]],RAW_RECOVERED!P:P)</f>
        <v>0</v>
      </c>
      <c r="P39" s="28">
        <f>SUMIF(RAW_RECOVERED!$B:$B,Tabelle289[[#This Row],[Country/Region]],RAW_RECOVERED!Q:Q)</f>
        <v>0</v>
      </c>
      <c r="Q39" s="28">
        <f>SUMIF(RAW_RECOVERED!$B:$B,Tabelle289[[#This Row],[Country/Region]],RAW_RECOVERED!R:R)</f>
        <v>0</v>
      </c>
      <c r="R39" s="28">
        <f>SUMIF(RAW_RECOVERED!$B:$B,Tabelle289[[#This Row],[Country/Region]],RAW_RECOVERED!S:S)</f>
        <v>0</v>
      </c>
      <c r="S39" s="28">
        <f>SUMIF(RAW_RECOVERED!$B:$B,Tabelle289[[#This Row],[Country/Region]],RAW_RECOVERED!T:T)</f>
        <v>0</v>
      </c>
      <c r="T39" s="28">
        <f>SUMIF(RAW_RECOVERED!$B:$B,Tabelle289[[#This Row],[Country/Region]],RAW_RECOVERED!U:U)</f>
        <v>3</v>
      </c>
      <c r="U39" s="28">
        <f>SUMIF(RAW_RECOVERED!$B:$B,Tabelle289[[#This Row],[Country/Region]],RAW_RECOVERED!V:V)</f>
        <v>3</v>
      </c>
      <c r="V39" s="28">
        <f>SUMIF(RAW_RECOVERED!$B:$B,Tabelle289[[#This Row],[Country/Region]],RAW_RECOVERED!W:W)</f>
        <v>3</v>
      </c>
      <c r="W39" s="28">
        <f>SUMIF(RAW_RECOVERED!$B:$B,Tabelle289[[#This Row],[Country/Region]],RAW_RECOVERED!X:X)</f>
        <v>3</v>
      </c>
      <c r="X39" s="28">
        <f>SUMIF(RAW_RECOVERED!$B:$B,Tabelle289[[#This Row],[Country/Region]],RAW_RECOVERED!Y:Y)</f>
        <v>3</v>
      </c>
      <c r="Y39" s="28">
        <f>SUMIF(RAW_RECOVERED!$B:$B,Tabelle289[[#This Row],[Country/Region]],RAW_RECOVERED!Z:Z)</f>
        <v>3</v>
      </c>
      <c r="Z39" s="28">
        <f>SUMIF(RAW_RECOVERED!$B:$B,Tabelle289[[#This Row],[Country/Region]],RAW_RECOVERED!AA:AA)</f>
        <v>3</v>
      </c>
      <c r="AA39" s="28">
        <f>SUMIF(RAW_RECOVERED!$B:$B,Tabelle289[[#This Row],[Country/Region]],RAW_RECOVERED!AB:AB)</f>
        <v>3</v>
      </c>
      <c r="AB39" s="28">
        <f>SUMIF(RAW_RECOVERED!$B:$B,Tabelle289[[#This Row],[Country/Region]],RAW_RECOVERED!AC:AC)</f>
        <v>3</v>
      </c>
      <c r="AC39" s="28">
        <f>SUMIF(RAW_RECOVERED!$B:$B,Tabelle289[[#This Row],[Country/Region]],RAW_RECOVERED!AD:AD)</f>
        <v>3</v>
      </c>
      <c r="AD39" s="28">
        <f>SUMIF(RAW_RECOVERED!$B:$B,Tabelle289[[#This Row],[Country/Region]],RAW_RECOVERED!AE:AE)</f>
        <v>3</v>
      </c>
      <c r="AE39" s="28">
        <f>SUMIF(RAW_RECOVERED!$B:$B,Tabelle289[[#This Row],[Country/Region]],RAW_RECOVERED!AF:AF)</f>
        <v>3</v>
      </c>
      <c r="AF39" s="28">
        <f>SUMIF(RAW_RECOVERED!$B:$B,Tabelle289[[#This Row],[Country/Region]],RAW_RECOVERED!AG:AG)</f>
        <v>5</v>
      </c>
      <c r="AG39" s="28">
        <f>SUMIF(RAW_RECOVERED!$B:$B,Tabelle289[[#This Row],[Country/Region]],RAW_RECOVERED!AH:AH)</f>
        <v>5</v>
      </c>
      <c r="AH39" s="28">
        <f>SUMIF(RAW_RECOVERED!$B:$B,Tabelle289[[#This Row],[Country/Region]],RAW_RECOVERED!AI:AI)</f>
        <v>5</v>
      </c>
      <c r="AI39" s="28">
        <f>SUMIF(RAW_RECOVERED!$B:$B,Tabelle289[[#This Row],[Country/Region]],RAW_RECOVERED!AJ:AJ)</f>
        <v>5</v>
      </c>
      <c r="AJ39" s="28">
        <f>SUMIF(RAW_RECOVERED!$B:$B,Tabelle289[[#This Row],[Country/Region]],RAW_RECOVERED!AK:AK)</f>
        <v>6</v>
      </c>
      <c r="AK39" s="28">
        <f>SUMIF(RAW_RECOVERED!$B:$B,Tabelle289[[#This Row],[Country/Region]],RAW_RECOVERED!AL:AL)</f>
        <v>6</v>
      </c>
      <c r="AL39" s="28">
        <f>SUMIF(RAW_RECOVERED!$B:$B,Tabelle289[[#This Row],[Country/Region]],RAW_RECOVERED!AM:AM)</f>
        <v>6</v>
      </c>
      <c r="AM39" s="28">
        <f>SUMIF(RAW_RECOVERED!$B:$B,Tabelle289[[#This Row],[Country/Region]],RAW_RECOVERED!AN:AN)</f>
        <v>7</v>
      </c>
      <c r="AN39" s="28">
        <f>SUMIF(RAW_RECOVERED!$B:$B,Tabelle289[[#This Row],[Country/Region]],RAW_RECOVERED!AO:AO)</f>
        <v>7</v>
      </c>
      <c r="AO39" s="28">
        <f>SUMIF(RAW_RECOVERED!$B:$B,Tabelle289[[#This Row],[Country/Region]],RAW_RECOVERED!AP:AP)</f>
        <v>7</v>
      </c>
      <c r="AP39" s="28">
        <f>SUMIF(RAW_RECOVERED!$B:$B,Tabelle289[[#This Row],[Country/Region]],RAW_RECOVERED!AQ:AQ)</f>
        <v>7</v>
      </c>
      <c r="AQ39" s="28">
        <f>SUMIF(RAW_RECOVERED!$B:$B,Tabelle289[[#This Row],[Country/Region]],RAW_RECOVERED!AR:AR)</f>
        <v>7</v>
      </c>
      <c r="AR39" s="28">
        <f>SUMIF(RAW_RECOVERED!$B:$B,Tabelle289[[#This Row],[Country/Region]],RAW_RECOVERED!AS:AS)</f>
        <v>7</v>
      </c>
      <c r="AS39" s="28">
        <f>SUMIF(RAW_RECOVERED!$B:$B,Tabelle289[[#This Row],[Country/Region]],RAW_RECOVERED!AT:AT)</f>
        <v>7</v>
      </c>
      <c r="AT39" s="28">
        <f>SUMIF(RAW_RECOVERED!$B:$B,Tabelle289[[#This Row],[Country/Region]],RAW_RECOVERED!AU:AU)</f>
        <v>7</v>
      </c>
      <c r="AU39" s="28">
        <f>SUMIF(RAW_RECOVERED!$B:$B,Tabelle289[[#This Row],[Country/Region]],RAW_RECOVERED!AV:AV)</f>
        <v>7</v>
      </c>
      <c r="AV39" s="28">
        <f>SUMIF(RAW_RECOVERED!$B:$B,Tabelle289[[#This Row],[Country/Region]],RAW_RECOVERED!AW:AW)</f>
        <v>7</v>
      </c>
      <c r="AW39" s="28">
        <f>SUMIF(RAW_RECOVERED!$B:$B,Tabelle289[[#This Row],[Country/Region]],RAW_RECOVERED!AX:AX)</f>
        <v>7</v>
      </c>
      <c r="AX39" s="28">
        <f>SUMIF(RAW_RECOVERED!$B:$B,Tabelle289[[#This Row],[Country/Region]],RAW_RECOVERED!AY:AY)</f>
        <v>8</v>
      </c>
      <c r="AY39" s="28">
        <f>SUMIF(RAW_RECOVERED!$B:$B,Tabelle289[[#This Row],[Country/Region]],RAW_RECOVERED!AZ:AZ)</f>
        <v>8</v>
      </c>
      <c r="AZ39" s="28">
        <f>SUMIF(RAW_RECOVERED!$B:$B,Tabelle289[[#This Row],[Country/Region]],RAW_RECOVERED!BA:BA)</f>
        <v>12</v>
      </c>
      <c r="BA39" s="28">
        <f>SUMIF(RAW_RECOVERED!$B:$B,Tabelle289[[#This Row],[Country/Region]],RAW_RECOVERED!BB:BB)</f>
        <v>12</v>
      </c>
      <c r="BB39" s="28">
        <f>SUMIF(RAW_RECOVERED!$B:$B,Tabelle289[[#This Row],[Country/Region]],RAW_RECOVERED!BC:BC)</f>
        <v>12</v>
      </c>
      <c r="BC39" s="28">
        <f>SUMIF(RAW_RECOVERED!$B:$B,Tabelle289[[#This Row],[Country/Region]],RAW_RECOVERED!BD:BD)</f>
        <v>12</v>
      </c>
      <c r="BD39" s="28">
        <f>SUMIF(RAW_RECOVERED!$B:$B,Tabelle289[[#This Row],[Country/Region]],RAW_RECOVERED!BE:BE)</f>
        <v>17</v>
      </c>
      <c r="BE39" s="28">
        <f>SUMIF(RAW_RECOVERED!$B:$B,Tabelle289[[#This Row],[Country/Region]],RAW_RECOVERED!BF:BF)</f>
        <v>17</v>
      </c>
      <c r="BF39" s="28">
        <f>SUMIF(RAW_RECOVERED!$B:$B,Tabelle289[[#This Row],[Country/Region]],RAW_RECOVERED!BG:BG)</f>
        <v>105</v>
      </c>
      <c r="BG39" s="28">
        <f>SUMIF(RAW_RECOVERED!$B:$B,Tabelle289[[#This Row],[Country/Region]],RAW_RECOVERED!BH:BH)</f>
        <v>121</v>
      </c>
      <c r="BH39" s="28">
        <f>SUMIF(RAW_RECOVERED!$B:$B,Tabelle289[[#This Row],[Country/Region]],RAW_RECOVERED!BI:BI)</f>
        <v>147</v>
      </c>
      <c r="BI39" s="28">
        <f>SUMIF(RAW_RECOVERED!$B:$B,Tabelle289[[#This Row],[Country/Region]],RAW_RECOVERED!BJ:BJ)</f>
        <v>176</v>
      </c>
      <c r="BJ39" s="28">
        <f>SUMIF(RAW_RECOVERED!$B:$B,Tabelle289[[#This Row],[Country/Region]],RAW_RECOVERED!BK:BK)</f>
        <v>178</v>
      </c>
      <c r="BK39" s="28">
        <f>SUMIF(RAW_RECOVERED!$B:$B,Tabelle289[[#This Row],[Country/Region]],RAW_RECOVERED!BL:BL)</f>
        <v>178</v>
      </c>
      <c r="BL39" s="28">
        <f>SUMIF(RAW_RECOVERED!$B:$B,Tabelle289[[#This Row],[Country/Region]],RAW_RECOVERED!BM:BM)</f>
        <v>348</v>
      </c>
      <c r="BM39" s="28">
        <f>SUMIF(RAW_RECOVERED!$B:$B,Tabelle289[[#This Row],[Country/Region]],RAW_RECOVERED!BN:BN)</f>
        <v>361</v>
      </c>
      <c r="BN39" s="28">
        <f>SUMIF(RAW_RECOVERED!$B:$B,Tabelle289[[#This Row],[Country/Region]],RAW_RECOVERED!BO:BO)</f>
        <v>681</v>
      </c>
      <c r="BO39" s="28">
        <f>SUMIF(RAW_RECOVERED!$B:$B,Tabelle289[[#This Row],[Country/Region]],RAW_RECOVERED!BP:BP)</f>
        <v>869</v>
      </c>
      <c r="BP39" s="28">
        <f>SUMIF(RAW_RECOVERED!$B:$B,Tabelle289[[#This Row],[Country/Region]],RAW_RECOVERED!BQ:BQ)</f>
        <v>1072</v>
      </c>
      <c r="BQ39" s="28">
        <f>SUMIF(RAW_RECOVERED!$B:$B,Tabelle289[[#This Row],[Country/Region]],RAW_RECOVERED!BR:BR)</f>
        <v>2665</v>
      </c>
      <c r="BR39" s="28">
        <f>SUMIF(RAW_RECOVERED!$B:$B,Tabelle289[[#This Row],[Country/Region]],RAW_RECOVERED!BS:BS)</f>
        <v>5644</v>
      </c>
      <c r="BS39" s="28">
        <f>SUMIF(RAW_RECOVERED!$B:$B,Tabelle289[[#This Row],[Country/Region]],RAW_RECOVERED!BT:BT)</f>
        <v>0</v>
      </c>
      <c r="BT39" s="28">
        <f>SUMIF(RAW_RECOVERED!$B:$B,Tabelle289[[#This Row],[Country/Region]],RAW_RECOVERED!BU:BU)</f>
        <v>0</v>
      </c>
      <c r="BU39" s="28">
        <f>SUMIF(RAW_RECOVERED!$B:$B,Tabelle289[[#This Row],[Country/Region]],RAW_RECOVERED!BV:BV)</f>
        <v>0</v>
      </c>
      <c r="BV39" s="28">
        <f>SUMIF(RAW_RECOVERED!$B:$B,Tabelle289[[#This Row],[Country/Region]],RAW_RECOVERED!BW:BW)</f>
        <v>0</v>
      </c>
      <c r="BW39" s="28">
        <f>SUMIF(RAW_RECOVERED!$B:$B,Tabelle289[[#This Row],[Country/Region]],RAW_RECOVERED!BX:BX)</f>
        <v>0</v>
      </c>
      <c r="BX39" s="28">
        <f>SUMIF(RAW_RECOVERED!$B:$B,Tabelle289[[#This Row],[Country/Region]],RAW_RECOVERED!BY:BY)</f>
        <v>0</v>
      </c>
      <c r="BY39" s="28">
        <f>SUMIF(RAW_RECOVERED!$B:$B,Tabelle289[[#This Row],[Country/Region]],RAW_RECOVERED!BZ:BZ)</f>
        <v>0</v>
      </c>
      <c r="BZ39" s="28">
        <f>SUMIF(RAW_RECOVERED!$B:$B,Tabelle289[[#This Row],[Country/Region]],RAW_RECOVERED!CA:CA)</f>
        <v>0</v>
      </c>
      <c r="CA39" s="28">
        <f>SUMIF(RAW_RECOVERED!$B:$B,Tabelle289[[#This Row],[Country/Region]],RAW_RECOVERED!CB:CB)</f>
        <v>0</v>
      </c>
      <c r="CB39" s="28">
        <f>SUMIF(RAW_RECOVERED!$B:$B,Tabelle289[[#This Row],[Country/Region]],RAW_RECOVERED!CC:CC)</f>
        <v>0</v>
      </c>
      <c r="CC39" s="28">
        <f>SUMIF(RAW_RECOVERED!$B:$B,Tabelle289[[#This Row],[Country/Region]],RAW_RECOVERED!CD:CD)</f>
        <v>0</v>
      </c>
      <c r="CD39" s="28">
        <f>SUMIF(RAW_RECOVERED!$B:$B,Tabelle289[[#This Row],[Country/Region]],RAW_RECOVERED!CE:CE)</f>
        <v>0</v>
      </c>
      <c r="CE39" s="28"/>
      <c r="CF39" s="28"/>
      <c r="CG39" s="28"/>
      <c r="CH39" s="28"/>
      <c r="CI39" s="28"/>
    </row>
    <row r="40" spans="1:87" s="11" customFormat="1" ht="12.75" x14ac:dyDescent="0.2">
      <c r="A40" s="27" t="str">
        <f t="shared" si="12"/>
        <v>Italy</v>
      </c>
      <c r="B40" s="28">
        <f>SUMIF(RAW_RECOVERED!$B:$B,Tabelle289[[#This Row],[Country/Region]],RAW_RECOVERED!C:C)</f>
        <v>0</v>
      </c>
      <c r="C40" s="28">
        <f>SUMIF(RAW_RECOVERED!$B:$B,Tabelle289[[#This Row],[Country/Region]],RAW_RECOVERED!D:D)</f>
        <v>0</v>
      </c>
      <c r="D40" s="28">
        <f>SUMIF(RAW_RECOVERED!$B:$B,Tabelle289[[#This Row],[Country/Region]],RAW_RECOVERED!E:E)</f>
        <v>0</v>
      </c>
      <c r="E40" s="28">
        <f>SUMIF(RAW_RECOVERED!$B:$B,Tabelle289[[#This Row],[Country/Region]],RAW_RECOVERED!F:F)</f>
        <v>0</v>
      </c>
      <c r="F40" s="28">
        <f>SUMIF(RAW_RECOVERED!$B:$B,Tabelle289[[#This Row],[Country/Region]],RAW_RECOVERED!G:G)</f>
        <v>0</v>
      </c>
      <c r="G40" s="28">
        <f>SUMIF(RAW_RECOVERED!$B:$B,Tabelle289[[#This Row],[Country/Region]],RAW_RECOVERED!H:H)</f>
        <v>0</v>
      </c>
      <c r="H40" s="28">
        <f>SUMIF(RAW_RECOVERED!$B:$B,Tabelle289[[#This Row],[Country/Region]],RAW_RECOVERED!I:I)</f>
        <v>0</v>
      </c>
      <c r="I40" s="28">
        <f>SUMIF(RAW_RECOVERED!$B:$B,Tabelle289[[#This Row],[Country/Region]],RAW_RECOVERED!J:J)</f>
        <v>0</v>
      </c>
      <c r="J40" s="28">
        <f>SUMIF(RAW_RECOVERED!$B:$B,Tabelle289[[#This Row],[Country/Region]],RAW_RECOVERED!K:K)</f>
        <v>0</v>
      </c>
      <c r="K40" s="28">
        <f>SUMIF(RAW_RECOVERED!$B:$B,Tabelle289[[#This Row],[Country/Region]],RAW_RECOVERED!L:L)</f>
        <v>0</v>
      </c>
      <c r="L40" s="28">
        <f>SUMIF(RAW_RECOVERED!$B:$B,Tabelle289[[#This Row],[Country/Region]],RAW_RECOVERED!M:M)</f>
        <v>0</v>
      </c>
      <c r="M40" s="28">
        <f>SUMIF(RAW_RECOVERED!$B:$B,Tabelle289[[#This Row],[Country/Region]],RAW_RECOVERED!N:N)</f>
        <v>0</v>
      </c>
      <c r="N40" s="28">
        <f>SUMIF(RAW_RECOVERED!$B:$B,Tabelle289[[#This Row],[Country/Region]],RAW_RECOVERED!O:O)</f>
        <v>0</v>
      </c>
      <c r="O40" s="28">
        <f>SUMIF(RAW_RECOVERED!$B:$B,Tabelle289[[#This Row],[Country/Region]],RAW_RECOVERED!P:P)</f>
        <v>0</v>
      </c>
      <c r="P40" s="28">
        <f>SUMIF(RAW_RECOVERED!$B:$B,Tabelle289[[#This Row],[Country/Region]],RAW_RECOVERED!Q:Q)</f>
        <v>0</v>
      </c>
      <c r="Q40" s="28">
        <f>SUMIF(RAW_RECOVERED!$B:$B,Tabelle289[[#This Row],[Country/Region]],RAW_RECOVERED!R:R)</f>
        <v>0</v>
      </c>
      <c r="R40" s="28">
        <f>SUMIF(RAW_RECOVERED!$B:$B,Tabelle289[[#This Row],[Country/Region]],RAW_RECOVERED!S:S)</f>
        <v>0</v>
      </c>
      <c r="S40" s="28">
        <f>SUMIF(RAW_RECOVERED!$B:$B,Tabelle289[[#This Row],[Country/Region]],RAW_RECOVERED!T:T)</f>
        <v>0</v>
      </c>
      <c r="T40" s="28">
        <f>SUMIF(RAW_RECOVERED!$B:$B,Tabelle289[[#This Row],[Country/Region]],RAW_RECOVERED!U:U)</f>
        <v>0</v>
      </c>
      <c r="U40" s="28">
        <f>SUMIF(RAW_RECOVERED!$B:$B,Tabelle289[[#This Row],[Country/Region]],RAW_RECOVERED!V:V)</f>
        <v>0</v>
      </c>
      <c r="V40" s="28">
        <f>SUMIF(RAW_RECOVERED!$B:$B,Tabelle289[[#This Row],[Country/Region]],RAW_RECOVERED!W:W)</f>
        <v>0</v>
      </c>
      <c r="W40" s="28">
        <f>SUMIF(RAW_RECOVERED!$B:$B,Tabelle289[[#This Row],[Country/Region]],RAW_RECOVERED!X:X)</f>
        <v>0</v>
      </c>
      <c r="X40" s="28">
        <f>SUMIF(RAW_RECOVERED!$B:$B,Tabelle289[[#This Row],[Country/Region]],RAW_RECOVERED!Y:Y)</f>
        <v>0</v>
      </c>
      <c r="Y40" s="28">
        <f>SUMIF(RAW_RECOVERED!$B:$B,Tabelle289[[#This Row],[Country/Region]],RAW_RECOVERED!Z:Z)</f>
        <v>0</v>
      </c>
      <c r="Z40" s="28">
        <f>SUMIF(RAW_RECOVERED!$B:$B,Tabelle289[[#This Row],[Country/Region]],RAW_RECOVERED!AA:AA)</f>
        <v>0</v>
      </c>
      <c r="AA40" s="28">
        <f>SUMIF(RAW_RECOVERED!$B:$B,Tabelle289[[#This Row],[Country/Region]],RAW_RECOVERED!AB:AB)</f>
        <v>0</v>
      </c>
      <c r="AB40" s="28">
        <f>SUMIF(RAW_RECOVERED!$B:$B,Tabelle289[[#This Row],[Country/Region]],RAW_RECOVERED!AC:AC)</f>
        <v>0</v>
      </c>
      <c r="AC40" s="28">
        <f>SUMIF(RAW_RECOVERED!$B:$B,Tabelle289[[#This Row],[Country/Region]],RAW_RECOVERED!AD:AD)</f>
        <v>0</v>
      </c>
      <c r="AD40" s="28">
        <f>SUMIF(RAW_RECOVERED!$B:$B,Tabelle289[[#This Row],[Country/Region]],RAW_RECOVERED!AE:AE)</f>
        <v>0</v>
      </c>
      <c r="AE40" s="28">
        <f>SUMIF(RAW_RECOVERED!$B:$B,Tabelle289[[#This Row],[Country/Region]],RAW_RECOVERED!AF:AF)</f>
        <v>0</v>
      </c>
      <c r="AF40" s="28">
        <f>SUMIF(RAW_RECOVERED!$B:$B,Tabelle289[[#This Row],[Country/Region]],RAW_RECOVERED!AG:AG)</f>
        <v>0</v>
      </c>
      <c r="AG40" s="28">
        <f>SUMIF(RAW_RECOVERED!$B:$B,Tabelle289[[#This Row],[Country/Region]],RAW_RECOVERED!AH:AH)</f>
        <v>1</v>
      </c>
      <c r="AH40" s="28">
        <f>SUMIF(RAW_RECOVERED!$B:$B,Tabelle289[[#This Row],[Country/Region]],RAW_RECOVERED!AI:AI)</f>
        <v>2</v>
      </c>
      <c r="AI40" s="28">
        <f>SUMIF(RAW_RECOVERED!$B:$B,Tabelle289[[#This Row],[Country/Region]],RAW_RECOVERED!AJ:AJ)</f>
        <v>1</v>
      </c>
      <c r="AJ40" s="28">
        <f>SUMIF(RAW_RECOVERED!$B:$B,Tabelle289[[#This Row],[Country/Region]],RAW_RECOVERED!AK:AK)</f>
        <v>1</v>
      </c>
      <c r="AK40" s="28">
        <f>SUMIF(RAW_RECOVERED!$B:$B,Tabelle289[[#This Row],[Country/Region]],RAW_RECOVERED!AL:AL)</f>
        <v>3</v>
      </c>
      <c r="AL40" s="28">
        <f>SUMIF(RAW_RECOVERED!$B:$B,Tabelle289[[#This Row],[Country/Region]],RAW_RECOVERED!AM:AM)</f>
        <v>45</v>
      </c>
      <c r="AM40" s="28">
        <f>SUMIF(RAW_RECOVERED!$B:$B,Tabelle289[[#This Row],[Country/Region]],RAW_RECOVERED!AN:AN)</f>
        <v>46</v>
      </c>
      <c r="AN40" s="28">
        <f>SUMIF(RAW_RECOVERED!$B:$B,Tabelle289[[#This Row],[Country/Region]],RAW_RECOVERED!AO:AO)</f>
        <v>46</v>
      </c>
      <c r="AO40" s="28">
        <f>SUMIF(RAW_RECOVERED!$B:$B,Tabelle289[[#This Row],[Country/Region]],RAW_RECOVERED!AP:AP)</f>
        <v>83</v>
      </c>
      <c r="AP40" s="28">
        <f>SUMIF(RAW_RECOVERED!$B:$B,Tabelle289[[#This Row],[Country/Region]],RAW_RECOVERED!AQ:AQ)</f>
        <v>149</v>
      </c>
      <c r="AQ40" s="28">
        <f>SUMIF(RAW_RECOVERED!$B:$B,Tabelle289[[#This Row],[Country/Region]],RAW_RECOVERED!AR:AR)</f>
        <v>160</v>
      </c>
      <c r="AR40" s="28">
        <f>SUMIF(RAW_RECOVERED!$B:$B,Tabelle289[[#This Row],[Country/Region]],RAW_RECOVERED!AS:AS)</f>
        <v>276</v>
      </c>
      <c r="AS40" s="28">
        <f>SUMIF(RAW_RECOVERED!$B:$B,Tabelle289[[#This Row],[Country/Region]],RAW_RECOVERED!AT:AT)</f>
        <v>414</v>
      </c>
      <c r="AT40" s="28">
        <f>SUMIF(RAW_RECOVERED!$B:$B,Tabelle289[[#This Row],[Country/Region]],RAW_RECOVERED!AU:AU)</f>
        <v>523</v>
      </c>
      <c r="AU40" s="28">
        <f>SUMIF(RAW_RECOVERED!$B:$B,Tabelle289[[#This Row],[Country/Region]],RAW_RECOVERED!AV:AV)</f>
        <v>589</v>
      </c>
      <c r="AV40" s="28">
        <f>SUMIF(RAW_RECOVERED!$B:$B,Tabelle289[[#This Row],[Country/Region]],RAW_RECOVERED!AW:AW)</f>
        <v>622</v>
      </c>
      <c r="AW40" s="28">
        <f>SUMIF(RAW_RECOVERED!$B:$B,Tabelle289[[#This Row],[Country/Region]],RAW_RECOVERED!AX:AX)</f>
        <v>724</v>
      </c>
      <c r="AX40" s="28">
        <f>SUMIF(RAW_RECOVERED!$B:$B,Tabelle289[[#This Row],[Country/Region]],RAW_RECOVERED!AY:AY)</f>
        <v>724</v>
      </c>
      <c r="AY40" s="28">
        <f>SUMIF(RAW_RECOVERED!$B:$B,Tabelle289[[#This Row],[Country/Region]],RAW_RECOVERED!AZ:AZ)</f>
        <v>1045</v>
      </c>
      <c r="AZ40" s="28">
        <f>SUMIF(RAW_RECOVERED!$B:$B,Tabelle289[[#This Row],[Country/Region]],RAW_RECOVERED!BA:BA)</f>
        <v>1045</v>
      </c>
      <c r="BA40" s="28">
        <f>SUMIF(RAW_RECOVERED!$B:$B,Tabelle289[[#This Row],[Country/Region]],RAW_RECOVERED!BB:BB)</f>
        <v>1439</v>
      </c>
      <c r="BB40" s="28">
        <f>SUMIF(RAW_RECOVERED!$B:$B,Tabelle289[[#This Row],[Country/Region]],RAW_RECOVERED!BC:BC)</f>
        <v>1966</v>
      </c>
      <c r="BC40" s="28">
        <f>SUMIF(RAW_RECOVERED!$B:$B,Tabelle289[[#This Row],[Country/Region]],RAW_RECOVERED!BD:BD)</f>
        <v>2335</v>
      </c>
      <c r="BD40" s="28">
        <f>SUMIF(RAW_RECOVERED!$B:$B,Tabelle289[[#This Row],[Country/Region]],RAW_RECOVERED!BE:BE)</f>
        <v>2749</v>
      </c>
      <c r="BE40" s="28">
        <f>SUMIF(RAW_RECOVERED!$B:$B,Tabelle289[[#This Row],[Country/Region]],RAW_RECOVERED!BF:BF)</f>
        <v>2941</v>
      </c>
      <c r="BF40" s="28">
        <f>SUMIF(RAW_RECOVERED!$B:$B,Tabelle289[[#This Row],[Country/Region]],RAW_RECOVERED!BG:BG)</f>
        <v>4025</v>
      </c>
      <c r="BG40" s="28">
        <f>SUMIF(RAW_RECOVERED!$B:$B,Tabelle289[[#This Row],[Country/Region]],RAW_RECOVERED!BH:BH)</f>
        <v>4440</v>
      </c>
      <c r="BH40" s="28">
        <f>SUMIF(RAW_RECOVERED!$B:$B,Tabelle289[[#This Row],[Country/Region]],RAW_RECOVERED!BI:BI)</f>
        <v>4440</v>
      </c>
      <c r="BI40" s="28">
        <f>SUMIF(RAW_RECOVERED!$B:$B,Tabelle289[[#This Row],[Country/Region]],RAW_RECOVERED!BJ:BJ)</f>
        <v>6072</v>
      </c>
      <c r="BJ40" s="28">
        <f>SUMIF(RAW_RECOVERED!$B:$B,Tabelle289[[#This Row],[Country/Region]],RAW_RECOVERED!BK:BK)</f>
        <v>7024</v>
      </c>
      <c r="BK40" s="28">
        <f>SUMIF(RAW_RECOVERED!$B:$B,Tabelle289[[#This Row],[Country/Region]],RAW_RECOVERED!BL:BL)</f>
        <v>7024</v>
      </c>
      <c r="BL40" s="28">
        <f>SUMIF(RAW_RECOVERED!$B:$B,Tabelle289[[#This Row],[Country/Region]],RAW_RECOVERED!BM:BM)</f>
        <v>8326</v>
      </c>
      <c r="BM40" s="28">
        <f>SUMIF(RAW_RECOVERED!$B:$B,Tabelle289[[#This Row],[Country/Region]],RAW_RECOVERED!BN:BN)</f>
        <v>9362</v>
      </c>
      <c r="BN40" s="28">
        <f>SUMIF(RAW_RECOVERED!$B:$B,Tabelle289[[#This Row],[Country/Region]],RAW_RECOVERED!BO:BO)</f>
        <v>10361</v>
      </c>
      <c r="BO40" s="28">
        <f>SUMIF(RAW_RECOVERED!$B:$B,Tabelle289[[#This Row],[Country/Region]],RAW_RECOVERED!BP:BP)</f>
        <v>10950</v>
      </c>
      <c r="BP40" s="28">
        <f>SUMIF(RAW_RECOVERED!$B:$B,Tabelle289[[#This Row],[Country/Region]],RAW_RECOVERED!BQ:BQ)</f>
        <v>12384</v>
      </c>
      <c r="BQ40" s="28">
        <f>SUMIF(RAW_RECOVERED!$B:$B,Tabelle289[[#This Row],[Country/Region]],RAW_RECOVERED!BR:BR)</f>
        <v>13030</v>
      </c>
      <c r="BR40" s="28">
        <f>SUMIF(RAW_RECOVERED!$B:$B,Tabelle289[[#This Row],[Country/Region]],RAW_RECOVERED!BS:BS)</f>
        <v>14620</v>
      </c>
      <c r="BS40" s="28">
        <f>SUMIF(RAW_RECOVERED!$B:$B,Tabelle289[[#This Row],[Country/Region]],RAW_RECOVERED!BT:BT)</f>
        <v>0</v>
      </c>
      <c r="BT40" s="28">
        <f>SUMIF(RAW_RECOVERED!$B:$B,Tabelle289[[#This Row],[Country/Region]],RAW_RECOVERED!BU:BU)</f>
        <v>0</v>
      </c>
      <c r="BU40" s="28">
        <f>SUMIF(RAW_RECOVERED!$B:$B,Tabelle289[[#This Row],[Country/Region]],RAW_RECOVERED!BV:BV)</f>
        <v>0</v>
      </c>
      <c r="BV40" s="28">
        <f>SUMIF(RAW_RECOVERED!$B:$B,Tabelle289[[#This Row],[Country/Region]],RAW_RECOVERED!BW:BW)</f>
        <v>0</v>
      </c>
      <c r="BW40" s="28">
        <f>SUMIF(RAW_RECOVERED!$B:$B,Tabelle289[[#This Row],[Country/Region]],RAW_RECOVERED!BX:BX)</f>
        <v>0</v>
      </c>
      <c r="BX40" s="28">
        <f>SUMIF(RAW_RECOVERED!$B:$B,Tabelle289[[#This Row],[Country/Region]],RAW_RECOVERED!BY:BY)</f>
        <v>0</v>
      </c>
      <c r="BY40" s="28">
        <f>SUMIF(RAW_RECOVERED!$B:$B,Tabelle289[[#This Row],[Country/Region]],RAW_RECOVERED!BZ:BZ)</f>
        <v>0</v>
      </c>
      <c r="BZ40" s="28">
        <f>SUMIF(RAW_RECOVERED!$B:$B,Tabelle289[[#This Row],[Country/Region]],RAW_RECOVERED!CA:CA)</f>
        <v>0</v>
      </c>
      <c r="CA40" s="28">
        <f>SUMIF(RAW_RECOVERED!$B:$B,Tabelle289[[#This Row],[Country/Region]],RAW_RECOVERED!CB:CB)</f>
        <v>0</v>
      </c>
      <c r="CB40" s="28">
        <f>SUMIF(RAW_RECOVERED!$B:$B,Tabelle289[[#This Row],[Country/Region]],RAW_RECOVERED!CC:CC)</f>
        <v>0</v>
      </c>
      <c r="CC40" s="28">
        <f>SUMIF(RAW_RECOVERED!$B:$B,Tabelle289[[#This Row],[Country/Region]],RAW_RECOVERED!CD:CD)</f>
        <v>0</v>
      </c>
      <c r="CD40" s="28">
        <f>SUMIF(RAW_RECOVERED!$B:$B,Tabelle289[[#This Row],[Country/Region]],RAW_RECOVERED!CE:CE)</f>
        <v>0</v>
      </c>
      <c r="CE40" s="28"/>
      <c r="CF40" s="28"/>
      <c r="CG40" s="28"/>
      <c r="CH40" s="28"/>
      <c r="CI40" s="28"/>
    </row>
    <row r="41" spans="1:87" s="11" customFormat="1" ht="12.75" x14ac:dyDescent="0.2">
      <c r="A41" s="27" t="str">
        <f t="shared" si="12"/>
        <v>Netherlands</v>
      </c>
      <c r="B41" s="28">
        <f>SUMIF(RAW_RECOVERED!$B:$B,Tabelle289[[#This Row],[Country/Region]],RAW_RECOVERED!C:C)</f>
        <v>0</v>
      </c>
      <c r="C41" s="28">
        <f>SUMIF(RAW_RECOVERED!$B:$B,Tabelle289[[#This Row],[Country/Region]],RAW_RECOVERED!D:D)</f>
        <v>0</v>
      </c>
      <c r="D41" s="28">
        <f>SUMIF(RAW_RECOVERED!$B:$B,Tabelle289[[#This Row],[Country/Region]],RAW_RECOVERED!E:E)</f>
        <v>0</v>
      </c>
      <c r="E41" s="28">
        <f>SUMIF(RAW_RECOVERED!$B:$B,Tabelle289[[#This Row],[Country/Region]],RAW_RECOVERED!F:F)</f>
        <v>0</v>
      </c>
      <c r="F41" s="28">
        <f>SUMIF(RAW_RECOVERED!$B:$B,Tabelle289[[#This Row],[Country/Region]],RAW_RECOVERED!G:G)</f>
        <v>0</v>
      </c>
      <c r="G41" s="28">
        <f>SUMIF(RAW_RECOVERED!$B:$B,Tabelle289[[#This Row],[Country/Region]],RAW_RECOVERED!H:H)</f>
        <v>0</v>
      </c>
      <c r="H41" s="28">
        <f>SUMIF(RAW_RECOVERED!$B:$B,Tabelle289[[#This Row],[Country/Region]],RAW_RECOVERED!I:I)</f>
        <v>0</v>
      </c>
      <c r="I41" s="28">
        <f>SUMIF(RAW_RECOVERED!$B:$B,Tabelle289[[#This Row],[Country/Region]],RAW_RECOVERED!J:J)</f>
        <v>0</v>
      </c>
      <c r="J41" s="28">
        <f>SUMIF(RAW_RECOVERED!$B:$B,Tabelle289[[#This Row],[Country/Region]],RAW_RECOVERED!K:K)</f>
        <v>0</v>
      </c>
      <c r="K41" s="28">
        <f>SUMIF(RAW_RECOVERED!$B:$B,Tabelle289[[#This Row],[Country/Region]],RAW_RECOVERED!L:L)</f>
        <v>0</v>
      </c>
      <c r="L41" s="28">
        <f>SUMIF(RAW_RECOVERED!$B:$B,Tabelle289[[#This Row],[Country/Region]],RAW_RECOVERED!M:M)</f>
        <v>0</v>
      </c>
      <c r="M41" s="28">
        <f>SUMIF(RAW_RECOVERED!$B:$B,Tabelle289[[#This Row],[Country/Region]],RAW_RECOVERED!N:N)</f>
        <v>0</v>
      </c>
      <c r="N41" s="28">
        <f>SUMIF(RAW_RECOVERED!$B:$B,Tabelle289[[#This Row],[Country/Region]],RAW_RECOVERED!O:O)</f>
        <v>0</v>
      </c>
      <c r="O41" s="28">
        <f>SUMIF(RAW_RECOVERED!$B:$B,Tabelle289[[#This Row],[Country/Region]],RAW_RECOVERED!P:P)</f>
        <v>0</v>
      </c>
      <c r="P41" s="28">
        <f>SUMIF(RAW_RECOVERED!$B:$B,Tabelle289[[#This Row],[Country/Region]],RAW_RECOVERED!Q:Q)</f>
        <v>0</v>
      </c>
      <c r="Q41" s="28">
        <f>SUMIF(RAW_RECOVERED!$B:$B,Tabelle289[[#This Row],[Country/Region]],RAW_RECOVERED!R:R)</f>
        <v>0</v>
      </c>
      <c r="R41" s="28">
        <f>SUMIF(RAW_RECOVERED!$B:$B,Tabelle289[[#This Row],[Country/Region]],RAW_RECOVERED!S:S)</f>
        <v>0</v>
      </c>
      <c r="S41" s="28">
        <f>SUMIF(RAW_RECOVERED!$B:$B,Tabelle289[[#This Row],[Country/Region]],RAW_RECOVERED!T:T)</f>
        <v>0</v>
      </c>
      <c r="T41" s="28">
        <f>SUMIF(RAW_RECOVERED!$B:$B,Tabelle289[[#This Row],[Country/Region]],RAW_RECOVERED!U:U)</f>
        <v>0</v>
      </c>
      <c r="U41" s="28">
        <f>SUMIF(RAW_RECOVERED!$B:$B,Tabelle289[[#This Row],[Country/Region]],RAW_RECOVERED!V:V)</f>
        <v>0</v>
      </c>
      <c r="V41" s="28">
        <f>SUMIF(RAW_RECOVERED!$B:$B,Tabelle289[[#This Row],[Country/Region]],RAW_RECOVERED!W:W)</f>
        <v>0</v>
      </c>
      <c r="W41" s="28">
        <f>SUMIF(RAW_RECOVERED!$B:$B,Tabelle289[[#This Row],[Country/Region]],RAW_RECOVERED!X:X)</f>
        <v>0</v>
      </c>
      <c r="X41" s="28">
        <f>SUMIF(RAW_RECOVERED!$B:$B,Tabelle289[[#This Row],[Country/Region]],RAW_RECOVERED!Y:Y)</f>
        <v>0</v>
      </c>
      <c r="Y41" s="28">
        <f>SUMIF(RAW_RECOVERED!$B:$B,Tabelle289[[#This Row],[Country/Region]],RAW_RECOVERED!Z:Z)</f>
        <v>0</v>
      </c>
      <c r="Z41" s="28">
        <f>SUMIF(RAW_RECOVERED!$B:$B,Tabelle289[[#This Row],[Country/Region]],RAW_RECOVERED!AA:AA)</f>
        <v>0</v>
      </c>
      <c r="AA41" s="28">
        <f>SUMIF(RAW_RECOVERED!$B:$B,Tabelle289[[#This Row],[Country/Region]],RAW_RECOVERED!AB:AB)</f>
        <v>0</v>
      </c>
      <c r="AB41" s="28">
        <f>SUMIF(RAW_RECOVERED!$B:$B,Tabelle289[[#This Row],[Country/Region]],RAW_RECOVERED!AC:AC)</f>
        <v>0</v>
      </c>
      <c r="AC41" s="28">
        <f>SUMIF(RAW_RECOVERED!$B:$B,Tabelle289[[#This Row],[Country/Region]],RAW_RECOVERED!AD:AD)</f>
        <v>0</v>
      </c>
      <c r="AD41" s="28">
        <f>SUMIF(RAW_RECOVERED!$B:$B,Tabelle289[[#This Row],[Country/Region]],RAW_RECOVERED!AE:AE)</f>
        <v>0</v>
      </c>
      <c r="AE41" s="28">
        <f>SUMIF(RAW_RECOVERED!$B:$B,Tabelle289[[#This Row],[Country/Region]],RAW_RECOVERED!AF:AF)</f>
        <v>0</v>
      </c>
      <c r="AF41" s="28">
        <f>SUMIF(RAW_RECOVERED!$B:$B,Tabelle289[[#This Row],[Country/Region]],RAW_RECOVERED!AG:AG)</f>
        <v>0</v>
      </c>
      <c r="AG41" s="28">
        <f>SUMIF(RAW_RECOVERED!$B:$B,Tabelle289[[#This Row],[Country/Region]],RAW_RECOVERED!AH:AH)</f>
        <v>0</v>
      </c>
      <c r="AH41" s="28">
        <f>SUMIF(RAW_RECOVERED!$B:$B,Tabelle289[[#This Row],[Country/Region]],RAW_RECOVERED!AI:AI)</f>
        <v>0</v>
      </c>
      <c r="AI41" s="28">
        <f>SUMIF(RAW_RECOVERED!$B:$B,Tabelle289[[#This Row],[Country/Region]],RAW_RECOVERED!AJ:AJ)</f>
        <v>0</v>
      </c>
      <c r="AJ41" s="28">
        <f>SUMIF(RAW_RECOVERED!$B:$B,Tabelle289[[#This Row],[Country/Region]],RAW_RECOVERED!AK:AK)</f>
        <v>0</v>
      </c>
      <c r="AK41" s="28">
        <f>SUMIF(RAW_RECOVERED!$B:$B,Tabelle289[[#This Row],[Country/Region]],RAW_RECOVERED!AL:AL)</f>
        <v>0</v>
      </c>
      <c r="AL41" s="28">
        <f>SUMIF(RAW_RECOVERED!$B:$B,Tabelle289[[#This Row],[Country/Region]],RAW_RECOVERED!AM:AM)</f>
        <v>0</v>
      </c>
      <c r="AM41" s="28">
        <f>SUMIF(RAW_RECOVERED!$B:$B,Tabelle289[[#This Row],[Country/Region]],RAW_RECOVERED!AN:AN)</f>
        <v>0</v>
      </c>
      <c r="AN41" s="28">
        <f>SUMIF(RAW_RECOVERED!$B:$B,Tabelle289[[#This Row],[Country/Region]],RAW_RECOVERED!AO:AO)</f>
        <v>0</v>
      </c>
      <c r="AO41" s="28">
        <f>SUMIF(RAW_RECOVERED!$B:$B,Tabelle289[[#This Row],[Country/Region]],RAW_RECOVERED!AP:AP)</f>
        <v>0</v>
      </c>
      <c r="AP41" s="28">
        <f>SUMIF(RAW_RECOVERED!$B:$B,Tabelle289[[#This Row],[Country/Region]],RAW_RECOVERED!AQ:AQ)</f>
        <v>0</v>
      </c>
      <c r="AQ41" s="28">
        <f>SUMIF(RAW_RECOVERED!$B:$B,Tabelle289[[#This Row],[Country/Region]],RAW_RECOVERED!AR:AR)</f>
        <v>0</v>
      </c>
      <c r="AR41" s="28">
        <f>SUMIF(RAW_RECOVERED!$B:$B,Tabelle289[[#This Row],[Country/Region]],RAW_RECOVERED!AS:AS)</f>
        <v>0</v>
      </c>
      <c r="AS41" s="28">
        <f>SUMIF(RAW_RECOVERED!$B:$B,Tabelle289[[#This Row],[Country/Region]],RAW_RECOVERED!AT:AT)</f>
        <v>0</v>
      </c>
      <c r="AT41" s="28">
        <f>SUMIF(RAW_RECOVERED!$B:$B,Tabelle289[[#This Row],[Country/Region]],RAW_RECOVERED!AU:AU)</f>
        <v>0</v>
      </c>
      <c r="AU41" s="28">
        <f>SUMIF(RAW_RECOVERED!$B:$B,Tabelle289[[#This Row],[Country/Region]],RAW_RECOVERED!AV:AV)</f>
        <v>0</v>
      </c>
      <c r="AV41" s="28">
        <f>SUMIF(RAW_RECOVERED!$B:$B,Tabelle289[[#This Row],[Country/Region]],RAW_RECOVERED!AW:AW)</f>
        <v>0</v>
      </c>
      <c r="AW41" s="28">
        <f>SUMIF(RAW_RECOVERED!$B:$B,Tabelle289[[#This Row],[Country/Region]],RAW_RECOVERED!AX:AX)</f>
        <v>0</v>
      </c>
      <c r="AX41" s="28">
        <f>SUMIF(RAW_RECOVERED!$B:$B,Tabelle289[[#This Row],[Country/Region]],RAW_RECOVERED!AY:AY)</f>
        <v>0</v>
      </c>
      <c r="AY41" s="28">
        <f>SUMIF(RAW_RECOVERED!$B:$B,Tabelle289[[#This Row],[Country/Region]],RAW_RECOVERED!AZ:AZ)</f>
        <v>0</v>
      </c>
      <c r="AZ41" s="28">
        <f>SUMIF(RAW_RECOVERED!$B:$B,Tabelle289[[#This Row],[Country/Region]],RAW_RECOVERED!BA:BA)</f>
        <v>0</v>
      </c>
      <c r="BA41" s="28">
        <f>SUMIF(RAW_RECOVERED!$B:$B,Tabelle289[[#This Row],[Country/Region]],RAW_RECOVERED!BB:BB)</f>
        <v>0</v>
      </c>
      <c r="BB41" s="28">
        <f>SUMIF(RAW_RECOVERED!$B:$B,Tabelle289[[#This Row],[Country/Region]],RAW_RECOVERED!BC:BC)</f>
        <v>2</v>
      </c>
      <c r="BC41" s="28">
        <f>SUMIF(RAW_RECOVERED!$B:$B,Tabelle289[[#This Row],[Country/Region]],RAW_RECOVERED!BD:BD)</f>
        <v>2</v>
      </c>
      <c r="BD41" s="28">
        <f>SUMIF(RAW_RECOVERED!$B:$B,Tabelle289[[#This Row],[Country/Region]],RAW_RECOVERED!BE:BE)</f>
        <v>2</v>
      </c>
      <c r="BE41" s="28">
        <f>SUMIF(RAW_RECOVERED!$B:$B,Tabelle289[[#This Row],[Country/Region]],RAW_RECOVERED!BF:BF)</f>
        <v>2</v>
      </c>
      <c r="BF41" s="28">
        <f>SUMIF(RAW_RECOVERED!$B:$B,Tabelle289[[#This Row],[Country/Region]],RAW_RECOVERED!BG:BG)</f>
        <v>2</v>
      </c>
      <c r="BG41" s="28">
        <f>SUMIF(RAW_RECOVERED!$B:$B,Tabelle289[[#This Row],[Country/Region]],RAW_RECOVERED!BH:BH)</f>
        <v>2</v>
      </c>
      <c r="BH41" s="28">
        <f>SUMIF(RAW_RECOVERED!$B:$B,Tabelle289[[#This Row],[Country/Region]],RAW_RECOVERED!BI:BI)</f>
        <v>2</v>
      </c>
      <c r="BI41" s="28">
        <f>SUMIF(RAW_RECOVERED!$B:$B,Tabelle289[[#This Row],[Country/Region]],RAW_RECOVERED!BJ:BJ)</f>
        <v>2</v>
      </c>
      <c r="BJ41" s="28">
        <f>SUMIF(RAW_RECOVERED!$B:$B,Tabelle289[[#This Row],[Country/Region]],RAW_RECOVERED!BK:BK)</f>
        <v>2</v>
      </c>
      <c r="BK41" s="28">
        <f>SUMIF(RAW_RECOVERED!$B:$B,Tabelle289[[#This Row],[Country/Region]],RAW_RECOVERED!BL:BL)</f>
        <v>2</v>
      </c>
      <c r="BL41" s="28">
        <f>SUMIF(RAW_RECOVERED!$B:$B,Tabelle289[[#This Row],[Country/Region]],RAW_RECOVERED!BM:BM)</f>
        <v>3</v>
      </c>
      <c r="BM41" s="28">
        <f>SUMIF(RAW_RECOVERED!$B:$B,Tabelle289[[#This Row],[Country/Region]],RAW_RECOVERED!BN:BN)</f>
        <v>4</v>
      </c>
      <c r="BN41" s="28">
        <f>SUMIF(RAW_RECOVERED!$B:$B,Tabelle289[[#This Row],[Country/Region]],RAW_RECOVERED!BO:BO)</f>
        <v>6</v>
      </c>
      <c r="BO41" s="28">
        <f>SUMIF(RAW_RECOVERED!$B:$B,Tabelle289[[#This Row],[Country/Region]],RAW_RECOVERED!BP:BP)</f>
        <v>6</v>
      </c>
      <c r="BP41" s="28">
        <f>SUMIF(RAW_RECOVERED!$B:$B,Tabelle289[[#This Row],[Country/Region]],RAW_RECOVERED!BQ:BQ)</f>
        <v>6</v>
      </c>
      <c r="BQ41" s="28">
        <f>SUMIF(RAW_RECOVERED!$B:$B,Tabelle289[[#This Row],[Country/Region]],RAW_RECOVERED!BR:BR)</f>
        <v>253</v>
      </c>
      <c r="BR41" s="28">
        <f>SUMIF(RAW_RECOVERED!$B:$B,Tabelle289[[#This Row],[Country/Region]],RAW_RECOVERED!BS:BS)</f>
        <v>253</v>
      </c>
      <c r="BS41" s="28">
        <f>SUMIF(RAW_RECOVERED!$B:$B,Tabelle289[[#This Row],[Country/Region]],RAW_RECOVERED!BT:BT)</f>
        <v>0</v>
      </c>
      <c r="BT41" s="28">
        <f>SUMIF(RAW_RECOVERED!$B:$B,Tabelle289[[#This Row],[Country/Region]],RAW_RECOVERED!BU:BU)</f>
        <v>0</v>
      </c>
      <c r="BU41" s="28">
        <f>SUMIF(RAW_RECOVERED!$B:$B,Tabelle289[[#This Row],[Country/Region]],RAW_RECOVERED!BV:BV)</f>
        <v>0</v>
      </c>
      <c r="BV41" s="28">
        <f>SUMIF(RAW_RECOVERED!$B:$B,Tabelle289[[#This Row],[Country/Region]],RAW_RECOVERED!BW:BW)</f>
        <v>0</v>
      </c>
      <c r="BW41" s="28">
        <f>SUMIF(RAW_RECOVERED!$B:$B,Tabelle289[[#This Row],[Country/Region]],RAW_RECOVERED!BX:BX)</f>
        <v>0</v>
      </c>
      <c r="BX41" s="28">
        <f>SUMIF(RAW_RECOVERED!$B:$B,Tabelle289[[#This Row],[Country/Region]],RAW_RECOVERED!BY:BY)</f>
        <v>0</v>
      </c>
      <c r="BY41" s="28">
        <f>SUMIF(RAW_RECOVERED!$B:$B,Tabelle289[[#This Row],[Country/Region]],RAW_RECOVERED!BZ:BZ)</f>
        <v>0</v>
      </c>
      <c r="BZ41" s="28">
        <f>SUMIF(RAW_RECOVERED!$B:$B,Tabelle289[[#This Row],[Country/Region]],RAW_RECOVERED!CA:CA)</f>
        <v>0</v>
      </c>
      <c r="CA41" s="28">
        <f>SUMIF(RAW_RECOVERED!$B:$B,Tabelle289[[#This Row],[Country/Region]],RAW_RECOVERED!CB:CB)</f>
        <v>0</v>
      </c>
      <c r="CB41" s="28">
        <f>SUMIF(RAW_RECOVERED!$B:$B,Tabelle289[[#This Row],[Country/Region]],RAW_RECOVERED!CC:CC)</f>
        <v>0</v>
      </c>
      <c r="CC41" s="28">
        <f>SUMIF(RAW_RECOVERED!$B:$B,Tabelle289[[#This Row],[Country/Region]],RAW_RECOVERED!CD:CD)</f>
        <v>0</v>
      </c>
      <c r="CD41" s="28">
        <f>SUMIF(RAW_RECOVERED!$B:$B,Tabelle289[[#This Row],[Country/Region]],RAW_RECOVERED!CE:CE)</f>
        <v>0</v>
      </c>
      <c r="CE41" s="28"/>
      <c r="CF41" s="28"/>
      <c r="CG41" s="28"/>
      <c r="CH41" s="28"/>
      <c r="CI41" s="28"/>
    </row>
    <row r="42" spans="1:87" s="11" customFormat="1" ht="12.75" x14ac:dyDescent="0.2">
      <c r="A42" s="27" t="str">
        <f t="shared" si="12"/>
        <v>Korea, South</v>
      </c>
      <c r="B42" s="28">
        <f>SUMIF(RAW_RECOVERED!$B:$B,Tabelle289[[#This Row],[Country/Region]],RAW_RECOVERED!C:C)</f>
        <v>0</v>
      </c>
      <c r="C42" s="28">
        <f>SUMIF(RAW_RECOVERED!$B:$B,Tabelle289[[#This Row],[Country/Region]],RAW_RECOVERED!D:D)</f>
        <v>0</v>
      </c>
      <c r="D42" s="28">
        <f>SUMIF(RAW_RECOVERED!$B:$B,Tabelle289[[#This Row],[Country/Region]],RAW_RECOVERED!E:E)</f>
        <v>0</v>
      </c>
      <c r="E42" s="28">
        <f>SUMIF(RAW_RECOVERED!$B:$B,Tabelle289[[#This Row],[Country/Region]],RAW_RECOVERED!F:F)</f>
        <v>0</v>
      </c>
      <c r="F42" s="28">
        <f>SUMIF(RAW_RECOVERED!$B:$B,Tabelle289[[#This Row],[Country/Region]],RAW_RECOVERED!G:G)</f>
        <v>0</v>
      </c>
      <c r="G42" s="28">
        <f>SUMIF(RAW_RECOVERED!$B:$B,Tabelle289[[#This Row],[Country/Region]],RAW_RECOVERED!H:H)</f>
        <v>0</v>
      </c>
      <c r="H42" s="28">
        <f>SUMIF(RAW_RECOVERED!$B:$B,Tabelle289[[#This Row],[Country/Region]],RAW_RECOVERED!I:I)</f>
        <v>0</v>
      </c>
      <c r="I42" s="28">
        <f>SUMIF(RAW_RECOVERED!$B:$B,Tabelle289[[#This Row],[Country/Region]],RAW_RECOVERED!J:J)</f>
        <v>0</v>
      </c>
      <c r="J42" s="28">
        <f>SUMIF(RAW_RECOVERED!$B:$B,Tabelle289[[#This Row],[Country/Region]],RAW_RECOVERED!K:K)</f>
        <v>0</v>
      </c>
      <c r="K42" s="28">
        <f>SUMIF(RAW_RECOVERED!$B:$B,Tabelle289[[#This Row],[Country/Region]],RAW_RECOVERED!L:L)</f>
        <v>0</v>
      </c>
      <c r="L42" s="28">
        <f>SUMIF(RAW_RECOVERED!$B:$B,Tabelle289[[#This Row],[Country/Region]],RAW_RECOVERED!M:M)</f>
        <v>0</v>
      </c>
      <c r="M42" s="28">
        <f>SUMIF(RAW_RECOVERED!$B:$B,Tabelle289[[#This Row],[Country/Region]],RAW_RECOVERED!N:N)</f>
        <v>0</v>
      </c>
      <c r="N42" s="28">
        <f>SUMIF(RAW_RECOVERED!$B:$B,Tabelle289[[#This Row],[Country/Region]],RAW_RECOVERED!O:O)</f>
        <v>0</v>
      </c>
      <c r="O42" s="28">
        <f>SUMIF(RAW_RECOVERED!$B:$B,Tabelle289[[#This Row],[Country/Region]],RAW_RECOVERED!P:P)</f>
        <v>0</v>
      </c>
      <c r="P42" s="28">
        <f>SUMIF(RAW_RECOVERED!$B:$B,Tabelle289[[#This Row],[Country/Region]],RAW_RECOVERED!Q:Q)</f>
        <v>0</v>
      </c>
      <c r="Q42" s="28">
        <f>SUMIF(RAW_RECOVERED!$B:$B,Tabelle289[[#This Row],[Country/Region]],RAW_RECOVERED!R:R)</f>
        <v>0</v>
      </c>
      <c r="R42" s="28">
        <f>SUMIF(RAW_RECOVERED!$B:$B,Tabelle289[[#This Row],[Country/Region]],RAW_RECOVERED!S:S)</f>
        <v>1</v>
      </c>
      <c r="S42" s="28">
        <f>SUMIF(RAW_RECOVERED!$B:$B,Tabelle289[[#This Row],[Country/Region]],RAW_RECOVERED!T:T)</f>
        <v>1</v>
      </c>
      <c r="T42" s="28">
        <f>SUMIF(RAW_RECOVERED!$B:$B,Tabelle289[[#This Row],[Country/Region]],RAW_RECOVERED!U:U)</f>
        <v>3</v>
      </c>
      <c r="U42" s="28">
        <f>SUMIF(RAW_RECOVERED!$B:$B,Tabelle289[[#This Row],[Country/Region]],RAW_RECOVERED!V:V)</f>
        <v>3</v>
      </c>
      <c r="V42" s="28">
        <f>SUMIF(RAW_RECOVERED!$B:$B,Tabelle289[[#This Row],[Country/Region]],RAW_RECOVERED!W:W)</f>
        <v>3</v>
      </c>
      <c r="W42" s="28">
        <f>SUMIF(RAW_RECOVERED!$B:$B,Tabelle289[[#This Row],[Country/Region]],RAW_RECOVERED!X:X)</f>
        <v>7</v>
      </c>
      <c r="X42" s="28">
        <f>SUMIF(RAW_RECOVERED!$B:$B,Tabelle289[[#This Row],[Country/Region]],RAW_RECOVERED!Y:Y)</f>
        <v>7</v>
      </c>
      <c r="Y42" s="28">
        <f>SUMIF(RAW_RECOVERED!$B:$B,Tabelle289[[#This Row],[Country/Region]],RAW_RECOVERED!Z:Z)</f>
        <v>7</v>
      </c>
      <c r="Z42" s="28">
        <f>SUMIF(RAW_RECOVERED!$B:$B,Tabelle289[[#This Row],[Country/Region]],RAW_RECOVERED!AA:AA)</f>
        <v>9</v>
      </c>
      <c r="AA42" s="28">
        <f>SUMIF(RAW_RECOVERED!$B:$B,Tabelle289[[#This Row],[Country/Region]],RAW_RECOVERED!AB:AB)</f>
        <v>9</v>
      </c>
      <c r="AB42" s="28">
        <f>SUMIF(RAW_RECOVERED!$B:$B,Tabelle289[[#This Row],[Country/Region]],RAW_RECOVERED!AC:AC)</f>
        <v>10</v>
      </c>
      <c r="AC42" s="28">
        <f>SUMIF(RAW_RECOVERED!$B:$B,Tabelle289[[#This Row],[Country/Region]],RAW_RECOVERED!AD:AD)</f>
        <v>12</v>
      </c>
      <c r="AD42" s="28">
        <f>SUMIF(RAW_RECOVERED!$B:$B,Tabelle289[[#This Row],[Country/Region]],RAW_RECOVERED!AE:AE)</f>
        <v>12</v>
      </c>
      <c r="AE42" s="28">
        <f>SUMIF(RAW_RECOVERED!$B:$B,Tabelle289[[#This Row],[Country/Region]],RAW_RECOVERED!AF:AF)</f>
        <v>16</v>
      </c>
      <c r="AF42" s="28">
        <f>SUMIF(RAW_RECOVERED!$B:$B,Tabelle289[[#This Row],[Country/Region]],RAW_RECOVERED!AG:AG)</f>
        <v>16</v>
      </c>
      <c r="AG42" s="28">
        <f>SUMIF(RAW_RECOVERED!$B:$B,Tabelle289[[#This Row],[Country/Region]],RAW_RECOVERED!AH:AH)</f>
        <v>16</v>
      </c>
      <c r="AH42" s="28">
        <f>SUMIF(RAW_RECOVERED!$B:$B,Tabelle289[[#This Row],[Country/Region]],RAW_RECOVERED!AI:AI)</f>
        <v>18</v>
      </c>
      <c r="AI42" s="28">
        <f>SUMIF(RAW_RECOVERED!$B:$B,Tabelle289[[#This Row],[Country/Region]],RAW_RECOVERED!AJ:AJ)</f>
        <v>18</v>
      </c>
      <c r="AJ42" s="28">
        <f>SUMIF(RAW_RECOVERED!$B:$B,Tabelle289[[#This Row],[Country/Region]],RAW_RECOVERED!AK:AK)</f>
        <v>22</v>
      </c>
      <c r="AK42" s="28">
        <f>SUMIF(RAW_RECOVERED!$B:$B,Tabelle289[[#This Row],[Country/Region]],RAW_RECOVERED!AL:AL)</f>
        <v>22</v>
      </c>
      <c r="AL42" s="28">
        <f>SUMIF(RAW_RECOVERED!$B:$B,Tabelle289[[#This Row],[Country/Region]],RAW_RECOVERED!AM:AM)</f>
        <v>22</v>
      </c>
      <c r="AM42" s="28">
        <f>SUMIF(RAW_RECOVERED!$B:$B,Tabelle289[[#This Row],[Country/Region]],RAW_RECOVERED!AN:AN)</f>
        <v>22</v>
      </c>
      <c r="AN42" s="28">
        <f>SUMIF(RAW_RECOVERED!$B:$B,Tabelle289[[#This Row],[Country/Region]],RAW_RECOVERED!AO:AO)</f>
        <v>27</v>
      </c>
      <c r="AO42" s="28">
        <f>SUMIF(RAW_RECOVERED!$B:$B,Tabelle289[[#This Row],[Country/Region]],RAW_RECOVERED!AP:AP)</f>
        <v>30</v>
      </c>
      <c r="AP42" s="28">
        <f>SUMIF(RAW_RECOVERED!$B:$B,Tabelle289[[#This Row],[Country/Region]],RAW_RECOVERED!AQ:AQ)</f>
        <v>30</v>
      </c>
      <c r="AQ42" s="28">
        <f>SUMIF(RAW_RECOVERED!$B:$B,Tabelle289[[#This Row],[Country/Region]],RAW_RECOVERED!AR:AR)</f>
        <v>30</v>
      </c>
      <c r="AR42" s="28">
        <f>SUMIF(RAW_RECOVERED!$B:$B,Tabelle289[[#This Row],[Country/Region]],RAW_RECOVERED!AS:AS)</f>
        <v>41</v>
      </c>
      <c r="AS42" s="28">
        <f>SUMIF(RAW_RECOVERED!$B:$B,Tabelle289[[#This Row],[Country/Region]],RAW_RECOVERED!AT:AT)</f>
        <v>41</v>
      </c>
      <c r="AT42" s="28">
        <f>SUMIF(RAW_RECOVERED!$B:$B,Tabelle289[[#This Row],[Country/Region]],RAW_RECOVERED!AU:AU)</f>
        <v>135</v>
      </c>
      <c r="AU42" s="28">
        <f>SUMIF(RAW_RECOVERED!$B:$B,Tabelle289[[#This Row],[Country/Region]],RAW_RECOVERED!AV:AV)</f>
        <v>135</v>
      </c>
      <c r="AV42" s="28">
        <f>SUMIF(RAW_RECOVERED!$B:$B,Tabelle289[[#This Row],[Country/Region]],RAW_RECOVERED!AW:AW)</f>
        <v>118</v>
      </c>
      <c r="AW42" s="28">
        <f>SUMIF(RAW_RECOVERED!$B:$B,Tabelle289[[#This Row],[Country/Region]],RAW_RECOVERED!AX:AX)</f>
        <v>118</v>
      </c>
      <c r="AX42" s="28">
        <f>SUMIF(RAW_RECOVERED!$B:$B,Tabelle289[[#This Row],[Country/Region]],RAW_RECOVERED!AY:AY)</f>
        <v>247</v>
      </c>
      <c r="AY42" s="28">
        <f>SUMIF(RAW_RECOVERED!$B:$B,Tabelle289[[#This Row],[Country/Region]],RAW_RECOVERED!AZ:AZ)</f>
        <v>288</v>
      </c>
      <c r="AZ42" s="28">
        <f>SUMIF(RAW_RECOVERED!$B:$B,Tabelle289[[#This Row],[Country/Region]],RAW_RECOVERED!BA:BA)</f>
        <v>333</v>
      </c>
      <c r="BA42" s="28">
        <f>SUMIF(RAW_RECOVERED!$B:$B,Tabelle289[[#This Row],[Country/Region]],RAW_RECOVERED!BB:BB)</f>
        <v>510</v>
      </c>
      <c r="BB42" s="28">
        <f>SUMIF(RAW_RECOVERED!$B:$B,Tabelle289[[#This Row],[Country/Region]],RAW_RECOVERED!BC:BC)</f>
        <v>510</v>
      </c>
      <c r="BC42" s="28">
        <f>SUMIF(RAW_RECOVERED!$B:$B,Tabelle289[[#This Row],[Country/Region]],RAW_RECOVERED!BD:BD)</f>
        <v>510</v>
      </c>
      <c r="BD42" s="28">
        <f>SUMIF(RAW_RECOVERED!$B:$B,Tabelle289[[#This Row],[Country/Region]],RAW_RECOVERED!BE:BE)</f>
        <v>1137</v>
      </c>
      <c r="BE42" s="28">
        <f>SUMIF(RAW_RECOVERED!$B:$B,Tabelle289[[#This Row],[Country/Region]],RAW_RECOVERED!BF:BF)</f>
        <v>1407</v>
      </c>
      <c r="BF42" s="28">
        <f>SUMIF(RAW_RECOVERED!$B:$B,Tabelle289[[#This Row],[Country/Region]],RAW_RECOVERED!BG:BG)</f>
        <v>1540</v>
      </c>
      <c r="BG42" s="28">
        <f>SUMIF(RAW_RECOVERED!$B:$B,Tabelle289[[#This Row],[Country/Region]],RAW_RECOVERED!BH:BH)</f>
        <v>1540</v>
      </c>
      <c r="BH42" s="28">
        <f>SUMIF(RAW_RECOVERED!$B:$B,Tabelle289[[#This Row],[Country/Region]],RAW_RECOVERED!BI:BI)</f>
        <v>1540</v>
      </c>
      <c r="BI42" s="28">
        <f>SUMIF(RAW_RECOVERED!$B:$B,Tabelle289[[#This Row],[Country/Region]],RAW_RECOVERED!BJ:BJ)</f>
        <v>1540</v>
      </c>
      <c r="BJ42" s="28">
        <f>SUMIF(RAW_RECOVERED!$B:$B,Tabelle289[[#This Row],[Country/Region]],RAW_RECOVERED!BK:BK)</f>
        <v>2909</v>
      </c>
      <c r="BK42" s="28">
        <f>SUMIF(RAW_RECOVERED!$B:$B,Tabelle289[[#This Row],[Country/Region]],RAW_RECOVERED!BL:BL)</f>
        <v>2909</v>
      </c>
      <c r="BL42" s="28">
        <f>SUMIF(RAW_RECOVERED!$B:$B,Tabelle289[[#This Row],[Country/Region]],RAW_RECOVERED!BM:BM)</f>
        <v>3507</v>
      </c>
      <c r="BM42" s="28">
        <f>SUMIF(RAW_RECOVERED!$B:$B,Tabelle289[[#This Row],[Country/Region]],RAW_RECOVERED!BN:BN)</f>
        <v>3730</v>
      </c>
      <c r="BN42" s="28">
        <f>SUMIF(RAW_RECOVERED!$B:$B,Tabelle289[[#This Row],[Country/Region]],RAW_RECOVERED!BO:BO)</f>
        <v>4144</v>
      </c>
      <c r="BO42" s="28">
        <f>SUMIF(RAW_RECOVERED!$B:$B,Tabelle289[[#This Row],[Country/Region]],RAW_RECOVERED!BP:BP)</f>
        <v>4528</v>
      </c>
      <c r="BP42" s="28">
        <f>SUMIF(RAW_RECOVERED!$B:$B,Tabelle289[[#This Row],[Country/Region]],RAW_RECOVERED!BQ:BQ)</f>
        <v>4811</v>
      </c>
      <c r="BQ42" s="28">
        <f>SUMIF(RAW_RECOVERED!$B:$B,Tabelle289[[#This Row],[Country/Region]],RAW_RECOVERED!BR:BR)</f>
        <v>5033</v>
      </c>
      <c r="BR42" s="28">
        <f>SUMIF(RAW_RECOVERED!$B:$B,Tabelle289[[#This Row],[Country/Region]],RAW_RECOVERED!BS:BS)</f>
        <v>5228</v>
      </c>
      <c r="BS42" s="28">
        <f>SUMIF(RAW_RECOVERED!$B:$B,Tabelle289[[#This Row],[Country/Region]],RAW_RECOVERED!BT:BT)</f>
        <v>0</v>
      </c>
      <c r="BT42" s="28">
        <f>SUMIF(RAW_RECOVERED!$B:$B,Tabelle289[[#This Row],[Country/Region]],RAW_RECOVERED!BU:BU)</f>
        <v>0</v>
      </c>
      <c r="BU42" s="28">
        <f>SUMIF(RAW_RECOVERED!$B:$B,Tabelle289[[#This Row],[Country/Region]],RAW_RECOVERED!BV:BV)</f>
        <v>0</v>
      </c>
      <c r="BV42" s="28">
        <f>SUMIF(RAW_RECOVERED!$B:$B,Tabelle289[[#This Row],[Country/Region]],RAW_RECOVERED!BW:BW)</f>
        <v>0</v>
      </c>
      <c r="BW42" s="28">
        <f>SUMIF(RAW_RECOVERED!$B:$B,Tabelle289[[#This Row],[Country/Region]],RAW_RECOVERED!BX:BX)</f>
        <v>0</v>
      </c>
      <c r="BX42" s="28">
        <f>SUMIF(RAW_RECOVERED!$B:$B,Tabelle289[[#This Row],[Country/Region]],RAW_RECOVERED!BY:BY)</f>
        <v>0</v>
      </c>
      <c r="BY42" s="28">
        <f>SUMIF(RAW_RECOVERED!$B:$B,Tabelle289[[#This Row],[Country/Region]],RAW_RECOVERED!BZ:BZ)</f>
        <v>0</v>
      </c>
      <c r="BZ42" s="28">
        <f>SUMIF(RAW_RECOVERED!$B:$B,Tabelle289[[#This Row],[Country/Region]],RAW_RECOVERED!CA:CA)</f>
        <v>0</v>
      </c>
      <c r="CA42" s="28">
        <f>SUMIF(RAW_RECOVERED!$B:$B,Tabelle289[[#This Row],[Country/Region]],RAW_RECOVERED!CB:CB)</f>
        <v>0</v>
      </c>
      <c r="CB42" s="28">
        <f>SUMIF(RAW_RECOVERED!$B:$B,Tabelle289[[#This Row],[Country/Region]],RAW_RECOVERED!CC:CC)</f>
        <v>0</v>
      </c>
      <c r="CC42" s="28">
        <f>SUMIF(RAW_RECOVERED!$B:$B,Tabelle289[[#This Row],[Country/Region]],RAW_RECOVERED!CD:CD)</f>
        <v>0</v>
      </c>
      <c r="CD42" s="28">
        <f>SUMIF(RAW_RECOVERED!$B:$B,Tabelle289[[#This Row],[Country/Region]],RAW_RECOVERED!CE:CE)</f>
        <v>0</v>
      </c>
      <c r="CE42" s="28"/>
      <c r="CF42" s="28"/>
      <c r="CG42" s="28"/>
      <c r="CH42" s="28"/>
      <c r="CI42" s="28"/>
    </row>
    <row r="43" spans="1:87" s="11" customFormat="1" ht="12.75" x14ac:dyDescent="0.2">
      <c r="A43" s="27" t="str">
        <f t="shared" si="12"/>
        <v>Spain</v>
      </c>
      <c r="B43" s="28">
        <f>SUMIF(RAW_RECOVERED!$B:$B,Tabelle289[[#This Row],[Country/Region]],RAW_RECOVERED!C:C)</f>
        <v>0</v>
      </c>
      <c r="C43" s="28">
        <f>SUMIF(RAW_RECOVERED!$B:$B,Tabelle289[[#This Row],[Country/Region]],RAW_RECOVERED!D:D)</f>
        <v>0</v>
      </c>
      <c r="D43" s="28">
        <f>SUMIF(RAW_RECOVERED!$B:$B,Tabelle289[[#This Row],[Country/Region]],RAW_RECOVERED!E:E)</f>
        <v>0</v>
      </c>
      <c r="E43" s="28">
        <f>SUMIF(RAW_RECOVERED!$B:$B,Tabelle289[[#This Row],[Country/Region]],RAW_RECOVERED!F:F)</f>
        <v>0</v>
      </c>
      <c r="F43" s="28">
        <f>SUMIF(RAW_RECOVERED!$B:$B,Tabelle289[[#This Row],[Country/Region]],RAW_RECOVERED!G:G)</f>
        <v>0</v>
      </c>
      <c r="G43" s="28">
        <f>SUMIF(RAW_RECOVERED!$B:$B,Tabelle289[[#This Row],[Country/Region]],RAW_RECOVERED!H:H)</f>
        <v>0</v>
      </c>
      <c r="H43" s="28">
        <f>SUMIF(RAW_RECOVERED!$B:$B,Tabelle289[[#This Row],[Country/Region]],RAW_RECOVERED!I:I)</f>
        <v>0</v>
      </c>
      <c r="I43" s="28">
        <f>SUMIF(RAW_RECOVERED!$B:$B,Tabelle289[[#This Row],[Country/Region]],RAW_RECOVERED!J:J)</f>
        <v>0</v>
      </c>
      <c r="J43" s="28">
        <f>SUMIF(RAW_RECOVERED!$B:$B,Tabelle289[[#This Row],[Country/Region]],RAW_RECOVERED!K:K)</f>
        <v>0</v>
      </c>
      <c r="K43" s="28">
        <f>SUMIF(RAW_RECOVERED!$B:$B,Tabelle289[[#This Row],[Country/Region]],RAW_RECOVERED!L:L)</f>
        <v>0</v>
      </c>
      <c r="L43" s="28">
        <f>SUMIF(RAW_RECOVERED!$B:$B,Tabelle289[[#This Row],[Country/Region]],RAW_RECOVERED!M:M)</f>
        <v>0</v>
      </c>
      <c r="M43" s="28">
        <f>SUMIF(RAW_RECOVERED!$B:$B,Tabelle289[[#This Row],[Country/Region]],RAW_RECOVERED!N:N)</f>
        <v>0</v>
      </c>
      <c r="N43" s="28">
        <f>SUMIF(RAW_RECOVERED!$B:$B,Tabelle289[[#This Row],[Country/Region]],RAW_RECOVERED!O:O)</f>
        <v>0</v>
      </c>
      <c r="O43" s="28">
        <f>SUMIF(RAW_RECOVERED!$B:$B,Tabelle289[[#This Row],[Country/Region]],RAW_RECOVERED!P:P)</f>
        <v>0</v>
      </c>
      <c r="P43" s="28">
        <f>SUMIF(RAW_RECOVERED!$B:$B,Tabelle289[[#This Row],[Country/Region]],RAW_RECOVERED!Q:Q)</f>
        <v>0</v>
      </c>
      <c r="Q43" s="28">
        <f>SUMIF(RAW_RECOVERED!$B:$B,Tabelle289[[#This Row],[Country/Region]],RAW_RECOVERED!R:R)</f>
        <v>0</v>
      </c>
      <c r="R43" s="28">
        <f>SUMIF(RAW_RECOVERED!$B:$B,Tabelle289[[#This Row],[Country/Region]],RAW_RECOVERED!S:S)</f>
        <v>0</v>
      </c>
      <c r="S43" s="28">
        <f>SUMIF(RAW_RECOVERED!$B:$B,Tabelle289[[#This Row],[Country/Region]],RAW_RECOVERED!T:T)</f>
        <v>0</v>
      </c>
      <c r="T43" s="28">
        <f>SUMIF(RAW_RECOVERED!$B:$B,Tabelle289[[#This Row],[Country/Region]],RAW_RECOVERED!U:U)</f>
        <v>0</v>
      </c>
      <c r="U43" s="28">
        <f>SUMIF(RAW_RECOVERED!$B:$B,Tabelle289[[#This Row],[Country/Region]],RAW_RECOVERED!V:V)</f>
        <v>0</v>
      </c>
      <c r="V43" s="28">
        <f>SUMIF(RAW_RECOVERED!$B:$B,Tabelle289[[#This Row],[Country/Region]],RAW_RECOVERED!W:W)</f>
        <v>0</v>
      </c>
      <c r="W43" s="28">
        <f>SUMIF(RAW_RECOVERED!$B:$B,Tabelle289[[#This Row],[Country/Region]],RAW_RECOVERED!X:X)</f>
        <v>0</v>
      </c>
      <c r="X43" s="28">
        <f>SUMIF(RAW_RECOVERED!$B:$B,Tabelle289[[#This Row],[Country/Region]],RAW_RECOVERED!Y:Y)</f>
        <v>0</v>
      </c>
      <c r="Y43" s="28">
        <f>SUMIF(RAW_RECOVERED!$B:$B,Tabelle289[[#This Row],[Country/Region]],RAW_RECOVERED!Z:Z)</f>
        <v>0</v>
      </c>
      <c r="Z43" s="28">
        <f>SUMIF(RAW_RECOVERED!$B:$B,Tabelle289[[#This Row],[Country/Region]],RAW_RECOVERED!AA:AA)</f>
        <v>2</v>
      </c>
      <c r="AA43" s="28">
        <f>SUMIF(RAW_RECOVERED!$B:$B,Tabelle289[[#This Row],[Country/Region]],RAW_RECOVERED!AB:AB)</f>
        <v>2</v>
      </c>
      <c r="AB43" s="28">
        <f>SUMIF(RAW_RECOVERED!$B:$B,Tabelle289[[#This Row],[Country/Region]],RAW_RECOVERED!AC:AC)</f>
        <v>2</v>
      </c>
      <c r="AC43" s="28">
        <f>SUMIF(RAW_RECOVERED!$B:$B,Tabelle289[[#This Row],[Country/Region]],RAW_RECOVERED!AD:AD)</f>
        <v>2</v>
      </c>
      <c r="AD43" s="28">
        <f>SUMIF(RAW_RECOVERED!$B:$B,Tabelle289[[#This Row],[Country/Region]],RAW_RECOVERED!AE:AE)</f>
        <v>2</v>
      </c>
      <c r="AE43" s="28">
        <f>SUMIF(RAW_RECOVERED!$B:$B,Tabelle289[[#This Row],[Country/Region]],RAW_RECOVERED!AF:AF)</f>
        <v>2</v>
      </c>
      <c r="AF43" s="28">
        <f>SUMIF(RAW_RECOVERED!$B:$B,Tabelle289[[#This Row],[Country/Region]],RAW_RECOVERED!AG:AG)</f>
        <v>2</v>
      </c>
      <c r="AG43" s="28">
        <f>SUMIF(RAW_RECOVERED!$B:$B,Tabelle289[[#This Row],[Country/Region]],RAW_RECOVERED!AH:AH)</f>
        <v>2</v>
      </c>
      <c r="AH43" s="28">
        <f>SUMIF(RAW_RECOVERED!$B:$B,Tabelle289[[#This Row],[Country/Region]],RAW_RECOVERED!AI:AI)</f>
        <v>2</v>
      </c>
      <c r="AI43" s="28">
        <f>SUMIF(RAW_RECOVERED!$B:$B,Tabelle289[[#This Row],[Country/Region]],RAW_RECOVERED!AJ:AJ)</f>
        <v>2</v>
      </c>
      <c r="AJ43" s="28">
        <f>SUMIF(RAW_RECOVERED!$B:$B,Tabelle289[[#This Row],[Country/Region]],RAW_RECOVERED!AK:AK)</f>
        <v>2</v>
      </c>
      <c r="AK43" s="28">
        <f>SUMIF(RAW_RECOVERED!$B:$B,Tabelle289[[#This Row],[Country/Region]],RAW_RECOVERED!AL:AL)</f>
        <v>2</v>
      </c>
      <c r="AL43" s="28">
        <f>SUMIF(RAW_RECOVERED!$B:$B,Tabelle289[[#This Row],[Country/Region]],RAW_RECOVERED!AM:AM)</f>
        <v>2</v>
      </c>
      <c r="AM43" s="28">
        <f>SUMIF(RAW_RECOVERED!$B:$B,Tabelle289[[#This Row],[Country/Region]],RAW_RECOVERED!AN:AN)</f>
        <v>2</v>
      </c>
      <c r="AN43" s="28">
        <f>SUMIF(RAW_RECOVERED!$B:$B,Tabelle289[[#This Row],[Country/Region]],RAW_RECOVERED!AO:AO)</f>
        <v>2</v>
      </c>
      <c r="AO43" s="28">
        <f>SUMIF(RAW_RECOVERED!$B:$B,Tabelle289[[#This Row],[Country/Region]],RAW_RECOVERED!AP:AP)</f>
        <v>2</v>
      </c>
      <c r="AP43" s="28">
        <f>SUMIF(RAW_RECOVERED!$B:$B,Tabelle289[[#This Row],[Country/Region]],RAW_RECOVERED!AQ:AQ)</f>
        <v>2</v>
      </c>
      <c r="AQ43" s="28">
        <f>SUMIF(RAW_RECOVERED!$B:$B,Tabelle289[[#This Row],[Country/Region]],RAW_RECOVERED!AR:AR)</f>
        <v>2</v>
      </c>
      <c r="AR43" s="28">
        <f>SUMIF(RAW_RECOVERED!$B:$B,Tabelle289[[#This Row],[Country/Region]],RAW_RECOVERED!AS:AS)</f>
        <v>2</v>
      </c>
      <c r="AS43" s="28">
        <f>SUMIF(RAW_RECOVERED!$B:$B,Tabelle289[[#This Row],[Country/Region]],RAW_RECOVERED!AT:AT)</f>
        <v>2</v>
      </c>
      <c r="AT43" s="28">
        <f>SUMIF(RAW_RECOVERED!$B:$B,Tabelle289[[#This Row],[Country/Region]],RAW_RECOVERED!AU:AU)</f>
        <v>2</v>
      </c>
      <c r="AU43" s="28">
        <f>SUMIF(RAW_RECOVERED!$B:$B,Tabelle289[[#This Row],[Country/Region]],RAW_RECOVERED!AV:AV)</f>
        <v>30</v>
      </c>
      <c r="AV43" s="28">
        <f>SUMIF(RAW_RECOVERED!$B:$B,Tabelle289[[#This Row],[Country/Region]],RAW_RECOVERED!AW:AW)</f>
        <v>30</v>
      </c>
      <c r="AW43" s="28">
        <f>SUMIF(RAW_RECOVERED!$B:$B,Tabelle289[[#This Row],[Country/Region]],RAW_RECOVERED!AX:AX)</f>
        <v>32</v>
      </c>
      <c r="AX43" s="28">
        <f>SUMIF(RAW_RECOVERED!$B:$B,Tabelle289[[#This Row],[Country/Region]],RAW_RECOVERED!AY:AY)</f>
        <v>32</v>
      </c>
      <c r="AY43" s="28">
        <f>SUMIF(RAW_RECOVERED!$B:$B,Tabelle289[[#This Row],[Country/Region]],RAW_RECOVERED!AZ:AZ)</f>
        <v>183</v>
      </c>
      <c r="AZ43" s="28">
        <f>SUMIF(RAW_RECOVERED!$B:$B,Tabelle289[[#This Row],[Country/Region]],RAW_RECOVERED!BA:BA)</f>
        <v>183</v>
      </c>
      <c r="BA43" s="28">
        <f>SUMIF(RAW_RECOVERED!$B:$B,Tabelle289[[#This Row],[Country/Region]],RAW_RECOVERED!BB:BB)</f>
        <v>193</v>
      </c>
      <c r="BB43" s="28">
        <f>SUMIF(RAW_RECOVERED!$B:$B,Tabelle289[[#This Row],[Country/Region]],RAW_RECOVERED!BC:BC)</f>
        <v>517</v>
      </c>
      <c r="BC43" s="28">
        <f>SUMIF(RAW_RECOVERED!$B:$B,Tabelle289[[#This Row],[Country/Region]],RAW_RECOVERED!BD:BD)</f>
        <v>517</v>
      </c>
      <c r="BD43" s="28">
        <f>SUMIF(RAW_RECOVERED!$B:$B,Tabelle289[[#This Row],[Country/Region]],RAW_RECOVERED!BE:BE)</f>
        <v>530</v>
      </c>
      <c r="BE43" s="28">
        <f>SUMIF(RAW_RECOVERED!$B:$B,Tabelle289[[#This Row],[Country/Region]],RAW_RECOVERED!BF:BF)</f>
        <v>1028</v>
      </c>
      <c r="BF43" s="28">
        <f>SUMIF(RAW_RECOVERED!$B:$B,Tabelle289[[#This Row],[Country/Region]],RAW_RECOVERED!BG:BG)</f>
        <v>1081</v>
      </c>
      <c r="BG43" s="28">
        <f>SUMIF(RAW_RECOVERED!$B:$B,Tabelle289[[#This Row],[Country/Region]],RAW_RECOVERED!BH:BH)</f>
        <v>1107</v>
      </c>
      <c r="BH43" s="28">
        <f>SUMIF(RAW_RECOVERED!$B:$B,Tabelle289[[#This Row],[Country/Region]],RAW_RECOVERED!BI:BI)</f>
        <v>1588</v>
      </c>
      <c r="BI43" s="28">
        <f>SUMIF(RAW_RECOVERED!$B:$B,Tabelle289[[#This Row],[Country/Region]],RAW_RECOVERED!BJ:BJ)</f>
        <v>2125</v>
      </c>
      <c r="BJ43" s="28">
        <f>SUMIF(RAW_RECOVERED!$B:$B,Tabelle289[[#This Row],[Country/Region]],RAW_RECOVERED!BK:BK)</f>
        <v>2575</v>
      </c>
      <c r="BK43" s="28">
        <f>SUMIF(RAW_RECOVERED!$B:$B,Tabelle289[[#This Row],[Country/Region]],RAW_RECOVERED!BL:BL)</f>
        <v>2575</v>
      </c>
      <c r="BL43" s="28">
        <f>SUMIF(RAW_RECOVERED!$B:$B,Tabelle289[[#This Row],[Country/Region]],RAW_RECOVERED!BM:BM)</f>
        <v>3794</v>
      </c>
      <c r="BM43" s="28">
        <f>SUMIF(RAW_RECOVERED!$B:$B,Tabelle289[[#This Row],[Country/Region]],RAW_RECOVERED!BN:BN)</f>
        <v>5367</v>
      </c>
      <c r="BN43" s="28">
        <f>SUMIF(RAW_RECOVERED!$B:$B,Tabelle289[[#This Row],[Country/Region]],RAW_RECOVERED!BO:BO)</f>
        <v>7015</v>
      </c>
      <c r="BO43" s="28">
        <f>SUMIF(RAW_RECOVERED!$B:$B,Tabelle289[[#This Row],[Country/Region]],RAW_RECOVERED!BP:BP)</f>
        <v>9357</v>
      </c>
      <c r="BP43" s="28">
        <f>SUMIF(RAW_RECOVERED!$B:$B,Tabelle289[[#This Row],[Country/Region]],RAW_RECOVERED!BQ:BQ)</f>
        <v>12285</v>
      </c>
      <c r="BQ43" s="28">
        <f>SUMIF(RAW_RECOVERED!$B:$B,Tabelle289[[#This Row],[Country/Region]],RAW_RECOVERED!BR:BR)</f>
        <v>14709</v>
      </c>
      <c r="BR43" s="28">
        <f>SUMIF(RAW_RECOVERED!$B:$B,Tabelle289[[#This Row],[Country/Region]],RAW_RECOVERED!BS:BS)</f>
        <v>16780</v>
      </c>
      <c r="BS43" s="28">
        <f>SUMIF(RAW_RECOVERED!$B:$B,Tabelle289[[#This Row],[Country/Region]],RAW_RECOVERED!BT:BT)</f>
        <v>0</v>
      </c>
      <c r="BT43" s="28">
        <f>SUMIF(RAW_RECOVERED!$B:$B,Tabelle289[[#This Row],[Country/Region]],RAW_RECOVERED!BU:BU)</f>
        <v>0</v>
      </c>
      <c r="BU43" s="28">
        <f>SUMIF(RAW_RECOVERED!$B:$B,Tabelle289[[#This Row],[Country/Region]],RAW_RECOVERED!BV:BV)</f>
        <v>0</v>
      </c>
      <c r="BV43" s="28">
        <f>SUMIF(RAW_RECOVERED!$B:$B,Tabelle289[[#This Row],[Country/Region]],RAW_RECOVERED!BW:BW)</f>
        <v>0</v>
      </c>
      <c r="BW43" s="28">
        <f>SUMIF(RAW_RECOVERED!$B:$B,Tabelle289[[#This Row],[Country/Region]],RAW_RECOVERED!BX:BX)</f>
        <v>0</v>
      </c>
      <c r="BX43" s="28">
        <f>SUMIF(RAW_RECOVERED!$B:$B,Tabelle289[[#This Row],[Country/Region]],RAW_RECOVERED!BY:BY)</f>
        <v>0</v>
      </c>
      <c r="BY43" s="28">
        <f>SUMIF(RAW_RECOVERED!$B:$B,Tabelle289[[#This Row],[Country/Region]],RAW_RECOVERED!BZ:BZ)</f>
        <v>0</v>
      </c>
      <c r="BZ43" s="28">
        <f>SUMIF(RAW_RECOVERED!$B:$B,Tabelle289[[#This Row],[Country/Region]],RAW_RECOVERED!CA:CA)</f>
        <v>0</v>
      </c>
      <c r="CA43" s="28">
        <f>SUMIF(RAW_RECOVERED!$B:$B,Tabelle289[[#This Row],[Country/Region]],RAW_RECOVERED!CB:CB)</f>
        <v>0</v>
      </c>
      <c r="CB43" s="28">
        <f>SUMIF(RAW_RECOVERED!$B:$B,Tabelle289[[#This Row],[Country/Region]],RAW_RECOVERED!CC:CC)</f>
        <v>0</v>
      </c>
      <c r="CC43" s="28">
        <f>SUMIF(RAW_RECOVERED!$B:$B,Tabelle289[[#This Row],[Country/Region]],RAW_RECOVERED!CD:CD)</f>
        <v>0</v>
      </c>
      <c r="CD43" s="28">
        <f>SUMIF(RAW_RECOVERED!$B:$B,Tabelle289[[#This Row],[Country/Region]],RAW_RECOVERED!CE:CE)</f>
        <v>0</v>
      </c>
      <c r="CE43" s="28"/>
      <c r="CF43" s="28"/>
      <c r="CG43" s="28"/>
      <c r="CH43" s="28"/>
      <c r="CI43" s="28"/>
    </row>
    <row r="44" spans="1:87" s="11" customFormat="1" ht="12.75" x14ac:dyDescent="0.2">
      <c r="A44" s="27" t="str">
        <f t="shared" si="12"/>
        <v>France</v>
      </c>
      <c r="B44" s="28">
        <f>SUMIF(RAW_RECOVERED!$B:$B,Tabelle289[[#This Row],[Country/Region]],RAW_RECOVERED!C:C)</f>
        <v>0</v>
      </c>
      <c r="C44" s="28">
        <f>SUMIF(RAW_RECOVERED!$B:$B,Tabelle289[[#This Row],[Country/Region]],RAW_RECOVERED!D:D)</f>
        <v>0</v>
      </c>
      <c r="D44" s="28">
        <f>SUMIF(RAW_RECOVERED!$B:$B,Tabelle289[[#This Row],[Country/Region]],RAW_RECOVERED!E:E)</f>
        <v>0</v>
      </c>
      <c r="E44" s="28">
        <f>SUMIF(RAW_RECOVERED!$B:$B,Tabelle289[[#This Row],[Country/Region]],RAW_RECOVERED!F:F)</f>
        <v>0</v>
      </c>
      <c r="F44" s="28">
        <f>SUMIF(RAW_RECOVERED!$B:$B,Tabelle289[[#This Row],[Country/Region]],RAW_RECOVERED!G:G)</f>
        <v>0</v>
      </c>
      <c r="G44" s="28">
        <f>SUMIF(RAW_RECOVERED!$B:$B,Tabelle289[[#This Row],[Country/Region]],RAW_RECOVERED!H:H)</f>
        <v>0</v>
      </c>
      <c r="H44" s="28">
        <f>SUMIF(RAW_RECOVERED!$B:$B,Tabelle289[[#This Row],[Country/Region]],RAW_RECOVERED!I:I)</f>
        <v>0</v>
      </c>
      <c r="I44" s="28">
        <f>SUMIF(RAW_RECOVERED!$B:$B,Tabelle289[[#This Row],[Country/Region]],RAW_RECOVERED!J:J)</f>
        <v>0</v>
      </c>
      <c r="J44" s="28">
        <f>SUMIF(RAW_RECOVERED!$B:$B,Tabelle289[[#This Row],[Country/Region]],RAW_RECOVERED!K:K)</f>
        <v>0</v>
      </c>
      <c r="K44" s="28">
        <f>SUMIF(RAW_RECOVERED!$B:$B,Tabelle289[[#This Row],[Country/Region]],RAW_RECOVERED!L:L)</f>
        <v>0</v>
      </c>
      <c r="L44" s="28">
        <f>SUMIF(RAW_RECOVERED!$B:$B,Tabelle289[[#This Row],[Country/Region]],RAW_RECOVERED!M:M)</f>
        <v>0</v>
      </c>
      <c r="M44" s="28">
        <f>SUMIF(RAW_RECOVERED!$B:$B,Tabelle289[[#This Row],[Country/Region]],RAW_RECOVERED!N:N)</f>
        <v>0</v>
      </c>
      <c r="N44" s="28">
        <f>SUMIF(RAW_RECOVERED!$B:$B,Tabelle289[[#This Row],[Country/Region]],RAW_RECOVERED!O:O)</f>
        <v>0</v>
      </c>
      <c r="O44" s="28">
        <f>SUMIF(RAW_RECOVERED!$B:$B,Tabelle289[[#This Row],[Country/Region]],RAW_RECOVERED!P:P)</f>
        <v>0</v>
      </c>
      <c r="P44" s="28">
        <f>SUMIF(RAW_RECOVERED!$B:$B,Tabelle289[[#This Row],[Country/Region]],RAW_RECOVERED!Q:Q)</f>
        <v>0</v>
      </c>
      <c r="Q44" s="28">
        <f>SUMIF(RAW_RECOVERED!$B:$B,Tabelle289[[#This Row],[Country/Region]],RAW_RECOVERED!R:R)</f>
        <v>0</v>
      </c>
      <c r="R44" s="28">
        <f>SUMIF(RAW_RECOVERED!$B:$B,Tabelle289[[#This Row],[Country/Region]],RAW_RECOVERED!S:S)</f>
        <v>0</v>
      </c>
      <c r="S44" s="28">
        <f>SUMIF(RAW_RECOVERED!$B:$B,Tabelle289[[#This Row],[Country/Region]],RAW_RECOVERED!T:T)</f>
        <v>0</v>
      </c>
      <c r="T44" s="28">
        <f>SUMIF(RAW_RECOVERED!$B:$B,Tabelle289[[#This Row],[Country/Region]],RAW_RECOVERED!U:U)</f>
        <v>0</v>
      </c>
      <c r="U44" s="28">
        <f>SUMIF(RAW_RECOVERED!$B:$B,Tabelle289[[#This Row],[Country/Region]],RAW_RECOVERED!V:V)</f>
        <v>0</v>
      </c>
      <c r="V44" s="28">
        <f>SUMIF(RAW_RECOVERED!$B:$B,Tabelle289[[#This Row],[Country/Region]],RAW_RECOVERED!W:W)</f>
        <v>0</v>
      </c>
      <c r="W44" s="28">
        <f>SUMIF(RAW_RECOVERED!$B:$B,Tabelle289[[#This Row],[Country/Region]],RAW_RECOVERED!X:X)</f>
        <v>2</v>
      </c>
      <c r="X44" s="28">
        <f>SUMIF(RAW_RECOVERED!$B:$B,Tabelle289[[#This Row],[Country/Region]],RAW_RECOVERED!Y:Y)</f>
        <v>2</v>
      </c>
      <c r="Y44" s="28">
        <f>SUMIF(RAW_RECOVERED!$B:$B,Tabelle289[[#This Row],[Country/Region]],RAW_RECOVERED!Z:Z)</f>
        <v>2</v>
      </c>
      <c r="Z44" s="28">
        <f>SUMIF(RAW_RECOVERED!$B:$B,Tabelle289[[#This Row],[Country/Region]],RAW_RECOVERED!AA:AA)</f>
        <v>4</v>
      </c>
      <c r="AA44" s="28">
        <f>SUMIF(RAW_RECOVERED!$B:$B,Tabelle289[[#This Row],[Country/Region]],RAW_RECOVERED!AB:AB)</f>
        <v>4</v>
      </c>
      <c r="AB44" s="28">
        <f>SUMIF(RAW_RECOVERED!$B:$B,Tabelle289[[#This Row],[Country/Region]],RAW_RECOVERED!AC:AC)</f>
        <v>4</v>
      </c>
      <c r="AC44" s="28">
        <f>SUMIF(RAW_RECOVERED!$B:$B,Tabelle289[[#This Row],[Country/Region]],RAW_RECOVERED!AD:AD)</f>
        <v>4</v>
      </c>
      <c r="AD44" s="28">
        <f>SUMIF(RAW_RECOVERED!$B:$B,Tabelle289[[#This Row],[Country/Region]],RAW_RECOVERED!AE:AE)</f>
        <v>4</v>
      </c>
      <c r="AE44" s="28">
        <f>SUMIF(RAW_RECOVERED!$B:$B,Tabelle289[[#This Row],[Country/Region]],RAW_RECOVERED!AF:AF)</f>
        <v>4</v>
      </c>
      <c r="AF44" s="28">
        <f>SUMIF(RAW_RECOVERED!$B:$B,Tabelle289[[#This Row],[Country/Region]],RAW_RECOVERED!AG:AG)</f>
        <v>4</v>
      </c>
      <c r="AG44" s="28">
        <f>SUMIF(RAW_RECOVERED!$B:$B,Tabelle289[[#This Row],[Country/Region]],RAW_RECOVERED!AH:AH)</f>
        <v>4</v>
      </c>
      <c r="AH44" s="28">
        <f>SUMIF(RAW_RECOVERED!$B:$B,Tabelle289[[#This Row],[Country/Region]],RAW_RECOVERED!AI:AI)</f>
        <v>4</v>
      </c>
      <c r="AI44" s="28">
        <f>SUMIF(RAW_RECOVERED!$B:$B,Tabelle289[[#This Row],[Country/Region]],RAW_RECOVERED!AJ:AJ)</f>
        <v>4</v>
      </c>
      <c r="AJ44" s="28">
        <f>SUMIF(RAW_RECOVERED!$B:$B,Tabelle289[[#This Row],[Country/Region]],RAW_RECOVERED!AK:AK)</f>
        <v>11</v>
      </c>
      <c r="AK44" s="28">
        <f>SUMIF(RAW_RECOVERED!$B:$B,Tabelle289[[#This Row],[Country/Region]],RAW_RECOVERED!AL:AL)</f>
        <v>11</v>
      </c>
      <c r="AL44" s="28">
        <f>SUMIF(RAW_RECOVERED!$B:$B,Tabelle289[[#This Row],[Country/Region]],RAW_RECOVERED!AM:AM)</f>
        <v>11</v>
      </c>
      <c r="AM44" s="28">
        <f>SUMIF(RAW_RECOVERED!$B:$B,Tabelle289[[#This Row],[Country/Region]],RAW_RECOVERED!AN:AN)</f>
        <v>11</v>
      </c>
      <c r="AN44" s="28">
        <f>SUMIF(RAW_RECOVERED!$B:$B,Tabelle289[[#This Row],[Country/Region]],RAW_RECOVERED!AO:AO)</f>
        <v>12</v>
      </c>
      <c r="AO44" s="28">
        <f>SUMIF(RAW_RECOVERED!$B:$B,Tabelle289[[#This Row],[Country/Region]],RAW_RECOVERED!AP:AP)</f>
        <v>12</v>
      </c>
      <c r="AP44" s="28">
        <f>SUMIF(RAW_RECOVERED!$B:$B,Tabelle289[[#This Row],[Country/Region]],RAW_RECOVERED!AQ:AQ)</f>
        <v>12</v>
      </c>
      <c r="AQ44" s="28">
        <f>SUMIF(RAW_RECOVERED!$B:$B,Tabelle289[[#This Row],[Country/Region]],RAW_RECOVERED!AR:AR)</f>
        <v>12</v>
      </c>
      <c r="AR44" s="28">
        <f>SUMIF(RAW_RECOVERED!$B:$B,Tabelle289[[#This Row],[Country/Region]],RAW_RECOVERED!AS:AS)</f>
        <v>12</v>
      </c>
      <c r="AS44" s="28">
        <f>SUMIF(RAW_RECOVERED!$B:$B,Tabelle289[[#This Row],[Country/Region]],RAW_RECOVERED!AT:AT)</f>
        <v>12</v>
      </c>
      <c r="AT44" s="28">
        <f>SUMIF(RAW_RECOVERED!$B:$B,Tabelle289[[#This Row],[Country/Region]],RAW_RECOVERED!AU:AU)</f>
        <v>12</v>
      </c>
      <c r="AU44" s="28">
        <f>SUMIF(RAW_RECOVERED!$B:$B,Tabelle289[[#This Row],[Country/Region]],RAW_RECOVERED!AV:AV)</f>
        <v>12</v>
      </c>
      <c r="AV44" s="28">
        <f>SUMIF(RAW_RECOVERED!$B:$B,Tabelle289[[#This Row],[Country/Region]],RAW_RECOVERED!AW:AW)</f>
        <v>12</v>
      </c>
      <c r="AW44" s="28">
        <f>SUMIF(RAW_RECOVERED!$B:$B,Tabelle289[[#This Row],[Country/Region]],RAW_RECOVERED!AX:AX)</f>
        <v>12</v>
      </c>
      <c r="AX44" s="28">
        <f>SUMIF(RAW_RECOVERED!$B:$B,Tabelle289[[#This Row],[Country/Region]],RAW_RECOVERED!AY:AY)</f>
        <v>12</v>
      </c>
      <c r="AY44" s="28">
        <f>SUMIF(RAW_RECOVERED!$B:$B,Tabelle289[[#This Row],[Country/Region]],RAW_RECOVERED!AZ:AZ)</f>
        <v>12</v>
      </c>
      <c r="AZ44" s="28">
        <f>SUMIF(RAW_RECOVERED!$B:$B,Tabelle289[[#This Row],[Country/Region]],RAW_RECOVERED!BA:BA)</f>
        <v>12</v>
      </c>
      <c r="BA44" s="28">
        <f>SUMIF(RAW_RECOVERED!$B:$B,Tabelle289[[#This Row],[Country/Region]],RAW_RECOVERED!BB:BB)</f>
        <v>12</v>
      </c>
      <c r="BB44" s="28">
        <f>SUMIF(RAW_RECOVERED!$B:$B,Tabelle289[[#This Row],[Country/Region]],RAW_RECOVERED!BC:BC)</f>
        <v>12</v>
      </c>
      <c r="BC44" s="28">
        <f>SUMIF(RAW_RECOVERED!$B:$B,Tabelle289[[#This Row],[Country/Region]],RAW_RECOVERED!BD:BD)</f>
        <v>12</v>
      </c>
      <c r="BD44" s="28">
        <f>SUMIF(RAW_RECOVERED!$B:$B,Tabelle289[[#This Row],[Country/Region]],RAW_RECOVERED!BE:BE)</f>
        <v>12</v>
      </c>
      <c r="BE44" s="28">
        <f>SUMIF(RAW_RECOVERED!$B:$B,Tabelle289[[#This Row],[Country/Region]],RAW_RECOVERED!BF:BF)</f>
        <v>12</v>
      </c>
      <c r="BF44" s="28">
        <f>SUMIF(RAW_RECOVERED!$B:$B,Tabelle289[[#This Row],[Country/Region]],RAW_RECOVERED!BG:BG)</f>
        <v>12</v>
      </c>
      <c r="BG44" s="28">
        <f>SUMIF(RAW_RECOVERED!$B:$B,Tabelle289[[#This Row],[Country/Region]],RAW_RECOVERED!BH:BH)</f>
        <v>12</v>
      </c>
      <c r="BH44" s="28">
        <f>SUMIF(RAW_RECOVERED!$B:$B,Tabelle289[[#This Row],[Country/Region]],RAW_RECOVERED!BI:BI)</f>
        <v>12</v>
      </c>
      <c r="BI44" s="28">
        <f>SUMIF(RAW_RECOVERED!$B:$B,Tabelle289[[#This Row],[Country/Region]],RAW_RECOVERED!BJ:BJ)</f>
        <v>12</v>
      </c>
      <c r="BJ44" s="28">
        <f>SUMIF(RAW_RECOVERED!$B:$B,Tabelle289[[#This Row],[Country/Region]],RAW_RECOVERED!BK:BK)</f>
        <v>2206</v>
      </c>
      <c r="BK44" s="28">
        <f>SUMIF(RAW_RECOVERED!$B:$B,Tabelle289[[#This Row],[Country/Region]],RAW_RECOVERED!BL:BL)</f>
        <v>2206</v>
      </c>
      <c r="BL44" s="28">
        <f>SUMIF(RAW_RECOVERED!$B:$B,Tabelle289[[#This Row],[Country/Region]],RAW_RECOVERED!BM:BM)</f>
        <v>3250</v>
      </c>
      <c r="BM44" s="28">
        <f>SUMIF(RAW_RECOVERED!$B:$B,Tabelle289[[#This Row],[Country/Region]],RAW_RECOVERED!BN:BN)</f>
        <v>3907</v>
      </c>
      <c r="BN44" s="28">
        <f>SUMIF(RAW_RECOVERED!$B:$B,Tabelle289[[#This Row],[Country/Region]],RAW_RECOVERED!BO:BO)</f>
        <v>4955</v>
      </c>
      <c r="BO44" s="28">
        <f>SUMIF(RAW_RECOVERED!$B:$B,Tabelle289[[#This Row],[Country/Region]],RAW_RECOVERED!BP:BP)</f>
        <v>5707</v>
      </c>
      <c r="BP44" s="28">
        <f>SUMIF(RAW_RECOVERED!$B:$B,Tabelle289[[#This Row],[Country/Region]],RAW_RECOVERED!BQ:BQ)</f>
        <v>5724</v>
      </c>
      <c r="BQ44" s="28">
        <f>SUMIF(RAW_RECOVERED!$B:$B,Tabelle289[[#This Row],[Country/Region]],RAW_RECOVERED!BR:BR)</f>
        <v>7226</v>
      </c>
      <c r="BR44" s="28">
        <f>SUMIF(RAW_RECOVERED!$B:$B,Tabelle289[[#This Row],[Country/Region]],RAW_RECOVERED!BS:BS)</f>
        <v>7964</v>
      </c>
      <c r="BS44" s="28">
        <f>SUMIF(RAW_RECOVERED!$B:$B,Tabelle289[[#This Row],[Country/Region]],RAW_RECOVERED!BT:BT)</f>
        <v>0</v>
      </c>
      <c r="BT44" s="28">
        <f>SUMIF(RAW_RECOVERED!$B:$B,Tabelle289[[#This Row],[Country/Region]],RAW_RECOVERED!BU:BU)</f>
        <v>0</v>
      </c>
      <c r="BU44" s="28">
        <f>SUMIF(RAW_RECOVERED!$B:$B,Tabelle289[[#This Row],[Country/Region]],RAW_RECOVERED!BV:BV)</f>
        <v>0</v>
      </c>
      <c r="BV44" s="28">
        <f>SUMIF(RAW_RECOVERED!$B:$B,Tabelle289[[#This Row],[Country/Region]],RAW_RECOVERED!BW:BW)</f>
        <v>0</v>
      </c>
      <c r="BW44" s="28">
        <f>SUMIF(RAW_RECOVERED!$B:$B,Tabelle289[[#This Row],[Country/Region]],RAW_RECOVERED!BX:BX)</f>
        <v>0</v>
      </c>
      <c r="BX44" s="28">
        <f>SUMIF(RAW_RECOVERED!$B:$B,Tabelle289[[#This Row],[Country/Region]],RAW_RECOVERED!BY:BY)</f>
        <v>0</v>
      </c>
      <c r="BY44" s="28">
        <f>SUMIF(RAW_RECOVERED!$B:$B,Tabelle289[[#This Row],[Country/Region]],RAW_RECOVERED!BZ:BZ)</f>
        <v>0</v>
      </c>
      <c r="BZ44" s="28">
        <f>SUMIF(RAW_RECOVERED!$B:$B,Tabelle289[[#This Row],[Country/Region]],RAW_RECOVERED!CA:CA)</f>
        <v>0</v>
      </c>
      <c r="CA44" s="28">
        <f>SUMIF(RAW_RECOVERED!$B:$B,Tabelle289[[#This Row],[Country/Region]],RAW_RECOVERED!CB:CB)</f>
        <v>0</v>
      </c>
      <c r="CB44" s="28">
        <f>SUMIF(RAW_RECOVERED!$B:$B,Tabelle289[[#This Row],[Country/Region]],RAW_RECOVERED!CC:CC)</f>
        <v>0</v>
      </c>
      <c r="CC44" s="28">
        <f>SUMIF(RAW_RECOVERED!$B:$B,Tabelle289[[#This Row],[Country/Region]],RAW_RECOVERED!CD:CD)</f>
        <v>0</v>
      </c>
      <c r="CD44" s="28">
        <f>SUMIF(RAW_RECOVERED!$B:$B,Tabelle289[[#This Row],[Country/Region]],RAW_RECOVERED!CE:CE)</f>
        <v>0</v>
      </c>
      <c r="CE44" s="28"/>
      <c r="CF44" s="28"/>
      <c r="CG44" s="28"/>
      <c r="CH44" s="28"/>
      <c r="CI44" s="28"/>
    </row>
    <row r="45" spans="1:87" s="7" customFormat="1" ht="12" x14ac:dyDescent="0.2">
      <c r="A45" s="7" t="s">
        <v>240</v>
      </c>
      <c r="B45" s="10">
        <f>SUM(RAW_RECOVERED!CW:CW)</f>
        <v>0</v>
      </c>
      <c r="C45" s="10">
        <f>SUM(RAW_RECOVERED!CX:CX)</f>
        <v>0</v>
      </c>
      <c r="D45" s="10">
        <f>SUM(RAW_RECOVERED!CY:CY)</f>
        <v>0</v>
      </c>
      <c r="E45" s="10">
        <f>SUM(RAW_RECOVERED!CZ:CZ)</f>
        <v>0</v>
      </c>
      <c r="F45" s="10">
        <f>SUM(RAW_RECOVERED!DA:DA)</f>
        <v>0</v>
      </c>
      <c r="G45" s="10">
        <f>SUM(RAW_RECOVERED!DB:DB)</f>
        <v>0</v>
      </c>
      <c r="H45" s="10">
        <f>SUM(RAW_RECOVERED!DC:DC)</f>
        <v>0</v>
      </c>
      <c r="I45" s="10">
        <f>SUM(RAW_RECOVERED!DD:DD)</f>
        <v>0</v>
      </c>
      <c r="J45" s="10">
        <f>SUM(RAW_RECOVERED!DE:DE)</f>
        <v>0</v>
      </c>
      <c r="K45" s="10">
        <f>SUM(RAW_RECOVERED!DF:DF)</f>
        <v>0</v>
      </c>
      <c r="L45" s="10">
        <f>SUM(RAW_RECOVERED!DG:DG)</f>
        <v>0</v>
      </c>
      <c r="M45" s="10">
        <f>SUM(RAW_RECOVERED!DH:DH)</f>
        <v>0</v>
      </c>
      <c r="N45" s="10">
        <f>SUM(RAW_RECOVERED!DI:DI)</f>
        <v>0</v>
      </c>
      <c r="O45" s="10">
        <f>SUM(RAW_RECOVERED!DJ:DJ)</f>
        <v>0</v>
      </c>
      <c r="P45" s="10">
        <f>SUM(RAW_RECOVERED!DK:DK)</f>
        <v>0</v>
      </c>
      <c r="Q45" s="10">
        <f>SUM(RAW_RECOVERED!DL:DL)</f>
        <v>0</v>
      </c>
      <c r="R45" s="10">
        <f>SUM(RAW_RECOVERED!DM:DM)</f>
        <v>0</v>
      </c>
      <c r="S45" s="10">
        <f>SUM(RAW_RECOVERED!DN:DN)</f>
        <v>0</v>
      </c>
      <c r="T45" s="10">
        <f>SUM(RAW_RECOVERED!DO:DO)</f>
        <v>0</v>
      </c>
      <c r="U45" s="10">
        <f>SUM(RAW_RECOVERED!DP:DP)</f>
        <v>0</v>
      </c>
      <c r="V45" s="10">
        <f>SUM(RAW_RECOVERED!DQ:DQ)</f>
        <v>0</v>
      </c>
      <c r="W45" s="10">
        <f>SUM(RAW_RECOVERED!DR:DR)</f>
        <v>0</v>
      </c>
      <c r="X45" s="10">
        <f>SUM(RAW_RECOVERED!DS:DS)</f>
        <v>0</v>
      </c>
      <c r="Y45" s="10">
        <f>SUM(RAW_RECOVERED!DT:DT)</f>
        <v>0</v>
      </c>
      <c r="Z45" s="10">
        <f>SUM(RAW_RECOVERED!DU:DU)</f>
        <v>0</v>
      </c>
      <c r="AA45" s="10">
        <f>SUM(RAW_RECOVERED!DV:DV)</f>
        <v>0</v>
      </c>
      <c r="AB45" s="10">
        <f>SUM(RAW_RECOVERED!DW:DW)</f>
        <v>0</v>
      </c>
      <c r="AC45" s="10">
        <f>SUM(RAW_RECOVERED!DX:DX)</f>
        <v>0</v>
      </c>
      <c r="AD45" s="10">
        <f>SUM(RAW_RECOVERED!DY:DY)</f>
        <v>0</v>
      </c>
      <c r="AE45" s="10">
        <f>SUM(RAW_RECOVERED!DZ:DZ)</f>
        <v>0</v>
      </c>
      <c r="AF45" s="10">
        <f>SUM(RAW_RECOVERED!EA:EA)</f>
        <v>0</v>
      </c>
      <c r="AG45" s="10">
        <f>SUM(RAW_RECOVERED!EB:EB)</f>
        <v>0</v>
      </c>
      <c r="AH45" s="10">
        <f>SUM(RAW_RECOVERED!EC:EC)</f>
        <v>0</v>
      </c>
      <c r="AI45" s="10">
        <f>SUM(RAW_RECOVERED!ED:ED)</f>
        <v>0</v>
      </c>
      <c r="AJ45" s="10">
        <f>SUM(RAW_RECOVERED!EE:EE)</f>
        <v>0</v>
      </c>
      <c r="AK45" s="10">
        <f>SUM(RAW_RECOVERED!EF:EF)</f>
        <v>0</v>
      </c>
      <c r="AL45" s="10">
        <f>SUM(RAW_RECOVERED!EG:EG)</f>
        <v>0</v>
      </c>
      <c r="AM45" s="10">
        <f>SUM(RAW_RECOVERED!EH:EH)</f>
        <v>0</v>
      </c>
      <c r="AN45" s="10">
        <f>SUM(RAW_RECOVERED!EI:EI)</f>
        <v>0</v>
      </c>
      <c r="AO45" s="10">
        <f>SUM(RAW_RECOVERED!EJ:EJ)</f>
        <v>0</v>
      </c>
      <c r="AP45" s="10">
        <f>SUM(RAW_RECOVERED!EK:EK)</f>
        <v>0</v>
      </c>
      <c r="AQ45" s="10">
        <f>SUM(RAW_RECOVERED!EL:EL)</f>
        <v>0</v>
      </c>
      <c r="AR45" s="10">
        <f>SUM(RAW_RECOVERED!EM:EM)</f>
        <v>0</v>
      </c>
      <c r="AS45" s="10">
        <f>SUM(RAW_RECOVERED!EN:EN)</f>
        <v>0</v>
      </c>
      <c r="AT45" s="10">
        <f>SUM(RAW_RECOVERED!EO:EO)</f>
        <v>0</v>
      </c>
      <c r="AU45" s="10">
        <f>SUM(RAW_RECOVERED!EP:EP)</f>
        <v>0</v>
      </c>
      <c r="AV45" s="10">
        <f>SUM(RAW_RECOVERED!EQ:EQ)</f>
        <v>0</v>
      </c>
      <c r="AW45" s="10">
        <f>SUM(RAW_RECOVERED!ER:ER)</f>
        <v>0</v>
      </c>
      <c r="AX45" s="10">
        <f>SUM(RAW_RECOVERED!ES:ES)</f>
        <v>0</v>
      </c>
      <c r="AY45" s="10">
        <f>SUM(RAW_RECOVERED!ET:ET)</f>
        <v>0</v>
      </c>
      <c r="AZ45" s="10">
        <f>SUM(RAW_RECOVERED!EU:EU)</f>
        <v>0</v>
      </c>
      <c r="BA45" s="10">
        <f>SUM(RAW_RECOVERED!EV:EV)</f>
        <v>0</v>
      </c>
      <c r="BB45" s="10">
        <f>SUM(RAW_RECOVERED!EW:EW)</f>
        <v>0</v>
      </c>
      <c r="BC45" s="10">
        <f>SUM(RAW_RECOVERED!EX:EX)</f>
        <v>0</v>
      </c>
      <c r="BD45" s="10">
        <f>SUM(RAW_RECOVERED!EY:EY)</f>
        <v>0</v>
      </c>
      <c r="BE45" s="10">
        <f>SUM(RAW_RECOVERED!EZ:EZ)</f>
        <v>0</v>
      </c>
      <c r="BF45" s="10">
        <f>SUM(RAW_RECOVERED!FA:FA)</f>
        <v>0</v>
      </c>
      <c r="BG45" s="10">
        <f>SUM(RAW_RECOVERED!FB:FB)</f>
        <v>0</v>
      </c>
      <c r="BH45" s="10">
        <f>SUM(RAW_RECOVERED!FC:FC)</f>
        <v>0</v>
      </c>
      <c r="BI45" s="10">
        <f>SUM(RAW_RECOVERED!FD:FD)</f>
        <v>0</v>
      </c>
      <c r="BJ45" s="10">
        <f>SUM(RAW_RECOVERED!FE:FE)</f>
        <v>0</v>
      </c>
      <c r="BK45" s="10">
        <f>SUM(RAW_RECOVERED!FF:FF)</f>
        <v>0</v>
      </c>
      <c r="BL45" s="10">
        <f>SUM(RAW_RECOVERED!FG:FG)</f>
        <v>0</v>
      </c>
      <c r="BM45" s="10">
        <f>SUM(RAW_RECOVERED!FH:FH)</f>
        <v>0</v>
      </c>
      <c r="BN45" s="10">
        <f>SUM(RAW_RECOVERED!FI:FI)</f>
        <v>0</v>
      </c>
      <c r="BO45" s="10">
        <f>SUM(RAW_RECOVERED!FJ:FJ)</f>
        <v>0</v>
      </c>
      <c r="BP45" s="10">
        <f>SUM(RAW_RECOVERED!FK:FK)</f>
        <v>0</v>
      </c>
      <c r="BQ45" s="10">
        <f>SUM(RAW_RECOVERED!FL:FL)</f>
        <v>0</v>
      </c>
      <c r="BR45" s="10">
        <f>SUM(RAW_RECOVERED!FM:FM)</f>
        <v>0</v>
      </c>
      <c r="BS45" s="10">
        <f>SUM(RAW_RECOVERED!FN:FN)</f>
        <v>0</v>
      </c>
      <c r="BT45" s="10">
        <f>SUM(RAW_RECOVERED!FO:FO)</f>
        <v>0</v>
      </c>
      <c r="BU45" s="10">
        <f>SUM(RAW_RECOVERED!FP:FP)</f>
        <v>0</v>
      </c>
      <c r="BV45" s="10">
        <f>SUM(RAW_RECOVERED!FQ:FQ)</f>
        <v>0</v>
      </c>
      <c r="BW45" s="10">
        <f>SUM(RAW_RECOVERED!FR:FR)</f>
        <v>0</v>
      </c>
      <c r="BX45" s="10">
        <f>SUM(RAW_RECOVERED!FS:FS)</f>
        <v>0</v>
      </c>
      <c r="BY45" s="10">
        <f>SUM(RAW_RECOVERED!FT:FT)</f>
        <v>0</v>
      </c>
      <c r="BZ45" s="10">
        <f>SUM(RAW_RECOVERED!FU:FU)</f>
        <v>0</v>
      </c>
      <c r="CA45" s="10">
        <f>SUM(RAW_RECOVERED!FV:FV)</f>
        <v>0</v>
      </c>
      <c r="CB45" s="10">
        <f>SUM(RAW_RECOVERED!FW:FW)</f>
        <v>0</v>
      </c>
      <c r="CC45" s="10">
        <f>SUM(RAW_RECOVERED!FX:FX)</f>
        <v>0</v>
      </c>
      <c r="CD45" s="10">
        <f>SUM(RAW_RECOVERED!FY:FY)</f>
        <v>0</v>
      </c>
      <c r="CE45" s="10">
        <f>SUM(RAW_RECOVERED!FZ:FZ)</f>
        <v>0</v>
      </c>
      <c r="CF45" s="10">
        <f>SUM(RAW_RECOVERED!GA:GA)</f>
        <v>0</v>
      </c>
      <c r="CG45" s="10">
        <f>SUM(RAW_RECOVERED!GB:GB)</f>
        <v>0</v>
      </c>
      <c r="CH45" s="10">
        <f>SUM(RAW_RECOVERED!GC:GC)</f>
        <v>0</v>
      </c>
      <c r="CI45" s="10">
        <f>SUM(RAW_RECOVERED!GD:GD)</f>
        <v>0</v>
      </c>
    </row>
  </sheetData>
  <mergeCells count="1">
    <mergeCell ref="AO1:CE1"/>
  </mergeCells>
  <phoneticPr fontId="1" type="noConversion"/>
  <conditionalFormatting sqref="C11:CE11">
    <cfRule type="colorScale" priority="4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1:XFD11">
    <cfRule type="cellIs" dxfId="6" priority="2" operator="equal">
      <formula>"infinite"</formula>
    </cfRule>
    <cfRule type="colorScale" priority="3">
      <colorScale>
        <cfvo type="num" val="2.5"/>
        <cfvo type="percentile" val="50"/>
        <cfvo type="num" val="10"/>
        <color rgb="FFC00000"/>
        <color theme="5"/>
        <color rgb="FF63BE7B"/>
      </colorScale>
    </cfRule>
  </conditionalFormatting>
  <conditionalFormatting sqref="A12:XFD12">
    <cfRule type="colorScale" priority="1">
      <colorScale>
        <cfvo type="num" val="0"/>
        <cfvo type="percent" val="100"/>
        <color rgb="FFC00000"/>
        <color theme="9"/>
      </colorScale>
    </cfRule>
  </conditionalFormatting>
  <dataValidations count="1">
    <dataValidation type="list" allowBlank="1" showInputMessage="1" showErrorMessage="1" sqref="A3" xr:uid="{5630CC40-A925-4325-9C5B-54FFF1992765}">
      <formula1>$A$16:$A$22</formula1>
    </dataValidation>
  </dataValidations>
  <pageMargins left="0.7" right="0.7" top="0.78740157499999996" bottom="0.78740157499999996" header="0.3" footer="0.3"/>
  <pageSetup orientation="portrait" r:id="rId1"/>
  <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C309E-78D2-4A53-8D6C-6D00B8080D2E}">
  <sheetPr codeName="Tabelle2"/>
  <dimension ref="A1:CT255"/>
  <sheetViews>
    <sheetView workbookViewId="0">
      <selection sqref="A1:CT249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  <col min="165" max="165" width="11.140625" bestFit="1" customWidth="1"/>
    <col min="166" max="174" width="5.28515625" bestFit="1" customWidth="1"/>
    <col min="175" max="264" width="6.28515625" bestFit="1" customWidth="1"/>
    <col min="265" max="298" width="7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1</v>
      </c>
      <c r="AK2">
        <v>1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4</v>
      </c>
      <c r="AX2">
        <v>4</v>
      </c>
      <c r="AY2">
        <v>5</v>
      </c>
      <c r="AZ2">
        <v>7</v>
      </c>
      <c r="BA2">
        <v>7</v>
      </c>
      <c r="BB2">
        <v>7</v>
      </c>
      <c r="BC2">
        <v>11</v>
      </c>
      <c r="BD2">
        <v>16</v>
      </c>
      <c r="BE2">
        <v>21</v>
      </c>
      <c r="BF2">
        <v>22</v>
      </c>
      <c r="BG2">
        <v>22</v>
      </c>
      <c r="BH2">
        <v>22</v>
      </c>
      <c r="BI2">
        <v>24</v>
      </c>
      <c r="BJ2">
        <v>24</v>
      </c>
      <c r="BK2">
        <v>40</v>
      </c>
      <c r="BL2">
        <v>40</v>
      </c>
      <c r="BM2">
        <v>74</v>
      </c>
      <c r="BN2">
        <v>84</v>
      </c>
      <c r="BO2">
        <v>94</v>
      </c>
      <c r="BP2">
        <v>110</v>
      </c>
      <c r="BQ2">
        <v>110</v>
      </c>
      <c r="BR2">
        <v>120</v>
      </c>
      <c r="BS2">
        <v>170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2</v>
      </c>
      <c r="AY3">
        <v>10</v>
      </c>
      <c r="AZ3">
        <v>12</v>
      </c>
      <c r="BA3">
        <v>23</v>
      </c>
      <c r="BB3">
        <v>33</v>
      </c>
      <c r="BC3">
        <v>38</v>
      </c>
      <c r="BD3">
        <v>42</v>
      </c>
      <c r="BE3">
        <v>51</v>
      </c>
      <c r="BF3">
        <v>55</v>
      </c>
      <c r="BG3">
        <v>59</v>
      </c>
      <c r="BH3">
        <v>64</v>
      </c>
      <c r="BI3">
        <v>70</v>
      </c>
      <c r="BJ3">
        <v>76</v>
      </c>
      <c r="BK3">
        <v>89</v>
      </c>
      <c r="BL3">
        <v>104</v>
      </c>
      <c r="BM3">
        <v>123</v>
      </c>
      <c r="BN3">
        <v>146</v>
      </c>
      <c r="BO3">
        <v>174</v>
      </c>
      <c r="BP3">
        <v>186</v>
      </c>
      <c r="BQ3">
        <v>197</v>
      </c>
      <c r="BR3">
        <v>212</v>
      </c>
      <c r="BS3">
        <v>223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1</v>
      </c>
      <c r="AL4">
        <v>1</v>
      </c>
      <c r="AM4">
        <v>1</v>
      </c>
      <c r="AN4">
        <v>1</v>
      </c>
      <c r="AO4">
        <v>1</v>
      </c>
      <c r="AP4">
        <v>1</v>
      </c>
      <c r="AQ4">
        <v>3</v>
      </c>
      <c r="AR4">
        <v>5</v>
      </c>
      <c r="AS4">
        <v>12</v>
      </c>
      <c r="AT4">
        <v>12</v>
      </c>
      <c r="AU4">
        <v>17</v>
      </c>
      <c r="AV4">
        <v>17</v>
      </c>
      <c r="AW4">
        <v>19</v>
      </c>
      <c r="AX4">
        <v>20</v>
      </c>
      <c r="AY4">
        <v>20</v>
      </c>
      <c r="AZ4">
        <v>20</v>
      </c>
      <c r="BA4">
        <v>24</v>
      </c>
      <c r="BB4">
        <v>26</v>
      </c>
      <c r="BC4">
        <v>37</v>
      </c>
      <c r="BD4">
        <v>48</v>
      </c>
      <c r="BE4">
        <v>54</v>
      </c>
      <c r="BF4">
        <v>60</v>
      </c>
      <c r="BG4">
        <v>74</v>
      </c>
      <c r="BH4">
        <v>87</v>
      </c>
      <c r="BI4">
        <v>90</v>
      </c>
      <c r="BJ4">
        <v>139</v>
      </c>
      <c r="BK4">
        <v>201</v>
      </c>
      <c r="BL4">
        <v>230</v>
      </c>
      <c r="BM4">
        <v>264</v>
      </c>
      <c r="BN4">
        <v>302</v>
      </c>
      <c r="BO4">
        <v>367</v>
      </c>
      <c r="BP4">
        <v>409</v>
      </c>
      <c r="BQ4">
        <v>454</v>
      </c>
      <c r="BR4">
        <v>511</v>
      </c>
      <c r="BS4">
        <v>584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2</v>
      </c>
      <c r="BF5">
        <v>39</v>
      </c>
      <c r="BG5">
        <v>39</v>
      </c>
      <c r="BH5">
        <v>53</v>
      </c>
      <c r="BI5">
        <v>75</v>
      </c>
      <c r="BJ5">
        <v>88</v>
      </c>
      <c r="BK5">
        <v>113</v>
      </c>
      <c r="BL5">
        <v>133</v>
      </c>
      <c r="BM5">
        <v>164</v>
      </c>
      <c r="BN5">
        <v>188</v>
      </c>
      <c r="BO5">
        <v>224</v>
      </c>
      <c r="BP5">
        <v>267</v>
      </c>
      <c r="BQ5">
        <v>308</v>
      </c>
      <c r="BR5">
        <v>334</v>
      </c>
      <c r="BS5">
        <v>370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1</v>
      </c>
      <c r="BJ6">
        <v>2</v>
      </c>
      <c r="BK6">
        <v>2</v>
      </c>
      <c r="BL6">
        <v>3</v>
      </c>
      <c r="BM6">
        <v>3</v>
      </c>
      <c r="BN6">
        <v>3</v>
      </c>
      <c r="BO6">
        <v>4</v>
      </c>
      <c r="BP6">
        <v>4</v>
      </c>
      <c r="BQ6">
        <v>5</v>
      </c>
      <c r="BR6">
        <v>7</v>
      </c>
      <c r="BS6">
        <v>7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1</v>
      </c>
      <c r="BC7">
        <v>1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3</v>
      </c>
      <c r="BM7">
        <v>3</v>
      </c>
      <c r="BN7">
        <v>3</v>
      </c>
      <c r="BO7">
        <v>7</v>
      </c>
      <c r="BP7">
        <v>7</v>
      </c>
      <c r="BQ7">
        <v>7</v>
      </c>
      <c r="BR7">
        <v>7</v>
      </c>
      <c r="BS7">
        <v>7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1</v>
      </c>
      <c r="AS8">
        <v>1</v>
      </c>
      <c r="AT8">
        <v>1</v>
      </c>
      <c r="AU8">
        <v>2</v>
      </c>
      <c r="AV8">
        <v>8</v>
      </c>
      <c r="AW8">
        <v>12</v>
      </c>
      <c r="AX8">
        <v>12</v>
      </c>
      <c r="AY8">
        <v>17</v>
      </c>
      <c r="AZ8">
        <v>19</v>
      </c>
      <c r="BA8">
        <v>19</v>
      </c>
      <c r="BB8">
        <v>31</v>
      </c>
      <c r="BC8">
        <v>34</v>
      </c>
      <c r="BD8">
        <v>45</v>
      </c>
      <c r="BE8">
        <v>56</v>
      </c>
      <c r="BF8">
        <v>68</v>
      </c>
      <c r="BG8">
        <v>79</v>
      </c>
      <c r="BH8">
        <v>97</v>
      </c>
      <c r="BI8">
        <v>128</v>
      </c>
      <c r="BJ8">
        <v>158</v>
      </c>
      <c r="BK8">
        <v>266</v>
      </c>
      <c r="BL8">
        <v>301</v>
      </c>
      <c r="BM8">
        <v>387</v>
      </c>
      <c r="BN8">
        <v>387</v>
      </c>
      <c r="BO8">
        <v>502</v>
      </c>
      <c r="BP8">
        <v>589</v>
      </c>
      <c r="BQ8">
        <v>690</v>
      </c>
      <c r="BR8">
        <v>745</v>
      </c>
      <c r="BS8">
        <v>820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1</v>
      </c>
      <c r="AQ9">
        <v>1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4</v>
      </c>
      <c r="BB9">
        <v>8</v>
      </c>
      <c r="BC9">
        <v>18</v>
      </c>
      <c r="BD9">
        <v>26</v>
      </c>
      <c r="BE9">
        <v>52</v>
      </c>
      <c r="BF9">
        <v>78</v>
      </c>
      <c r="BG9">
        <v>84</v>
      </c>
      <c r="BH9">
        <v>115</v>
      </c>
      <c r="BI9">
        <v>136</v>
      </c>
      <c r="BJ9">
        <v>160</v>
      </c>
      <c r="BK9">
        <v>194</v>
      </c>
      <c r="BL9">
        <v>235</v>
      </c>
      <c r="BM9">
        <v>249</v>
      </c>
      <c r="BN9">
        <v>265</v>
      </c>
      <c r="BO9">
        <v>290</v>
      </c>
      <c r="BP9">
        <v>329</v>
      </c>
      <c r="BQ9">
        <v>407</v>
      </c>
      <c r="BR9">
        <v>424</v>
      </c>
      <c r="BS9">
        <v>482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1</v>
      </c>
      <c r="BC10">
        <v>1</v>
      </c>
      <c r="BD10">
        <v>1</v>
      </c>
      <c r="BE10">
        <v>2</v>
      </c>
      <c r="BF10">
        <v>2</v>
      </c>
      <c r="BG10">
        <v>3</v>
      </c>
      <c r="BH10">
        <v>4</v>
      </c>
      <c r="BI10">
        <v>6</v>
      </c>
      <c r="BJ10">
        <v>9</v>
      </c>
      <c r="BK10">
        <v>19</v>
      </c>
      <c r="BL10">
        <v>32</v>
      </c>
      <c r="BM10">
        <v>39</v>
      </c>
      <c r="BN10">
        <v>39</v>
      </c>
      <c r="BO10">
        <v>53</v>
      </c>
      <c r="BP10">
        <v>62</v>
      </c>
      <c r="BQ10">
        <v>71</v>
      </c>
      <c r="BR10">
        <v>77</v>
      </c>
      <c r="BS10">
        <v>78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3</v>
      </c>
      <c r="H11">
        <v>4</v>
      </c>
      <c r="I11">
        <v>4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6</v>
      </c>
      <c r="AQ11">
        <v>6</v>
      </c>
      <c r="AR11">
        <v>13</v>
      </c>
      <c r="AS11">
        <v>22</v>
      </c>
      <c r="AT11">
        <v>22</v>
      </c>
      <c r="AU11">
        <v>26</v>
      </c>
      <c r="AV11">
        <v>28</v>
      </c>
      <c r="AW11">
        <v>38</v>
      </c>
      <c r="AX11">
        <v>48</v>
      </c>
      <c r="AY11">
        <v>55</v>
      </c>
      <c r="AZ11">
        <v>65</v>
      </c>
      <c r="BA11">
        <v>65</v>
      </c>
      <c r="BB11">
        <v>92</v>
      </c>
      <c r="BC11">
        <v>112</v>
      </c>
      <c r="BD11">
        <v>134</v>
      </c>
      <c r="BE11">
        <v>171</v>
      </c>
      <c r="BF11">
        <v>210</v>
      </c>
      <c r="BG11">
        <v>267</v>
      </c>
      <c r="BH11">
        <v>307</v>
      </c>
      <c r="BI11">
        <v>353</v>
      </c>
      <c r="BJ11">
        <v>436</v>
      </c>
      <c r="BK11">
        <v>669</v>
      </c>
      <c r="BL11">
        <v>669</v>
      </c>
      <c r="BM11">
        <v>818</v>
      </c>
      <c r="BN11">
        <v>1029</v>
      </c>
      <c r="BO11">
        <v>1219</v>
      </c>
      <c r="BP11">
        <v>1405</v>
      </c>
      <c r="BQ11">
        <v>1617</v>
      </c>
      <c r="BR11">
        <v>1791</v>
      </c>
      <c r="BS11">
        <v>2032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1</v>
      </c>
      <c r="AT12">
        <v>1</v>
      </c>
      <c r="AU12">
        <v>0</v>
      </c>
      <c r="AV12">
        <v>0</v>
      </c>
      <c r="AW12">
        <v>0</v>
      </c>
      <c r="AX12">
        <v>0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3</v>
      </c>
      <c r="BJ12">
        <v>3</v>
      </c>
      <c r="BK12">
        <v>5</v>
      </c>
      <c r="BL12">
        <v>5</v>
      </c>
      <c r="BM12">
        <v>6</v>
      </c>
      <c r="BN12">
        <v>6</v>
      </c>
      <c r="BO12">
        <v>12</v>
      </c>
      <c r="BP12">
        <v>12</v>
      </c>
      <c r="BQ12">
        <v>15</v>
      </c>
      <c r="BR12">
        <v>15</v>
      </c>
      <c r="BS12">
        <v>15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1</v>
      </c>
      <c r="K13">
        <v>3</v>
      </c>
      <c r="L13">
        <v>2</v>
      </c>
      <c r="M13">
        <v>3</v>
      </c>
      <c r="N13">
        <v>2</v>
      </c>
      <c r="O13">
        <v>2</v>
      </c>
      <c r="P13">
        <v>3</v>
      </c>
      <c r="Q13">
        <v>3</v>
      </c>
      <c r="R13">
        <v>4</v>
      </c>
      <c r="S13">
        <v>5</v>
      </c>
      <c r="T13">
        <v>5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9</v>
      </c>
      <c r="AP13">
        <v>9</v>
      </c>
      <c r="AQ13">
        <v>9</v>
      </c>
      <c r="AR13">
        <v>11</v>
      </c>
      <c r="AS13">
        <v>11</v>
      </c>
      <c r="AT13">
        <v>13</v>
      </c>
      <c r="AU13">
        <v>13</v>
      </c>
      <c r="AV13">
        <v>13</v>
      </c>
      <c r="AW13">
        <v>15</v>
      </c>
      <c r="AX13">
        <v>15</v>
      </c>
      <c r="AY13">
        <v>18</v>
      </c>
      <c r="AZ13">
        <v>20</v>
      </c>
      <c r="BA13">
        <v>20</v>
      </c>
      <c r="BB13">
        <v>35</v>
      </c>
      <c r="BC13">
        <v>46</v>
      </c>
      <c r="BD13">
        <v>61</v>
      </c>
      <c r="BE13">
        <v>68</v>
      </c>
      <c r="BF13">
        <v>78</v>
      </c>
      <c r="BG13">
        <v>94</v>
      </c>
      <c r="BH13">
        <v>144</v>
      </c>
      <c r="BI13">
        <v>184</v>
      </c>
      <c r="BJ13">
        <v>221</v>
      </c>
      <c r="BK13">
        <v>259</v>
      </c>
      <c r="BL13">
        <v>319</v>
      </c>
      <c r="BM13">
        <v>397</v>
      </c>
      <c r="BN13">
        <v>443</v>
      </c>
      <c r="BO13">
        <v>493</v>
      </c>
      <c r="BP13">
        <v>555</v>
      </c>
      <c r="BQ13">
        <v>625</v>
      </c>
      <c r="BR13">
        <v>656</v>
      </c>
      <c r="BS13">
        <v>689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1</v>
      </c>
      <c r="N14">
        <v>2</v>
      </c>
      <c r="O14">
        <v>2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3</v>
      </c>
      <c r="AP14">
        <v>3</v>
      </c>
      <c r="AQ14">
        <v>3</v>
      </c>
      <c r="AR14">
        <v>3</v>
      </c>
      <c r="AS14">
        <v>5</v>
      </c>
      <c r="AT14">
        <v>5</v>
      </c>
      <c r="AU14">
        <v>7</v>
      </c>
      <c r="AV14">
        <v>7</v>
      </c>
      <c r="AW14">
        <v>7</v>
      </c>
      <c r="AX14">
        <v>7</v>
      </c>
      <c r="AY14">
        <v>7</v>
      </c>
      <c r="AZ14">
        <v>9</v>
      </c>
      <c r="BA14">
        <v>9</v>
      </c>
      <c r="BB14">
        <v>16</v>
      </c>
      <c r="BC14">
        <v>19</v>
      </c>
      <c r="BD14">
        <v>20</v>
      </c>
      <c r="BE14">
        <v>29</v>
      </c>
      <c r="BF14">
        <v>29</v>
      </c>
      <c r="BG14">
        <v>37</v>
      </c>
      <c r="BH14">
        <v>42</v>
      </c>
      <c r="BI14">
        <v>50</v>
      </c>
      <c r="BJ14">
        <v>67</v>
      </c>
      <c r="BK14">
        <v>100</v>
      </c>
      <c r="BL14">
        <v>134</v>
      </c>
      <c r="BM14">
        <v>170</v>
      </c>
      <c r="BN14">
        <v>170</v>
      </c>
      <c r="BO14">
        <v>235</v>
      </c>
      <c r="BP14">
        <v>257</v>
      </c>
      <c r="BQ14">
        <v>287</v>
      </c>
      <c r="BR14">
        <v>299</v>
      </c>
      <c r="BS14">
        <v>305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1</v>
      </c>
      <c r="AR15">
        <v>1</v>
      </c>
      <c r="AS15">
        <v>1</v>
      </c>
      <c r="AT15">
        <v>1</v>
      </c>
      <c r="AU15">
        <v>1</v>
      </c>
      <c r="AV15">
        <v>1</v>
      </c>
      <c r="AW15">
        <v>2</v>
      </c>
      <c r="AX15">
        <v>2</v>
      </c>
      <c r="AY15">
        <v>2</v>
      </c>
      <c r="AZ15">
        <v>3</v>
      </c>
      <c r="BA15">
        <v>3</v>
      </c>
      <c r="BB15">
        <v>5</v>
      </c>
      <c r="BC15">
        <v>5</v>
      </c>
      <c r="BD15">
        <v>6</v>
      </c>
      <c r="BE15">
        <v>7</v>
      </c>
      <c r="BF15">
        <v>7</v>
      </c>
      <c r="BG15">
        <v>10</v>
      </c>
      <c r="BH15">
        <v>10</v>
      </c>
      <c r="BI15">
        <v>10</v>
      </c>
      <c r="BJ15">
        <v>16</v>
      </c>
      <c r="BK15">
        <v>22</v>
      </c>
      <c r="BL15">
        <v>28</v>
      </c>
      <c r="BM15">
        <v>28</v>
      </c>
      <c r="BN15">
        <v>36</v>
      </c>
      <c r="BO15">
        <v>47</v>
      </c>
      <c r="BP15">
        <v>47</v>
      </c>
      <c r="BQ15">
        <v>62</v>
      </c>
      <c r="BR15">
        <v>66</v>
      </c>
      <c r="BS15">
        <v>66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1</v>
      </c>
      <c r="H16">
        <v>1</v>
      </c>
      <c r="I16">
        <v>1</v>
      </c>
      <c r="J16">
        <v>1</v>
      </c>
      <c r="K16">
        <v>2</v>
      </c>
      <c r="L16">
        <v>3</v>
      </c>
      <c r="M16">
        <v>4</v>
      </c>
      <c r="N16">
        <v>4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7</v>
      </c>
      <c r="AP16">
        <v>7</v>
      </c>
      <c r="AQ16">
        <v>9</v>
      </c>
      <c r="AR16">
        <v>9</v>
      </c>
      <c r="AS16">
        <v>10</v>
      </c>
      <c r="AT16">
        <v>10</v>
      </c>
      <c r="AU16">
        <v>10</v>
      </c>
      <c r="AV16">
        <v>11</v>
      </c>
      <c r="AW16">
        <v>11</v>
      </c>
      <c r="AX16">
        <v>15</v>
      </c>
      <c r="AY16">
        <v>18</v>
      </c>
      <c r="AZ16">
        <v>21</v>
      </c>
      <c r="BA16">
        <v>21</v>
      </c>
      <c r="BB16">
        <v>36</v>
      </c>
      <c r="BC16">
        <v>49</v>
      </c>
      <c r="BD16">
        <v>57</v>
      </c>
      <c r="BE16">
        <v>71</v>
      </c>
      <c r="BF16">
        <v>94</v>
      </c>
      <c r="BG16">
        <v>121</v>
      </c>
      <c r="BH16">
        <v>121</v>
      </c>
      <c r="BI16">
        <v>121</v>
      </c>
      <c r="BJ16">
        <v>229</v>
      </c>
      <c r="BK16">
        <v>355</v>
      </c>
      <c r="BL16">
        <v>355</v>
      </c>
      <c r="BM16">
        <v>411</v>
      </c>
      <c r="BN16">
        <v>466</v>
      </c>
      <c r="BO16">
        <v>520</v>
      </c>
      <c r="BP16">
        <v>574</v>
      </c>
      <c r="BQ16">
        <v>685</v>
      </c>
      <c r="BR16">
        <v>769</v>
      </c>
      <c r="BS16">
        <v>821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2</v>
      </c>
      <c r="AP17">
        <v>2</v>
      </c>
      <c r="AQ17">
        <v>2</v>
      </c>
      <c r="AR17">
        <v>2</v>
      </c>
      <c r="AS17">
        <v>2</v>
      </c>
      <c r="AT17">
        <v>3</v>
      </c>
      <c r="AU17">
        <v>3</v>
      </c>
      <c r="AV17">
        <v>3</v>
      </c>
      <c r="AW17">
        <v>3</v>
      </c>
      <c r="AX17">
        <v>4</v>
      </c>
      <c r="AY17">
        <v>6</v>
      </c>
      <c r="AZ17">
        <v>9</v>
      </c>
      <c r="BA17">
        <v>9</v>
      </c>
      <c r="BB17">
        <v>14</v>
      </c>
      <c r="BC17">
        <v>17</v>
      </c>
      <c r="BD17">
        <v>17</v>
      </c>
      <c r="BE17">
        <v>28</v>
      </c>
      <c r="BF17">
        <v>31</v>
      </c>
      <c r="BG17">
        <v>35</v>
      </c>
      <c r="BH17">
        <v>52</v>
      </c>
      <c r="BI17">
        <v>64</v>
      </c>
      <c r="BJ17">
        <v>90</v>
      </c>
      <c r="BK17">
        <v>120</v>
      </c>
      <c r="BL17">
        <v>140</v>
      </c>
      <c r="BM17">
        <v>175</v>
      </c>
      <c r="BN17">
        <v>175</v>
      </c>
      <c r="BO17">
        <v>231</v>
      </c>
      <c r="BP17">
        <v>231</v>
      </c>
      <c r="BQ17">
        <v>278</v>
      </c>
      <c r="BR17">
        <v>311</v>
      </c>
      <c r="BS17">
        <v>355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</v>
      </c>
      <c r="AL18">
        <v>2</v>
      </c>
      <c r="AM18">
        <v>3</v>
      </c>
      <c r="AN18">
        <v>3</v>
      </c>
      <c r="AO18">
        <v>9</v>
      </c>
      <c r="AP18">
        <v>14</v>
      </c>
      <c r="AQ18">
        <v>18</v>
      </c>
      <c r="AR18">
        <v>21</v>
      </c>
      <c r="AS18">
        <v>29</v>
      </c>
      <c r="AT18">
        <v>41</v>
      </c>
      <c r="AU18">
        <v>55</v>
      </c>
      <c r="AV18">
        <v>79</v>
      </c>
      <c r="AW18">
        <v>104</v>
      </c>
      <c r="AX18">
        <v>131</v>
      </c>
      <c r="AY18">
        <v>182</v>
      </c>
      <c r="AZ18">
        <v>246</v>
      </c>
      <c r="BA18">
        <v>302</v>
      </c>
      <c r="BB18">
        <v>504</v>
      </c>
      <c r="BC18">
        <v>655</v>
      </c>
      <c r="BD18">
        <v>860</v>
      </c>
      <c r="BE18">
        <v>1018</v>
      </c>
      <c r="BF18">
        <v>1332</v>
      </c>
      <c r="BG18">
        <v>1646</v>
      </c>
      <c r="BH18">
        <v>2013</v>
      </c>
      <c r="BI18">
        <v>2388</v>
      </c>
      <c r="BJ18">
        <v>2814</v>
      </c>
      <c r="BK18">
        <v>3582</v>
      </c>
      <c r="BL18">
        <v>4474</v>
      </c>
      <c r="BM18">
        <v>5283</v>
      </c>
      <c r="BN18">
        <v>5588</v>
      </c>
      <c r="BO18">
        <v>6909</v>
      </c>
      <c r="BP18">
        <v>7657</v>
      </c>
      <c r="BQ18">
        <v>8271</v>
      </c>
      <c r="BR18">
        <v>8788</v>
      </c>
      <c r="BS18">
        <v>9618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3</v>
      </c>
      <c r="AQ19">
        <v>3</v>
      </c>
      <c r="AR19">
        <v>3</v>
      </c>
      <c r="AS19">
        <v>3</v>
      </c>
      <c r="AT19">
        <v>6</v>
      </c>
      <c r="AU19">
        <v>6</v>
      </c>
      <c r="AV19">
        <v>9</v>
      </c>
      <c r="AW19">
        <v>9</v>
      </c>
      <c r="AX19">
        <v>9</v>
      </c>
      <c r="AY19">
        <v>11</v>
      </c>
      <c r="AZ19">
        <v>11</v>
      </c>
      <c r="BA19">
        <v>11</v>
      </c>
      <c r="BB19">
        <v>15</v>
      </c>
      <c r="BC19">
        <v>15</v>
      </c>
      <c r="BD19">
        <v>23</v>
      </c>
      <c r="BE19">
        <v>28</v>
      </c>
      <c r="BF19">
        <v>28</v>
      </c>
      <c r="BG19">
        <v>28</v>
      </c>
      <c r="BH19">
        <v>44</v>
      </c>
      <c r="BI19">
        <v>44</v>
      </c>
      <c r="BJ19">
        <v>53</v>
      </c>
      <c r="BK19">
        <v>65</v>
      </c>
      <c r="BL19">
        <v>72</v>
      </c>
      <c r="BM19">
        <v>87</v>
      </c>
      <c r="BN19">
        <v>93</v>
      </c>
      <c r="BO19">
        <v>122</v>
      </c>
      <c r="BP19">
        <v>165</v>
      </c>
      <c r="BQ19">
        <v>182</v>
      </c>
      <c r="BR19">
        <v>209</v>
      </c>
      <c r="BS19">
        <v>273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1</v>
      </c>
      <c r="BF20">
        <v>1</v>
      </c>
      <c r="BG20">
        <v>1</v>
      </c>
      <c r="BH20">
        <v>3</v>
      </c>
      <c r="BI20">
        <v>3</v>
      </c>
      <c r="BJ20">
        <v>4</v>
      </c>
      <c r="BK20">
        <v>4</v>
      </c>
      <c r="BL20">
        <v>4</v>
      </c>
      <c r="BM20">
        <v>5</v>
      </c>
      <c r="BN20">
        <v>5</v>
      </c>
      <c r="BO20">
        <v>9</v>
      </c>
      <c r="BP20">
        <v>10</v>
      </c>
      <c r="BQ20">
        <v>10</v>
      </c>
      <c r="BR20">
        <v>11</v>
      </c>
      <c r="BS20">
        <v>14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1</v>
      </c>
      <c r="AK21">
        <v>23</v>
      </c>
      <c r="AL21">
        <v>33</v>
      </c>
      <c r="AM21">
        <v>33</v>
      </c>
      <c r="AN21">
        <v>36</v>
      </c>
      <c r="AO21">
        <v>41</v>
      </c>
      <c r="AP21">
        <v>47</v>
      </c>
      <c r="AQ21">
        <v>49</v>
      </c>
      <c r="AR21">
        <v>49</v>
      </c>
      <c r="AS21">
        <v>52</v>
      </c>
      <c r="AT21">
        <v>55</v>
      </c>
      <c r="AU21">
        <v>60</v>
      </c>
      <c r="AV21">
        <v>85</v>
      </c>
      <c r="AW21">
        <v>85</v>
      </c>
      <c r="AX21">
        <v>95</v>
      </c>
      <c r="AY21">
        <v>110</v>
      </c>
      <c r="AZ21">
        <v>195</v>
      </c>
      <c r="BA21">
        <v>195</v>
      </c>
      <c r="BB21">
        <v>195</v>
      </c>
      <c r="BC21">
        <v>210</v>
      </c>
      <c r="BD21">
        <v>214</v>
      </c>
      <c r="BE21">
        <v>214</v>
      </c>
      <c r="BF21">
        <v>228</v>
      </c>
      <c r="BG21">
        <v>256</v>
      </c>
      <c r="BH21">
        <v>278</v>
      </c>
      <c r="BI21">
        <v>285</v>
      </c>
      <c r="BJ21">
        <v>305</v>
      </c>
      <c r="BK21">
        <v>334</v>
      </c>
      <c r="BL21">
        <v>377</v>
      </c>
      <c r="BM21">
        <v>392</v>
      </c>
      <c r="BN21">
        <v>419</v>
      </c>
      <c r="BO21">
        <v>458</v>
      </c>
      <c r="BP21">
        <v>466</v>
      </c>
      <c r="BQ21">
        <v>476</v>
      </c>
      <c r="BR21">
        <v>499</v>
      </c>
      <c r="BS21">
        <v>515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3</v>
      </c>
      <c r="AX22">
        <v>3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5</v>
      </c>
      <c r="BE22">
        <v>8</v>
      </c>
      <c r="BF22">
        <v>10</v>
      </c>
      <c r="BG22">
        <v>14</v>
      </c>
      <c r="BH22">
        <v>17</v>
      </c>
      <c r="BI22">
        <v>20</v>
      </c>
      <c r="BJ22">
        <v>25</v>
      </c>
      <c r="BK22">
        <v>27</v>
      </c>
      <c r="BL22">
        <v>33</v>
      </c>
      <c r="BM22">
        <v>39</v>
      </c>
      <c r="BN22">
        <v>39</v>
      </c>
      <c r="BO22">
        <v>44</v>
      </c>
      <c r="BP22">
        <v>48</v>
      </c>
      <c r="BQ22">
        <v>48</v>
      </c>
      <c r="BR22">
        <v>48</v>
      </c>
      <c r="BS22">
        <v>49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2</v>
      </c>
      <c r="BG23">
        <v>2</v>
      </c>
      <c r="BH23">
        <v>5</v>
      </c>
      <c r="BI23">
        <v>5</v>
      </c>
      <c r="BJ23">
        <v>6</v>
      </c>
      <c r="BK23">
        <v>14</v>
      </c>
      <c r="BL23">
        <v>17</v>
      </c>
      <c r="BM23">
        <v>18</v>
      </c>
      <c r="BN23">
        <v>18</v>
      </c>
      <c r="BO23">
        <v>18</v>
      </c>
      <c r="BP23">
        <v>24</v>
      </c>
      <c r="BQ23">
        <v>26</v>
      </c>
      <c r="BR23">
        <v>33</v>
      </c>
      <c r="BS23">
        <v>33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1</v>
      </c>
      <c r="AO24">
        <v>1</v>
      </c>
      <c r="AP24">
        <v>1</v>
      </c>
      <c r="AQ24">
        <v>1</v>
      </c>
      <c r="AR24">
        <v>1</v>
      </c>
      <c r="AS24">
        <v>6</v>
      </c>
      <c r="AT24">
        <v>6</v>
      </c>
      <c r="AU24">
        <v>6</v>
      </c>
      <c r="AV24">
        <v>6</v>
      </c>
      <c r="AW24">
        <v>6</v>
      </c>
      <c r="AX24">
        <v>6</v>
      </c>
      <c r="AY24">
        <v>9</v>
      </c>
      <c r="AZ24">
        <v>9</v>
      </c>
      <c r="BA24">
        <v>12</v>
      </c>
      <c r="BB24">
        <v>27</v>
      </c>
      <c r="BC24">
        <v>27</v>
      </c>
      <c r="BD24">
        <v>27</v>
      </c>
      <c r="BE24">
        <v>36</v>
      </c>
      <c r="BF24">
        <v>36</v>
      </c>
      <c r="BG24">
        <v>51</v>
      </c>
      <c r="BH24">
        <v>51</v>
      </c>
      <c r="BI24">
        <v>69</v>
      </c>
      <c r="BJ24">
        <v>76</v>
      </c>
      <c r="BK24">
        <v>76</v>
      </c>
      <c r="BL24">
        <v>81</v>
      </c>
      <c r="BM24">
        <v>81</v>
      </c>
      <c r="BN24">
        <v>86</v>
      </c>
      <c r="BO24">
        <v>86</v>
      </c>
      <c r="BP24">
        <v>94</v>
      </c>
      <c r="BQ24">
        <v>94</v>
      </c>
      <c r="BR24">
        <v>94</v>
      </c>
      <c r="BS24">
        <v>152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2</v>
      </c>
      <c r="AQ25">
        <v>8</v>
      </c>
      <c r="AR25">
        <v>13</v>
      </c>
      <c r="AS25">
        <v>23</v>
      </c>
      <c r="AT25">
        <v>50</v>
      </c>
      <c r="AU25">
        <v>109</v>
      </c>
      <c r="AV25">
        <v>169</v>
      </c>
      <c r="AW25">
        <v>200</v>
      </c>
      <c r="AX25">
        <v>239</v>
      </c>
      <c r="AY25">
        <v>267</v>
      </c>
      <c r="AZ25">
        <v>314</v>
      </c>
      <c r="BA25">
        <v>314</v>
      </c>
      <c r="BB25">
        <v>559</v>
      </c>
      <c r="BC25">
        <v>689</v>
      </c>
      <c r="BD25">
        <v>886</v>
      </c>
      <c r="BE25">
        <v>1058</v>
      </c>
      <c r="BF25">
        <v>1243</v>
      </c>
      <c r="BG25">
        <v>1486</v>
      </c>
      <c r="BH25">
        <v>1795</v>
      </c>
      <c r="BI25">
        <v>2257</v>
      </c>
      <c r="BJ25">
        <v>2815</v>
      </c>
      <c r="BK25">
        <v>3401</v>
      </c>
      <c r="BL25">
        <v>3743</v>
      </c>
      <c r="BM25">
        <v>4269</v>
      </c>
      <c r="BN25">
        <v>4937</v>
      </c>
      <c r="BO25">
        <v>6235</v>
      </c>
      <c r="BP25">
        <v>7284</v>
      </c>
      <c r="BQ25">
        <v>9134</v>
      </c>
      <c r="BR25">
        <v>10836</v>
      </c>
      <c r="BS25">
        <v>11899</v>
      </c>
    </row>
    <row r="26" spans="1:71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1</v>
      </c>
      <c r="BF26">
        <v>1</v>
      </c>
      <c r="BG26">
        <v>2</v>
      </c>
      <c r="BH26">
        <v>2</v>
      </c>
      <c r="BI26">
        <v>2</v>
      </c>
      <c r="BJ26">
        <v>2</v>
      </c>
      <c r="BK26">
        <v>2</v>
      </c>
      <c r="BL26">
        <v>5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</row>
    <row r="27" spans="1:71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2</v>
      </c>
      <c r="BJ27">
        <v>2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3</v>
      </c>
      <c r="BQ27">
        <v>3</v>
      </c>
      <c r="BR27">
        <v>4</v>
      </c>
      <c r="BS27">
        <v>4</v>
      </c>
    </row>
    <row r="28" spans="1:71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2</v>
      </c>
      <c r="BA28">
        <v>2</v>
      </c>
      <c r="BB28">
        <v>3</v>
      </c>
      <c r="BC28">
        <v>10</v>
      </c>
      <c r="BD28">
        <v>10</v>
      </c>
      <c r="BE28">
        <v>11</v>
      </c>
      <c r="BF28">
        <v>11</v>
      </c>
      <c r="BG28">
        <v>12</v>
      </c>
      <c r="BH28">
        <v>12</v>
      </c>
      <c r="BI28">
        <v>15</v>
      </c>
      <c r="BJ28">
        <v>19</v>
      </c>
      <c r="BK28">
        <v>24</v>
      </c>
      <c r="BL28">
        <v>27</v>
      </c>
      <c r="BM28">
        <v>29</v>
      </c>
      <c r="BN28">
        <v>32</v>
      </c>
      <c r="BO28">
        <v>43</v>
      </c>
      <c r="BP28">
        <v>61</v>
      </c>
      <c r="BQ28">
        <v>74</v>
      </c>
      <c r="BR28">
        <v>81</v>
      </c>
      <c r="BS28">
        <v>97</v>
      </c>
    </row>
    <row r="29" spans="1:71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2</v>
      </c>
      <c r="AU29">
        <v>2</v>
      </c>
      <c r="AV29">
        <v>3</v>
      </c>
      <c r="AW29">
        <v>3</v>
      </c>
      <c r="AX29">
        <v>3</v>
      </c>
      <c r="AY29">
        <v>5</v>
      </c>
      <c r="AZ29">
        <v>7</v>
      </c>
      <c r="BA29">
        <v>11</v>
      </c>
      <c r="BB29">
        <v>13</v>
      </c>
      <c r="BC29">
        <v>18</v>
      </c>
      <c r="BD29">
        <v>24</v>
      </c>
      <c r="BE29">
        <v>25</v>
      </c>
      <c r="BF29">
        <v>26</v>
      </c>
      <c r="BG29">
        <v>38</v>
      </c>
      <c r="BH29">
        <v>63</v>
      </c>
      <c r="BI29">
        <v>89</v>
      </c>
      <c r="BJ29">
        <v>93</v>
      </c>
      <c r="BK29">
        <v>126</v>
      </c>
      <c r="BL29">
        <v>136</v>
      </c>
      <c r="BM29">
        <v>166</v>
      </c>
      <c r="BN29">
        <v>176</v>
      </c>
      <c r="BO29">
        <v>191</v>
      </c>
      <c r="BP29">
        <v>237</v>
      </c>
      <c r="BQ29">
        <v>258</v>
      </c>
      <c r="BR29">
        <v>323</v>
      </c>
      <c r="BS29">
        <v>368</v>
      </c>
    </row>
    <row r="30" spans="1:71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1</v>
      </c>
      <c r="AM30">
        <v>1</v>
      </c>
      <c r="AN30">
        <v>1</v>
      </c>
      <c r="AO30">
        <v>2</v>
      </c>
      <c r="AP30">
        <v>2</v>
      </c>
      <c r="AQ30">
        <v>2</v>
      </c>
      <c r="AR30">
        <v>2</v>
      </c>
      <c r="AS30">
        <v>4</v>
      </c>
      <c r="AT30">
        <v>4</v>
      </c>
      <c r="AU30">
        <v>13</v>
      </c>
      <c r="AV30">
        <v>13</v>
      </c>
      <c r="AW30">
        <v>20</v>
      </c>
      <c r="AX30">
        <v>25</v>
      </c>
      <c r="AY30">
        <v>31</v>
      </c>
      <c r="AZ30">
        <v>38</v>
      </c>
      <c r="BA30">
        <v>52</v>
      </c>
      <c r="BB30">
        <v>151</v>
      </c>
      <c r="BC30">
        <v>151</v>
      </c>
      <c r="BD30">
        <v>162</v>
      </c>
      <c r="BE30">
        <v>200</v>
      </c>
      <c r="BF30">
        <v>321</v>
      </c>
      <c r="BG30">
        <v>372</v>
      </c>
      <c r="BH30">
        <v>621</v>
      </c>
      <c r="BI30">
        <v>793</v>
      </c>
      <c r="BJ30">
        <v>1021</v>
      </c>
      <c r="BK30">
        <v>1546</v>
      </c>
      <c r="BL30">
        <v>1924</v>
      </c>
      <c r="BM30">
        <v>2247</v>
      </c>
      <c r="BN30">
        <v>2554</v>
      </c>
      <c r="BO30">
        <v>2985</v>
      </c>
      <c r="BP30">
        <v>3417</v>
      </c>
      <c r="BQ30">
        <v>3904</v>
      </c>
      <c r="BR30">
        <v>4256</v>
      </c>
      <c r="BS30">
        <v>4579</v>
      </c>
    </row>
    <row r="31" spans="1:71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1</v>
      </c>
      <c r="AY31">
        <v>1</v>
      </c>
      <c r="AZ31">
        <v>11</v>
      </c>
      <c r="BA31">
        <v>11</v>
      </c>
      <c r="BB31">
        <v>37</v>
      </c>
      <c r="BC31">
        <v>40</v>
      </c>
      <c r="BD31">
        <v>50</v>
      </c>
      <c r="BE31">
        <v>54</v>
      </c>
      <c r="BF31">
        <v>56</v>
      </c>
      <c r="BG31">
        <v>68</v>
      </c>
      <c r="BH31">
        <v>75</v>
      </c>
      <c r="BI31">
        <v>78</v>
      </c>
      <c r="BJ31">
        <v>83</v>
      </c>
      <c r="BK31">
        <v>88</v>
      </c>
      <c r="BL31">
        <v>91</v>
      </c>
      <c r="BM31">
        <v>104</v>
      </c>
      <c r="BN31">
        <v>109</v>
      </c>
      <c r="BO31">
        <v>114</v>
      </c>
      <c r="BP31">
        <v>115</v>
      </c>
      <c r="BQ31">
        <v>120</v>
      </c>
      <c r="BR31">
        <v>126</v>
      </c>
      <c r="BS31">
        <v>127</v>
      </c>
    </row>
    <row r="32" spans="1:71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4</v>
      </c>
      <c r="AX32">
        <v>4</v>
      </c>
      <c r="AY32">
        <v>4</v>
      </c>
      <c r="AZ32">
        <v>7</v>
      </c>
      <c r="BA32">
        <v>7</v>
      </c>
      <c r="BB32">
        <v>23</v>
      </c>
      <c r="BC32">
        <v>41</v>
      </c>
      <c r="BD32">
        <v>51</v>
      </c>
      <c r="BE32">
        <v>52</v>
      </c>
      <c r="BF32">
        <v>67</v>
      </c>
      <c r="BG32">
        <v>92</v>
      </c>
      <c r="BH32">
        <v>94</v>
      </c>
      <c r="BI32">
        <v>127</v>
      </c>
      <c r="BJ32">
        <v>163</v>
      </c>
      <c r="BK32">
        <v>187</v>
      </c>
      <c r="BL32">
        <v>201</v>
      </c>
      <c r="BM32">
        <v>218</v>
      </c>
      <c r="BN32">
        <v>242</v>
      </c>
      <c r="BO32">
        <v>264</v>
      </c>
      <c r="BP32">
        <v>293</v>
      </c>
      <c r="BQ32">
        <v>331</v>
      </c>
      <c r="BR32">
        <v>346</v>
      </c>
      <c r="BS32">
        <v>359</v>
      </c>
    </row>
    <row r="33" spans="1:71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1</v>
      </c>
      <c r="AZ33">
        <v>2</v>
      </c>
      <c r="BA33">
        <v>2</v>
      </c>
      <c r="BB33">
        <v>2</v>
      </c>
      <c r="BC33">
        <v>2</v>
      </c>
      <c r="BD33">
        <v>3</v>
      </c>
      <c r="BE33">
        <v>15</v>
      </c>
      <c r="BF33">
        <v>15</v>
      </c>
      <c r="BG33">
        <v>20</v>
      </c>
      <c r="BH33">
        <v>33</v>
      </c>
      <c r="BI33">
        <v>40</v>
      </c>
      <c r="BJ33">
        <v>64</v>
      </c>
      <c r="BK33">
        <v>75</v>
      </c>
      <c r="BL33">
        <v>99</v>
      </c>
      <c r="BM33">
        <v>114</v>
      </c>
      <c r="BN33">
        <v>146</v>
      </c>
      <c r="BO33">
        <v>152</v>
      </c>
      <c r="BP33">
        <v>180</v>
      </c>
      <c r="BQ33">
        <v>207</v>
      </c>
      <c r="BR33">
        <v>222</v>
      </c>
      <c r="BS33">
        <v>246</v>
      </c>
    </row>
    <row r="34" spans="1:71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</v>
      </c>
      <c r="BJ34">
        <v>3</v>
      </c>
      <c r="BK34">
        <v>3</v>
      </c>
      <c r="BL34">
        <v>3</v>
      </c>
      <c r="BM34">
        <v>3</v>
      </c>
      <c r="BN34">
        <v>4</v>
      </c>
      <c r="BO34">
        <v>4</v>
      </c>
      <c r="BP34">
        <v>5</v>
      </c>
      <c r="BQ34">
        <v>5</v>
      </c>
      <c r="BR34">
        <v>6</v>
      </c>
      <c r="BS34">
        <v>6</v>
      </c>
    </row>
    <row r="35" spans="1:71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3</v>
      </c>
      <c r="BA35">
        <v>3</v>
      </c>
      <c r="BB35">
        <v>5</v>
      </c>
      <c r="BC35">
        <v>7</v>
      </c>
      <c r="BD35">
        <v>7</v>
      </c>
      <c r="BE35">
        <v>7</v>
      </c>
      <c r="BF35">
        <v>33</v>
      </c>
      <c r="BG35">
        <v>35</v>
      </c>
      <c r="BH35">
        <v>37</v>
      </c>
      <c r="BI35">
        <v>51</v>
      </c>
      <c r="BJ35">
        <v>53</v>
      </c>
      <c r="BK35">
        <v>84</v>
      </c>
      <c r="BL35">
        <v>87</v>
      </c>
      <c r="BM35">
        <v>91</v>
      </c>
      <c r="BN35">
        <v>96</v>
      </c>
      <c r="BO35">
        <v>96</v>
      </c>
      <c r="BP35">
        <v>99</v>
      </c>
      <c r="BQ35">
        <v>99</v>
      </c>
      <c r="BR35">
        <v>103</v>
      </c>
      <c r="BS35">
        <v>107</v>
      </c>
    </row>
    <row r="36" spans="1:71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1</v>
      </c>
      <c r="AV36">
        <v>1</v>
      </c>
      <c r="AW36">
        <v>2</v>
      </c>
      <c r="AX36">
        <v>2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4</v>
      </c>
      <c r="BF36">
        <v>10</v>
      </c>
      <c r="BG36">
        <v>10</v>
      </c>
      <c r="BH36">
        <v>13</v>
      </c>
      <c r="BI36">
        <v>20</v>
      </c>
      <c r="BJ36">
        <v>27</v>
      </c>
      <c r="BK36">
        <v>40</v>
      </c>
      <c r="BL36">
        <v>56</v>
      </c>
      <c r="BM36">
        <v>66</v>
      </c>
      <c r="BN36">
        <v>75</v>
      </c>
      <c r="BO36">
        <v>75</v>
      </c>
      <c r="BP36">
        <v>91</v>
      </c>
      <c r="BQ36">
        <v>91</v>
      </c>
      <c r="BR36">
        <v>139</v>
      </c>
      <c r="BS36">
        <v>139</v>
      </c>
    </row>
    <row r="37" spans="1:71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2</v>
      </c>
      <c r="AW37">
        <v>4</v>
      </c>
      <c r="AX37">
        <v>7</v>
      </c>
      <c r="AY37">
        <v>7</v>
      </c>
      <c r="AZ37">
        <v>19</v>
      </c>
      <c r="BA37">
        <v>19</v>
      </c>
      <c r="BB37">
        <v>29</v>
      </c>
      <c r="BC37">
        <v>29</v>
      </c>
      <c r="BD37">
        <v>39</v>
      </c>
      <c r="BE37">
        <v>56</v>
      </c>
      <c r="BF37">
        <v>74</v>
      </c>
      <c r="BG37">
        <v>97</v>
      </c>
      <c r="BH37">
        <v>119</v>
      </c>
      <c r="BI37">
        <v>146</v>
      </c>
      <c r="BJ37">
        <v>195</v>
      </c>
      <c r="BK37">
        <v>259</v>
      </c>
      <c r="BL37">
        <v>301</v>
      </c>
      <c r="BM37">
        <v>359</v>
      </c>
      <c r="BN37">
        <v>358</v>
      </c>
      <c r="BO37">
        <v>486</v>
      </c>
      <c r="BP37">
        <v>542</v>
      </c>
      <c r="BQ37">
        <v>542</v>
      </c>
      <c r="BR37">
        <v>621</v>
      </c>
      <c r="BS37">
        <v>661</v>
      </c>
    </row>
    <row r="38" spans="1:71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1</v>
      </c>
      <c r="J38">
        <v>1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2</v>
      </c>
      <c r="R38">
        <v>2</v>
      </c>
      <c r="S38">
        <v>4</v>
      </c>
      <c r="T38">
        <v>4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5</v>
      </c>
      <c r="AD38">
        <v>5</v>
      </c>
      <c r="AE38">
        <v>5</v>
      </c>
      <c r="AF38">
        <v>5</v>
      </c>
      <c r="AG38">
        <v>6</v>
      </c>
      <c r="AH38">
        <v>6</v>
      </c>
      <c r="AI38">
        <v>6</v>
      </c>
      <c r="AJ38">
        <v>6</v>
      </c>
      <c r="AK38">
        <v>7</v>
      </c>
      <c r="AL38">
        <v>7</v>
      </c>
      <c r="AM38">
        <v>7</v>
      </c>
      <c r="AN38">
        <v>7</v>
      </c>
      <c r="AO38">
        <v>8</v>
      </c>
      <c r="AP38">
        <v>8</v>
      </c>
      <c r="AQ38">
        <v>8</v>
      </c>
      <c r="AR38">
        <v>9</v>
      </c>
      <c r="AS38">
        <v>12</v>
      </c>
      <c r="AT38">
        <v>13</v>
      </c>
      <c r="AU38">
        <v>21</v>
      </c>
      <c r="AV38">
        <v>21</v>
      </c>
      <c r="AW38">
        <v>27</v>
      </c>
      <c r="AX38">
        <v>32</v>
      </c>
      <c r="AY38">
        <v>32</v>
      </c>
      <c r="AZ38">
        <v>39</v>
      </c>
      <c r="BA38">
        <v>46</v>
      </c>
      <c r="BB38">
        <v>64</v>
      </c>
      <c r="BC38">
        <v>64</v>
      </c>
      <c r="BD38">
        <v>73</v>
      </c>
      <c r="BE38">
        <v>103</v>
      </c>
      <c r="BF38">
        <v>103</v>
      </c>
      <c r="BG38">
        <v>186</v>
      </c>
      <c r="BH38">
        <v>231</v>
      </c>
      <c r="BI38">
        <v>271</v>
      </c>
      <c r="BJ38">
        <v>424</v>
      </c>
      <c r="BK38">
        <v>424</v>
      </c>
      <c r="BL38">
        <v>472</v>
      </c>
      <c r="BM38">
        <v>617</v>
      </c>
      <c r="BN38">
        <v>617</v>
      </c>
      <c r="BO38">
        <v>725</v>
      </c>
      <c r="BP38">
        <v>725</v>
      </c>
      <c r="BQ38">
        <v>884</v>
      </c>
      <c r="BR38">
        <v>884</v>
      </c>
      <c r="BS38">
        <v>970</v>
      </c>
    </row>
    <row r="39" spans="1:71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2</v>
      </c>
      <c r="BC39">
        <v>2</v>
      </c>
      <c r="BD39">
        <v>2</v>
      </c>
      <c r="BE39">
        <v>2</v>
      </c>
      <c r="BF39">
        <v>8</v>
      </c>
      <c r="BG39">
        <v>9</v>
      </c>
      <c r="BH39">
        <v>9</v>
      </c>
      <c r="BI39">
        <v>10</v>
      </c>
      <c r="BJ39">
        <v>10</v>
      </c>
      <c r="BK39">
        <v>13</v>
      </c>
      <c r="BL39">
        <v>13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</row>
    <row r="40" spans="1:71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4</v>
      </c>
      <c r="BC40">
        <v>4</v>
      </c>
      <c r="BD40">
        <v>4</v>
      </c>
      <c r="BE40">
        <v>7</v>
      </c>
      <c r="BF40">
        <v>8</v>
      </c>
      <c r="BG40">
        <v>15</v>
      </c>
      <c r="BH40">
        <v>17</v>
      </c>
      <c r="BI40">
        <v>17</v>
      </c>
      <c r="BJ40">
        <v>18</v>
      </c>
      <c r="BK40">
        <v>20</v>
      </c>
      <c r="BL40">
        <v>20</v>
      </c>
      <c r="BM40">
        <v>21</v>
      </c>
      <c r="BN40">
        <v>35</v>
      </c>
      <c r="BO40">
        <v>36</v>
      </c>
      <c r="BP40">
        <v>39</v>
      </c>
      <c r="BQ40">
        <v>64</v>
      </c>
      <c r="BR40">
        <v>72</v>
      </c>
      <c r="BS40">
        <v>96</v>
      </c>
    </row>
    <row r="41" spans="1:71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2</v>
      </c>
      <c r="BE41">
        <v>6</v>
      </c>
      <c r="BF41">
        <v>8</v>
      </c>
      <c r="BG41">
        <v>11</v>
      </c>
      <c r="BH41">
        <v>11</v>
      </c>
      <c r="BI41">
        <v>11</v>
      </c>
      <c r="BJ41">
        <v>17</v>
      </c>
      <c r="BK41">
        <v>17</v>
      </c>
      <c r="BL41">
        <v>17</v>
      </c>
      <c r="BM41">
        <v>18</v>
      </c>
      <c r="BN41">
        <v>18</v>
      </c>
      <c r="BO41">
        <v>33</v>
      </c>
      <c r="BP41">
        <v>45</v>
      </c>
      <c r="BQ41">
        <v>51</v>
      </c>
      <c r="BR41">
        <v>66</v>
      </c>
      <c r="BS41">
        <v>68</v>
      </c>
    </row>
    <row r="42" spans="1:71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1</v>
      </c>
      <c r="BE42">
        <v>1</v>
      </c>
      <c r="BF42">
        <v>3</v>
      </c>
      <c r="BG42">
        <v>3</v>
      </c>
      <c r="BH42">
        <v>3</v>
      </c>
      <c r="BI42">
        <v>4</v>
      </c>
      <c r="BJ42">
        <v>6</v>
      </c>
      <c r="BK42">
        <v>9</v>
      </c>
      <c r="BL42">
        <v>24</v>
      </c>
      <c r="BM42">
        <v>35</v>
      </c>
      <c r="BN42">
        <v>35</v>
      </c>
      <c r="BO42">
        <v>82</v>
      </c>
      <c r="BP42">
        <v>102</v>
      </c>
      <c r="BQ42">
        <v>120</v>
      </c>
      <c r="BR42">
        <v>135</v>
      </c>
      <c r="BS42">
        <v>148</v>
      </c>
    </row>
    <row r="43" spans="1:71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5</v>
      </c>
      <c r="BF43">
        <v>7</v>
      </c>
      <c r="BG43">
        <v>12</v>
      </c>
      <c r="BH43">
        <v>14</v>
      </c>
      <c r="BI43">
        <v>15</v>
      </c>
      <c r="BJ43">
        <v>21</v>
      </c>
      <c r="BK43">
        <v>28</v>
      </c>
      <c r="BL43">
        <v>41</v>
      </c>
      <c r="BM43">
        <v>51</v>
      </c>
      <c r="BN43">
        <v>68</v>
      </c>
      <c r="BO43">
        <v>73</v>
      </c>
      <c r="BP43">
        <v>90</v>
      </c>
      <c r="BQ43">
        <v>110</v>
      </c>
      <c r="BR43">
        <v>122</v>
      </c>
      <c r="BS43">
        <v>127</v>
      </c>
    </row>
    <row r="44" spans="1:71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1</v>
      </c>
      <c r="H44">
        <v>1</v>
      </c>
      <c r="I44">
        <v>1</v>
      </c>
      <c r="J44">
        <v>1</v>
      </c>
      <c r="K44">
        <v>1</v>
      </c>
      <c r="L44">
        <v>3</v>
      </c>
      <c r="M44">
        <v>3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4</v>
      </c>
      <c r="AK44">
        <v>4</v>
      </c>
      <c r="AL44">
        <v>4</v>
      </c>
      <c r="AM44">
        <v>6</v>
      </c>
      <c r="AN44">
        <v>6</v>
      </c>
      <c r="AO44">
        <v>11</v>
      </c>
      <c r="AP44">
        <v>15</v>
      </c>
      <c r="AQ44">
        <v>18</v>
      </c>
      <c r="AR44">
        <v>20</v>
      </c>
      <c r="AS44">
        <v>20</v>
      </c>
      <c r="AT44">
        <v>22</v>
      </c>
      <c r="AU44">
        <v>25</v>
      </c>
      <c r="AV44">
        <v>28</v>
      </c>
      <c r="AW44">
        <v>29</v>
      </c>
      <c r="AX44">
        <v>34</v>
      </c>
      <c r="AY44">
        <v>36</v>
      </c>
      <c r="AZ44">
        <v>41</v>
      </c>
      <c r="BA44">
        <v>42</v>
      </c>
      <c r="BB44">
        <v>74</v>
      </c>
      <c r="BC44">
        <v>79</v>
      </c>
      <c r="BD44">
        <v>104</v>
      </c>
      <c r="BE44">
        <v>177</v>
      </c>
      <c r="BF44">
        <v>185</v>
      </c>
      <c r="BG44">
        <v>221</v>
      </c>
      <c r="BH44">
        <v>257</v>
      </c>
      <c r="BI44">
        <v>308</v>
      </c>
      <c r="BJ44">
        <v>377</v>
      </c>
      <c r="BK44">
        <v>425</v>
      </c>
      <c r="BL44">
        <v>503</v>
      </c>
      <c r="BM44">
        <v>588</v>
      </c>
      <c r="BN44">
        <v>688</v>
      </c>
      <c r="BO44">
        <v>858</v>
      </c>
      <c r="BP44">
        <v>994</v>
      </c>
      <c r="BQ44">
        <v>1144</v>
      </c>
      <c r="BR44">
        <v>1355</v>
      </c>
      <c r="BS44">
        <v>1706</v>
      </c>
    </row>
    <row r="45" spans="1:71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1</v>
      </c>
      <c r="BE45">
        <v>1</v>
      </c>
      <c r="BF45">
        <v>1</v>
      </c>
      <c r="BG45">
        <v>1</v>
      </c>
      <c r="BH45">
        <v>2</v>
      </c>
      <c r="BI45">
        <v>2</v>
      </c>
      <c r="BJ45">
        <v>2</v>
      </c>
      <c r="BK45">
        <v>3</v>
      </c>
      <c r="BL45">
        <v>3</v>
      </c>
      <c r="BM45">
        <v>3</v>
      </c>
      <c r="BN45">
        <v>5</v>
      </c>
      <c r="BO45">
        <v>5</v>
      </c>
      <c r="BP45">
        <v>9</v>
      </c>
      <c r="BQ45">
        <v>11</v>
      </c>
      <c r="BR45">
        <v>11</v>
      </c>
      <c r="BS45">
        <v>18</v>
      </c>
    </row>
    <row r="46" spans="1:71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1</v>
      </c>
      <c r="AO46">
        <v>1</v>
      </c>
      <c r="AP46">
        <v>1</v>
      </c>
      <c r="AQ46">
        <v>1</v>
      </c>
      <c r="AR46">
        <v>1</v>
      </c>
      <c r="AS46">
        <v>1</v>
      </c>
      <c r="AT46">
        <v>2</v>
      </c>
      <c r="AU46">
        <v>2</v>
      </c>
      <c r="AV46">
        <v>3</v>
      </c>
      <c r="AW46">
        <v>4</v>
      </c>
      <c r="AX46">
        <v>4</v>
      </c>
      <c r="AY46">
        <v>4</v>
      </c>
      <c r="AZ46">
        <v>8</v>
      </c>
      <c r="BA46">
        <v>9</v>
      </c>
      <c r="BB46">
        <v>17</v>
      </c>
      <c r="BC46">
        <v>17</v>
      </c>
      <c r="BD46">
        <v>24</v>
      </c>
      <c r="BE46">
        <v>50</v>
      </c>
      <c r="BF46">
        <v>74</v>
      </c>
      <c r="BG46">
        <v>94</v>
      </c>
      <c r="BH46">
        <v>121</v>
      </c>
      <c r="BI46">
        <v>139</v>
      </c>
      <c r="BJ46">
        <v>181</v>
      </c>
      <c r="BK46">
        <v>219</v>
      </c>
      <c r="BL46">
        <v>628</v>
      </c>
      <c r="BM46">
        <v>1013</v>
      </c>
      <c r="BN46">
        <v>1342</v>
      </c>
      <c r="BO46">
        <v>1632</v>
      </c>
      <c r="BP46">
        <v>2024</v>
      </c>
      <c r="BQ46">
        <v>2498</v>
      </c>
      <c r="BR46">
        <v>2840</v>
      </c>
      <c r="BS46">
        <v>3430</v>
      </c>
    </row>
    <row r="47" spans="1:71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2</v>
      </c>
      <c r="BC47">
        <v>2</v>
      </c>
      <c r="BD47">
        <v>2</v>
      </c>
      <c r="BE47">
        <v>7</v>
      </c>
      <c r="BF47">
        <v>7</v>
      </c>
      <c r="BG47">
        <v>8</v>
      </c>
      <c r="BH47">
        <v>16</v>
      </c>
      <c r="BI47">
        <v>20</v>
      </c>
      <c r="BJ47">
        <v>26</v>
      </c>
      <c r="BK47">
        <v>52</v>
      </c>
      <c r="BL47">
        <v>66</v>
      </c>
      <c r="BM47">
        <v>72</v>
      </c>
      <c r="BN47">
        <v>72</v>
      </c>
      <c r="BO47">
        <v>95</v>
      </c>
      <c r="BP47">
        <v>95</v>
      </c>
      <c r="BQ47">
        <v>134</v>
      </c>
      <c r="BR47">
        <v>156</v>
      </c>
      <c r="BS47">
        <v>156</v>
      </c>
    </row>
    <row r="48" spans="1:71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3</v>
      </c>
      <c r="BJ48">
        <v>3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</row>
    <row r="49" spans="1:71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1</v>
      </c>
      <c r="BJ49">
        <v>1</v>
      </c>
      <c r="BK49">
        <v>1</v>
      </c>
      <c r="BL49">
        <v>1</v>
      </c>
      <c r="BM49">
        <v>3</v>
      </c>
      <c r="BN49">
        <v>3</v>
      </c>
      <c r="BO49">
        <v>3</v>
      </c>
      <c r="BP49">
        <v>3</v>
      </c>
      <c r="BQ49">
        <v>3</v>
      </c>
      <c r="BR49">
        <v>3</v>
      </c>
      <c r="BS49">
        <v>5</v>
      </c>
    </row>
    <row r="50" spans="1:71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1</v>
      </c>
      <c r="AS50">
        <v>1</v>
      </c>
      <c r="AT50">
        <v>4</v>
      </c>
      <c r="AU50">
        <v>4</v>
      </c>
      <c r="AV50">
        <v>4</v>
      </c>
      <c r="AW50">
        <v>8</v>
      </c>
      <c r="AX50">
        <v>8</v>
      </c>
      <c r="AY50">
        <v>13</v>
      </c>
      <c r="AZ50">
        <v>23</v>
      </c>
      <c r="BA50">
        <v>23</v>
      </c>
      <c r="BB50">
        <v>43</v>
      </c>
      <c r="BC50">
        <v>61</v>
      </c>
      <c r="BD50">
        <v>74</v>
      </c>
      <c r="BE50">
        <v>155</v>
      </c>
      <c r="BF50">
        <v>201</v>
      </c>
      <c r="BG50">
        <v>238</v>
      </c>
      <c r="BH50">
        <v>238</v>
      </c>
      <c r="BI50">
        <v>434</v>
      </c>
      <c r="BJ50">
        <v>537</v>
      </c>
      <c r="BK50">
        <v>632</v>
      </c>
      <c r="BL50">
        <v>746</v>
      </c>
      <c r="BM50">
        <v>922</v>
      </c>
      <c r="BN50">
        <v>1142</v>
      </c>
      <c r="BO50">
        <v>1306</v>
      </c>
      <c r="BP50">
        <v>1610</v>
      </c>
      <c r="BQ50">
        <v>1909</v>
      </c>
      <c r="BR50">
        <v>2139</v>
      </c>
      <c r="BS50">
        <v>2449</v>
      </c>
    </row>
    <row r="51" spans="1:71" x14ac:dyDescent="0.25">
      <c r="A51" s="1" t="s">
        <v>117</v>
      </c>
      <c r="B51" s="1" t="s">
        <v>109</v>
      </c>
      <c r="C51">
        <v>1</v>
      </c>
      <c r="D51">
        <v>9</v>
      </c>
      <c r="E51">
        <v>15</v>
      </c>
      <c r="F51">
        <v>39</v>
      </c>
      <c r="G51">
        <v>60</v>
      </c>
      <c r="H51">
        <v>70</v>
      </c>
      <c r="I51">
        <v>106</v>
      </c>
      <c r="J51">
        <v>152</v>
      </c>
      <c r="K51">
        <v>200</v>
      </c>
      <c r="L51">
        <v>237</v>
      </c>
      <c r="M51">
        <v>297</v>
      </c>
      <c r="N51">
        <v>340</v>
      </c>
      <c r="O51">
        <v>408</v>
      </c>
      <c r="P51">
        <v>480</v>
      </c>
      <c r="Q51">
        <v>530</v>
      </c>
      <c r="R51">
        <v>591</v>
      </c>
      <c r="S51">
        <v>665</v>
      </c>
      <c r="T51">
        <v>733</v>
      </c>
      <c r="U51">
        <v>779</v>
      </c>
      <c r="V51">
        <v>830</v>
      </c>
      <c r="W51">
        <v>860</v>
      </c>
      <c r="X51">
        <v>889</v>
      </c>
      <c r="Y51">
        <v>910</v>
      </c>
      <c r="Z51">
        <v>934</v>
      </c>
      <c r="AA51">
        <v>950</v>
      </c>
      <c r="AB51">
        <v>962</v>
      </c>
      <c r="AC51">
        <v>973</v>
      </c>
      <c r="AD51">
        <v>982</v>
      </c>
      <c r="AE51">
        <v>986</v>
      </c>
      <c r="AF51">
        <v>987</v>
      </c>
      <c r="AG51">
        <v>988</v>
      </c>
      <c r="AH51">
        <v>989</v>
      </c>
      <c r="AI51">
        <v>989</v>
      </c>
      <c r="AJ51">
        <v>989</v>
      </c>
      <c r="AK51">
        <v>989</v>
      </c>
      <c r="AL51">
        <v>989</v>
      </c>
      <c r="AM51">
        <v>989</v>
      </c>
      <c r="AN51">
        <v>990</v>
      </c>
      <c r="AO51">
        <v>990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</row>
    <row r="52" spans="1:71" x14ac:dyDescent="0.25">
      <c r="A52" s="1" t="s">
        <v>125</v>
      </c>
      <c r="B52" s="1" t="s">
        <v>109</v>
      </c>
      <c r="C52">
        <v>14</v>
      </c>
      <c r="D52">
        <v>22</v>
      </c>
      <c r="E52">
        <v>36</v>
      </c>
      <c r="F52">
        <v>41</v>
      </c>
      <c r="G52">
        <v>68</v>
      </c>
      <c r="H52">
        <v>80</v>
      </c>
      <c r="I52">
        <v>91</v>
      </c>
      <c r="J52">
        <v>111</v>
      </c>
      <c r="K52">
        <v>114</v>
      </c>
      <c r="L52">
        <v>139</v>
      </c>
      <c r="M52">
        <v>168</v>
      </c>
      <c r="N52">
        <v>191</v>
      </c>
      <c r="O52">
        <v>212</v>
      </c>
      <c r="P52">
        <v>228</v>
      </c>
      <c r="Q52">
        <v>253</v>
      </c>
      <c r="R52">
        <v>274</v>
      </c>
      <c r="S52">
        <v>297</v>
      </c>
      <c r="T52">
        <v>315</v>
      </c>
      <c r="U52">
        <v>326</v>
      </c>
      <c r="V52">
        <v>337</v>
      </c>
      <c r="W52">
        <v>342</v>
      </c>
      <c r="X52">
        <v>352</v>
      </c>
      <c r="Y52">
        <v>366</v>
      </c>
      <c r="Z52">
        <v>372</v>
      </c>
      <c r="AA52">
        <v>375</v>
      </c>
      <c r="AB52">
        <v>380</v>
      </c>
      <c r="AC52">
        <v>381</v>
      </c>
      <c r="AD52">
        <v>387</v>
      </c>
      <c r="AE52">
        <v>393</v>
      </c>
      <c r="AF52">
        <v>395</v>
      </c>
      <c r="AG52">
        <v>396</v>
      </c>
      <c r="AH52">
        <v>399</v>
      </c>
      <c r="AI52">
        <v>399</v>
      </c>
      <c r="AJ52">
        <v>399</v>
      </c>
      <c r="AK52">
        <v>400</v>
      </c>
      <c r="AL52">
        <v>400</v>
      </c>
      <c r="AM52">
        <v>410</v>
      </c>
      <c r="AN52">
        <v>410</v>
      </c>
      <c r="AO52">
        <v>411</v>
      </c>
      <c r="AP52">
        <v>413</v>
      </c>
      <c r="AQ52">
        <v>414</v>
      </c>
      <c r="AR52">
        <v>414</v>
      </c>
      <c r="AS52">
        <v>418</v>
      </c>
      <c r="AT52">
        <v>418</v>
      </c>
      <c r="AU52">
        <v>422</v>
      </c>
      <c r="AV52">
        <v>426</v>
      </c>
      <c r="AW52">
        <v>428</v>
      </c>
      <c r="AX52">
        <v>428</v>
      </c>
      <c r="AY52">
        <v>429</v>
      </c>
      <c r="AZ52">
        <v>435</v>
      </c>
      <c r="BA52">
        <v>435</v>
      </c>
      <c r="BB52">
        <v>436</v>
      </c>
      <c r="BC52">
        <v>437</v>
      </c>
      <c r="BD52">
        <v>442</v>
      </c>
      <c r="BE52">
        <v>452</v>
      </c>
      <c r="BF52">
        <v>456</v>
      </c>
      <c r="BG52">
        <v>469</v>
      </c>
      <c r="BH52">
        <v>480</v>
      </c>
      <c r="BI52">
        <v>491</v>
      </c>
      <c r="BJ52">
        <v>504</v>
      </c>
      <c r="BK52">
        <v>522</v>
      </c>
      <c r="BL52">
        <v>537</v>
      </c>
      <c r="BM52">
        <v>558</v>
      </c>
      <c r="BN52">
        <v>561</v>
      </c>
      <c r="BO52">
        <v>566</v>
      </c>
      <c r="BP52">
        <v>569</v>
      </c>
      <c r="BQ52">
        <v>573</v>
      </c>
      <c r="BR52">
        <v>577</v>
      </c>
      <c r="BS52">
        <v>577</v>
      </c>
    </row>
    <row r="53" spans="1:71" x14ac:dyDescent="0.25">
      <c r="A53" s="1" t="s">
        <v>121</v>
      </c>
      <c r="B53" s="1" t="s">
        <v>109</v>
      </c>
      <c r="C53">
        <v>6</v>
      </c>
      <c r="D53">
        <v>9</v>
      </c>
      <c r="E53">
        <v>27</v>
      </c>
      <c r="F53">
        <v>57</v>
      </c>
      <c r="G53">
        <v>75</v>
      </c>
      <c r="H53">
        <v>110</v>
      </c>
      <c r="I53">
        <v>132</v>
      </c>
      <c r="J53">
        <v>147</v>
      </c>
      <c r="K53">
        <v>182</v>
      </c>
      <c r="L53">
        <v>211</v>
      </c>
      <c r="M53">
        <v>247</v>
      </c>
      <c r="N53">
        <v>300</v>
      </c>
      <c r="O53">
        <v>337</v>
      </c>
      <c r="P53">
        <v>366</v>
      </c>
      <c r="Q53">
        <v>389</v>
      </c>
      <c r="R53">
        <v>411</v>
      </c>
      <c r="S53">
        <v>426</v>
      </c>
      <c r="T53">
        <v>428</v>
      </c>
      <c r="U53">
        <v>468</v>
      </c>
      <c r="V53">
        <v>486</v>
      </c>
      <c r="W53">
        <v>505</v>
      </c>
      <c r="X53">
        <v>518</v>
      </c>
      <c r="Y53">
        <v>529</v>
      </c>
      <c r="Z53">
        <v>537</v>
      </c>
      <c r="AA53">
        <v>544</v>
      </c>
      <c r="AB53">
        <v>551</v>
      </c>
      <c r="AC53">
        <v>553</v>
      </c>
      <c r="AD53">
        <v>555</v>
      </c>
      <c r="AE53">
        <v>560</v>
      </c>
      <c r="AF53">
        <v>567</v>
      </c>
      <c r="AG53">
        <v>572</v>
      </c>
      <c r="AH53">
        <v>573</v>
      </c>
      <c r="AI53">
        <v>575</v>
      </c>
      <c r="AJ53">
        <v>576</v>
      </c>
      <c r="AK53">
        <v>576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577</v>
      </c>
      <c r="BL53">
        <v>578</v>
      </c>
      <c r="BM53">
        <v>578</v>
      </c>
      <c r="BN53">
        <v>578</v>
      </c>
      <c r="BO53">
        <v>578</v>
      </c>
      <c r="BP53">
        <v>578</v>
      </c>
      <c r="BQ53">
        <v>578</v>
      </c>
      <c r="BR53">
        <v>579</v>
      </c>
      <c r="BS53">
        <v>579</v>
      </c>
    </row>
    <row r="54" spans="1:71" x14ac:dyDescent="0.25">
      <c r="A54" s="1" t="s">
        <v>128</v>
      </c>
      <c r="B54" s="1" t="s">
        <v>109</v>
      </c>
      <c r="C54">
        <v>1</v>
      </c>
      <c r="D54">
        <v>5</v>
      </c>
      <c r="E54">
        <v>10</v>
      </c>
      <c r="F54">
        <v>18</v>
      </c>
      <c r="G54">
        <v>35</v>
      </c>
      <c r="H54">
        <v>59</v>
      </c>
      <c r="I54">
        <v>80</v>
      </c>
      <c r="J54">
        <v>84</v>
      </c>
      <c r="K54">
        <v>101</v>
      </c>
      <c r="L54">
        <v>120</v>
      </c>
      <c r="M54">
        <v>144</v>
      </c>
      <c r="N54">
        <v>159</v>
      </c>
      <c r="O54">
        <v>179</v>
      </c>
      <c r="P54">
        <v>194</v>
      </c>
      <c r="Q54">
        <v>205</v>
      </c>
      <c r="R54">
        <v>215</v>
      </c>
      <c r="S54">
        <v>224</v>
      </c>
      <c r="T54">
        <v>239</v>
      </c>
      <c r="U54">
        <v>250</v>
      </c>
      <c r="V54">
        <v>261</v>
      </c>
      <c r="W54">
        <v>267</v>
      </c>
      <c r="X54">
        <v>272</v>
      </c>
      <c r="Y54">
        <v>279</v>
      </c>
      <c r="Z54">
        <v>281</v>
      </c>
      <c r="AA54">
        <v>285</v>
      </c>
      <c r="AB54">
        <v>287</v>
      </c>
      <c r="AC54">
        <v>290</v>
      </c>
      <c r="AD54">
        <v>292</v>
      </c>
      <c r="AE54">
        <v>293</v>
      </c>
      <c r="AF54">
        <v>293</v>
      </c>
      <c r="AG54">
        <v>293</v>
      </c>
      <c r="AH54">
        <v>293</v>
      </c>
      <c r="AI54">
        <v>293</v>
      </c>
      <c r="AJ54">
        <v>293</v>
      </c>
      <c r="AK54">
        <v>294</v>
      </c>
      <c r="AL54">
        <v>294</v>
      </c>
      <c r="AM54">
        <v>296</v>
      </c>
      <c r="AN54">
        <v>296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299</v>
      </c>
      <c r="BJ54">
        <v>303</v>
      </c>
      <c r="BK54">
        <v>313</v>
      </c>
      <c r="BL54">
        <v>313</v>
      </c>
      <c r="BM54">
        <v>318</v>
      </c>
      <c r="BN54">
        <v>322</v>
      </c>
      <c r="BO54">
        <v>328</v>
      </c>
      <c r="BP54">
        <v>331</v>
      </c>
      <c r="BQ54">
        <v>337</v>
      </c>
      <c r="BR54">
        <v>338</v>
      </c>
      <c r="BS54">
        <v>340</v>
      </c>
    </row>
    <row r="55" spans="1:71" x14ac:dyDescent="0.25">
      <c r="A55" s="1" t="s">
        <v>136</v>
      </c>
      <c r="B55" s="1" t="s">
        <v>109</v>
      </c>
      <c r="C55">
        <v>0</v>
      </c>
      <c r="D55">
        <v>2</v>
      </c>
      <c r="E55">
        <v>2</v>
      </c>
      <c r="F55">
        <v>4</v>
      </c>
      <c r="G55">
        <v>7</v>
      </c>
      <c r="H55">
        <v>14</v>
      </c>
      <c r="I55">
        <v>19</v>
      </c>
      <c r="J55">
        <v>24</v>
      </c>
      <c r="K55">
        <v>26</v>
      </c>
      <c r="L55">
        <v>29</v>
      </c>
      <c r="M55">
        <v>40</v>
      </c>
      <c r="N55">
        <v>51</v>
      </c>
      <c r="O55">
        <v>55</v>
      </c>
      <c r="P55">
        <v>57</v>
      </c>
      <c r="Q55">
        <v>62</v>
      </c>
      <c r="R55">
        <v>62</v>
      </c>
      <c r="S55">
        <v>67</v>
      </c>
      <c r="T55">
        <v>79</v>
      </c>
      <c r="U55">
        <v>83</v>
      </c>
      <c r="V55">
        <v>83</v>
      </c>
      <c r="W55">
        <v>86</v>
      </c>
      <c r="X55">
        <v>87</v>
      </c>
      <c r="Y55">
        <v>90</v>
      </c>
      <c r="Z55">
        <v>90</v>
      </c>
      <c r="AA55">
        <v>90</v>
      </c>
      <c r="AB55">
        <v>90</v>
      </c>
      <c r="AC55">
        <v>91</v>
      </c>
      <c r="AD55">
        <v>91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102</v>
      </c>
      <c r="AU55">
        <v>119</v>
      </c>
      <c r="AV55">
        <v>120</v>
      </c>
      <c r="AW55">
        <v>124</v>
      </c>
      <c r="AX55">
        <v>124</v>
      </c>
      <c r="AY55">
        <v>125</v>
      </c>
      <c r="AZ55">
        <v>127</v>
      </c>
      <c r="BA55">
        <v>127</v>
      </c>
      <c r="BB55">
        <v>127</v>
      </c>
      <c r="BC55">
        <v>129</v>
      </c>
      <c r="BD55">
        <v>133</v>
      </c>
      <c r="BE55">
        <v>133</v>
      </c>
      <c r="BF55">
        <v>133</v>
      </c>
      <c r="BG55">
        <v>133</v>
      </c>
      <c r="BH55">
        <v>134</v>
      </c>
      <c r="BI55">
        <v>134</v>
      </c>
      <c r="BJ55">
        <v>134</v>
      </c>
      <c r="BK55">
        <v>136</v>
      </c>
      <c r="BL55">
        <v>136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138</v>
      </c>
      <c r="BS55">
        <v>138</v>
      </c>
    </row>
    <row r="56" spans="1:71" x14ac:dyDescent="0.25">
      <c r="A56" s="1" t="s">
        <v>113</v>
      </c>
      <c r="B56" s="1" t="s">
        <v>109</v>
      </c>
      <c r="C56">
        <v>26</v>
      </c>
      <c r="D56">
        <v>32</v>
      </c>
      <c r="E56">
        <v>53</v>
      </c>
      <c r="F56">
        <v>78</v>
      </c>
      <c r="G56">
        <v>111</v>
      </c>
      <c r="H56">
        <v>151</v>
      </c>
      <c r="I56">
        <v>207</v>
      </c>
      <c r="J56">
        <v>277</v>
      </c>
      <c r="K56">
        <v>354</v>
      </c>
      <c r="L56">
        <v>436</v>
      </c>
      <c r="M56">
        <v>535</v>
      </c>
      <c r="N56">
        <v>632</v>
      </c>
      <c r="O56">
        <v>725</v>
      </c>
      <c r="P56">
        <v>813</v>
      </c>
      <c r="Q56">
        <v>895</v>
      </c>
      <c r="R56">
        <v>970</v>
      </c>
      <c r="S56">
        <v>1034</v>
      </c>
      <c r="T56">
        <v>1095</v>
      </c>
      <c r="U56">
        <v>1131</v>
      </c>
      <c r="V56">
        <v>1159</v>
      </c>
      <c r="W56">
        <v>1177</v>
      </c>
      <c r="X56">
        <v>1219</v>
      </c>
      <c r="Y56">
        <v>1241</v>
      </c>
      <c r="Z56">
        <v>1261</v>
      </c>
      <c r="AA56">
        <v>1294</v>
      </c>
      <c r="AB56">
        <v>1316</v>
      </c>
      <c r="AC56">
        <v>1322</v>
      </c>
      <c r="AD56">
        <v>1328</v>
      </c>
      <c r="AE56">
        <v>1331</v>
      </c>
      <c r="AF56">
        <v>1332</v>
      </c>
      <c r="AG56">
        <v>1333</v>
      </c>
      <c r="AH56">
        <v>1339</v>
      </c>
      <c r="AI56">
        <v>1342</v>
      </c>
      <c r="AJ56">
        <v>1345</v>
      </c>
      <c r="AK56">
        <v>1347</v>
      </c>
      <c r="AL56">
        <v>1347</v>
      </c>
      <c r="AM56">
        <v>1347</v>
      </c>
      <c r="AN56">
        <v>1348</v>
      </c>
      <c r="AO56">
        <v>1349</v>
      </c>
      <c r="AP56">
        <v>1349</v>
      </c>
      <c r="AQ56">
        <v>1350</v>
      </c>
      <c r="AR56">
        <v>1350</v>
      </c>
      <c r="AS56">
        <v>1350</v>
      </c>
      <c r="AT56">
        <v>1351</v>
      </c>
      <c r="AU56">
        <v>1352</v>
      </c>
      <c r="AV56">
        <v>1352</v>
      </c>
      <c r="AW56">
        <v>1352</v>
      </c>
      <c r="AX56">
        <v>1352</v>
      </c>
      <c r="AY56">
        <v>1353</v>
      </c>
      <c r="AZ56">
        <v>1356</v>
      </c>
      <c r="BA56">
        <v>1356</v>
      </c>
      <c r="BB56">
        <v>1356</v>
      </c>
      <c r="BC56">
        <v>1356</v>
      </c>
      <c r="BD56">
        <v>1360</v>
      </c>
      <c r="BE56">
        <v>1361</v>
      </c>
      <c r="BF56">
        <v>1364</v>
      </c>
      <c r="BG56">
        <v>1370</v>
      </c>
      <c r="BH56">
        <v>1378</v>
      </c>
      <c r="BI56">
        <v>1395</v>
      </c>
      <c r="BJ56">
        <v>1400</v>
      </c>
      <c r="BK56">
        <v>1413</v>
      </c>
      <c r="BL56">
        <v>1415</v>
      </c>
      <c r="BM56">
        <v>1428</v>
      </c>
      <c r="BN56">
        <v>1433</v>
      </c>
      <c r="BO56">
        <v>1448</v>
      </c>
      <c r="BP56">
        <v>1456</v>
      </c>
      <c r="BQ56">
        <v>1467</v>
      </c>
      <c r="BR56">
        <v>1475</v>
      </c>
      <c r="BS56">
        <v>1484</v>
      </c>
    </row>
    <row r="57" spans="1:71" x14ac:dyDescent="0.25">
      <c r="A57" s="1" t="s">
        <v>129</v>
      </c>
      <c r="B57" s="1" t="s">
        <v>109</v>
      </c>
      <c r="C57">
        <v>2</v>
      </c>
      <c r="D57">
        <v>5</v>
      </c>
      <c r="E57">
        <v>23</v>
      </c>
      <c r="F57">
        <v>23</v>
      </c>
      <c r="G57">
        <v>36</v>
      </c>
      <c r="H57">
        <v>46</v>
      </c>
      <c r="I57">
        <v>51</v>
      </c>
      <c r="J57">
        <v>58</v>
      </c>
      <c r="K57">
        <v>78</v>
      </c>
      <c r="L57">
        <v>87</v>
      </c>
      <c r="M57">
        <v>100</v>
      </c>
      <c r="N57">
        <v>111</v>
      </c>
      <c r="O57">
        <v>127</v>
      </c>
      <c r="P57">
        <v>139</v>
      </c>
      <c r="Q57">
        <v>150</v>
      </c>
      <c r="R57">
        <v>168</v>
      </c>
      <c r="S57">
        <v>172</v>
      </c>
      <c r="T57">
        <v>183</v>
      </c>
      <c r="U57">
        <v>195</v>
      </c>
      <c r="V57">
        <v>210</v>
      </c>
      <c r="W57">
        <v>215</v>
      </c>
      <c r="X57">
        <v>222</v>
      </c>
      <c r="Y57">
        <v>222</v>
      </c>
      <c r="Z57">
        <v>226</v>
      </c>
      <c r="AA57">
        <v>235</v>
      </c>
      <c r="AB57">
        <v>237</v>
      </c>
      <c r="AC57">
        <v>238</v>
      </c>
      <c r="AD57">
        <v>242</v>
      </c>
      <c r="AE57">
        <v>244</v>
      </c>
      <c r="AF57">
        <v>245</v>
      </c>
      <c r="AG57">
        <v>246</v>
      </c>
      <c r="AH57">
        <v>249</v>
      </c>
      <c r="AI57">
        <v>249</v>
      </c>
      <c r="AJ57">
        <v>251</v>
      </c>
      <c r="AK57">
        <v>252</v>
      </c>
      <c r="AL57">
        <v>252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253</v>
      </c>
      <c r="BG57">
        <v>253</v>
      </c>
      <c r="BH57">
        <v>253</v>
      </c>
      <c r="BI57">
        <v>254</v>
      </c>
      <c r="BJ57">
        <v>254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</row>
    <row r="58" spans="1:71" x14ac:dyDescent="0.25">
      <c r="A58" s="1" t="s">
        <v>133</v>
      </c>
      <c r="B58" s="1" t="s">
        <v>109</v>
      </c>
      <c r="C58">
        <v>1</v>
      </c>
      <c r="D58">
        <v>3</v>
      </c>
      <c r="E58">
        <v>3</v>
      </c>
      <c r="F58">
        <v>4</v>
      </c>
      <c r="G58">
        <v>5</v>
      </c>
      <c r="H58">
        <v>7</v>
      </c>
      <c r="I58">
        <v>9</v>
      </c>
      <c r="J58">
        <v>9</v>
      </c>
      <c r="K58">
        <v>12</v>
      </c>
      <c r="L58">
        <v>29</v>
      </c>
      <c r="M58">
        <v>29</v>
      </c>
      <c r="N58">
        <v>38</v>
      </c>
      <c r="O58">
        <v>46</v>
      </c>
      <c r="P58">
        <v>58</v>
      </c>
      <c r="Q58">
        <v>64</v>
      </c>
      <c r="R58">
        <v>71</v>
      </c>
      <c r="S58">
        <v>81</v>
      </c>
      <c r="T58">
        <v>89</v>
      </c>
      <c r="U58">
        <v>99</v>
      </c>
      <c r="V58">
        <v>109</v>
      </c>
      <c r="W58">
        <v>127</v>
      </c>
      <c r="X58">
        <v>133</v>
      </c>
      <c r="Y58">
        <v>135</v>
      </c>
      <c r="Z58">
        <v>140</v>
      </c>
      <c r="AA58">
        <v>143</v>
      </c>
      <c r="AB58">
        <v>144</v>
      </c>
      <c r="AC58">
        <v>146</v>
      </c>
      <c r="AD58">
        <v>146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147</v>
      </c>
      <c r="BG58">
        <v>146</v>
      </c>
      <c r="BH58">
        <v>146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</row>
    <row r="59" spans="1:71" x14ac:dyDescent="0.25">
      <c r="A59" s="1" t="s">
        <v>132</v>
      </c>
      <c r="B59" s="1" t="s">
        <v>109</v>
      </c>
      <c r="C59">
        <v>4</v>
      </c>
      <c r="D59">
        <v>5</v>
      </c>
      <c r="E59">
        <v>8</v>
      </c>
      <c r="F59">
        <v>19</v>
      </c>
      <c r="G59">
        <v>22</v>
      </c>
      <c r="H59">
        <v>33</v>
      </c>
      <c r="I59">
        <v>40</v>
      </c>
      <c r="J59">
        <v>43</v>
      </c>
      <c r="K59">
        <v>46</v>
      </c>
      <c r="L59">
        <v>52</v>
      </c>
      <c r="M59">
        <v>62</v>
      </c>
      <c r="N59">
        <v>64</v>
      </c>
      <c r="O59">
        <v>72</v>
      </c>
      <c r="P59">
        <v>80</v>
      </c>
      <c r="Q59">
        <v>99</v>
      </c>
      <c r="R59">
        <v>106</v>
      </c>
      <c r="S59">
        <v>117</v>
      </c>
      <c r="T59">
        <v>124</v>
      </c>
      <c r="U59">
        <v>131</v>
      </c>
      <c r="V59">
        <v>138</v>
      </c>
      <c r="W59">
        <v>144</v>
      </c>
      <c r="X59">
        <v>157</v>
      </c>
      <c r="Y59">
        <v>157</v>
      </c>
      <c r="Z59">
        <v>159</v>
      </c>
      <c r="AA59">
        <v>162</v>
      </c>
      <c r="AB59">
        <v>162</v>
      </c>
      <c r="AC59">
        <v>163</v>
      </c>
      <c r="AD59">
        <v>163</v>
      </c>
      <c r="AE59">
        <v>168</v>
      </c>
      <c r="AF59">
        <v>168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</row>
    <row r="60" spans="1:71" x14ac:dyDescent="0.25">
      <c r="A60" s="1" t="s">
        <v>127</v>
      </c>
      <c r="B60" s="1" t="s">
        <v>109</v>
      </c>
      <c r="C60">
        <v>1</v>
      </c>
      <c r="D60">
        <v>1</v>
      </c>
      <c r="E60">
        <v>2</v>
      </c>
      <c r="F60">
        <v>8</v>
      </c>
      <c r="G60">
        <v>13</v>
      </c>
      <c r="H60">
        <v>18</v>
      </c>
      <c r="I60">
        <v>33</v>
      </c>
      <c r="J60">
        <v>48</v>
      </c>
      <c r="K60">
        <v>65</v>
      </c>
      <c r="L60">
        <v>82</v>
      </c>
      <c r="M60">
        <v>96</v>
      </c>
      <c r="N60">
        <v>104</v>
      </c>
      <c r="O60">
        <v>113</v>
      </c>
      <c r="P60">
        <v>126</v>
      </c>
      <c r="Q60">
        <v>135</v>
      </c>
      <c r="R60">
        <v>157</v>
      </c>
      <c r="S60">
        <v>172</v>
      </c>
      <c r="T60">
        <v>195</v>
      </c>
      <c r="U60">
        <v>206</v>
      </c>
      <c r="V60">
        <v>218</v>
      </c>
      <c r="W60">
        <v>239</v>
      </c>
      <c r="X60">
        <v>251</v>
      </c>
      <c r="Y60">
        <v>265</v>
      </c>
      <c r="Z60">
        <v>283</v>
      </c>
      <c r="AA60">
        <v>291</v>
      </c>
      <c r="AB60">
        <v>300</v>
      </c>
      <c r="AC60">
        <v>301</v>
      </c>
      <c r="AD60">
        <v>306</v>
      </c>
      <c r="AE60">
        <v>306</v>
      </c>
      <c r="AF60">
        <v>307</v>
      </c>
      <c r="AG60">
        <v>308</v>
      </c>
      <c r="AH60">
        <v>309</v>
      </c>
      <c r="AI60">
        <v>311</v>
      </c>
      <c r="AJ60">
        <v>311</v>
      </c>
      <c r="AK60">
        <v>311</v>
      </c>
      <c r="AL60">
        <v>312</v>
      </c>
      <c r="AM60">
        <v>317</v>
      </c>
      <c r="AN60">
        <v>318</v>
      </c>
      <c r="AO60">
        <v>318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319</v>
      </c>
      <c r="BL60">
        <v>319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321</v>
      </c>
    </row>
    <row r="61" spans="1:71" x14ac:dyDescent="0.25">
      <c r="A61" s="1" t="s">
        <v>123</v>
      </c>
      <c r="B61" s="1" t="s">
        <v>109</v>
      </c>
      <c r="C61">
        <v>0</v>
      </c>
      <c r="D61">
        <v>2</v>
      </c>
      <c r="E61">
        <v>4</v>
      </c>
      <c r="F61">
        <v>9</v>
      </c>
      <c r="G61">
        <v>15</v>
      </c>
      <c r="H61">
        <v>21</v>
      </c>
      <c r="I61">
        <v>33</v>
      </c>
      <c r="J61">
        <v>38</v>
      </c>
      <c r="K61">
        <v>44</v>
      </c>
      <c r="L61">
        <v>59</v>
      </c>
      <c r="M61">
        <v>80</v>
      </c>
      <c r="N61">
        <v>95</v>
      </c>
      <c r="O61">
        <v>121</v>
      </c>
      <c r="P61">
        <v>155</v>
      </c>
      <c r="Q61">
        <v>190</v>
      </c>
      <c r="R61">
        <v>227</v>
      </c>
      <c r="S61">
        <v>277</v>
      </c>
      <c r="T61">
        <v>295</v>
      </c>
      <c r="U61">
        <v>307</v>
      </c>
      <c r="V61">
        <v>331</v>
      </c>
      <c r="W61">
        <v>360</v>
      </c>
      <c r="X61">
        <v>378</v>
      </c>
      <c r="Y61">
        <v>395</v>
      </c>
      <c r="Z61">
        <v>419</v>
      </c>
      <c r="AA61">
        <v>425</v>
      </c>
      <c r="AB61">
        <v>445</v>
      </c>
      <c r="AC61">
        <v>457</v>
      </c>
      <c r="AD61">
        <v>464</v>
      </c>
      <c r="AE61">
        <v>470</v>
      </c>
      <c r="AF61">
        <v>476</v>
      </c>
      <c r="AG61">
        <v>479</v>
      </c>
      <c r="AH61">
        <v>479</v>
      </c>
      <c r="AI61">
        <v>480</v>
      </c>
      <c r="AJ61">
        <v>480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481</v>
      </c>
      <c r="AU61">
        <v>481</v>
      </c>
      <c r="AV61">
        <v>481</v>
      </c>
      <c r="AW61">
        <v>481</v>
      </c>
      <c r="AX61">
        <v>481</v>
      </c>
      <c r="AY61">
        <v>481</v>
      </c>
      <c r="AZ61">
        <v>482</v>
      </c>
      <c r="BA61">
        <v>482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483</v>
      </c>
      <c r="BI61">
        <v>484</v>
      </c>
      <c r="BJ61">
        <v>484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</row>
    <row r="62" spans="1:71" x14ac:dyDescent="0.25">
      <c r="A62" s="1" t="s">
        <v>114</v>
      </c>
      <c r="B62" s="1" t="s">
        <v>109</v>
      </c>
      <c r="C62">
        <v>5</v>
      </c>
      <c r="D62">
        <v>5</v>
      </c>
      <c r="E62">
        <v>9</v>
      </c>
      <c r="F62">
        <v>32</v>
      </c>
      <c r="G62">
        <v>83</v>
      </c>
      <c r="H62">
        <v>128</v>
      </c>
      <c r="I62">
        <v>168</v>
      </c>
      <c r="J62">
        <v>206</v>
      </c>
      <c r="K62">
        <v>278</v>
      </c>
      <c r="L62">
        <v>352</v>
      </c>
      <c r="M62">
        <v>422</v>
      </c>
      <c r="N62">
        <v>493</v>
      </c>
      <c r="O62">
        <v>566</v>
      </c>
      <c r="P62">
        <v>675</v>
      </c>
      <c r="Q62">
        <v>764</v>
      </c>
      <c r="R62">
        <v>851</v>
      </c>
      <c r="S62">
        <v>914</v>
      </c>
      <c r="T62">
        <v>981</v>
      </c>
      <c r="U62">
        <v>1033</v>
      </c>
      <c r="V62">
        <v>1073</v>
      </c>
      <c r="W62">
        <v>1105</v>
      </c>
      <c r="X62">
        <v>1135</v>
      </c>
      <c r="Y62">
        <v>1169</v>
      </c>
      <c r="Z62">
        <v>1184</v>
      </c>
      <c r="AA62">
        <v>1212</v>
      </c>
      <c r="AB62">
        <v>1231</v>
      </c>
      <c r="AC62">
        <v>1246</v>
      </c>
      <c r="AD62">
        <v>1257</v>
      </c>
      <c r="AE62">
        <v>1262</v>
      </c>
      <c r="AF62">
        <v>1265</v>
      </c>
      <c r="AG62">
        <v>1267</v>
      </c>
      <c r="AH62">
        <v>1270</v>
      </c>
      <c r="AI62">
        <v>1271</v>
      </c>
      <c r="AJ62">
        <v>1271</v>
      </c>
      <c r="AK62">
        <v>1271</v>
      </c>
      <c r="AL62">
        <v>1271</v>
      </c>
      <c r="AM62">
        <v>1272</v>
      </c>
      <c r="AN62">
        <v>1272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1273</v>
      </c>
      <c r="BA62">
        <v>1273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1274</v>
      </c>
      <c r="BL62">
        <v>1274</v>
      </c>
      <c r="BM62">
        <v>1274</v>
      </c>
      <c r="BN62">
        <v>1274</v>
      </c>
      <c r="BO62">
        <v>1275</v>
      </c>
      <c r="BP62">
        <v>1275</v>
      </c>
      <c r="BQ62">
        <v>1275</v>
      </c>
      <c r="BR62">
        <v>1276</v>
      </c>
      <c r="BS62">
        <v>1276</v>
      </c>
    </row>
    <row r="63" spans="1:71" x14ac:dyDescent="0.25">
      <c r="A63" s="1" t="s">
        <v>137</v>
      </c>
      <c r="B63" s="1" t="s">
        <v>109</v>
      </c>
      <c r="C63">
        <v>0</v>
      </c>
      <c r="D63">
        <v>2</v>
      </c>
      <c r="E63">
        <v>2</v>
      </c>
      <c r="F63">
        <v>5</v>
      </c>
      <c r="G63">
        <v>8</v>
      </c>
      <c r="H63">
        <v>8</v>
      </c>
      <c r="I63">
        <v>8</v>
      </c>
      <c r="J63">
        <v>10</v>
      </c>
      <c r="K63">
        <v>10</v>
      </c>
      <c r="L63">
        <v>12</v>
      </c>
      <c r="M63">
        <v>13</v>
      </c>
      <c r="N63">
        <v>15</v>
      </c>
      <c r="O63">
        <v>15</v>
      </c>
      <c r="P63">
        <v>17</v>
      </c>
      <c r="Q63">
        <v>21</v>
      </c>
      <c r="R63">
        <v>24</v>
      </c>
      <c r="S63">
        <v>25</v>
      </c>
      <c r="T63">
        <v>26</v>
      </c>
      <c r="U63">
        <v>29</v>
      </c>
      <c r="V63">
        <v>38</v>
      </c>
      <c r="W63">
        <v>49</v>
      </c>
      <c r="X63">
        <v>50</v>
      </c>
      <c r="Y63">
        <v>53</v>
      </c>
      <c r="Z63">
        <v>56</v>
      </c>
      <c r="AA63">
        <v>56</v>
      </c>
      <c r="AB63">
        <v>57</v>
      </c>
      <c r="AC63">
        <v>60</v>
      </c>
      <c r="AD63">
        <v>62</v>
      </c>
      <c r="AE63">
        <v>63</v>
      </c>
      <c r="AF63">
        <v>68</v>
      </c>
      <c r="AG63">
        <v>68</v>
      </c>
      <c r="AH63">
        <v>69</v>
      </c>
      <c r="AI63">
        <v>74</v>
      </c>
      <c r="AJ63">
        <v>79</v>
      </c>
      <c r="AK63">
        <v>84</v>
      </c>
      <c r="AL63">
        <v>91</v>
      </c>
      <c r="AM63">
        <v>92</v>
      </c>
      <c r="AN63">
        <v>94</v>
      </c>
      <c r="AO63">
        <v>95</v>
      </c>
      <c r="AP63">
        <v>96</v>
      </c>
      <c r="AQ63">
        <v>100</v>
      </c>
      <c r="AR63">
        <v>100</v>
      </c>
      <c r="AS63">
        <v>105</v>
      </c>
      <c r="AT63">
        <v>105</v>
      </c>
      <c r="AU63">
        <v>107</v>
      </c>
      <c r="AV63">
        <v>108</v>
      </c>
      <c r="AW63">
        <v>114</v>
      </c>
      <c r="AX63">
        <v>115</v>
      </c>
      <c r="AY63">
        <v>120</v>
      </c>
      <c r="AZ63">
        <v>126</v>
      </c>
      <c r="BA63">
        <v>129</v>
      </c>
      <c r="BB63">
        <v>134</v>
      </c>
      <c r="BC63">
        <v>140</v>
      </c>
      <c r="BD63">
        <v>145</v>
      </c>
      <c r="BE63">
        <v>155</v>
      </c>
      <c r="BF63">
        <v>162</v>
      </c>
      <c r="BG63">
        <v>181</v>
      </c>
      <c r="BH63">
        <v>208</v>
      </c>
      <c r="BI63">
        <v>256</v>
      </c>
      <c r="BJ63">
        <v>273</v>
      </c>
      <c r="BK63">
        <v>317</v>
      </c>
      <c r="BL63">
        <v>356</v>
      </c>
      <c r="BM63">
        <v>386</v>
      </c>
      <c r="BN63">
        <v>410</v>
      </c>
      <c r="BO63">
        <v>453</v>
      </c>
      <c r="BP63">
        <v>519</v>
      </c>
      <c r="BQ63">
        <v>561</v>
      </c>
      <c r="BR63">
        <v>641</v>
      </c>
      <c r="BS63">
        <v>682</v>
      </c>
    </row>
    <row r="64" spans="1:71" x14ac:dyDescent="0.25">
      <c r="A64" s="1" t="s">
        <v>108</v>
      </c>
      <c r="B64" s="1" t="s">
        <v>109</v>
      </c>
      <c r="C64">
        <v>444</v>
      </c>
      <c r="D64">
        <v>444</v>
      </c>
      <c r="E64">
        <v>549</v>
      </c>
      <c r="F64">
        <v>761</v>
      </c>
      <c r="G64">
        <v>1058</v>
      </c>
      <c r="H64">
        <v>1423</v>
      </c>
      <c r="I64">
        <v>3554</v>
      </c>
      <c r="J64">
        <v>3554</v>
      </c>
      <c r="K64">
        <v>4903</v>
      </c>
      <c r="L64">
        <v>5806</v>
      </c>
      <c r="M64">
        <v>7153</v>
      </c>
      <c r="N64">
        <v>11177</v>
      </c>
      <c r="O64">
        <v>13522</v>
      </c>
      <c r="P64">
        <v>16678</v>
      </c>
      <c r="Q64">
        <v>19665</v>
      </c>
      <c r="R64">
        <v>22112</v>
      </c>
      <c r="S64">
        <v>24953</v>
      </c>
      <c r="T64">
        <v>27100</v>
      </c>
      <c r="U64">
        <v>29631</v>
      </c>
      <c r="V64">
        <v>31728</v>
      </c>
      <c r="W64">
        <v>33366</v>
      </c>
      <c r="X64">
        <v>33366</v>
      </c>
      <c r="Y64">
        <v>48206</v>
      </c>
      <c r="Z64">
        <v>54406</v>
      </c>
      <c r="AA64">
        <v>56249</v>
      </c>
      <c r="AB64">
        <v>58182</v>
      </c>
      <c r="AC64">
        <v>59989</v>
      </c>
      <c r="AD64">
        <v>61682</v>
      </c>
      <c r="AE64">
        <v>62031</v>
      </c>
      <c r="AF64">
        <v>62442</v>
      </c>
      <c r="AG64">
        <v>62662</v>
      </c>
      <c r="AH64">
        <v>64084</v>
      </c>
      <c r="AI64">
        <v>64084</v>
      </c>
      <c r="AJ64">
        <v>64287</v>
      </c>
      <c r="AK64">
        <v>64786</v>
      </c>
      <c r="AL64">
        <v>65187</v>
      </c>
      <c r="AM64">
        <v>65596</v>
      </c>
      <c r="AN64">
        <v>65914</v>
      </c>
      <c r="AO64">
        <v>66337</v>
      </c>
      <c r="AP64">
        <v>66907</v>
      </c>
      <c r="AQ64">
        <v>67103</v>
      </c>
      <c r="AR64">
        <v>67217</v>
      </c>
      <c r="AS64">
        <v>67332</v>
      </c>
      <c r="AT64">
        <v>67466</v>
      </c>
      <c r="AU64">
        <v>67592</v>
      </c>
      <c r="AV64">
        <v>67666</v>
      </c>
      <c r="AW64">
        <v>67707</v>
      </c>
      <c r="AX64">
        <v>67743</v>
      </c>
      <c r="AY64">
        <v>67760</v>
      </c>
      <c r="AZ64">
        <v>67773</v>
      </c>
      <c r="BA64">
        <v>67781</v>
      </c>
      <c r="BB64">
        <v>67786</v>
      </c>
      <c r="BC64">
        <v>67790</v>
      </c>
      <c r="BD64">
        <v>67794</v>
      </c>
      <c r="BE64">
        <v>67798</v>
      </c>
      <c r="BF64">
        <v>67799</v>
      </c>
      <c r="BG64">
        <v>67800</v>
      </c>
      <c r="BH64">
        <v>67800</v>
      </c>
      <c r="BI64">
        <v>67800</v>
      </c>
      <c r="BJ64">
        <v>67800</v>
      </c>
      <c r="BK64">
        <v>67800</v>
      </c>
      <c r="BL64">
        <v>67800</v>
      </c>
      <c r="BM64">
        <v>67801</v>
      </c>
      <c r="BN64">
        <v>67801</v>
      </c>
      <c r="BO64">
        <v>67801</v>
      </c>
      <c r="BP64">
        <v>67801</v>
      </c>
      <c r="BQ64">
        <v>67801</v>
      </c>
      <c r="BR64">
        <v>67801</v>
      </c>
      <c r="BS64">
        <v>67801</v>
      </c>
    </row>
    <row r="65" spans="1:71" x14ac:dyDescent="0.25">
      <c r="A65" s="1" t="s">
        <v>116</v>
      </c>
      <c r="B65" s="1" t="s">
        <v>109</v>
      </c>
      <c r="C65">
        <v>4</v>
      </c>
      <c r="D65">
        <v>9</v>
      </c>
      <c r="E65">
        <v>24</v>
      </c>
      <c r="F65">
        <v>43</v>
      </c>
      <c r="G65">
        <v>69</v>
      </c>
      <c r="H65">
        <v>100</v>
      </c>
      <c r="I65">
        <v>143</v>
      </c>
      <c r="J65">
        <v>221</v>
      </c>
      <c r="K65">
        <v>277</v>
      </c>
      <c r="L65">
        <v>332</v>
      </c>
      <c r="M65">
        <v>389</v>
      </c>
      <c r="N65">
        <v>463</v>
      </c>
      <c r="O65">
        <v>521</v>
      </c>
      <c r="P65">
        <v>593</v>
      </c>
      <c r="Q65">
        <v>661</v>
      </c>
      <c r="R65">
        <v>711</v>
      </c>
      <c r="S65">
        <v>772</v>
      </c>
      <c r="T65">
        <v>803</v>
      </c>
      <c r="U65">
        <v>838</v>
      </c>
      <c r="V65">
        <v>879</v>
      </c>
      <c r="W65">
        <v>912</v>
      </c>
      <c r="X65">
        <v>946</v>
      </c>
      <c r="Y65">
        <v>968</v>
      </c>
      <c r="Z65">
        <v>988</v>
      </c>
      <c r="AA65">
        <v>1001</v>
      </c>
      <c r="AB65">
        <v>1004</v>
      </c>
      <c r="AC65">
        <v>1006</v>
      </c>
      <c r="AD65">
        <v>1007</v>
      </c>
      <c r="AE65">
        <v>1008</v>
      </c>
      <c r="AF65">
        <v>1010</v>
      </c>
      <c r="AG65">
        <v>1011</v>
      </c>
      <c r="AH65">
        <v>1013</v>
      </c>
      <c r="AI65">
        <v>1016</v>
      </c>
      <c r="AJ65">
        <v>1016</v>
      </c>
      <c r="AK65">
        <v>1016</v>
      </c>
      <c r="AL65">
        <v>1016</v>
      </c>
      <c r="AM65">
        <v>1017</v>
      </c>
      <c r="AN65">
        <v>1017</v>
      </c>
      <c r="AO65">
        <v>1018</v>
      </c>
      <c r="AP65">
        <v>1018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</row>
    <row r="66" spans="1:71" x14ac:dyDescent="0.25">
      <c r="A66" s="1" t="s">
        <v>142</v>
      </c>
      <c r="B66" s="1" t="s">
        <v>109</v>
      </c>
      <c r="C66">
        <v>0</v>
      </c>
      <c r="D66">
        <v>0</v>
      </c>
      <c r="E66">
        <v>1</v>
      </c>
      <c r="F66">
        <v>7</v>
      </c>
      <c r="G66">
        <v>7</v>
      </c>
      <c r="H66">
        <v>11</v>
      </c>
      <c r="I66">
        <v>15</v>
      </c>
      <c r="J66">
        <v>16</v>
      </c>
      <c r="K66">
        <v>19</v>
      </c>
      <c r="L66">
        <v>20</v>
      </c>
      <c r="M66">
        <v>23</v>
      </c>
      <c r="N66">
        <v>27</v>
      </c>
      <c r="O66">
        <v>34</v>
      </c>
      <c r="P66">
        <v>35</v>
      </c>
      <c r="Q66">
        <v>42</v>
      </c>
      <c r="R66">
        <v>46</v>
      </c>
      <c r="S66">
        <v>50</v>
      </c>
      <c r="T66">
        <v>52</v>
      </c>
      <c r="U66">
        <v>54</v>
      </c>
      <c r="V66">
        <v>58</v>
      </c>
      <c r="W66">
        <v>58</v>
      </c>
      <c r="X66">
        <v>60</v>
      </c>
      <c r="Y66">
        <v>61</v>
      </c>
      <c r="Z66">
        <v>65</v>
      </c>
      <c r="AA66">
        <v>68</v>
      </c>
      <c r="AB66">
        <v>70</v>
      </c>
      <c r="AC66">
        <v>72</v>
      </c>
      <c r="AD66">
        <v>73</v>
      </c>
      <c r="AE66">
        <v>75</v>
      </c>
      <c r="AF66">
        <v>75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77</v>
      </c>
      <c r="BO66">
        <v>89</v>
      </c>
      <c r="BP66">
        <v>92</v>
      </c>
      <c r="BQ66">
        <v>94</v>
      </c>
      <c r="BR66">
        <v>95</v>
      </c>
      <c r="BS66">
        <v>97</v>
      </c>
    </row>
    <row r="67" spans="1:71" x14ac:dyDescent="0.25">
      <c r="A67" s="1" t="s">
        <v>120</v>
      </c>
      <c r="B67" s="1" t="s">
        <v>109</v>
      </c>
      <c r="C67">
        <v>1</v>
      </c>
      <c r="D67">
        <v>5</v>
      </c>
      <c r="E67">
        <v>9</v>
      </c>
      <c r="F67">
        <v>18</v>
      </c>
      <c r="G67">
        <v>33</v>
      </c>
      <c r="H67">
        <v>47</v>
      </c>
      <c r="I67">
        <v>70</v>
      </c>
      <c r="J67">
        <v>99</v>
      </c>
      <c r="K67">
        <v>129</v>
      </c>
      <c r="L67">
        <v>168</v>
      </c>
      <c r="M67">
        <v>202</v>
      </c>
      <c r="N67">
        <v>236</v>
      </c>
      <c r="O67">
        <v>271</v>
      </c>
      <c r="P67">
        <v>308</v>
      </c>
      <c r="Q67">
        <v>341</v>
      </c>
      <c r="R67">
        <v>373</v>
      </c>
      <c r="S67">
        <v>408</v>
      </c>
      <c r="T67">
        <v>439</v>
      </c>
      <c r="U67">
        <v>468</v>
      </c>
      <c r="V67">
        <v>492</v>
      </c>
      <c r="W67">
        <v>515</v>
      </c>
      <c r="X67">
        <v>543</v>
      </c>
      <c r="Y67">
        <v>570</v>
      </c>
      <c r="Z67">
        <v>593</v>
      </c>
      <c r="AA67">
        <v>604</v>
      </c>
      <c r="AB67">
        <v>617</v>
      </c>
      <c r="AC67">
        <v>626</v>
      </c>
      <c r="AD67">
        <v>629</v>
      </c>
      <c r="AE67">
        <v>631</v>
      </c>
      <c r="AF67">
        <v>631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633</v>
      </c>
      <c r="BL67">
        <v>633</v>
      </c>
      <c r="BM67">
        <v>636</v>
      </c>
      <c r="BN67">
        <v>638</v>
      </c>
      <c r="BO67">
        <v>640</v>
      </c>
      <c r="BP67">
        <v>641</v>
      </c>
      <c r="BQ67">
        <v>641</v>
      </c>
      <c r="BR67">
        <v>644</v>
      </c>
      <c r="BS67">
        <v>645</v>
      </c>
    </row>
    <row r="68" spans="1:71" x14ac:dyDescent="0.25">
      <c r="A68" s="1" t="s">
        <v>118</v>
      </c>
      <c r="B68" s="1" t="s">
        <v>109</v>
      </c>
      <c r="C68">
        <v>2</v>
      </c>
      <c r="D68">
        <v>7</v>
      </c>
      <c r="E68">
        <v>18</v>
      </c>
      <c r="F68">
        <v>18</v>
      </c>
      <c r="G68">
        <v>36</v>
      </c>
      <c r="H68">
        <v>72</v>
      </c>
      <c r="I68">
        <v>109</v>
      </c>
      <c r="J68">
        <v>109</v>
      </c>
      <c r="K68">
        <v>162</v>
      </c>
      <c r="L68">
        <v>240</v>
      </c>
      <c r="M68">
        <v>286</v>
      </c>
      <c r="N68">
        <v>333</v>
      </c>
      <c r="O68">
        <v>391</v>
      </c>
      <c r="P68">
        <v>476</v>
      </c>
      <c r="Q68">
        <v>548</v>
      </c>
      <c r="R68">
        <v>600</v>
      </c>
      <c r="S68">
        <v>661</v>
      </c>
      <c r="T68">
        <v>698</v>
      </c>
      <c r="U68">
        <v>740</v>
      </c>
      <c r="V68">
        <v>771</v>
      </c>
      <c r="W68">
        <v>804</v>
      </c>
      <c r="X68">
        <v>844</v>
      </c>
      <c r="Y68">
        <v>872</v>
      </c>
      <c r="Z68">
        <v>900</v>
      </c>
      <c r="AA68">
        <v>913</v>
      </c>
      <c r="AB68">
        <v>925</v>
      </c>
      <c r="AC68">
        <v>930</v>
      </c>
      <c r="AD68">
        <v>933</v>
      </c>
      <c r="AE68">
        <v>934</v>
      </c>
      <c r="AF68">
        <v>934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935</v>
      </c>
      <c r="AO68">
        <v>935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936</v>
      </c>
      <c r="BL68">
        <v>936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937</v>
      </c>
      <c r="BS68">
        <v>937</v>
      </c>
    </row>
    <row r="69" spans="1:71" x14ac:dyDescent="0.25">
      <c r="A69" s="1" t="s">
        <v>139</v>
      </c>
      <c r="B69" s="1" t="s">
        <v>109</v>
      </c>
      <c r="C69">
        <v>0</v>
      </c>
      <c r="D69">
        <v>1</v>
      </c>
      <c r="E69">
        <v>3</v>
      </c>
      <c r="F69">
        <v>4</v>
      </c>
      <c r="G69">
        <v>4</v>
      </c>
      <c r="H69">
        <v>6</v>
      </c>
      <c r="I69">
        <v>8</v>
      </c>
      <c r="J69">
        <v>9</v>
      </c>
      <c r="K69">
        <v>14</v>
      </c>
      <c r="L69">
        <v>14</v>
      </c>
      <c r="M69">
        <v>17</v>
      </c>
      <c r="N69">
        <v>23</v>
      </c>
      <c r="O69">
        <v>31</v>
      </c>
      <c r="P69">
        <v>42</v>
      </c>
      <c r="Q69">
        <v>54</v>
      </c>
      <c r="R69">
        <v>59</v>
      </c>
      <c r="S69">
        <v>65</v>
      </c>
      <c r="T69">
        <v>69</v>
      </c>
      <c r="U69">
        <v>78</v>
      </c>
      <c r="V69">
        <v>80</v>
      </c>
      <c r="W69">
        <v>81</v>
      </c>
      <c r="X69">
        <v>83</v>
      </c>
      <c r="Y69">
        <v>84</v>
      </c>
      <c r="Z69">
        <v>86</v>
      </c>
      <c r="AA69">
        <v>88</v>
      </c>
      <c r="AB69">
        <v>89</v>
      </c>
      <c r="AC69">
        <v>89</v>
      </c>
      <c r="AD69">
        <v>89</v>
      </c>
      <c r="AE69">
        <v>90</v>
      </c>
      <c r="AF69">
        <v>91</v>
      </c>
      <c r="AG69">
        <v>91</v>
      </c>
      <c r="AH69">
        <v>91</v>
      </c>
      <c r="AI69">
        <v>91</v>
      </c>
      <c r="AJ69">
        <v>93</v>
      </c>
      <c r="AK69">
        <v>93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94</v>
      </c>
      <c r="BO69">
        <v>95</v>
      </c>
      <c r="BP69">
        <v>95</v>
      </c>
      <c r="BQ69">
        <v>97</v>
      </c>
      <c r="BR69">
        <v>98</v>
      </c>
      <c r="BS69">
        <v>98</v>
      </c>
    </row>
    <row r="70" spans="1:71" x14ac:dyDescent="0.25">
      <c r="A70" s="1" t="s">
        <v>138</v>
      </c>
      <c r="B70" s="1" t="s">
        <v>109</v>
      </c>
      <c r="C70">
        <v>2</v>
      </c>
      <c r="D70">
        <v>3</v>
      </c>
      <c r="E70">
        <v>4</v>
      </c>
      <c r="F70">
        <v>17</v>
      </c>
      <c r="G70">
        <v>21</v>
      </c>
      <c r="H70">
        <v>27</v>
      </c>
      <c r="I70">
        <v>34</v>
      </c>
      <c r="J70">
        <v>39</v>
      </c>
      <c r="K70">
        <v>41</v>
      </c>
      <c r="L70">
        <v>48</v>
      </c>
      <c r="M70">
        <v>64</v>
      </c>
      <c r="N70">
        <v>70</v>
      </c>
      <c r="O70">
        <v>74</v>
      </c>
      <c r="P70">
        <v>81</v>
      </c>
      <c r="Q70">
        <v>89</v>
      </c>
      <c r="R70">
        <v>94</v>
      </c>
      <c r="S70">
        <v>99</v>
      </c>
      <c r="T70">
        <v>105</v>
      </c>
      <c r="U70">
        <v>107</v>
      </c>
      <c r="V70">
        <v>108</v>
      </c>
      <c r="W70">
        <v>111</v>
      </c>
      <c r="X70">
        <v>116</v>
      </c>
      <c r="Y70">
        <v>117</v>
      </c>
      <c r="Z70">
        <v>119</v>
      </c>
      <c r="AA70">
        <v>119</v>
      </c>
      <c r="AB70">
        <v>121</v>
      </c>
      <c r="AC70">
        <v>121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122</v>
      </c>
      <c r="AQ70">
        <v>122</v>
      </c>
      <c r="AR70">
        <v>125</v>
      </c>
      <c r="AS70">
        <v>125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126</v>
      </c>
      <c r="BJ70">
        <v>126</v>
      </c>
      <c r="BK70">
        <v>127</v>
      </c>
      <c r="BL70">
        <v>127</v>
      </c>
      <c r="BM70">
        <v>127</v>
      </c>
      <c r="BN70">
        <v>127</v>
      </c>
      <c r="BO70">
        <v>128</v>
      </c>
      <c r="BP70">
        <v>128</v>
      </c>
      <c r="BQ70">
        <v>132</v>
      </c>
      <c r="BR70">
        <v>134</v>
      </c>
      <c r="BS70">
        <v>136</v>
      </c>
    </row>
    <row r="71" spans="1:71" x14ac:dyDescent="0.25">
      <c r="A71" s="1" t="s">
        <v>148</v>
      </c>
      <c r="B71" s="1" t="s">
        <v>109</v>
      </c>
      <c r="C71">
        <v>1</v>
      </c>
      <c r="D71">
        <v>2</v>
      </c>
      <c r="E71">
        <v>2</v>
      </c>
      <c r="F71">
        <v>2</v>
      </c>
      <c r="G71">
        <v>5</v>
      </c>
      <c r="H71">
        <v>6</v>
      </c>
      <c r="I71">
        <v>7</v>
      </c>
      <c r="J71">
        <v>7</v>
      </c>
      <c r="K71">
        <v>7</v>
      </c>
      <c r="L71">
        <v>7</v>
      </c>
      <c r="M71">
        <v>7</v>
      </c>
      <c r="N71">
        <v>8</v>
      </c>
      <c r="O71">
        <v>8</v>
      </c>
      <c r="P71">
        <v>10</v>
      </c>
      <c r="Q71">
        <v>10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11</v>
      </c>
      <c r="BF71">
        <v>12</v>
      </c>
      <c r="BG71">
        <v>15</v>
      </c>
      <c r="BH71">
        <v>17</v>
      </c>
      <c r="BI71">
        <v>17</v>
      </c>
      <c r="BJ71">
        <v>18</v>
      </c>
      <c r="BK71">
        <v>24</v>
      </c>
      <c r="BL71">
        <v>24</v>
      </c>
      <c r="BM71">
        <v>25</v>
      </c>
      <c r="BN71">
        <v>30</v>
      </c>
      <c r="BO71">
        <v>31</v>
      </c>
      <c r="BP71">
        <v>33</v>
      </c>
      <c r="BQ71">
        <v>37</v>
      </c>
      <c r="BR71">
        <v>37</v>
      </c>
      <c r="BS71">
        <v>38</v>
      </c>
    </row>
    <row r="72" spans="1:71" x14ac:dyDescent="0.25">
      <c r="A72" s="1" t="s">
        <v>143</v>
      </c>
      <c r="B72" s="1" t="s">
        <v>109</v>
      </c>
      <c r="C72">
        <v>1</v>
      </c>
      <c r="D72">
        <v>1</v>
      </c>
      <c r="E72">
        <v>2</v>
      </c>
      <c r="F72">
        <v>3</v>
      </c>
      <c r="G72">
        <v>4</v>
      </c>
      <c r="H72">
        <v>7</v>
      </c>
      <c r="I72">
        <v>11</v>
      </c>
      <c r="J72">
        <v>12</v>
      </c>
      <c r="K72">
        <v>17</v>
      </c>
      <c r="L72">
        <v>21</v>
      </c>
      <c r="M72">
        <v>26</v>
      </c>
      <c r="N72">
        <v>28</v>
      </c>
      <c r="O72">
        <v>31</v>
      </c>
      <c r="P72">
        <v>34</v>
      </c>
      <c r="Q72">
        <v>34</v>
      </c>
      <c r="R72">
        <v>40</v>
      </c>
      <c r="S72">
        <v>43</v>
      </c>
      <c r="T72">
        <v>45</v>
      </c>
      <c r="U72">
        <v>45</v>
      </c>
      <c r="V72">
        <v>49</v>
      </c>
      <c r="W72">
        <v>53</v>
      </c>
      <c r="X72">
        <v>58</v>
      </c>
      <c r="Y72">
        <v>64</v>
      </c>
      <c r="Z72">
        <v>67</v>
      </c>
      <c r="AA72">
        <v>70</v>
      </c>
      <c r="AB72">
        <v>70</v>
      </c>
      <c r="AC72">
        <v>70</v>
      </c>
      <c r="AD72">
        <v>70</v>
      </c>
      <c r="AE72">
        <v>71</v>
      </c>
      <c r="AF72">
        <v>71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72</v>
      </c>
      <c r="AN72">
        <v>72</v>
      </c>
      <c r="AO72">
        <v>73</v>
      </c>
      <c r="AP72">
        <v>73</v>
      </c>
      <c r="AQ72">
        <v>74</v>
      </c>
      <c r="AR72">
        <v>74</v>
      </c>
      <c r="AS72">
        <v>75</v>
      </c>
      <c r="AT72">
        <v>75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</row>
    <row r="73" spans="1:71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1</v>
      </c>
      <c r="G73">
        <v>1</v>
      </c>
      <c r="H73">
        <v>6</v>
      </c>
      <c r="I73">
        <v>6</v>
      </c>
      <c r="J73">
        <v>6</v>
      </c>
      <c r="K73">
        <v>8</v>
      </c>
      <c r="L73">
        <v>8</v>
      </c>
      <c r="M73">
        <v>9</v>
      </c>
      <c r="N73">
        <v>11</v>
      </c>
      <c r="O73">
        <v>13</v>
      </c>
      <c r="P73">
        <v>15</v>
      </c>
      <c r="Q73">
        <v>17</v>
      </c>
      <c r="R73">
        <v>18</v>
      </c>
      <c r="S73">
        <v>18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</row>
    <row r="74" spans="1:71" x14ac:dyDescent="0.25">
      <c r="A74" s="1" t="s">
        <v>130</v>
      </c>
      <c r="B74" s="1" t="s">
        <v>109</v>
      </c>
      <c r="C74">
        <v>0</v>
      </c>
      <c r="D74">
        <v>3</v>
      </c>
      <c r="E74">
        <v>5</v>
      </c>
      <c r="F74">
        <v>15</v>
      </c>
      <c r="G74">
        <v>22</v>
      </c>
      <c r="H74">
        <v>35</v>
      </c>
      <c r="I74">
        <v>46</v>
      </c>
      <c r="J74">
        <v>56</v>
      </c>
      <c r="K74">
        <v>63</v>
      </c>
      <c r="L74">
        <v>87</v>
      </c>
      <c r="M74">
        <v>101</v>
      </c>
      <c r="N74">
        <v>116</v>
      </c>
      <c r="O74">
        <v>128</v>
      </c>
      <c r="P74">
        <v>142</v>
      </c>
      <c r="Q74">
        <v>165</v>
      </c>
      <c r="R74">
        <v>173</v>
      </c>
      <c r="S74">
        <v>184</v>
      </c>
      <c r="T74">
        <v>195</v>
      </c>
      <c r="U74">
        <v>208</v>
      </c>
      <c r="V74">
        <v>213</v>
      </c>
      <c r="W74">
        <v>219</v>
      </c>
      <c r="X74">
        <v>225</v>
      </c>
      <c r="Y74">
        <v>229</v>
      </c>
      <c r="Z74">
        <v>230</v>
      </c>
      <c r="AA74">
        <v>232</v>
      </c>
      <c r="AB74">
        <v>236</v>
      </c>
      <c r="AC74">
        <v>240</v>
      </c>
      <c r="AD74">
        <v>240</v>
      </c>
      <c r="AE74">
        <v>242</v>
      </c>
      <c r="AF74">
        <v>245</v>
      </c>
      <c r="AG74">
        <v>245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246</v>
      </c>
      <c r="BG74">
        <v>246</v>
      </c>
      <c r="BH74">
        <v>246</v>
      </c>
      <c r="BI74">
        <v>247</v>
      </c>
      <c r="BJ74">
        <v>248</v>
      </c>
      <c r="BK74">
        <v>248</v>
      </c>
      <c r="BL74">
        <v>248</v>
      </c>
      <c r="BM74">
        <v>249</v>
      </c>
      <c r="BN74">
        <v>250</v>
      </c>
      <c r="BO74">
        <v>253</v>
      </c>
      <c r="BP74">
        <v>253</v>
      </c>
      <c r="BQ74">
        <v>253</v>
      </c>
      <c r="BR74">
        <v>253</v>
      </c>
      <c r="BS74">
        <v>253</v>
      </c>
    </row>
    <row r="75" spans="1:71" x14ac:dyDescent="0.25">
      <c r="A75" s="1" t="s">
        <v>119</v>
      </c>
      <c r="B75" s="1" t="s">
        <v>109</v>
      </c>
      <c r="C75">
        <v>2</v>
      </c>
      <c r="D75">
        <v>6</v>
      </c>
      <c r="E75">
        <v>15</v>
      </c>
      <c r="F75">
        <v>27</v>
      </c>
      <c r="G75">
        <v>46</v>
      </c>
      <c r="H75">
        <v>75</v>
      </c>
      <c r="I75">
        <v>95</v>
      </c>
      <c r="J75">
        <v>130</v>
      </c>
      <c r="K75">
        <v>158</v>
      </c>
      <c r="L75">
        <v>184</v>
      </c>
      <c r="M75">
        <v>206</v>
      </c>
      <c r="N75">
        <v>230</v>
      </c>
      <c r="O75">
        <v>259</v>
      </c>
      <c r="P75">
        <v>275</v>
      </c>
      <c r="Q75">
        <v>307</v>
      </c>
      <c r="R75">
        <v>347</v>
      </c>
      <c r="S75">
        <v>386</v>
      </c>
      <c r="T75">
        <v>416</v>
      </c>
      <c r="U75">
        <v>444</v>
      </c>
      <c r="V75">
        <v>466</v>
      </c>
      <c r="W75">
        <v>487</v>
      </c>
      <c r="X75">
        <v>497</v>
      </c>
      <c r="Y75">
        <v>509</v>
      </c>
      <c r="Z75">
        <v>523</v>
      </c>
      <c r="AA75">
        <v>532</v>
      </c>
      <c r="AB75">
        <v>537</v>
      </c>
      <c r="AC75">
        <v>541</v>
      </c>
      <c r="AD75">
        <v>543</v>
      </c>
      <c r="AE75">
        <v>544</v>
      </c>
      <c r="AF75">
        <v>546</v>
      </c>
      <c r="AG75">
        <v>749</v>
      </c>
      <c r="AH75">
        <v>750</v>
      </c>
      <c r="AI75">
        <v>754</v>
      </c>
      <c r="AJ75">
        <v>755</v>
      </c>
      <c r="AK75">
        <v>756</v>
      </c>
      <c r="AL75">
        <v>756</v>
      </c>
      <c r="AM75">
        <v>756</v>
      </c>
      <c r="AN75">
        <v>756</v>
      </c>
      <c r="AO75">
        <v>756</v>
      </c>
      <c r="AP75">
        <v>758</v>
      </c>
      <c r="AQ75">
        <v>758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760</v>
      </c>
      <c r="BA75">
        <v>760</v>
      </c>
      <c r="BB75">
        <v>760</v>
      </c>
      <c r="BC75">
        <v>760</v>
      </c>
      <c r="BD75">
        <v>760</v>
      </c>
      <c r="BE75">
        <v>760</v>
      </c>
      <c r="BF75">
        <v>761</v>
      </c>
      <c r="BG75">
        <v>761</v>
      </c>
      <c r="BH75">
        <v>761</v>
      </c>
      <c r="BI75">
        <v>762</v>
      </c>
      <c r="BJ75">
        <v>764</v>
      </c>
      <c r="BK75">
        <v>767</v>
      </c>
      <c r="BL75">
        <v>768</v>
      </c>
      <c r="BM75">
        <v>768</v>
      </c>
      <c r="BN75">
        <v>769</v>
      </c>
      <c r="BO75">
        <v>771</v>
      </c>
      <c r="BP75">
        <v>772</v>
      </c>
      <c r="BQ75">
        <v>772</v>
      </c>
      <c r="BR75">
        <v>772</v>
      </c>
      <c r="BS75">
        <v>773</v>
      </c>
    </row>
    <row r="76" spans="1:71" x14ac:dyDescent="0.25">
      <c r="A76" s="1" t="s">
        <v>126</v>
      </c>
      <c r="B76" s="1" t="s">
        <v>109</v>
      </c>
      <c r="C76">
        <v>9</v>
      </c>
      <c r="D76">
        <v>16</v>
      </c>
      <c r="E76">
        <v>20</v>
      </c>
      <c r="F76">
        <v>33</v>
      </c>
      <c r="G76">
        <v>40</v>
      </c>
      <c r="H76">
        <v>53</v>
      </c>
      <c r="I76">
        <v>66</v>
      </c>
      <c r="J76">
        <v>96</v>
      </c>
      <c r="K76">
        <v>112</v>
      </c>
      <c r="L76">
        <v>135</v>
      </c>
      <c r="M76">
        <v>169</v>
      </c>
      <c r="N76">
        <v>182</v>
      </c>
      <c r="O76">
        <v>203</v>
      </c>
      <c r="P76">
        <v>219</v>
      </c>
      <c r="Q76">
        <v>243</v>
      </c>
      <c r="R76">
        <v>257</v>
      </c>
      <c r="S76">
        <v>277</v>
      </c>
      <c r="T76">
        <v>286</v>
      </c>
      <c r="U76">
        <v>293</v>
      </c>
      <c r="V76">
        <v>299</v>
      </c>
      <c r="W76">
        <v>303</v>
      </c>
      <c r="X76">
        <v>311</v>
      </c>
      <c r="Y76">
        <v>315</v>
      </c>
      <c r="Z76">
        <v>318</v>
      </c>
      <c r="AA76">
        <v>326</v>
      </c>
      <c r="AB76">
        <v>328</v>
      </c>
      <c r="AC76">
        <v>333</v>
      </c>
      <c r="AD76">
        <v>333</v>
      </c>
      <c r="AE76">
        <v>333</v>
      </c>
      <c r="AF76">
        <v>334</v>
      </c>
      <c r="AG76">
        <v>334</v>
      </c>
      <c r="AH76">
        <v>335</v>
      </c>
      <c r="AI76">
        <v>335</v>
      </c>
      <c r="AJ76">
        <v>335</v>
      </c>
      <c r="AK76">
        <v>336</v>
      </c>
      <c r="AL76">
        <v>337</v>
      </c>
      <c r="AM76">
        <v>337</v>
      </c>
      <c r="AN76">
        <v>337</v>
      </c>
      <c r="AO76">
        <v>337</v>
      </c>
      <c r="AP76">
        <v>337</v>
      </c>
      <c r="AQ76">
        <v>337</v>
      </c>
      <c r="AR76">
        <v>338</v>
      </c>
      <c r="AS76">
        <v>338</v>
      </c>
      <c r="AT76">
        <v>339</v>
      </c>
      <c r="AU76">
        <v>342</v>
      </c>
      <c r="AV76">
        <v>342</v>
      </c>
      <c r="AW76">
        <v>342</v>
      </c>
      <c r="AX76">
        <v>342</v>
      </c>
      <c r="AY76">
        <v>344</v>
      </c>
      <c r="AZ76">
        <v>344</v>
      </c>
      <c r="BA76">
        <v>344</v>
      </c>
      <c r="BB76">
        <v>346</v>
      </c>
      <c r="BC76">
        <v>353</v>
      </c>
      <c r="BD76">
        <v>353</v>
      </c>
      <c r="BE76">
        <v>355</v>
      </c>
      <c r="BF76">
        <v>358</v>
      </c>
      <c r="BG76">
        <v>361</v>
      </c>
      <c r="BH76">
        <v>363</v>
      </c>
      <c r="BI76">
        <v>371</v>
      </c>
      <c r="BJ76">
        <v>380</v>
      </c>
      <c r="BK76">
        <v>404</v>
      </c>
      <c r="BL76">
        <v>404</v>
      </c>
      <c r="BM76">
        <v>414</v>
      </c>
      <c r="BN76">
        <v>433</v>
      </c>
      <c r="BO76">
        <v>451</v>
      </c>
      <c r="BP76">
        <v>468</v>
      </c>
      <c r="BQ76">
        <v>485</v>
      </c>
      <c r="BR76">
        <v>492</v>
      </c>
      <c r="BS76">
        <v>498</v>
      </c>
    </row>
    <row r="77" spans="1:71" x14ac:dyDescent="0.25">
      <c r="A77" s="1" t="s">
        <v>135</v>
      </c>
      <c r="B77" s="1" t="s">
        <v>109</v>
      </c>
      <c r="C77">
        <v>1</v>
      </c>
      <c r="D77">
        <v>1</v>
      </c>
      <c r="E77">
        <v>1</v>
      </c>
      <c r="F77">
        <v>6</v>
      </c>
      <c r="G77">
        <v>9</v>
      </c>
      <c r="H77">
        <v>13</v>
      </c>
      <c r="I77">
        <v>27</v>
      </c>
      <c r="J77">
        <v>27</v>
      </c>
      <c r="K77">
        <v>35</v>
      </c>
      <c r="L77">
        <v>39</v>
      </c>
      <c r="M77">
        <v>47</v>
      </c>
      <c r="N77">
        <v>66</v>
      </c>
      <c r="O77">
        <v>74</v>
      </c>
      <c r="P77">
        <v>81</v>
      </c>
      <c r="Q77">
        <v>81</v>
      </c>
      <c r="R77">
        <v>96</v>
      </c>
      <c r="S77">
        <v>104</v>
      </c>
      <c r="T77">
        <v>115</v>
      </c>
      <c r="U77">
        <v>119</v>
      </c>
      <c r="V77">
        <v>119</v>
      </c>
      <c r="W77">
        <v>124</v>
      </c>
      <c r="X77">
        <v>126</v>
      </c>
      <c r="Y77">
        <v>126</v>
      </c>
      <c r="Z77">
        <v>127</v>
      </c>
      <c r="AA77">
        <v>128</v>
      </c>
      <c r="AB77">
        <v>129</v>
      </c>
      <c r="AC77">
        <v>130</v>
      </c>
      <c r="AD77">
        <v>131</v>
      </c>
      <c r="AE77">
        <v>131</v>
      </c>
      <c r="AF77">
        <v>132</v>
      </c>
      <c r="AG77">
        <v>132</v>
      </c>
      <c r="AH77">
        <v>132</v>
      </c>
      <c r="AI77">
        <v>132</v>
      </c>
      <c r="AJ77">
        <v>133</v>
      </c>
      <c r="AK77">
        <v>133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134</v>
      </c>
      <c r="BM77">
        <v>134</v>
      </c>
      <c r="BN77">
        <v>134</v>
      </c>
      <c r="BO77">
        <v>135</v>
      </c>
      <c r="BP77">
        <v>135</v>
      </c>
      <c r="BQ77">
        <v>135</v>
      </c>
      <c r="BR77">
        <v>136</v>
      </c>
      <c r="BS77">
        <v>136</v>
      </c>
    </row>
    <row r="78" spans="1:71" x14ac:dyDescent="0.25">
      <c r="A78" s="1" t="s">
        <v>122</v>
      </c>
      <c r="B78" s="1" t="s">
        <v>109</v>
      </c>
      <c r="C78">
        <v>5</v>
      </c>
      <c r="D78">
        <v>8</v>
      </c>
      <c r="E78">
        <v>15</v>
      </c>
      <c r="F78">
        <v>28</v>
      </c>
      <c r="G78">
        <v>44</v>
      </c>
      <c r="H78">
        <v>69</v>
      </c>
      <c r="I78">
        <v>90</v>
      </c>
      <c r="J78">
        <v>108</v>
      </c>
      <c r="K78">
        <v>142</v>
      </c>
      <c r="L78">
        <v>177</v>
      </c>
      <c r="M78">
        <v>207</v>
      </c>
      <c r="N78">
        <v>231</v>
      </c>
      <c r="O78">
        <v>254</v>
      </c>
      <c r="P78">
        <v>282</v>
      </c>
      <c r="Q78">
        <v>301</v>
      </c>
      <c r="R78">
        <v>321</v>
      </c>
      <c r="S78">
        <v>344</v>
      </c>
      <c r="T78">
        <v>364</v>
      </c>
      <c r="U78">
        <v>386</v>
      </c>
      <c r="V78">
        <v>405</v>
      </c>
      <c r="W78">
        <v>417</v>
      </c>
      <c r="X78">
        <v>436</v>
      </c>
      <c r="Y78">
        <v>451</v>
      </c>
      <c r="Z78">
        <v>463</v>
      </c>
      <c r="AA78">
        <v>470</v>
      </c>
      <c r="AB78">
        <v>481</v>
      </c>
      <c r="AC78">
        <v>495</v>
      </c>
      <c r="AD78">
        <v>508</v>
      </c>
      <c r="AE78">
        <v>514</v>
      </c>
      <c r="AF78">
        <v>520</v>
      </c>
      <c r="AG78">
        <v>525</v>
      </c>
      <c r="AH78">
        <v>526</v>
      </c>
      <c r="AI78">
        <v>526</v>
      </c>
      <c r="AJ78">
        <v>527</v>
      </c>
      <c r="AK78">
        <v>529</v>
      </c>
      <c r="AL78">
        <v>531</v>
      </c>
      <c r="AM78">
        <v>534</v>
      </c>
      <c r="AN78">
        <v>538</v>
      </c>
      <c r="AO78">
        <v>538</v>
      </c>
      <c r="AP78">
        <v>538</v>
      </c>
      <c r="AQ78">
        <v>538</v>
      </c>
      <c r="AR78">
        <v>538</v>
      </c>
      <c r="AS78">
        <v>538</v>
      </c>
      <c r="AT78">
        <v>539</v>
      </c>
      <c r="AU78">
        <v>539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540</v>
      </c>
      <c r="BG78">
        <v>540</v>
      </c>
      <c r="BH78">
        <v>540</v>
      </c>
      <c r="BI78">
        <v>541</v>
      </c>
      <c r="BJ78">
        <v>542</v>
      </c>
      <c r="BK78">
        <v>543</v>
      </c>
      <c r="BL78">
        <v>543</v>
      </c>
      <c r="BM78">
        <v>545</v>
      </c>
      <c r="BN78">
        <v>547</v>
      </c>
      <c r="BO78">
        <v>547</v>
      </c>
      <c r="BP78">
        <v>548</v>
      </c>
      <c r="BQ78">
        <v>548</v>
      </c>
      <c r="BR78">
        <v>550</v>
      </c>
      <c r="BS78">
        <v>550</v>
      </c>
    </row>
    <row r="79" spans="1:71" x14ac:dyDescent="0.25">
      <c r="A79" s="1" t="s">
        <v>134</v>
      </c>
      <c r="B79" s="1" t="s">
        <v>109</v>
      </c>
      <c r="C79">
        <v>4</v>
      </c>
      <c r="D79">
        <v>4</v>
      </c>
      <c r="E79">
        <v>8</v>
      </c>
      <c r="F79">
        <v>10</v>
      </c>
      <c r="G79">
        <v>14</v>
      </c>
      <c r="H79">
        <v>23</v>
      </c>
      <c r="I79">
        <v>24</v>
      </c>
      <c r="J79">
        <v>27</v>
      </c>
      <c r="K79">
        <v>31</v>
      </c>
      <c r="L79">
        <v>32</v>
      </c>
      <c r="M79">
        <v>41</v>
      </c>
      <c r="N79">
        <v>48</v>
      </c>
      <c r="O79">
        <v>60</v>
      </c>
      <c r="P79">
        <v>67</v>
      </c>
      <c r="Q79">
        <v>69</v>
      </c>
      <c r="R79">
        <v>79</v>
      </c>
      <c r="S79">
        <v>81</v>
      </c>
      <c r="T79">
        <v>88</v>
      </c>
      <c r="U79">
        <v>91</v>
      </c>
      <c r="V79">
        <v>95</v>
      </c>
      <c r="W79">
        <v>106</v>
      </c>
      <c r="X79">
        <v>112</v>
      </c>
      <c r="Y79">
        <v>119</v>
      </c>
      <c r="Z79">
        <v>120</v>
      </c>
      <c r="AA79">
        <v>122</v>
      </c>
      <c r="AB79">
        <v>124</v>
      </c>
      <c r="AC79">
        <v>125</v>
      </c>
      <c r="AD79">
        <v>128</v>
      </c>
      <c r="AE79">
        <v>130</v>
      </c>
      <c r="AF79">
        <v>131</v>
      </c>
      <c r="AG79">
        <v>132</v>
      </c>
      <c r="AH79">
        <v>135</v>
      </c>
      <c r="AI79">
        <v>135</v>
      </c>
      <c r="AJ79">
        <v>135</v>
      </c>
      <c r="AK79">
        <v>135</v>
      </c>
      <c r="AL79">
        <v>135</v>
      </c>
      <c r="AM79">
        <v>136</v>
      </c>
      <c r="AN79">
        <v>136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137</v>
      </c>
      <c r="BI79">
        <v>137</v>
      </c>
      <c r="BJ79">
        <v>137</v>
      </c>
      <c r="BK79">
        <v>137</v>
      </c>
      <c r="BL79">
        <v>141</v>
      </c>
      <c r="BM79">
        <v>145</v>
      </c>
      <c r="BN79">
        <v>145</v>
      </c>
      <c r="BO79">
        <v>151</v>
      </c>
      <c r="BP79">
        <v>155</v>
      </c>
      <c r="BQ79">
        <v>161</v>
      </c>
      <c r="BR79">
        <v>166</v>
      </c>
      <c r="BS79">
        <v>174</v>
      </c>
    </row>
    <row r="80" spans="1:71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</row>
    <row r="81" spans="1:71" x14ac:dyDescent="0.25">
      <c r="A81" s="1" t="s">
        <v>141</v>
      </c>
      <c r="B81" s="1" t="s">
        <v>109</v>
      </c>
      <c r="C81">
        <v>0</v>
      </c>
      <c r="D81">
        <v>2</v>
      </c>
      <c r="E81">
        <v>2</v>
      </c>
      <c r="F81">
        <v>3</v>
      </c>
      <c r="G81">
        <v>4</v>
      </c>
      <c r="H81">
        <v>5</v>
      </c>
      <c r="I81">
        <v>10</v>
      </c>
      <c r="J81">
        <v>13</v>
      </c>
      <c r="K81">
        <v>14</v>
      </c>
      <c r="L81">
        <v>17</v>
      </c>
      <c r="M81">
        <v>18</v>
      </c>
      <c r="N81">
        <v>21</v>
      </c>
      <c r="O81">
        <v>24</v>
      </c>
      <c r="P81">
        <v>29</v>
      </c>
      <c r="Q81">
        <v>32</v>
      </c>
      <c r="R81">
        <v>36</v>
      </c>
      <c r="S81">
        <v>39</v>
      </c>
      <c r="T81">
        <v>42</v>
      </c>
      <c r="U81">
        <v>45</v>
      </c>
      <c r="V81">
        <v>49</v>
      </c>
      <c r="W81">
        <v>55</v>
      </c>
      <c r="X81">
        <v>59</v>
      </c>
      <c r="Y81">
        <v>63</v>
      </c>
      <c r="Z81">
        <v>65</v>
      </c>
      <c r="AA81">
        <v>70</v>
      </c>
      <c r="AB81">
        <v>71</v>
      </c>
      <c r="AC81">
        <v>75</v>
      </c>
      <c r="AD81">
        <v>76</v>
      </c>
      <c r="AE81">
        <v>76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</row>
    <row r="82" spans="1:71" x14ac:dyDescent="0.25">
      <c r="A82" s="1" t="s">
        <v>131</v>
      </c>
      <c r="B82" s="1" t="s">
        <v>109</v>
      </c>
      <c r="C82">
        <v>1</v>
      </c>
      <c r="D82">
        <v>2</v>
      </c>
      <c r="E82">
        <v>5</v>
      </c>
      <c r="F82">
        <v>11</v>
      </c>
      <c r="G82">
        <v>16</v>
      </c>
      <c r="H82">
        <v>26</v>
      </c>
      <c r="I82">
        <v>44</v>
      </c>
      <c r="J82">
        <v>55</v>
      </c>
      <c r="K82">
        <v>70</v>
      </c>
      <c r="L82">
        <v>83</v>
      </c>
      <c r="M82">
        <v>93</v>
      </c>
      <c r="N82">
        <v>105</v>
      </c>
      <c r="O82">
        <v>117</v>
      </c>
      <c r="P82">
        <v>122</v>
      </c>
      <c r="Q82">
        <v>128</v>
      </c>
      <c r="R82">
        <v>133</v>
      </c>
      <c r="S82">
        <v>138</v>
      </c>
      <c r="T82">
        <v>138</v>
      </c>
      <c r="U82">
        <v>141</v>
      </c>
      <c r="V82">
        <v>149</v>
      </c>
      <c r="W82">
        <v>153</v>
      </c>
      <c r="X82">
        <v>154</v>
      </c>
      <c r="Y82">
        <v>156</v>
      </c>
      <c r="Z82">
        <v>162</v>
      </c>
      <c r="AA82">
        <v>168</v>
      </c>
      <c r="AB82">
        <v>171</v>
      </c>
      <c r="AC82">
        <v>171</v>
      </c>
      <c r="AD82">
        <v>172</v>
      </c>
      <c r="AE82">
        <v>172</v>
      </c>
      <c r="AF82">
        <v>174</v>
      </c>
      <c r="AG82">
        <v>174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176</v>
      </c>
      <c r="BF82">
        <v>176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178</v>
      </c>
      <c r="BP82">
        <v>180</v>
      </c>
      <c r="BQ82">
        <v>180</v>
      </c>
      <c r="BR82">
        <v>180</v>
      </c>
      <c r="BS82">
        <v>180</v>
      </c>
    </row>
    <row r="83" spans="1:71" x14ac:dyDescent="0.25">
      <c r="A83" s="1" t="s">
        <v>115</v>
      </c>
      <c r="B83" s="1" t="s">
        <v>109</v>
      </c>
      <c r="C83">
        <v>10</v>
      </c>
      <c r="D83">
        <v>27</v>
      </c>
      <c r="E83">
        <v>43</v>
      </c>
      <c r="F83">
        <v>62</v>
      </c>
      <c r="G83">
        <v>104</v>
      </c>
      <c r="H83">
        <v>128</v>
      </c>
      <c r="I83">
        <v>173</v>
      </c>
      <c r="J83">
        <v>296</v>
      </c>
      <c r="K83">
        <v>428</v>
      </c>
      <c r="L83">
        <v>538</v>
      </c>
      <c r="M83">
        <v>599</v>
      </c>
      <c r="N83">
        <v>661</v>
      </c>
      <c r="O83">
        <v>724</v>
      </c>
      <c r="P83">
        <v>829</v>
      </c>
      <c r="Q83">
        <v>895</v>
      </c>
      <c r="R83">
        <v>954</v>
      </c>
      <c r="S83">
        <v>1006</v>
      </c>
      <c r="T83">
        <v>1048</v>
      </c>
      <c r="U83">
        <v>1075</v>
      </c>
      <c r="V83">
        <v>1092</v>
      </c>
      <c r="W83">
        <v>1117</v>
      </c>
      <c r="X83">
        <v>1131</v>
      </c>
      <c r="Y83">
        <v>1145</v>
      </c>
      <c r="Z83">
        <v>1155</v>
      </c>
      <c r="AA83">
        <v>1162</v>
      </c>
      <c r="AB83">
        <v>1167</v>
      </c>
      <c r="AC83">
        <v>1171</v>
      </c>
      <c r="AD83">
        <v>1172</v>
      </c>
      <c r="AE83">
        <v>1174</v>
      </c>
      <c r="AF83">
        <v>1175</v>
      </c>
      <c r="AG83">
        <v>1203</v>
      </c>
      <c r="AH83">
        <v>1205</v>
      </c>
      <c r="AI83">
        <v>1205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1206</v>
      </c>
      <c r="AR83">
        <v>1213</v>
      </c>
      <c r="AS83">
        <v>1213</v>
      </c>
      <c r="AT83">
        <v>1215</v>
      </c>
      <c r="AU83">
        <v>1215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1227</v>
      </c>
      <c r="BD83">
        <v>1231</v>
      </c>
      <c r="BE83">
        <v>1231</v>
      </c>
      <c r="BF83">
        <v>1232</v>
      </c>
      <c r="BG83">
        <v>1232</v>
      </c>
      <c r="BH83">
        <v>1233</v>
      </c>
      <c r="BI83">
        <v>1234</v>
      </c>
      <c r="BJ83">
        <v>1236</v>
      </c>
      <c r="BK83">
        <v>1238</v>
      </c>
      <c r="BL83">
        <v>1238</v>
      </c>
      <c r="BM83">
        <v>1240</v>
      </c>
      <c r="BN83">
        <v>1241</v>
      </c>
      <c r="BO83">
        <v>1243</v>
      </c>
      <c r="BP83">
        <v>1247</v>
      </c>
      <c r="BQ83">
        <v>1251</v>
      </c>
      <c r="BR83">
        <v>1254</v>
      </c>
      <c r="BS83">
        <v>1255</v>
      </c>
    </row>
    <row r="84" spans="1:71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1</v>
      </c>
      <c r="AV84">
        <v>1</v>
      </c>
      <c r="AW84">
        <v>1</v>
      </c>
      <c r="AX84">
        <v>1</v>
      </c>
      <c r="AY84">
        <v>3</v>
      </c>
      <c r="AZ84">
        <v>9</v>
      </c>
      <c r="BA84">
        <v>9</v>
      </c>
      <c r="BB84">
        <v>13</v>
      </c>
      <c r="BC84">
        <v>22</v>
      </c>
      <c r="BD84">
        <v>34</v>
      </c>
      <c r="BE84">
        <v>54</v>
      </c>
      <c r="BF84">
        <v>65</v>
      </c>
      <c r="BG84">
        <v>93</v>
      </c>
      <c r="BH84">
        <v>102</v>
      </c>
      <c r="BI84">
        <v>128</v>
      </c>
      <c r="BJ84">
        <v>196</v>
      </c>
      <c r="BK84">
        <v>231</v>
      </c>
      <c r="BL84">
        <v>277</v>
      </c>
      <c r="BM84">
        <v>378</v>
      </c>
      <c r="BN84">
        <v>470</v>
      </c>
      <c r="BO84">
        <v>491</v>
      </c>
      <c r="BP84">
        <v>539</v>
      </c>
      <c r="BQ84">
        <v>608</v>
      </c>
      <c r="BR84">
        <v>702</v>
      </c>
      <c r="BS84">
        <v>798</v>
      </c>
    </row>
    <row r="85" spans="1:71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1</v>
      </c>
      <c r="BE85">
        <v>1</v>
      </c>
      <c r="BF85">
        <v>1</v>
      </c>
      <c r="BG85">
        <v>1</v>
      </c>
      <c r="BH85">
        <v>3</v>
      </c>
      <c r="BI85">
        <v>3</v>
      </c>
      <c r="BJ85">
        <v>3</v>
      </c>
      <c r="BK85">
        <v>3</v>
      </c>
      <c r="BL85">
        <v>4</v>
      </c>
      <c r="BM85">
        <v>4</v>
      </c>
      <c r="BN85">
        <v>4</v>
      </c>
      <c r="BO85">
        <v>4</v>
      </c>
      <c r="BP85">
        <v>4</v>
      </c>
      <c r="BQ85">
        <v>4</v>
      </c>
      <c r="BR85">
        <v>19</v>
      </c>
      <c r="BS85">
        <v>19</v>
      </c>
    </row>
    <row r="86" spans="1:71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1</v>
      </c>
      <c r="BA86">
        <v>1</v>
      </c>
      <c r="BB86">
        <v>2</v>
      </c>
      <c r="BC86">
        <v>2</v>
      </c>
      <c r="BD86">
        <v>2</v>
      </c>
      <c r="BE86">
        <v>2</v>
      </c>
      <c r="BF86">
        <v>3</v>
      </c>
      <c r="BG86">
        <v>4</v>
      </c>
      <c r="BH86">
        <v>14</v>
      </c>
      <c r="BI86">
        <v>18</v>
      </c>
      <c r="BJ86">
        <v>23</v>
      </c>
      <c r="BK86">
        <v>30</v>
      </c>
      <c r="BL86">
        <v>36</v>
      </c>
      <c r="BM86">
        <v>45</v>
      </c>
      <c r="BN86">
        <v>48</v>
      </c>
      <c r="BO86">
        <v>51</v>
      </c>
      <c r="BP86">
        <v>51</v>
      </c>
      <c r="BQ86">
        <v>65</v>
      </c>
      <c r="BR86">
        <v>65</v>
      </c>
      <c r="BS86">
        <v>81</v>
      </c>
    </row>
    <row r="87" spans="1:71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5</v>
      </c>
      <c r="AX87">
        <v>9</v>
      </c>
      <c r="AY87">
        <v>9</v>
      </c>
      <c r="AZ87">
        <v>13</v>
      </c>
      <c r="BA87">
        <v>22</v>
      </c>
      <c r="BB87">
        <v>23</v>
      </c>
      <c r="BC87">
        <v>26</v>
      </c>
      <c r="BD87">
        <v>27</v>
      </c>
      <c r="BE87">
        <v>35</v>
      </c>
      <c r="BF87">
        <v>41</v>
      </c>
      <c r="BG87">
        <v>50</v>
      </c>
      <c r="BH87">
        <v>69</v>
      </c>
      <c r="BI87">
        <v>89</v>
      </c>
      <c r="BJ87">
        <v>117</v>
      </c>
      <c r="BK87">
        <v>134</v>
      </c>
      <c r="BL87">
        <v>158</v>
      </c>
      <c r="BM87">
        <v>177</v>
      </c>
      <c r="BN87">
        <v>201</v>
      </c>
      <c r="BO87">
        <v>231</v>
      </c>
      <c r="BP87">
        <v>263</v>
      </c>
      <c r="BQ87">
        <v>295</v>
      </c>
      <c r="BR87">
        <v>314</v>
      </c>
      <c r="BS87">
        <v>330</v>
      </c>
    </row>
    <row r="88" spans="1:71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1</v>
      </c>
      <c r="BA88">
        <v>1</v>
      </c>
      <c r="BB88">
        <v>1</v>
      </c>
      <c r="BC88">
        <v>1</v>
      </c>
      <c r="BD88">
        <v>1</v>
      </c>
      <c r="BE88">
        <v>1</v>
      </c>
      <c r="BF88">
        <v>5</v>
      </c>
      <c r="BG88">
        <v>6</v>
      </c>
      <c r="BH88">
        <v>9</v>
      </c>
      <c r="BI88">
        <v>9</v>
      </c>
      <c r="BJ88">
        <v>14</v>
      </c>
      <c r="BK88">
        <v>14</v>
      </c>
      <c r="BL88">
        <v>25</v>
      </c>
      <c r="BM88">
        <v>73</v>
      </c>
      <c r="BN88">
        <v>80</v>
      </c>
      <c r="BO88">
        <v>96</v>
      </c>
      <c r="BP88">
        <v>101</v>
      </c>
      <c r="BQ88">
        <v>101</v>
      </c>
      <c r="BR88">
        <v>165</v>
      </c>
      <c r="BS88">
        <v>168</v>
      </c>
    </row>
    <row r="89" spans="1:71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3</v>
      </c>
      <c r="AM89">
        <v>3</v>
      </c>
      <c r="AN89">
        <v>5</v>
      </c>
      <c r="AO89">
        <v>6</v>
      </c>
      <c r="AP89">
        <v>7</v>
      </c>
      <c r="AQ89">
        <v>7</v>
      </c>
      <c r="AR89">
        <v>9</v>
      </c>
      <c r="AS89">
        <v>10</v>
      </c>
      <c r="AT89">
        <v>10</v>
      </c>
      <c r="AU89">
        <v>11</v>
      </c>
      <c r="AV89">
        <v>12</v>
      </c>
      <c r="AW89">
        <v>12</v>
      </c>
      <c r="AX89">
        <v>12</v>
      </c>
      <c r="AY89">
        <v>14</v>
      </c>
      <c r="AZ89">
        <v>19</v>
      </c>
      <c r="BA89">
        <v>19</v>
      </c>
      <c r="BB89">
        <v>32</v>
      </c>
      <c r="BC89">
        <v>38</v>
      </c>
      <c r="BD89">
        <v>49</v>
      </c>
      <c r="BE89">
        <v>57</v>
      </c>
      <c r="BF89">
        <v>65</v>
      </c>
      <c r="BG89">
        <v>81</v>
      </c>
      <c r="BH89">
        <v>105</v>
      </c>
      <c r="BI89">
        <v>128</v>
      </c>
      <c r="BJ89">
        <v>206</v>
      </c>
      <c r="BK89">
        <v>254</v>
      </c>
      <c r="BL89">
        <v>315</v>
      </c>
      <c r="BM89">
        <v>382</v>
      </c>
      <c r="BN89">
        <v>442</v>
      </c>
      <c r="BO89">
        <v>495</v>
      </c>
      <c r="BP89">
        <v>586</v>
      </c>
      <c r="BQ89">
        <v>657</v>
      </c>
      <c r="BR89">
        <v>713</v>
      </c>
      <c r="BS89">
        <v>790</v>
      </c>
    </row>
    <row r="90" spans="1:71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61</v>
      </c>
      <c r="T90">
        <v>61</v>
      </c>
      <c r="U90">
        <v>64</v>
      </c>
      <c r="V90">
        <v>135</v>
      </c>
      <c r="W90">
        <v>135</v>
      </c>
      <c r="X90">
        <v>175</v>
      </c>
      <c r="Y90">
        <v>175</v>
      </c>
      <c r="Z90">
        <v>218</v>
      </c>
      <c r="AA90">
        <v>285</v>
      </c>
      <c r="AB90">
        <v>355</v>
      </c>
      <c r="AC90">
        <v>454</v>
      </c>
      <c r="AD90">
        <v>542</v>
      </c>
      <c r="AE90">
        <v>621</v>
      </c>
      <c r="AF90">
        <v>634</v>
      </c>
      <c r="AG90">
        <v>634</v>
      </c>
      <c r="AH90">
        <v>634</v>
      </c>
      <c r="AI90">
        <v>691</v>
      </c>
      <c r="AJ90">
        <v>691</v>
      </c>
      <c r="AK90">
        <v>691</v>
      </c>
      <c r="AL90">
        <v>705</v>
      </c>
      <c r="AM90">
        <v>705</v>
      </c>
      <c r="AN90">
        <v>705</v>
      </c>
      <c r="AO90">
        <v>705</v>
      </c>
      <c r="AP90">
        <v>705</v>
      </c>
      <c r="AQ90">
        <v>705</v>
      </c>
      <c r="AR90">
        <v>706</v>
      </c>
      <c r="AS90">
        <v>706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712</v>
      </c>
      <c r="BH90">
        <v>712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</row>
    <row r="91" spans="1:71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3</v>
      </c>
      <c r="BB91">
        <v>4</v>
      </c>
      <c r="BC91">
        <v>4</v>
      </c>
      <c r="BD91">
        <v>4</v>
      </c>
      <c r="BE91">
        <v>4</v>
      </c>
      <c r="BF91">
        <v>5</v>
      </c>
      <c r="BG91">
        <v>7</v>
      </c>
      <c r="BH91">
        <v>11</v>
      </c>
      <c r="BI91">
        <v>16</v>
      </c>
      <c r="BJ91">
        <v>21</v>
      </c>
      <c r="BK91">
        <v>35</v>
      </c>
      <c r="BL91">
        <v>40</v>
      </c>
      <c r="BM91">
        <v>48</v>
      </c>
      <c r="BN91">
        <v>57</v>
      </c>
      <c r="BO91">
        <v>67</v>
      </c>
      <c r="BP91">
        <v>80</v>
      </c>
      <c r="BQ91">
        <v>119</v>
      </c>
      <c r="BR91">
        <v>139</v>
      </c>
      <c r="BS91">
        <v>170</v>
      </c>
    </row>
    <row r="92" spans="1:71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2</v>
      </c>
      <c r="AY92">
        <v>3</v>
      </c>
      <c r="AZ92">
        <v>6</v>
      </c>
      <c r="BA92">
        <v>6</v>
      </c>
      <c r="BB92">
        <v>14</v>
      </c>
      <c r="BC92">
        <v>26</v>
      </c>
      <c r="BD92">
        <v>26</v>
      </c>
      <c r="BE92">
        <v>33</v>
      </c>
      <c r="BF92">
        <v>46</v>
      </c>
      <c r="BG92">
        <v>49</v>
      </c>
      <c r="BH92">
        <v>67</v>
      </c>
      <c r="BI92">
        <v>67</v>
      </c>
      <c r="BJ92">
        <v>84</v>
      </c>
      <c r="BK92">
        <v>95</v>
      </c>
      <c r="BL92">
        <v>116</v>
      </c>
      <c r="BM92">
        <v>124</v>
      </c>
      <c r="BN92">
        <v>132</v>
      </c>
      <c r="BO92">
        <v>146</v>
      </c>
      <c r="BP92">
        <v>162</v>
      </c>
      <c r="BQ92">
        <v>179</v>
      </c>
      <c r="BR92">
        <v>214</v>
      </c>
      <c r="BS92">
        <v>230</v>
      </c>
    </row>
    <row r="93" spans="1:71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3</v>
      </c>
      <c r="AQ93">
        <v>3</v>
      </c>
      <c r="AR93">
        <v>5</v>
      </c>
      <c r="AS93">
        <v>8</v>
      </c>
      <c r="AT93">
        <v>12</v>
      </c>
      <c r="AU93">
        <v>18</v>
      </c>
      <c r="AV93">
        <v>19</v>
      </c>
      <c r="AW93">
        <v>31</v>
      </c>
      <c r="AX93">
        <v>31</v>
      </c>
      <c r="AY93">
        <v>41</v>
      </c>
      <c r="AZ93">
        <v>91</v>
      </c>
      <c r="BA93">
        <v>94</v>
      </c>
      <c r="BB93">
        <v>141</v>
      </c>
      <c r="BC93">
        <v>189</v>
      </c>
      <c r="BD93">
        <v>253</v>
      </c>
      <c r="BE93">
        <v>298</v>
      </c>
      <c r="BF93">
        <v>396</v>
      </c>
      <c r="BG93">
        <v>464</v>
      </c>
      <c r="BH93">
        <v>694</v>
      </c>
      <c r="BI93">
        <v>833</v>
      </c>
      <c r="BJ93">
        <v>995</v>
      </c>
      <c r="BK93">
        <v>1120</v>
      </c>
      <c r="BL93">
        <v>1236</v>
      </c>
      <c r="BM93">
        <v>1394</v>
      </c>
      <c r="BN93">
        <v>1654</v>
      </c>
      <c r="BO93">
        <v>1925</v>
      </c>
      <c r="BP93">
        <v>2279</v>
      </c>
      <c r="BQ93">
        <v>2631</v>
      </c>
      <c r="BR93">
        <v>2817</v>
      </c>
      <c r="BS93">
        <v>3001</v>
      </c>
    </row>
    <row r="94" spans="1:71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1</v>
      </c>
      <c r="AT94">
        <v>1</v>
      </c>
      <c r="AU94">
        <v>1</v>
      </c>
      <c r="AV94">
        <v>1</v>
      </c>
      <c r="AW94">
        <v>2</v>
      </c>
      <c r="AX94">
        <v>2</v>
      </c>
      <c r="AY94">
        <v>2</v>
      </c>
      <c r="AZ94">
        <v>2</v>
      </c>
      <c r="BA94">
        <v>2</v>
      </c>
      <c r="BB94">
        <v>3</v>
      </c>
      <c r="BC94">
        <v>9</v>
      </c>
      <c r="BD94">
        <v>11</v>
      </c>
      <c r="BE94">
        <v>18</v>
      </c>
      <c r="BF94">
        <v>47</v>
      </c>
      <c r="BG94">
        <v>58</v>
      </c>
      <c r="BH94">
        <v>72</v>
      </c>
      <c r="BI94">
        <v>80</v>
      </c>
      <c r="BJ94">
        <v>92</v>
      </c>
      <c r="BK94">
        <v>115</v>
      </c>
      <c r="BL94">
        <v>118</v>
      </c>
      <c r="BM94">
        <v>122</v>
      </c>
      <c r="BN94">
        <v>132</v>
      </c>
      <c r="BO94">
        <v>140</v>
      </c>
      <c r="BP94">
        <v>144</v>
      </c>
      <c r="BQ94">
        <v>155</v>
      </c>
      <c r="BR94">
        <v>159</v>
      </c>
      <c r="BS94">
        <v>168</v>
      </c>
    </row>
    <row r="95" spans="1:71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1</v>
      </c>
      <c r="BF95">
        <v>1</v>
      </c>
      <c r="BG95">
        <v>1</v>
      </c>
      <c r="BH95">
        <v>2</v>
      </c>
      <c r="BI95">
        <v>2</v>
      </c>
      <c r="BJ95">
        <v>2</v>
      </c>
      <c r="BK95">
        <v>4</v>
      </c>
      <c r="BL95">
        <v>4</v>
      </c>
      <c r="BM95">
        <v>5</v>
      </c>
      <c r="BN95">
        <v>6</v>
      </c>
      <c r="BO95">
        <v>6</v>
      </c>
      <c r="BP95">
        <v>10</v>
      </c>
      <c r="BQ95">
        <v>10</v>
      </c>
      <c r="BR95">
        <v>10</v>
      </c>
      <c r="BS95">
        <v>10</v>
      </c>
    </row>
    <row r="96" spans="1:71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1</v>
      </c>
      <c r="AN96">
        <v>1</v>
      </c>
      <c r="AO96">
        <v>3</v>
      </c>
      <c r="AP96">
        <v>4</v>
      </c>
      <c r="AQ96">
        <v>4</v>
      </c>
      <c r="AR96">
        <v>6</v>
      </c>
      <c r="AS96">
        <v>10</v>
      </c>
      <c r="AT96">
        <v>10</v>
      </c>
      <c r="AU96">
        <v>23</v>
      </c>
      <c r="AV96">
        <v>23</v>
      </c>
      <c r="AW96">
        <v>35</v>
      </c>
      <c r="AX96">
        <v>90</v>
      </c>
      <c r="AY96">
        <v>262</v>
      </c>
      <c r="AZ96">
        <v>442</v>
      </c>
      <c r="BA96">
        <v>615</v>
      </c>
      <c r="BB96">
        <v>801</v>
      </c>
      <c r="BC96">
        <v>827</v>
      </c>
      <c r="BD96">
        <v>864</v>
      </c>
      <c r="BE96">
        <v>914</v>
      </c>
      <c r="BF96">
        <v>977</v>
      </c>
      <c r="BG96">
        <v>1057</v>
      </c>
      <c r="BH96">
        <v>1151</v>
      </c>
      <c r="BI96">
        <v>1255</v>
      </c>
      <c r="BJ96">
        <v>1326</v>
      </c>
      <c r="BK96">
        <v>1395</v>
      </c>
      <c r="BL96">
        <v>1450</v>
      </c>
      <c r="BM96">
        <v>1591</v>
      </c>
      <c r="BN96">
        <v>1724</v>
      </c>
      <c r="BO96">
        <v>1877</v>
      </c>
      <c r="BP96">
        <v>2046</v>
      </c>
      <c r="BQ96">
        <v>2201</v>
      </c>
      <c r="BR96">
        <v>2395</v>
      </c>
      <c r="BS96">
        <v>2577</v>
      </c>
    </row>
    <row r="97" spans="1:71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1</v>
      </c>
      <c r="BH97">
        <v>1</v>
      </c>
      <c r="BI97">
        <v>1</v>
      </c>
      <c r="BJ97">
        <v>1</v>
      </c>
      <c r="BK97">
        <v>1</v>
      </c>
      <c r="BL97">
        <v>3</v>
      </c>
      <c r="BM97">
        <v>3</v>
      </c>
      <c r="BN97">
        <v>11</v>
      </c>
      <c r="BO97">
        <v>11</v>
      </c>
      <c r="BP97">
        <v>12</v>
      </c>
      <c r="BQ97">
        <v>14</v>
      </c>
      <c r="BR97">
        <v>18</v>
      </c>
      <c r="BS97">
        <v>18</v>
      </c>
    </row>
    <row r="98" spans="1:71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1</v>
      </c>
      <c r="AQ98">
        <v>1</v>
      </c>
      <c r="AR98">
        <v>1</v>
      </c>
      <c r="AS98">
        <v>1</v>
      </c>
      <c r="AT98">
        <v>1</v>
      </c>
      <c r="AU98">
        <v>2</v>
      </c>
      <c r="AV98">
        <v>2</v>
      </c>
      <c r="AW98">
        <v>5</v>
      </c>
      <c r="AX98">
        <v>5</v>
      </c>
      <c r="AY98">
        <v>5</v>
      </c>
      <c r="AZ98">
        <v>5</v>
      </c>
      <c r="BA98">
        <v>5</v>
      </c>
      <c r="BB98">
        <v>5</v>
      </c>
      <c r="BC98">
        <v>11</v>
      </c>
      <c r="BD98">
        <v>11</v>
      </c>
      <c r="BE98">
        <v>11</v>
      </c>
      <c r="BF98">
        <v>21</v>
      </c>
      <c r="BG98">
        <v>21</v>
      </c>
      <c r="BH98">
        <v>34</v>
      </c>
      <c r="BI98">
        <v>72</v>
      </c>
      <c r="BJ98">
        <v>112</v>
      </c>
      <c r="BK98">
        <v>202</v>
      </c>
      <c r="BL98">
        <v>245</v>
      </c>
      <c r="BM98">
        <v>312</v>
      </c>
      <c r="BN98">
        <v>392</v>
      </c>
      <c r="BO98">
        <v>488</v>
      </c>
      <c r="BP98">
        <v>581</v>
      </c>
      <c r="BQ98">
        <v>719</v>
      </c>
      <c r="BR98">
        <v>859</v>
      </c>
      <c r="BS98">
        <v>901</v>
      </c>
    </row>
    <row r="99" spans="1:71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6</v>
      </c>
      <c r="AQ99">
        <v>6</v>
      </c>
      <c r="AR99">
        <v>7</v>
      </c>
      <c r="AS99">
        <v>10</v>
      </c>
      <c r="AT99">
        <v>13</v>
      </c>
      <c r="AU99">
        <v>13</v>
      </c>
      <c r="AV99">
        <v>13</v>
      </c>
      <c r="AW99">
        <v>14</v>
      </c>
      <c r="AX99">
        <v>15</v>
      </c>
      <c r="AY99">
        <v>15</v>
      </c>
      <c r="AZ99">
        <v>17</v>
      </c>
      <c r="BA99">
        <v>17</v>
      </c>
      <c r="BB99">
        <v>17</v>
      </c>
      <c r="BC99">
        <v>28</v>
      </c>
      <c r="BD99">
        <v>28</v>
      </c>
      <c r="BE99">
        <v>37</v>
      </c>
      <c r="BF99">
        <v>58</v>
      </c>
      <c r="BG99">
        <v>111</v>
      </c>
      <c r="BH99">
        <v>199</v>
      </c>
      <c r="BI99">
        <v>367</v>
      </c>
      <c r="BJ99">
        <v>506</v>
      </c>
      <c r="BK99">
        <v>789</v>
      </c>
      <c r="BL99">
        <v>981</v>
      </c>
      <c r="BM99">
        <v>1082</v>
      </c>
      <c r="BN99">
        <v>1173</v>
      </c>
      <c r="BO99">
        <v>1403</v>
      </c>
      <c r="BP99">
        <v>1595</v>
      </c>
      <c r="BQ99">
        <v>1823</v>
      </c>
      <c r="BR99">
        <v>1924</v>
      </c>
      <c r="BS99">
        <v>1962</v>
      </c>
    </row>
    <row r="100" spans="1:71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2</v>
      </c>
      <c r="AQ100">
        <v>2</v>
      </c>
      <c r="AR100">
        <v>2</v>
      </c>
      <c r="AS100">
        <v>2</v>
      </c>
      <c r="AT100">
        <v>3</v>
      </c>
      <c r="AU100">
        <v>15</v>
      </c>
      <c r="AV100">
        <v>15</v>
      </c>
      <c r="AW100">
        <v>49</v>
      </c>
      <c r="AX100">
        <v>55</v>
      </c>
      <c r="AY100">
        <v>59</v>
      </c>
      <c r="AZ100">
        <v>60</v>
      </c>
      <c r="BA100">
        <v>67</v>
      </c>
      <c r="BB100">
        <v>80</v>
      </c>
      <c r="BC100">
        <v>109</v>
      </c>
      <c r="BD100">
        <v>110</v>
      </c>
      <c r="BE100">
        <v>150</v>
      </c>
      <c r="BF100">
        <v>196</v>
      </c>
      <c r="BG100">
        <v>196</v>
      </c>
      <c r="BH100">
        <v>256</v>
      </c>
      <c r="BI100">
        <v>285</v>
      </c>
      <c r="BJ100">
        <v>294</v>
      </c>
      <c r="BK100">
        <v>327</v>
      </c>
      <c r="BL100">
        <v>366</v>
      </c>
      <c r="BM100">
        <v>402</v>
      </c>
      <c r="BN100">
        <v>456</v>
      </c>
      <c r="BO100">
        <v>495</v>
      </c>
      <c r="BP100">
        <v>536</v>
      </c>
      <c r="BQ100">
        <v>576</v>
      </c>
      <c r="BR100">
        <v>609</v>
      </c>
      <c r="BS100">
        <v>656</v>
      </c>
    </row>
    <row r="101" spans="1:71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1</v>
      </c>
      <c r="BI101">
        <v>1</v>
      </c>
      <c r="BJ101">
        <v>3</v>
      </c>
      <c r="BK101">
        <v>3</v>
      </c>
      <c r="BL101">
        <v>3</v>
      </c>
      <c r="BM101">
        <v>5</v>
      </c>
      <c r="BN101">
        <v>9</v>
      </c>
      <c r="BO101">
        <v>13</v>
      </c>
      <c r="BP101">
        <v>13</v>
      </c>
      <c r="BQ101">
        <v>19</v>
      </c>
      <c r="BR101">
        <v>24</v>
      </c>
      <c r="BS101">
        <v>30</v>
      </c>
    </row>
    <row r="102" spans="1:71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1</v>
      </c>
      <c r="BE102">
        <v>1</v>
      </c>
      <c r="BF102">
        <v>1</v>
      </c>
      <c r="BG102">
        <v>4</v>
      </c>
      <c r="BH102">
        <v>6</v>
      </c>
      <c r="BI102">
        <v>6</v>
      </c>
      <c r="BJ102">
        <v>6</v>
      </c>
      <c r="BK102">
        <v>6</v>
      </c>
      <c r="BL102">
        <v>9</v>
      </c>
      <c r="BM102">
        <v>9</v>
      </c>
      <c r="BN102">
        <v>9</v>
      </c>
      <c r="BO102">
        <v>12</v>
      </c>
      <c r="BP102">
        <v>12</v>
      </c>
      <c r="BQ102">
        <v>12</v>
      </c>
      <c r="BR102">
        <v>12</v>
      </c>
      <c r="BS102">
        <v>12</v>
      </c>
    </row>
    <row r="103" spans="1:71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1</v>
      </c>
      <c r="BK103">
        <v>1</v>
      </c>
      <c r="BL103">
        <v>1</v>
      </c>
      <c r="BM103">
        <v>1</v>
      </c>
      <c r="BN103">
        <v>4</v>
      </c>
      <c r="BO103">
        <v>6</v>
      </c>
      <c r="BP103">
        <v>6</v>
      </c>
      <c r="BQ103">
        <v>6</v>
      </c>
      <c r="BR103">
        <v>12</v>
      </c>
      <c r="BS103">
        <v>12</v>
      </c>
    </row>
    <row r="104" spans="1:71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1</v>
      </c>
      <c r="AN104">
        <v>1</v>
      </c>
      <c r="AO104">
        <v>1</v>
      </c>
      <c r="AP104">
        <v>1</v>
      </c>
      <c r="AQ104">
        <v>1</v>
      </c>
      <c r="AR104">
        <v>2</v>
      </c>
      <c r="AS104">
        <v>2</v>
      </c>
      <c r="AT104">
        <v>3</v>
      </c>
      <c r="AU104">
        <v>10</v>
      </c>
      <c r="AV104">
        <v>10</v>
      </c>
      <c r="AW104">
        <v>10</v>
      </c>
      <c r="AX104">
        <v>10</v>
      </c>
      <c r="AY104">
        <v>12</v>
      </c>
      <c r="AZ104">
        <v>16</v>
      </c>
      <c r="BA104">
        <v>16</v>
      </c>
      <c r="BB104">
        <v>79</v>
      </c>
      <c r="BC104">
        <v>115</v>
      </c>
      <c r="BD104">
        <v>171</v>
      </c>
      <c r="BE104">
        <v>205</v>
      </c>
      <c r="BF104">
        <v>225</v>
      </c>
      <c r="BG104">
        <v>258</v>
      </c>
      <c r="BH104">
        <v>267</v>
      </c>
      <c r="BI104">
        <v>283</v>
      </c>
      <c r="BJ104">
        <v>306</v>
      </c>
      <c r="BK104">
        <v>326</v>
      </c>
      <c r="BL104">
        <v>352</v>
      </c>
      <c r="BM104">
        <v>369</v>
      </c>
      <c r="BN104">
        <v>404</v>
      </c>
      <c r="BO104">
        <v>538</v>
      </c>
      <c r="BP104">
        <v>575</v>
      </c>
      <c r="BQ104">
        <v>645</v>
      </c>
      <c r="BR104">
        <v>679</v>
      </c>
      <c r="BS104">
        <v>715</v>
      </c>
    </row>
    <row r="105" spans="1:71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1</v>
      </c>
      <c r="BD105">
        <v>1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4</v>
      </c>
      <c r="BL105">
        <v>4</v>
      </c>
      <c r="BM105">
        <v>4</v>
      </c>
      <c r="BN105">
        <v>4</v>
      </c>
      <c r="BO105">
        <v>6</v>
      </c>
      <c r="BP105">
        <v>9</v>
      </c>
      <c r="BQ105">
        <v>9</v>
      </c>
      <c r="BR105">
        <v>9</v>
      </c>
      <c r="BS105">
        <v>9</v>
      </c>
    </row>
    <row r="106" spans="1:71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1</v>
      </c>
      <c r="BC106">
        <v>1</v>
      </c>
      <c r="BD106">
        <v>1</v>
      </c>
      <c r="BE106">
        <v>5</v>
      </c>
      <c r="BF106">
        <v>5</v>
      </c>
      <c r="BG106">
        <v>6</v>
      </c>
      <c r="BH106">
        <v>6</v>
      </c>
      <c r="BI106">
        <v>9</v>
      </c>
      <c r="BJ106">
        <v>9</v>
      </c>
      <c r="BK106">
        <v>11</v>
      </c>
      <c r="BL106">
        <v>11</v>
      </c>
      <c r="BM106">
        <v>12</v>
      </c>
      <c r="BN106">
        <v>12</v>
      </c>
      <c r="BO106">
        <v>12</v>
      </c>
      <c r="BP106">
        <v>16</v>
      </c>
      <c r="BQ106">
        <v>16</v>
      </c>
      <c r="BR106">
        <v>21</v>
      </c>
      <c r="BS106">
        <v>23</v>
      </c>
    </row>
    <row r="107" spans="1:71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1</v>
      </c>
      <c r="BI107">
        <v>1</v>
      </c>
      <c r="BJ107">
        <v>1</v>
      </c>
      <c r="BK107">
        <v>2</v>
      </c>
      <c r="BL107">
        <v>3</v>
      </c>
      <c r="BM107">
        <v>4</v>
      </c>
      <c r="BN107">
        <v>5</v>
      </c>
      <c r="BO107">
        <v>5</v>
      </c>
      <c r="BP107">
        <v>5</v>
      </c>
      <c r="BQ107">
        <v>5</v>
      </c>
      <c r="BR107">
        <v>5</v>
      </c>
      <c r="BS107">
        <v>5</v>
      </c>
    </row>
    <row r="108" spans="1:71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2</v>
      </c>
      <c r="AM108">
        <v>2</v>
      </c>
      <c r="AN108">
        <v>2</v>
      </c>
      <c r="AO108">
        <v>3</v>
      </c>
      <c r="AP108">
        <v>6</v>
      </c>
      <c r="AQ108">
        <v>6</v>
      </c>
      <c r="AR108">
        <v>6</v>
      </c>
      <c r="AS108">
        <v>6</v>
      </c>
      <c r="AT108">
        <v>12</v>
      </c>
      <c r="AU108">
        <v>15</v>
      </c>
      <c r="AV108">
        <v>15</v>
      </c>
      <c r="AW108">
        <v>23</v>
      </c>
      <c r="AX108">
        <v>30</v>
      </c>
      <c r="AY108">
        <v>40</v>
      </c>
      <c r="AZ108">
        <v>59</v>
      </c>
      <c r="BA108">
        <v>59</v>
      </c>
      <c r="BB108">
        <v>155</v>
      </c>
      <c r="BC108">
        <v>225</v>
      </c>
      <c r="BD108">
        <v>244</v>
      </c>
      <c r="BE108">
        <v>277</v>
      </c>
      <c r="BF108">
        <v>321</v>
      </c>
      <c r="BG108">
        <v>336</v>
      </c>
      <c r="BH108">
        <v>400</v>
      </c>
      <c r="BI108">
        <v>450</v>
      </c>
      <c r="BJ108">
        <v>523</v>
      </c>
      <c r="BK108">
        <v>626</v>
      </c>
      <c r="BL108">
        <v>700</v>
      </c>
      <c r="BM108">
        <v>792</v>
      </c>
      <c r="BN108">
        <v>880</v>
      </c>
      <c r="BO108">
        <v>958</v>
      </c>
      <c r="BP108">
        <v>1041</v>
      </c>
      <c r="BQ108">
        <v>1167</v>
      </c>
      <c r="BR108">
        <v>1240</v>
      </c>
      <c r="BS108">
        <v>1352</v>
      </c>
    </row>
    <row r="109" spans="1:71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5</v>
      </c>
      <c r="AW109">
        <v>5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7</v>
      </c>
      <c r="BE109">
        <v>11</v>
      </c>
      <c r="BF109">
        <v>11</v>
      </c>
      <c r="BG109">
        <v>11</v>
      </c>
      <c r="BH109">
        <v>11</v>
      </c>
      <c r="BI109">
        <v>15</v>
      </c>
      <c r="BJ109">
        <v>18</v>
      </c>
      <c r="BK109">
        <v>18</v>
      </c>
      <c r="BL109">
        <v>20</v>
      </c>
      <c r="BM109">
        <v>23</v>
      </c>
      <c r="BN109">
        <v>28</v>
      </c>
      <c r="BO109">
        <v>28</v>
      </c>
      <c r="BP109">
        <v>28</v>
      </c>
      <c r="BQ109">
        <v>28</v>
      </c>
      <c r="BR109">
        <v>28</v>
      </c>
      <c r="BS109">
        <v>43</v>
      </c>
    </row>
    <row r="110" spans="1:71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3</v>
      </c>
      <c r="BC110">
        <v>3</v>
      </c>
      <c r="BD110">
        <v>3</v>
      </c>
      <c r="BE110">
        <v>3</v>
      </c>
      <c r="BF110">
        <v>3</v>
      </c>
      <c r="BG110">
        <v>3</v>
      </c>
      <c r="BH110">
        <v>6</v>
      </c>
      <c r="BI110">
        <v>11</v>
      </c>
      <c r="BJ110">
        <v>15</v>
      </c>
      <c r="BK110">
        <v>18</v>
      </c>
      <c r="BL110">
        <v>18</v>
      </c>
      <c r="BM110">
        <v>25</v>
      </c>
      <c r="BN110">
        <v>25</v>
      </c>
      <c r="BO110">
        <v>30</v>
      </c>
      <c r="BP110">
        <v>30</v>
      </c>
      <c r="BQ110">
        <v>30</v>
      </c>
      <c r="BR110">
        <v>30</v>
      </c>
      <c r="BS110">
        <v>36</v>
      </c>
    </row>
    <row r="111" spans="1:71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1</v>
      </c>
      <c r="BC111">
        <v>1</v>
      </c>
      <c r="BD111">
        <v>3</v>
      </c>
      <c r="BE111">
        <v>6</v>
      </c>
      <c r="BF111">
        <v>18</v>
      </c>
      <c r="BG111">
        <v>27</v>
      </c>
      <c r="BH111">
        <v>33</v>
      </c>
      <c r="BI111">
        <v>45</v>
      </c>
      <c r="BJ111">
        <v>53</v>
      </c>
      <c r="BK111">
        <v>58</v>
      </c>
      <c r="BL111">
        <v>62</v>
      </c>
      <c r="BM111">
        <v>62</v>
      </c>
      <c r="BN111">
        <v>73</v>
      </c>
      <c r="BO111">
        <v>73</v>
      </c>
      <c r="BP111">
        <v>73</v>
      </c>
      <c r="BQ111">
        <v>102</v>
      </c>
      <c r="BR111">
        <v>106</v>
      </c>
      <c r="BS111">
        <v>106</v>
      </c>
    </row>
    <row r="112" spans="1:71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1</v>
      </c>
      <c r="BE112">
        <v>1</v>
      </c>
      <c r="BF112">
        <v>1</v>
      </c>
      <c r="BG112">
        <v>3</v>
      </c>
      <c r="BH112">
        <v>3</v>
      </c>
      <c r="BI112">
        <v>6</v>
      </c>
      <c r="BJ112">
        <v>7</v>
      </c>
      <c r="BK112">
        <v>11</v>
      </c>
      <c r="BL112">
        <v>24</v>
      </c>
      <c r="BM112">
        <v>36</v>
      </c>
      <c r="BN112">
        <v>36</v>
      </c>
      <c r="BO112">
        <v>36</v>
      </c>
      <c r="BP112">
        <v>50</v>
      </c>
      <c r="BQ112">
        <v>63</v>
      </c>
      <c r="BR112">
        <v>63</v>
      </c>
      <c r="BS112">
        <v>82</v>
      </c>
    </row>
    <row r="113" spans="1:71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2</v>
      </c>
      <c r="BI113">
        <v>2</v>
      </c>
      <c r="BJ113">
        <v>4</v>
      </c>
      <c r="BK113">
        <v>4</v>
      </c>
      <c r="BL113">
        <v>8</v>
      </c>
      <c r="BM113">
        <v>10</v>
      </c>
      <c r="BN113">
        <v>14</v>
      </c>
      <c r="BO113">
        <v>14</v>
      </c>
      <c r="BP113">
        <v>15</v>
      </c>
      <c r="BQ113">
        <v>15</v>
      </c>
      <c r="BR113">
        <v>15</v>
      </c>
      <c r="BS113">
        <v>15</v>
      </c>
    </row>
    <row r="114" spans="1:71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1</v>
      </c>
      <c r="BA114">
        <v>1</v>
      </c>
      <c r="BB114">
        <v>5</v>
      </c>
      <c r="BC114">
        <v>6</v>
      </c>
      <c r="BD114">
        <v>7</v>
      </c>
      <c r="BE114">
        <v>9</v>
      </c>
      <c r="BF114">
        <v>9</v>
      </c>
      <c r="BG114">
        <v>12</v>
      </c>
      <c r="BH114">
        <v>14</v>
      </c>
      <c r="BI114">
        <v>28</v>
      </c>
      <c r="BJ114">
        <v>45</v>
      </c>
      <c r="BK114">
        <v>64</v>
      </c>
      <c r="BL114">
        <v>71</v>
      </c>
      <c r="BM114">
        <v>94</v>
      </c>
      <c r="BN114">
        <v>111</v>
      </c>
      <c r="BO114">
        <v>135</v>
      </c>
      <c r="BP114">
        <v>145</v>
      </c>
      <c r="BQ114">
        <v>183</v>
      </c>
      <c r="BR114">
        <v>183</v>
      </c>
      <c r="BS114">
        <v>224</v>
      </c>
    </row>
    <row r="115" spans="1:71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3</v>
      </c>
      <c r="AT115">
        <v>3</v>
      </c>
      <c r="AU115">
        <v>3</v>
      </c>
      <c r="AV115">
        <v>3</v>
      </c>
      <c r="AW115">
        <v>3</v>
      </c>
      <c r="AX115">
        <v>1</v>
      </c>
      <c r="AY115">
        <v>1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3</v>
      </c>
      <c r="BF115">
        <v>3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5</v>
      </c>
      <c r="BQ115">
        <v>5</v>
      </c>
      <c r="BR115">
        <v>5</v>
      </c>
      <c r="BS115">
        <v>6</v>
      </c>
    </row>
    <row r="116" spans="1:71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2</v>
      </c>
      <c r="AY116">
        <v>2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3</v>
      </c>
      <c r="BH116">
        <v>4</v>
      </c>
      <c r="BI116">
        <v>4</v>
      </c>
      <c r="BJ116">
        <v>4</v>
      </c>
      <c r="BK116">
        <v>5</v>
      </c>
      <c r="BL116">
        <v>8</v>
      </c>
      <c r="BM116">
        <v>8</v>
      </c>
      <c r="BN116">
        <v>11</v>
      </c>
      <c r="BO116">
        <v>11</v>
      </c>
      <c r="BP116">
        <v>11</v>
      </c>
      <c r="BQ116">
        <v>11</v>
      </c>
      <c r="BR116">
        <v>11</v>
      </c>
      <c r="BS116">
        <v>15</v>
      </c>
    </row>
    <row r="117" spans="1:71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2</v>
      </c>
      <c r="AW117">
        <v>2</v>
      </c>
      <c r="AX117">
        <v>2</v>
      </c>
      <c r="AY117">
        <v>2</v>
      </c>
      <c r="AZ117">
        <v>3</v>
      </c>
      <c r="BA117">
        <v>3</v>
      </c>
      <c r="BB117">
        <v>3</v>
      </c>
      <c r="BC117">
        <v>9</v>
      </c>
      <c r="BD117">
        <v>9</v>
      </c>
      <c r="BE117">
        <v>15</v>
      </c>
      <c r="BF117">
        <v>16</v>
      </c>
      <c r="BG117">
        <v>19</v>
      </c>
      <c r="BH117">
        <v>23</v>
      </c>
      <c r="BI117">
        <v>32</v>
      </c>
      <c r="BJ117">
        <v>32</v>
      </c>
      <c r="BK117">
        <v>44</v>
      </c>
      <c r="BL117">
        <v>53</v>
      </c>
      <c r="BM117">
        <v>57</v>
      </c>
      <c r="BN117">
        <v>66</v>
      </c>
      <c r="BO117">
        <v>66</v>
      </c>
      <c r="BP117">
        <v>81</v>
      </c>
      <c r="BQ117">
        <v>93</v>
      </c>
      <c r="BR117">
        <v>93</v>
      </c>
      <c r="BS117">
        <v>93</v>
      </c>
    </row>
    <row r="118" spans="1:71" x14ac:dyDescent="0.25">
      <c r="A118" s="1" t="s">
        <v>2</v>
      </c>
      <c r="B118" s="1" t="s">
        <v>112</v>
      </c>
      <c r="C118">
        <v>0</v>
      </c>
      <c r="D118">
        <v>0</v>
      </c>
      <c r="E118">
        <v>2</v>
      </c>
      <c r="F118">
        <v>3</v>
      </c>
      <c r="G118">
        <v>3</v>
      </c>
      <c r="H118">
        <v>3</v>
      </c>
      <c r="I118">
        <v>4</v>
      </c>
      <c r="J118">
        <v>5</v>
      </c>
      <c r="K118">
        <v>5</v>
      </c>
      <c r="L118">
        <v>5</v>
      </c>
      <c r="M118">
        <v>6</v>
      </c>
      <c r="N118">
        <v>6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11</v>
      </c>
      <c r="U118">
        <v>11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12</v>
      </c>
      <c r="AB118">
        <v>12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14</v>
      </c>
      <c r="AL118">
        <v>18</v>
      </c>
      <c r="AM118">
        <v>38</v>
      </c>
      <c r="AN118">
        <v>57</v>
      </c>
      <c r="AO118">
        <v>100</v>
      </c>
      <c r="AP118">
        <v>130</v>
      </c>
      <c r="AQ118">
        <v>191</v>
      </c>
      <c r="AR118">
        <v>204</v>
      </c>
      <c r="AS118">
        <v>285</v>
      </c>
      <c r="AT118">
        <v>377</v>
      </c>
      <c r="AU118">
        <v>653</v>
      </c>
      <c r="AV118">
        <v>949</v>
      </c>
      <c r="AW118">
        <v>1126</v>
      </c>
      <c r="AX118">
        <v>1209</v>
      </c>
      <c r="AY118">
        <v>1784</v>
      </c>
      <c r="AZ118">
        <v>2281</v>
      </c>
      <c r="BA118">
        <v>2281</v>
      </c>
      <c r="BB118">
        <v>3661</v>
      </c>
      <c r="BC118">
        <v>4469</v>
      </c>
      <c r="BD118">
        <v>4499</v>
      </c>
      <c r="BE118">
        <v>6633</v>
      </c>
      <c r="BF118">
        <v>7652</v>
      </c>
      <c r="BG118">
        <v>9043</v>
      </c>
      <c r="BH118">
        <v>10871</v>
      </c>
      <c r="BI118">
        <v>12612</v>
      </c>
      <c r="BJ118">
        <v>14282</v>
      </c>
      <c r="BK118">
        <v>16018</v>
      </c>
      <c r="BL118">
        <v>19856</v>
      </c>
      <c r="BM118">
        <v>22304</v>
      </c>
      <c r="BN118">
        <v>25233</v>
      </c>
      <c r="BO118">
        <v>29155</v>
      </c>
      <c r="BP118">
        <v>32964</v>
      </c>
      <c r="BQ118">
        <v>37575</v>
      </c>
      <c r="BR118">
        <v>40174</v>
      </c>
      <c r="BS118">
        <v>44550</v>
      </c>
    </row>
    <row r="119" spans="1:71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1</v>
      </c>
      <c r="BD119">
        <v>1</v>
      </c>
      <c r="BE119">
        <v>1</v>
      </c>
      <c r="BF119">
        <v>1</v>
      </c>
      <c r="BG119">
        <v>1</v>
      </c>
      <c r="BH119">
        <v>1</v>
      </c>
      <c r="BI119">
        <v>3</v>
      </c>
      <c r="BJ119">
        <v>4</v>
      </c>
      <c r="BK119">
        <v>5</v>
      </c>
      <c r="BL119">
        <v>5</v>
      </c>
      <c r="BM119">
        <v>6</v>
      </c>
      <c r="BN119">
        <v>6</v>
      </c>
      <c r="BO119">
        <v>7</v>
      </c>
      <c r="BP119">
        <v>7</v>
      </c>
      <c r="BQ119">
        <v>7</v>
      </c>
      <c r="BR119">
        <v>7</v>
      </c>
      <c r="BS119">
        <v>7</v>
      </c>
    </row>
    <row r="120" spans="1:71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1</v>
      </c>
      <c r="BG120">
        <v>1</v>
      </c>
      <c r="BH120">
        <v>1</v>
      </c>
      <c r="BI120">
        <v>1</v>
      </c>
      <c r="BJ120">
        <v>1</v>
      </c>
      <c r="BK120">
        <v>1</v>
      </c>
      <c r="BL120">
        <v>2</v>
      </c>
      <c r="BM120">
        <v>3</v>
      </c>
      <c r="BN120">
        <v>3</v>
      </c>
      <c r="BO120">
        <v>3</v>
      </c>
      <c r="BP120">
        <v>3</v>
      </c>
      <c r="BQ120">
        <v>3</v>
      </c>
      <c r="BR120">
        <v>4</v>
      </c>
      <c r="BS120">
        <v>4</v>
      </c>
    </row>
    <row r="121" spans="1:71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1</v>
      </c>
      <c r="AM121">
        <v>1</v>
      </c>
      <c r="AN121">
        <v>1</v>
      </c>
      <c r="AO121">
        <v>1</v>
      </c>
      <c r="AP121">
        <v>3</v>
      </c>
      <c r="AQ121">
        <v>3</v>
      </c>
      <c r="AR121">
        <v>3</v>
      </c>
      <c r="AS121">
        <v>3</v>
      </c>
      <c r="AT121">
        <v>4</v>
      </c>
      <c r="AU121">
        <v>4</v>
      </c>
      <c r="AV121">
        <v>4</v>
      </c>
      <c r="AW121">
        <v>13</v>
      </c>
      <c r="AX121">
        <v>15</v>
      </c>
      <c r="AY121">
        <v>15</v>
      </c>
      <c r="AZ121">
        <v>24</v>
      </c>
      <c r="BA121">
        <v>24</v>
      </c>
      <c r="BB121">
        <v>25</v>
      </c>
      <c r="BC121">
        <v>30</v>
      </c>
      <c r="BD121">
        <v>33</v>
      </c>
      <c r="BE121">
        <v>33</v>
      </c>
      <c r="BF121">
        <v>34</v>
      </c>
      <c r="BG121">
        <v>38</v>
      </c>
      <c r="BH121">
        <v>40</v>
      </c>
      <c r="BI121">
        <v>43</v>
      </c>
      <c r="BJ121">
        <v>49</v>
      </c>
      <c r="BK121">
        <v>54</v>
      </c>
      <c r="BL121">
        <v>61</v>
      </c>
      <c r="BM121">
        <v>70</v>
      </c>
      <c r="BN121">
        <v>75</v>
      </c>
      <c r="BO121">
        <v>79</v>
      </c>
      <c r="BP121">
        <v>83</v>
      </c>
      <c r="BQ121">
        <v>90</v>
      </c>
      <c r="BR121">
        <v>91</v>
      </c>
      <c r="BS121">
        <v>103</v>
      </c>
    </row>
    <row r="122" spans="1:71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4</v>
      </c>
      <c r="J122">
        <v>4</v>
      </c>
      <c r="K122">
        <v>4</v>
      </c>
      <c r="L122">
        <v>5</v>
      </c>
      <c r="M122">
        <v>8</v>
      </c>
      <c r="N122">
        <v>10</v>
      </c>
      <c r="O122">
        <v>12</v>
      </c>
      <c r="P122">
        <v>12</v>
      </c>
      <c r="Q122">
        <v>12</v>
      </c>
      <c r="R122">
        <v>12</v>
      </c>
      <c r="S122">
        <v>13</v>
      </c>
      <c r="T122">
        <v>13</v>
      </c>
      <c r="U122">
        <v>14</v>
      </c>
      <c r="V122">
        <v>14</v>
      </c>
      <c r="W122">
        <v>16</v>
      </c>
      <c r="X122">
        <v>16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17</v>
      </c>
      <c r="AL122">
        <v>27</v>
      </c>
      <c r="AM122">
        <v>46</v>
      </c>
      <c r="AN122">
        <v>48</v>
      </c>
      <c r="AO122">
        <v>79</v>
      </c>
      <c r="AP122">
        <v>130</v>
      </c>
      <c r="AQ122">
        <v>159</v>
      </c>
      <c r="AR122">
        <v>196</v>
      </c>
      <c r="AS122">
        <v>262</v>
      </c>
      <c r="AT122">
        <v>482</v>
      </c>
      <c r="AU122">
        <v>670</v>
      </c>
      <c r="AV122">
        <v>799</v>
      </c>
      <c r="AW122">
        <v>1040</v>
      </c>
      <c r="AX122">
        <v>1176</v>
      </c>
      <c r="AY122">
        <v>1457</v>
      </c>
      <c r="AZ122">
        <v>1908</v>
      </c>
      <c r="BA122">
        <v>2078</v>
      </c>
      <c r="BB122">
        <v>3675</v>
      </c>
      <c r="BC122">
        <v>4585</v>
      </c>
      <c r="BD122">
        <v>5795</v>
      </c>
      <c r="BE122">
        <v>7272</v>
      </c>
      <c r="BF122">
        <v>9257</v>
      </c>
      <c r="BG122">
        <v>12327</v>
      </c>
      <c r="BH122">
        <v>15320</v>
      </c>
      <c r="BI122">
        <v>19848</v>
      </c>
      <c r="BJ122">
        <v>22213</v>
      </c>
      <c r="BK122">
        <v>24873</v>
      </c>
      <c r="BL122">
        <v>29056</v>
      </c>
      <c r="BM122">
        <v>32986</v>
      </c>
      <c r="BN122">
        <v>37323</v>
      </c>
      <c r="BO122">
        <v>43938</v>
      </c>
      <c r="BP122">
        <v>50871</v>
      </c>
      <c r="BQ122">
        <v>57695</v>
      </c>
      <c r="BR122">
        <v>62095</v>
      </c>
      <c r="BS122">
        <v>66885</v>
      </c>
    </row>
    <row r="123" spans="1:71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3</v>
      </c>
      <c r="BD123">
        <v>6</v>
      </c>
      <c r="BE123">
        <v>6</v>
      </c>
      <c r="BF123">
        <v>7</v>
      </c>
      <c r="BG123">
        <v>7</v>
      </c>
      <c r="BH123">
        <v>11</v>
      </c>
      <c r="BI123">
        <v>16</v>
      </c>
      <c r="BJ123">
        <v>19</v>
      </c>
      <c r="BK123">
        <v>23</v>
      </c>
      <c r="BL123">
        <v>27</v>
      </c>
      <c r="BM123">
        <v>53</v>
      </c>
      <c r="BN123">
        <v>93</v>
      </c>
      <c r="BO123">
        <v>132</v>
      </c>
      <c r="BP123">
        <v>137</v>
      </c>
      <c r="BQ123">
        <v>141</v>
      </c>
      <c r="BR123">
        <v>152</v>
      </c>
      <c r="BS123">
        <v>152</v>
      </c>
    </row>
    <row r="124" spans="1:71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1</v>
      </c>
      <c r="AM124">
        <v>3</v>
      </c>
      <c r="AN124">
        <v>4</v>
      </c>
      <c r="AO124">
        <v>4</v>
      </c>
      <c r="AP124">
        <v>7</v>
      </c>
      <c r="AQ124">
        <v>7</v>
      </c>
      <c r="AR124">
        <v>7</v>
      </c>
      <c r="AS124">
        <v>9</v>
      </c>
      <c r="AT124">
        <v>31</v>
      </c>
      <c r="AU124">
        <v>45</v>
      </c>
      <c r="AV124">
        <v>46</v>
      </c>
      <c r="AW124">
        <v>73</v>
      </c>
      <c r="AX124">
        <v>73</v>
      </c>
      <c r="AY124">
        <v>89</v>
      </c>
      <c r="AZ124">
        <v>99</v>
      </c>
      <c r="BA124">
        <v>99</v>
      </c>
      <c r="BB124">
        <v>190</v>
      </c>
      <c r="BC124">
        <v>228</v>
      </c>
      <c r="BD124">
        <v>331</v>
      </c>
      <c r="BE124">
        <v>331</v>
      </c>
      <c r="BF124">
        <v>387</v>
      </c>
      <c r="BG124">
        <v>418</v>
      </c>
      <c r="BH124">
        <v>418</v>
      </c>
      <c r="BI124">
        <v>495</v>
      </c>
      <c r="BJ124">
        <v>530</v>
      </c>
      <c r="BK124">
        <v>624</v>
      </c>
      <c r="BL124">
        <v>695</v>
      </c>
      <c r="BM124">
        <v>743</v>
      </c>
      <c r="BN124">
        <v>821</v>
      </c>
      <c r="BO124">
        <v>892</v>
      </c>
      <c r="BP124">
        <v>966</v>
      </c>
      <c r="BQ124">
        <v>1061</v>
      </c>
      <c r="BR124">
        <v>1156</v>
      </c>
      <c r="BS124">
        <v>1212</v>
      </c>
    </row>
    <row r="125" spans="1:71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2</v>
      </c>
      <c r="BF125">
        <v>6</v>
      </c>
      <c r="BG125">
        <v>6</v>
      </c>
      <c r="BH125">
        <v>9</v>
      </c>
      <c r="BI125">
        <v>12</v>
      </c>
      <c r="BJ125">
        <v>17</v>
      </c>
      <c r="BK125">
        <v>19</v>
      </c>
      <c r="BL125">
        <v>20</v>
      </c>
      <c r="BM125">
        <v>21</v>
      </c>
      <c r="BN125">
        <v>24</v>
      </c>
      <c r="BO125">
        <v>25</v>
      </c>
      <c r="BP125">
        <v>28</v>
      </c>
      <c r="BQ125">
        <v>34</v>
      </c>
      <c r="BR125">
        <v>34</v>
      </c>
      <c r="BS125">
        <v>36</v>
      </c>
    </row>
    <row r="126" spans="1:71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1</v>
      </c>
      <c r="BC126">
        <v>1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2</v>
      </c>
      <c r="BK126">
        <v>2</v>
      </c>
      <c r="BL126">
        <v>4</v>
      </c>
      <c r="BM126">
        <v>4</v>
      </c>
      <c r="BN126">
        <v>4</v>
      </c>
      <c r="BO126">
        <v>4</v>
      </c>
      <c r="BP126">
        <v>8</v>
      </c>
      <c r="BQ126">
        <v>8</v>
      </c>
      <c r="BR126">
        <v>16</v>
      </c>
      <c r="BS126">
        <v>22</v>
      </c>
    </row>
    <row r="127" spans="1:71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4</v>
      </c>
      <c r="BE127">
        <v>4</v>
      </c>
      <c r="BF127">
        <v>7</v>
      </c>
      <c r="BG127">
        <v>7</v>
      </c>
      <c r="BH127">
        <v>7</v>
      </c>
      <c r="BI127">
        <v>7</v>
      </c>
      <c r="BJ127">
        <v>7</v>
      </c>
      <c r="BK127">
        <v>19</v>
      </c>
      <c r="BL127">
        <v>20</v>
      </c>
      <c r="BM127">
        <v>5</v>
      </c>
      <c r="BN127">
        <v>5</v>
      </c>
      <c r="BO127">
        <v>5</v>
      </c>
      <c r="BP127">
        <v>5</v>
      </c>
      <c r="BQ127">
        <v>8</v>
      </c>
      <c r="BR127">
        <v>8</v>
      </c>
      <c r="BS127">
        <v>8</v>
      </c>
    </row>
    <row r="128" spans="1:71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2</v>
      </c>
      <c r="BJ128">
        <v>2</v>
      </c>
      <c r="BK128">
        <v>2</v>
      </c>
      <c r="BL128">
        <v>6</v>
      </c>
      <c r="BM128">
        <v>7</v>
      </c>
      <c r="BN128">
        <v>8</v>
      </c>
      <c r="BO128">
        <v>8</v>
      </c>
      <c r="BP128">
        <v>8</v>
      </c>
      <c r="BQ128">
        <v>8</v>
      </c>
      <c r="BR128">
        <v>15</v>
      </c>
      <c r="BS128">
        <v>15</v>
      </c>
    </row>
    <row r="129" spans="1:71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1</v>
      </c>
      <c r="AV129">
        <v>1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4</v>
      </c>
      <c r="BN129">
        <v>4</v>
      </c>
      <c r="BO129">
        <v>4</v>
      </c>
      <c r="BP129">
        <v>4</v>
      </c>
      <c r="BQ129">
        <v>6</v>
      </c>
      <c r="BR129">
        <v>6</v>
      </c>
      <c r="BS129">
        <v>6</v>
      </c>
    </row>
    <row r="130" spans="1:71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2</v>
      </c>
      <c r="BA130">
        <v>2</v>
      </c>
      <c r="BB130">
        <v>2</v>
      </c>
      <c r="BC130">
        <v>2</v>
      </c>
      <c r="BD130">
        <v>3</v>
      </c>
      <c r="BE130">
        <v>6</v>
      </c>
      <c r="BF130">
        <v>8</v>
      </c>
      <c r="BG130">
        <v>9</v>
      </c>
      <c r="BH130">
        <v>12</v>
      </c>
      <c r="BI130">
        <v>24</v>
      </c>
      <c r="BJ130">
        <v>24</v>
      </c>
      <c r="BK130">
        <v>26</v>
      </c>
      <c r="BL130">
        <v>30</v>
      </c>
      <c r="BM130">
        <v>30</v>
      </c>
      <c r="BN130">
        <v>36</v>
      </c>
      <c r="BO130">
        <v>52</v>
      </c>
      <c r="BP130">
        <v>68</v>
      </c>
      <c r="BQ130">
        <v>95</v>
      </c>
      <c r="BR130">
        <v>110</v>
      </c>
      <c r="BS130">
        <v>139</v>
      </c>
    </row>
    <row r="131" spans="1:71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2</v>
      </c>
      <c r="AT131">
        <v>2</v>
      </c>
      <c r="AU131">
        <v>2</v>
      </c>
      <c r="AV131">
        <v>4</v>
      </c>
      <c r="AW131">
        <v>7</v>
      </c>
      <c r="AX131">
        <v>9</v>
      </c>
      <c r="AY131">
        <v>9</v>
      </c>
      <c r="AZ131">
        <v>13</v>
      </c>
      <c r="BA131">
        <v>13</v>
      </c>
      <c r="BB131">
        <v>19</v>
      </c>
      <c r="BC131">
        <v>30</v>
      </c>
      <c r="BD131">
        <v>32</v>
      </c>
      <c r="BE131">
        <v>39</v>
      </c>
      <c r="BF131">
        <v>50</v>
      </c>
      <c r="BG131">
        <v>58</v>
      </c>
      <c r="BH131">
        <v>73</v>
      </c>
      <c r="BI131">
        <v>85</v>
      </c>
      <c r="BJ131">
        <v>103</v>
      </c>
      <c r="BK131">
        <v>131</v>
      </c>
      <c r="BL131">
        <v>167</v>
      </c>
      <c r="BM131">
        <v>187</v>
      </c>
      <c r="BN131">
        <v>226</v>
      </c>
      <c r="BO131">
        <v>261</v>
      </c>
      <c r="BP131">
        <v>300</v>
      </c>
      <c r="BQ131">
        <v>343</v>
      </c>
      <c r="BR131">
        <v>408</v>
      </c>
      <c r="BS131">
        <v>447</v>
      </c>
    </row>
    <row r="132" spans="1:71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</v>
      </c>
      <c r="AO132">
        <v>1</v>
      </c>
      <c r="AP132">
        <v>3</v>
      </c>
      <c r="AQ132">
        <v>6</v>
      </c>
      <c r="AR132">
        <v>11</v>
      </c>
      <c r="AS132">
        <v>26</v>
      </c>
      <c r="AT132">
        <v>34</v>
      </c>
      <c r="AU132">
        <v>43</v>
      </c>
      <c r="AV132">
        <v>50</v>
      </c>
      <c r="AW132">
        <v>50</v>
      </c>
      <c r="AX132">
        <v>58</v>
      </c>
      <c r="AY132">
        <v>69</v>
      </c>
      <c r="AZ132">
        <v>85</v>
      </c>
      <c r="BA132">
        <v>103</v>
      </c>
      <c r="BB132">
        <v>134</v>
      </c>
      <c r="BC132">
        <v>156</v>
      </c>
      <c r="BD132">
        <v>171</v>
      </c>
      <c r="BE132">
        <v>180</v>
      </c>
      <c r="BF132">
        <v>220</v>
      </c>
      <c r="BG132">
        <v>250</v>
      </c>
      <c r="BH132">
        <v>330</v>
      </c>
      <c r="BI132">
        <v>409</v>
      </c>
      <c r="BJ132">
        <v>473</v>
      </c>
      <c r="BK132">
        <v>568</v>
      </c>
      <c r="BL132">
        <v>588</v>
      </c>
      <c r="BM132">
        <v>648</v>
      </c>
      <c r="BN132">
        <v>737</v>
      </c>
      <c r="BO132">
        <v>802</v>
      </c>
      <c r="BP132">
        <v>890</v>
      </c>
      <c r="BQ132">
        <v>963</v>
      </c>
      <c r="BR132">
        <v>1020</v>
      </c>
      <c r="BS132">
        <v>1086</v>
      </c>
    </row>
    <row r="133" spans="1:71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1</v>
      </c>
      <c r="L133">
        <v>1</v>
      </c>
      <c r="M133">
        <v>1</v>
      </c>
      <c r="N133">
        <v>2</v>
      </c>
      <c r="O133">
        <v>3</v>
      </c>
      <c r="P133">
        <v>3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5</v>
      </c>
      <c r="AR133">
        <v>5</v>
      </c>
      <c r="AS133">
        <v>28</v>
      </c>
      <c r="AT133">
        <v>30</v>
      </c>
      <c r="AU133">
        <v>31</v>
      </c>
      <c r="AV133">
        <v>34</v>
      </c>
      <c r="AW133">
        <v>39</v>
      </c>
      <c r="AX133">
        <v>43</v>
      </c>
      <c r="AY133">
        <v>56</v>
      </c>
      <c r="AZ133">
        <v>62</v>
      </c>
      <c r="BA133">
        <v>73</v>
      </c>
      <c r="BB133">
        <v>82</v>
      </c>
      <c r="BC133">
        <v>102</v>
      </c>
      <c r="BD133">
        <v>113</v>
      </c>
      <c r="BE133">
        <v>119</v>
      </c>
      <c r="BF133">
        <v>142</v>
      </c>
      <c r="BG133">
        <v>156</v>
      </c>
      <c r="BH133">
        <v>194</v>
      </c>
      <c r="BI133">
        <v>244</v>
      </c>
      <c r="BJ133">
        <v>330</v>
      </c>
      <c r="BK133">
        <v>396</v>
      </c>
      <c r="BL133">
        <v>499</v>
      </c>
      <c r="BM133">
        <v>536</v>
      </c>
      <c r="BN133">
        <v>657</v>
      </c>
      <c r="BO133">
        <v>727</v>
      </c>
      <c r="BP133">
        <v>887</v>
      </c>
      <c r="BQ133">
        <v>987</v>
      </c>
      <c r="BR133">
        <v>1024</v>
      </c>
      <c r="BS133">
        <v>1251</v>
      </c>
    </row>
    <row r="134" spans="1:71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2</v>
      </c>
      <c r="AR134">
        <v>2</v>
      </c>
      <c r="AS134">
        <v>2</v>
      </c>
      <c r="AT134">
        <v>2</v>
      </c>
      <c r="AU134">
        <v>4</v>
      </c>
      <c r="AV134">
        <v>4</v>
      </c>
      <c r="AW134">
        <v>6</v>
      </c>
      <c r="AX134">
        <v>19</v>
      </c>
      <c r="AY134">
        <v>27</v>
      </c>
      <c r="AZ134">
        <v>34</v>
      </c>
      <c r="BA134">
        <v>34</v>
      </c>
      <c r="BB134">
        <v>69</v>
      </c>
      <c r="BC134">
        <v>96</v>
      </c>
      <c r="BD134">
        <v>117</v>
      </c>
      <c r="BE134">
        <v>134</v>
      </c>
      <c r="BF134">
        <v>172</v>
      </c>
      <c r="BG134">
        <v>227</v>
      </c>
      <c r="BH134">
        <v>311</v>
      </c>
      <c r="BI134">
        <v>369</v>
      </c>
      <c r="BJ134">
        <v>450</v>
      </c>
      <c r="BK134">
        <v>514</v>
      </c>
      <c r="BL134">
        <v>579</v>
      </c>
      <c r="BM134">
        <v>686</v>
      </c>
      <c r="BN134">
        <v>790</v>
      </c>
      <c r="BO134">
        <v>893</v>
      </c>
      <c r="BP134">
        <v>1046</v>
      </c>
      <c r="BQ134">
        <v>1155</v>
      </c>
      <c r="BR134">
        <v>1285</v>
      </c>
      <c r="BS134">
        <v>1414</v>
      </c>
    </row>
    <row r="135" spans="1:71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5</v>
      </c>
      <c r="AG135">
        <v>18</v>
      </c>
      <c r="AH135">
        <v>28</v>
      </c>
      <c r="AI135">
        <v>43</v>
      </c>
      <c r="AJ135">
        <v>61</v>
      </c>
      <c r="AK135">
        <v>95</v>
      </c>
      <c r="AL135">
        <v>139</v>
      </c>
      <c r="AM135">
        <v>245</v>
      </c>
      <c r="AN135">
        <v>388</v>
      </c>
      <c r="AO135">
        <v>593</v>
      </c>
      <c r="AP135">
        <v>978</v>
      </c>
      <c r="AQ135">
        <v>1501</v>
      </c>
      <c r="AR135">
        <v>2336</v>
      </c>
      <c r="AS135">
        <v>2922</v>
      </c>
      <c r="AT135">
        <v>3513</v>
      </c>
      <c r="AU135">
        <v>4747</v>
      </c>
      <c r="AV135">
        <v>5823</v>
      </c>
      <c r="AW135">
        <v>6566</v>
      </c>
      <c r="AX135">
        <v>7161</v>
      </c>
      <c r="AY135">
        <v>8042</v>
      </c>
      <c r="AZ135">
        <v>9000</v>
      </c>
      <c r="BA135">
        <v>10075</v>
      </c>
      <c r="BB135">
        <v>11364</v>
      </c>
      <c r="BC135">
        <v>12729</v>
      </c>
      <c r="BD135">
        <v>13938</v>
      </c>
      <c r="BE135">
        <v>14991</v>
      </c>
      <c r="BF135">
        <v>16169</v>
      </c>
      <c r="BG135">
        <v>17361</v>
      </c>
      <c r="BH135">
        <v>18407</v>
      </c>
      <c r="BI135">
        <v>19644</v>
      </c>
      <c r="BJ135">
        <v>20610</v>
      </c>
      <c r="BK135">
        <v>21638</v>
      </c>
      <c r="BL135">
        <v>23049</v>
      </c>
      <c r="BM135">
        <v>24811</v>
      </c>
      <c r="BN135">
        <v>27017</v>
      </c>
      <c r="BO135">
        <v>29406</v>
      </c>
      <c r="BP135">
        <v>32332</v>
      </c>
      <c r="BQ135">
        <v>35408</v>
      </c>
      <c r="BR135">
        <v>38309</v>
      </c>
      <c r="BS135">
        <v>41495</v>
      </c>
    </row>
    <row r="136" spans="1:71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1</v>
      </c>
      <c r="AK136">
        <v>1</v>
      </c>
      <c r="AL136">
        <v>5</v>
      </c>
      <c r="AM136">
        <v>7</v>
      </c>
      <c r="AN136">
        <v>7</v>
      </c>
      <c r="AO136">
        <v>13</v>
      </c>
      <c r="AP136">
        <v>19</v>
      </c>
      <c r="AQ136">
        <v>26</v>
      </c>
      <c r="AR136">
        <v>32</v>
      </c>
      <c r="AS136">
        <v>35</v>
      </c>
      <c r="AT136">
        <v>35</v>
      </c>
      <c r="AU136">
        <v>40</v>
      </c>
      <c r="AV136">
        <v>54</v>
      </c>
      <c r="AW136">
        <v>60</v>
      </c>
      <c r="AX136">
        <v>60</v>
      </c>
      <c r="AY136">
        <v>71</v>
      </c>
      <c r="AZ136">
        <v>71</v>
      </c>
      <c r="BA136">
        <v>71</v>
      </c>
      <c r="BB136">
        <v>101</v>
      </c>
      <c r="BC136">
        <v>110</v>
      </c>
      <c r="BD136">
        <v>116</v>
      </c>
      <c r="BE136">
        <v>124</v>
      </c>
      <c r="BF136">
        <v>154</v>
      </c>
      <c r="BG136">
        <v>164</v>
      </c>
      <c r="BH136">
        <v>192</v>
      </c>
      <c r="BI136">
        <v>208</v>
      </c>
      <c r="BJ136">
        <v>214</v>
      </c>
      <c r="BK136">
        <v>233</v>
      </c>
      <c r="BL136">
        <v>266</v>
      </c>
      <c r="BM136">
        <v>316</v>
      </c>
      <c r="BN136">
        <v>346</v>
      </c>
      <c r="BO136">
        <v>382</v>
      </c>
      <c r="BP136">
        <v>458</v>
      </c>
      <c r="BQ136">
        <v>506</v>
      </c>
      <c r="BR136">
        <v>547</v>
      </c>
      <c r="BS136">
        <v>630</v>
      </c>
    </row>
    <row r="137" spans="1:71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1</v>
      </c>
      <c r="AP137">
        <v>1</v>
      </c>
      <c r="AQ137">
        <v>1</v>
      </c>
      <c r="AR137">
        <v>2</v>
      </c>
      <c r="AS137">
        <v>6</v>
      </c>
      <c r="AT137">
        <v>6</v>
      </c>
      <c r="AU137">
        <v>18</v>
      </c>
      <c r="AV137">
        <v>18</v>
      </c>
      <c r="AW137">
        <v>19</v>
      </c>
      <c r="AX137">
        <v>21</v>
      </c>
      <c r="AY137">
        <v>34</v>
      </c>
      <c r="AZ137">
        <v>43</v>
      </c>
      <c r="BA137">
        <v>43</v>
      </c>
      <c r="BB137">
        <v>90</v>
      </c>
      <c r="BC137">
        <v>129</v>
      </c>
      <c r="BD137">
        <v>129</v>
      </c>
      <c r="BE137">
        <v>169</v>
      </c>
      <c r="BF137">
        <v>223</v>
      </c>
      <c r="BG137">
        <v>292</v>
      </c>
      <c r="BH137">
        <v>557</v>
      </c>
      <c r="BI137">
        <v>683</v>
      </c>
      <c r="BJ137">
        <v>785</v>
      </c>
      <c r="BK137">
        <v>906</v>
      </c>
      <c r="BL137">
        <v>1125</v>
      </c>
      <c r="BM137">
        <v>1329</v>
      </c>
      <c r="BN137">
        <v>1564</v>
      </c>
      <c r="BO137">
        <v>1819</v>
      </c>
      <c r="BP137">
        <v>2121</v>
      </c>
      <c r="BQ137">
        <v>2415</v>
      </c>
      <c r="BR137">
        <v>2615</v>
      </c>
      <c r="BS137">
        <v>2910</v>
      </c>
    </row>
    <row r="138" spans="1:71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</v>
      </c>
      <c r="AH138">
        <v>1</v>
      </c>
      <c r="AI138">
        <v>1</v>
      </c>
      <c r="AJ138">
        <v>1</v>
      </c>
      <c r="AK138">
        <v>1</v>
      </c>
      <c r="AL138">
        <v>2</v>
      </c>
      <c r="AM138">
        <v>3</v>
      </c>
      <c r="AN138">
        <v>4</v>
      </c>
      <c r="AO138">
        <v>7</v>
      </c>
      <c r="AP138">
        <v>10</v>
      </c>
      <c r="AQ138">
        <v>10</v>
      </c>
      <c r="AR138">
        <v>12</v>
      </c>
      <c r="AS138">
        <v>15</v>
      </c>
      <c r="AT138">
        <v>20</v>
      </c>
      <c r="AU138">
        <v>37</v>
      </c>
      <c r="AV138">
        <v>43</v>
      </c>
      <c r="AW138">
        <v>61</v>
      </c>
      <c r="AX138">
        <v>61</v>
      </c>
      <c r="AY138">
        <v>75</v>
      </c>
      <c r="AZ138">
        <v>79</v>
      </c>
      <c r="BA138">
        <v>100</v>
      </c>
      <c r="BB138">
        <v>126</v>
      </c>
      <c r="BC138">
        <v>155</v>
      </c>
      <c r="BD138">
        <v>213</v>
      </c>
      <c r="BE138">
        <v>218</v>
      </c>
      <c r="BF138">
        <v>250</v>
      </c>
      <c r="BG138">
        <v>304</v>
      </c>
      <c r="BH138">
        <v>427</v>
      </c>
      <c r="BI138">
        <v>529</v>
      </c>
      <c r="BJ138">
        <v>712</v>
      </c>
      <c r="BK138">
        <v>883</v>
      </c>
      <c r="BL138">
        <v>1071</v>
      </c>
      <c r="BM138">
        <v>1238</v>
      </c>
      <c r="BN138">
        <v>2369</v>
      </c>
      <c r="BO138">
        <v>2693</v>
      </c>
      <c r="BP138">
        <v>3035</v>
      </c>
      <c r="BQ138">
        <v>3619</v>
      </c>
      <c r="BR138">
        <v>4247</v>
      </c>
      <c r="BS138">
        <v>4695</v>
      </c>
    </row>
    <row r="139" spans="1:71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2</v>
      </c>
      <c r="M139">
        <v>2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3</v>
      </c>
      <c r="T139">
        <v>3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20</v>
      </c>
      <c r="AH139">
        <v>62</v>
      </c>
      <c r="AI139">
        <v>155</v>
      </c>
      <c r="AJ139">
        <v>229</v>
      </c>
      <c r="AK139">
        <v>322</v>
      </c>
      <c r="AL139">
        <v>453</v>
      </c>
      <c r="AM139">
        <v>655</v>
      </c>
      <c r="AN139">
        <v>888</v>
      </c>
      <c r="AO139">
        <v>1128</v>
      </c>
      <c r="AP139">
        <v>1694</v>
      </c>
      <c r="AQ139">
        <v>2036</v>
      </c>
      <c r="AR139">
        <v>2502</v>
      </c>
      <c r="AS139">
        <v>3089</v>
      </c>
      <c r="AT139">
        <v>3858</v>
      </c>
      <c r="AU139">
        <v>4636</v>
      </c>
      <c r="AV139">
        <v>5883</v>
      </c>
      <c r="AW139">
        <v>7375</v>
      </c>
      <c r="AX139">
        <v>9172</v>
      </c>
      <c r="AY139">
        <v>10149</v>
      </c>
      <c r="AZ139">
        <v>12462</v>
      </c>
      <c r="BA139">
        <v>12462</v>
      </c>
      <c r="BB139">
        <v>17660</v>
      </c>
      <c r="BC139">
        <v>21157</v>
      </c>
      <c r="BD139">
        <v>24747</v>
      </c>
      <c r="BE139">
        <v>27980</v>
      </c>
      <c r="BF139">
        <v>31506</v>
      </c>
      <c r="BG139">
        <v>35713</v>
      </c>
      <c r="BH139">
        <v>41035</v>
      </c>
      <c r="BI139">
        <v>47021</v>
      </c>
      <c r="BJ139">
        <v>53578</v>
      </c>
      <c r="BK139">
        <v>59138</v>
      </c>
      <c r="BL139">
        <v>63927</v>
      </c>
      <c r="BM139">
        <v>69176</v>
      </c>
      <c r="BN139">
        <v>74386</v>
      </c>
      <c r="BO139">
        <v>80589</v>
      </c>
      <c r="BP139">
        <v>86498</v>
      </c>
      <c r="BQ139">
        <v>92472</v>
      </c>
      <c r="BR139">
        <v>97689</v>
      </c>
      <c r="BS139">
        <v>101739</v>
      </c>
    </row>
    <row r="140" spans="1:71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1</v>
      </c>
      <c r="BA140">
        <v>2</v>
      </c>
      <c r="BB140">
        <v>8</v>
      </c>
      <c r="BC140">
        <v>8</v>
      </c>
      <c r="BD140">
        <v>10</v>
      </c>
      <c r="BE140">
        <v>10</v>
      </c>
      <c r="BF140">
        <v>12</v>
      </c>
      <c r="BG140">
        <v>13</v>
      </c>
      <c r="BH140">
        <v>15</v>
      </c>
      <c r="BI140">
        <v>16</v>
      </c>
      <c r="BJ140">
        <v>16</v>
      </c>
      <c r="BK140">
        <v>19</v>
      </c>
      <c r="BL140">
        <v>19</v>
      </c>
      <c r="BM140">
        <v>21</v>
      </c>
      <c r="BN140">
        <v>26</v>
      </c>
      <c r="BO140">
        <v>26</v>
      </c>
      <c r="BP140">
        <v>26</v>
      </c>
      <c r="BQ140">
        <v>30</v>
      </c>
      <c r="BR140">
        <v>32</v>
      </c>
      <c r="BS140">
        <v>36</v>
      </c>
    </row>
    <row r="141" spans="1:71" x14ac:dyDescent="0.25">
      <c r="A141" s="1" t="s">
        <v>2</v>
      </c>
      <c r="B141" s="1" t="s">
        <v>3</v>
      </c>
      <c r="C141">
        <v>2</v>
      </c>
      <c r="D141">
        <v>2</v>
      </c>
      <c r="E141">
        <v>2</v>
      </c>
      <c r="F141">
        <v>2</v>
      </c>
      <c r="G141">
        <v>4</v>
      </c>
      <c r="H141">
        <v>4</v>
      </c>
      <c r="I141">
        <v>7</v>
      </c>
      <c r="J141">
        <v>7</v>
      </c>
      <c r="K141">
        <v>11</v>
      </c>
      <c r="L141">
        <v>15</v>
      </c>
      <c r="M141">
        <v>20</v>
      </c>
      <c r="N141">
        <v>20</v>
      </c>
      <c r="O141">
        <v>20</v>
      </c>
      <c r="P141">
        <v>22</v>
      </c>
      <c r="Q141">
        <v>22</v>
      </c>
      <c r="R141">
        <v>22</v>
      </c>
      <c r="S141">
        <v>25</v>
      </c>
      <c r="T141">
        <v>25</v>
      </c>
      <c r="U141">
        <v>26</v>
      </c>
      <c r="V141">
        <v>26</v>
      </c>
      <c r="W141">
        <v>26</v>
      </c>
      <c r="X141">
        <v>28</v>
      </c>
      <c r="Y141">
        <v>28</v>
      </c>
      <c r="Z141">
        <v>29</v>
      </c>
      <c r="AA141">
        <v>43</v>
      </c>
      <c r="AB141">
        <v>59</v>
      </c>
      <c r="AC141">
        <v>66</v>
      </c>
      <c r="AD141">
        <v>74</v>
      </c>
      <c r="AE141">
        <v>84</v>
      </c>
      <c r="AF141">
        <v>94</v>
      </c>
      <c r="AG141">
        <v>105</v>
      </c>
      <c r="AH141">
        <v>122</v>
      </c>
      <c r="AI141">
        <v>147</v>
      </c>
      <c r="AJ141">
        <v>159</v>
      </c>
      <c r="AK141">
        <v>170</v>
      </c>
      <c r="AL141">
        <v>189</v>
      </c>
      <c r="AM141">
        <v>214</v>
      </c>
      <c r="AN141">
        <v>228</v>
      </c>
      <c r="AO141">
        <v>241</v>
      </c>
      <c r="AP141">
        <v>256</v>
      </c>
      <c r="AQ141">
        <v>274</v>
      </c>
      <c r="AR141">
        <v>293</v>
      </c>
      <c r="AS141">
        <v>331</v>
      </c>
      <c r="AT141">
        <v>360</v>
      </c>
      <c r="AU141">
        <v>420</v>
      </c>
      <c r="AV141">
        <v>461</v>
      </c>
      <c r="AW141">
        <v>502</v>
      </c>
      <c r="AX141">
        <v>511</v>
      </c>
      <c r="AY141">
        <v>581</v>
      </c>
      <c r="AZ141">
        <v>639</v>
      </c>
      <c r="BA141">
        <v>639</v>
      </c>
      <c r="BB141">
        <v>701</v>
      </c>
      <c r="BC141">
        <v>773</v>
      </c>
      <c r="BD141">
        <v>839</v>
      </c>
      <c r="BE141">
        <v>839</v>
      </c>
      <c r="BF141">
        <v>878</v>
      </c>
      <c r="BG141">
        <v>889</v>
      </c>
      <c r="BH141">
        <v>924</v>
      </c>
      <c r="BI141">
        <v>963</v>
      </c>
      <c r="BJ141">
        <v>1007</v>
      </c>
      <c r="BK141">
        <v>1101</v>
      </c>
      <c r="BL141">
        <v>1128</v>
      </c>
      <c r="BM141">
        <v>1193</v>
      </c>
      <c r="BN141">
        <v>1307</v>
      </c>
      <c r="BO141">
        <v>1387</v>
      </c>
      <c r="BP141">
        <v>1468</v>
      </c>
      <c r="BQ141">
        <v>1693</v>
      </c>
      <c r="BR141">
        <v>1866</v>
      </c>
      <c r="BS141">
        <v>1866</v>
      </c>
    </row>
    <row r="142" spans="1:71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1</v>
      </c>
      <c r="AS142">
        <v>1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8</v>
      </c>
      <c r="BE142">
        <v>17</v>
      </c>
      <c r="BF142">
        <v>34</v>
      </c>
      <c r="BG142">
        <v>52</v>
      </c>
      <c r="BH142">
        <v>69</v>
      </c>
      <c r="BI142">
        <v>85</v>
      </c>
      <c r="BJ142">
        <v>85</v>
      </c>
      <c r="BK142">
        <v>112</v>
      </c>
      <c r="BL142">
        <v>127</v>
      </c>
      <c r="BM142">
        <v>154</v>
      </c>
      <c r="BN142">
        <v>172</v>
      </c>
      <c r="BO142">
        <v>212</v>
      </c>
      <c r="BP142">
        <v>235</v>
      </c>
      <c r="BQ142">
        <v>246</v>
      </c>
      <c r="BR142">
        <v>259</v>
      </c>
      <c r="BS142">
        <v>268</v>
      </c>
    </row>
    <row r="143" spans="1:71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4</v>
      </c>
      <c r="BC143">
        <v>6</v>
      </c>
      <c r="BD143">
        <v>9</v>
      </c>
      <c r="BE143">
        <v>10</v>
      </c>
      <c r="BF143">
        <v>33</v>
      </c>
      <c r="BG143">
        <v>35</v>
      </c>
      <c r="BH143">
        <v>44</v>
      </c>
      <c r="BI143">
        <v>49</v>
      </c>
      <c r="BJ143">
        <v>53</v>
      </c>
      <c r="BK143">
        <v>60</v>
      </c>
      <c r="BL143">
        <v>62</v>
      </c>
      <c r="BM143">
        <v>72</v>
      </c>
      <c r="BN143">
        <v>81</v>
      </c>
      <c r="BO143">
        <v>111</v>
      </c>
      <c r="BP143">
        <v>150</v>
      </c>
      <c r="BQ143">
        <v>228</v>
      </c>
      <c r="BR143">
        <v>284</v>
      </c>
      <c r="BS143">
        <v>302</v>
      </c>
    </row>
    <row r="144" spans="1:71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1</v>
      </c>
      <c r="BC144">
        <v>1</v>
      </c>
      <c r="BD144">
        <v>3</v>
      </c>
      <c r="BE144">
        <v>3</v>
      </c>
      <c r="BF144">
        <v>3</v>
      </c>
      <c r="BG144">
        <v>3</v>
      </c>
      <c r="BH144">
        <v>7</v>
      </c>
      <c r="BI144">
        <v>7</v>
      </c>
      <c r="BJ144">
        <v>7</v>
      </c>
      <c r="BK144">
        <v>15</v>
      </c>
      <c r="BL144">
        <v>16</v>
      </c>
      <c r="BM144">
        <v>25</v>
      </c>
      <c r="BN144">
        <v>28</v>
      </c>
      <c r="BO144">
        <v>31</v>
      </c>
      <c r="BP144">
        <v>31</v>
      </c>
      <c r="BQ144">
        <v>38</v>
      </c>
      <c r="BR144">
        <v>42</v>
      </c>
      <c r="BS144">
        <v>50</v>
      </c>
    </row>
    <row r="145" spans="1:71" x14ac:dyDescent="0.25">
      <c r="A145" s="1" t="s">
        <v>2</v>
      </c>
      <c r="B145" s="1" t="s">
        <v>111</v>
      </c>
      <c r="C145">
        <v>1</v>
      </c>
      <c r="D145">
        <v>1</v>
      </c>
      <c r="E145">
        <v>2</v>
      </c>
      <c r="F145">
        <v>2</v>
      </c>
      <c r="G145">
        <v>3</v>
      </c>
      <c r="H145">
        <v>4</v>
      </c>
      <c r="I145">
        <v>4</v>
      </c>
      <c r="J145">
        <v>4</v>
      </c>
      <c r="K145">
        <v>4</v>
      </c>
      <c r="L145">
        <v>11</v>
      </c>
      <c r="M145">
        <v>12</v>
      </c>
      <c r="N145">
        <v>15</v>
      </c>
      <c r="O145">
        <v>15</v>
      </c>
      <c r="P145">
        <v>16</v>
      </c>
      <c r="Q145">
        <v>19</v>
      </c>
      <c r="R145">
        <v>23</v>
      </c>
      <c r="S145">
        <v>24</v>
      </c>
      <c r="T145">
        <v>24</v>
      </c>
      <c r="U145">
        <v>25</v>
      </c>
      <c r="V145">
        <v>27</v>
      </c>
      <c r="W145">
        <v>28</v>
      </c>
      <c r="X145">
        <v>28</v>
      </c>
      <c r="Y145">
        <v>28</v>
      </c>
      <c r="Z145">
        <v>28</v>
      </c>
      <c r="AA145">
        <v>28</v>
      </c>
      <c r="AB145">
        <v>29</v>
      </c>
      <c r="AC145">
        <v>30</v>
      </c>
      <c r="AD145">
        <v>31</v>
      </c>
      <c r="AE145">
        <v>31</v>
      </c>
      <c r="AF145">
        <v>104</v>
      </c>
      <c r="AG145">
        <v>204</v>
      </c>
      <c r="AH145">
        <v>433</v>
      </c>
      <c r="AI145">
        <v>602</v>
      </c>
      <c r="AJ145">
        <v>833</v>
      </c>
      <c r="AK145">
        <v>977</v>
      </c>
      <c r="AL145">
        <v>1261</v>
      </c>
      <c r="AM145">
        <v>1766</v>
      </c>
      <c r="AN145">
        <v>2337</v>
      </c>
      <c r="AO145">
        <v>3150</v>
      </c>
      <c r="AP145">
        <v>3736</v>
      </c>
      <c r="AQ145">
        <v>4335</v>
      </c>
      <c r="AR145">
        <v>5186</v>
      </c>
      <c r="AS145">
        <v>5621</v>
      </c>
      <c r="AT145">
        <v>6088</v>
      </c>
      <c r="AU145">
        <v>6593</v>
      </c>
      <c r="AV145">
        <v>7041</v>
      </c>
      <c r="AW145">
        <v>7314</v>
      </c>
      <c r="AX145">
        <v>7478</v>
      </c>
      <c r="AY145">
        <v>7513</v>
      </c>
      <c r="AZ145">
        <v>7755</v>
      </c>
      <c r="BA145">
        <v>7869</v>
      </c>
      <c r="BB145">
        <v>7979</v>
      </c>
      <c r="BC145">
        <v>8086</v>
      </c>
      <c r="BD145">
        <v>8162</v>
      </c>
      <c r="BE145">
        <v>8236</v>
      </c>
      <c r="BF145">
        <v>8320</v>
      </c>
      <c r="BG145">
        <v>8413</v>
      </c>
      <c r="BH145">
        <v>8565</v>
      </c>
      <c r="BI145">
        <v>8652</v>
      </c>
      <c r="BJ145">
        <v>8799</v>
      </c>
      <c r="BK145">
        <v>8961</v>
      </c>
      <c r="BL145">
        <v>8961</v>
      </c>
      <c r="BM145">
        <v>9037</v>
      </c>
      <c r="BN145">
        <v>9137</v>
      </c>
      <c r="BO145">
        <v>9241</v>
      </c>
      <c r="BP145">
        <v>9332</v>
      </c>
      <c r="BQ145">
        <v>9478</v>
      </c>
      <c r="BR145">
        <v>9583</v>
      </c>
      <c r="BS145">
        <v>9661</v>
      </c>
    </row>
    <row r="146" spans="1:71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1</v>
      </c>
      <c r="AK146">
        <v>11</v>
      </c>
      <c r="AL146">
        <v>26</v>
      </c>
      <c r="AM146">
        <v>43</v>
      </c>
      <c r="AN146">
        <v>45</v>
      </c>
      <c r="AO146">
        <v>45</v>
      </c>
      <c r="AP146">
        <v>45</v>
      </c>
      <c r="AQ146">
        <v>56</v>
      </c>
      <c r="AR146">
        <v>56</v>
      </c>
      <c r="AS146">
        <v>56</v>
      </c>
      <c r="AT146">
        <v>58</v>
      </c>
      <c r="AU146">
        <v>58</v>
      </c>
      <c r="AV146">
        <v>61</v>
      </c>
      <c r="AW146">
        <v>64</v>
      </c>
      <c r="AX146">
        <v>64</v>
      </c>
      <c r="AY146">
        <v>69</v>
      </c>
      <c r="AZ146">
        <v>72</v>
      </c>
      <c r="BA146">
        <v>80</v>
      </c>
      <c r="BB146">
        <v>80</v>
      </c>
      <c r="BC146">
        <v>104</v>
      </c>
      <c r="BD146">
        <v>112</v>
      </c>
      <c r="BE146">
        <v>123</v>
      </c>
      <c r="BF146">
        <v>130</v>
      </c>
      <c r="BG146">
        <v>142</v>
      </c>
      <c r="BH146">
        <v>148</v>
      </c>
      <c r="BI146">
        <v>159</v>
      </c>
      <c r="BJ146">
        <v>176</v>
      </c>
      <c r="BK146">
        <v>188</v>
      </c>
      <c r="BL146">
        <v>189</v>
      </c>
      <c r="BM146">
        <v>191</v>
      </c>
      <c r="BN146">
        <v>195</v>
      </c>
      <c r="BO146">
        <v>208</v>
      </c>
      <c r="BP146">
        <v>225</v>
      </c>
      <c r="BQ146">
        <v>235</v>
      </c>
      <c r="BR146">
        <v>255</v>
      </c>
      <c r="BS146">
        <v>266</v>
      </c>
    </row>
    <row r="147" spans="1:71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3</v>
      </c>
      <c r="BH147">
        <v>3</v>
      </c>
      <c r="BI147">
        <v>6</v>
      </c>
      <c r="BJ147">
        <v>14</v>
      </c>
      <c r="BK147">
        <v>14</v>
      </c>
      <c r="BL147">
        <v>16</v>
      </c>
      <c r="BM147">
        <v>42</v>
      </c>
      <c r="BN147">
        <v>44</v>
      </c>
      <c r="BO147">
        <v>44</v>
      </c>
      <c r="BP147">
        <v>58</v>
      </c>
      <c r="BQ147">
        <v>58</v>
      </c>
      <c r="BR147">
        <v>84</v>
      </c>
      <c r="BS147">
        <v>94</v>
      </c>
    </row>
    <row r="148" spans="1:71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1</v>
      </c>
      <c r="AR148">
        <v>1</v>
      </c>
      <c r="AS148">
        <v>1</v>
      </c>
      <c r="AT148">
        <v>1</v>
      </c>
      <c r="AU148">
        <v>1</v>
      </c>
      <c r="AV148">
        <v>1</v>
      </c>
      <c r="AW148">
        <v>2</v>
      </c>
      <c r="AX148">
        <v>6</v>
      </c>
      <c r="AY148">
        <v>8</v>
      </c>
      <c r="AZ148">
        <v>10</v>
      </c>
      <c r="BA148">
        <v>10</v>
      </c>
      <c r="BB148">
        <v>17</v>
      </c>
      <c r="BC148">
        <v>26</v>
      </c>
      <c r="BD148">
        <v>30</v>
      </c>
      <c r="BE148">
        <v>34</v>
      </c>
      <c r="BF148">
        <v>49</v>
      </c>
      <c r="BG148">
        <v>71</v>
      </c>
      <c r="BH148">
        <v>86</v>
      </c>
      <c r="BI148">
        <v>111</v>
      </c>
      <c r="BJ148">
        <v>124</v>
      </c>
      <c r="BK148">
        <v>139</v>
      </c>
      <c r="BL148">
        <v>180</v>
      </c>
      <c r="BM148">
        <v>197</v>
      </c>
      <c r="BN148">
        <v>221</v>
      </c>
      <c r="BO148">
        <v>244</v>
      </c>
      <c r="BP148">
        <v>280</v>
      </c>
      <c r="BQ148">
        <v>305</v>
      </c>
      <c r="BR148">
        <v>347</v>
      </c>
      <c r="BS148">
        <v>376</v>
      </c>
    </row>
    <row r="149" spans="1:71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1</v>
      </c>
      <c r="AH149">
        <v>1</v>
      </c>
      <c r="AI149">
        <v>1</v>
      </c>
      <c r="AJ149">
        <v>1</v>
      </c>
      <c r="AK149">
        <v>1</v>
      </c>
      <c r="AL149">
        <v>2</v>
      </c>
      <c r="AM149">
        <v>2</v>
      </c>
      <c r="AN149">
        <v>2</v>
      </c>
      <c r="AO149">
        <v>4</v>
      </c>
      <c r="AP149">
        <v>10</v>
      </c>
      <c r="AQ149">
        <v>13</v>
      </c>
      <c r="AR149">
        <v>13</v>
      </c>
      <c r="AS149">
        <v>13</v>
      </c>
      <c r="AT149">
        <v>16</v>
      </c>
      <c r="AU149">
        <v>22</v>
      </c>
      <c r="AV149">
        <v>22</v>
      </c>
      <c r="AW149">
        <v>32</v>
      </c>
      <c r="AX149">
        <v>32</v>
      </c>
      <c r="AY149">
        <v>41</v>
      </c>
      <c r="AZ149">
        <v>61</v>
      </c>
      <c r="BA149">
        <v>61</v>
      </c>
      <c r="BB149">
        <v>77</v>
      </c>
      <c r="BC149">
        <v>93</v>
      </c>
      <c r="BD149">
        <v>110</v>
      </c>
      <c r="BE149">
        <v>110</v>
      </c>
      <c r="BF149">
        <v>120</v>
      </c>
      <c r="BG149">
        <v>133</v>
      </c>
      <c r="BH149">
        <v>157</v>
      </c>
      <c r="BI149">
        <v>163</v>
      </c>
      <c r="BJ149">
        <v>187</v>
      </c>
      <c r="BK149">
        <v>248</v>
      </c>
      <c r="BL149">
        <v>267</v>
      </c>
      <c r="BM149">
        <v>318</v>
      </c>
      <c r="BN149">
        <v>333</v>
      </c>
      <c r="BO149">
        <v>368</v>
      </c>
      <c r="BP149">
        <v>391</v>
      </c>
      <c r="BQ149">
        <v>412</v>
      </c>
      <c r="BR149">
        <v>438</v>
      </c>
      <c r="BS149">
        <v>446</v>
      </c>
    </row>
    <row r="150" spans="1:71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1</v>
      </c>
      <c r="BF150">
        <v>1</v>
      </c>
      <c r="BG150">
        <v>2</v>
      </c>
      <c r="BH150">
        <v>2</v>
      </c>
      <c r="BI150">
        <v>2</v>
      </c>
      <c r="BJ150">
        <v>3</v>
      </c>
      <c r="BK150">
        <v>3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</row>
    <row r="151" spans="1:71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1</v>
      </c>
      <c r="AT151">
        <v>1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4</v>
      </c>
      <c r="BD151">
        <v>4</v>
      </c>
      <c r="BE151">
        <v>4</v>
      </c>
      <c r="BF151">
        <v>7</v>
      </c>
      <c r="BG151">
        <v>28</v>
      </c>
      <c r="BH151">
        <v>28</v>
      </c>
      <c r="BI151">
        <v>28</v>
      </c>
      <c r="BJ151">
        <v>37</v>
      </c>
      <c r="BK151">
        <v>37</v>
      </c>
      <c r="BL151">
        <v>51</v>
      </c>
      <c r="BM151">
        <v>51</v>
      </c>
      <c r="BN151">
        <v>51</v>
      </c>
      <c r="BO151">
        <v>56</v>
      </c>
      <c r="BP151">
        <v>56</v>
      </c>
      <c r="BQ151">
        <v>56</v>
      </c>
      <c r="BR151">
        <v>56</v>
      </c>
      <c r="BS151">
        <v>62</v>
      </c>
    </row>
    <row r="152" spans="1:71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3</v>
      </c>
      <c r="BA152">
        <v>3</v>
      </c>
      <c r="BB152">
        <v>6</v>
      </c>
      <c r="BC152">
        <v>8</v>
      </c>
      <c r="BD152">
        <v>12</v>
      </c>
      <c r="BE152">
        <v>17</v>
      </c>
      <c r="BF152">
        <v>25</v>
      </c>
      <c r="BG152">
        <v>27</v>
      </c>
      <c r="BH152">
        <v>36</v>
      </c>
      <c r="BI152">
        <v>49</v>
      </c>
      <c r="BJ152">
        <v>83</v>
      </c>
      <c r="BK152">
        <v>143</v>
      </c>
      <c r="BL152">
        <v>179</v>
      </c>
      <c r="BM152">
        <v>209</v>
      </c>
      <c r="BN152">
        <v>274</v>
      </c>
      <c r="BO152">
        <v>299</v>
      </c>
      <c r="BP152">
        <v>358</v>
      </c>
      <c r="BQ152">
        <v>394</v>
      </c>
      <c r="BR152">
        <v>460</v>
      </c>
      <c r="BS152">
        <v>491</v>
      </c>
    </row>
    <row r="153" spans="1:71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1</v>
      </c>
      <c r="AP153">
        <v>1</v>
      </c>
      <c r="AQ153">
        <v>1</v>
      </c>
      <c r="AR153">
        <v>1</v>
      </c>
      <c r="AS153">
        <v>1</v>
      </c>
      <c r="AT153">
        <v>1</v>
      </c>
      <c r="AU153">
        <v>2</v>
      </c>
      <c r="AV153">
        <v>2</v>
      </c>
      <c r="AW153">
        <v>3</v>
      </c>
      <c r="AX153">
        <v>3</v>
      </c>
      <c r="AY153">
        <v>5</v>
      </c>
      <c r="AZ153">
        <v>7</v>
      </c>
      <c r="BA153">
        <v>19</v>
      </c>
      <c r="BB153">
        <v>34</v>
      </c>
      <c r="BC153">
        <v>51</v>
      </c>
      <c r="BD153">
        <v>59</v>
      </c>
      <c r="BE153">
        <v>77</v>
      </c>
      <c r="BF153">
        <v>140</v>
      </c>
      <c r="BG153">
        <v>203</v>
      </c>
      <c r="BH153">
        <v>335</v>
      </c>
      <c r="BI153">
        <v>484</v>
      </c>
      <c r="BJ153">
        <v>670</v>
      </c>
      <c r="BK153">
        <v>798</v>
      </c>
      <c r="BL153">
        <v>875</v>
      </c>
      <c r="BM153">
        <v>1099</v>
      </c>
      <c r="BN153">
        <v>1333</v>
      </c>
      <c r="BO153">
        <v>1453</v>
      </c>
      <c r="BP153">
        <v>1605</v>
      </c>
      <c r="BQ153">
        <v>1831</v>
      </c>
      <c r="BR153">
        <v>1950</v>
      </c>
      <c r="BS153">
        <v>1988</v>
      </c>
    </row>
    <row r="154" spans="1:71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3</v>
      </c>
      <c r="BJ154">
        <v>3</v>
      </c>
      <c r="BK154">
        <v>3</v>
      </c>
      <c r="BL154">
        <v>12</v>
      </c>
      <c r="BM154">
        <v>17</v>
      </c>
      <c r="BN154">
        <v>19</v>
      </c>
      <c r="BO154">
        <v>23</v>
      </c>
      <c r="BP154">
        <v>26</v>
      </c>
      <c r="BQ154">
        <v>26</v>
      </c>
      <c r="BR154">
        <v>39</v>
      </c>
      <c r="BS154">
        <v>43</v>
      </c>
    </row>
    <row r="155" spans="1:71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3</v>
      </c>
      <c r="G155">
        <v>4</v>
      </c>
      <c r="H155">
        <v>4</v>
      </c>
      <c r="I155">
        <v>4</v>
      </c>
      <c r="J155">
        <v>7</v>
      </c>
      <c r="K155">
        <v>8</v>
      </c>
      <c r="L155">
        <v>8</v>
      </c>
      <c r="M155">
        <v>8</v>
      </c>
      <c r="N155">
        <v>8</v>
      </c>
      <c r="O155">
        <v>8</v>
      </c>
      <c r="P155">
        <v>10</v>
      </c>
      <c r="Q155">
        <v>12</v>
      </c>
      <c r="R155">
        <v>12</v>
      </c>
      <c r="S155">
        <v>12</v>
      </c>
      <c r="T155">
        <v>16</v>
      </c>
      <c r="U155">
        <v>16</v>
      </c>
      <c r="V155">
        <v>18</v>
      </c>
      <c r="W155">
        <v>18</v>
      </c>
      <c r="X155">
        <v>18</v>
      </c>
      <c r="Y155">
        <v>19</v>
      </c>
      <c r="Z155">
        <v>19</v>
      </c>
      <c r="AA155">
        <v>22</v>
      </c>
      <c r="AB155">
        <v>22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23</v>
      </c>
      <c r="AN155">
        <v>23</v>
      </c>
      <c r="AO155">
        <v>25</v>
      </c>
      <c r="AP155">
        <v>29</v>
      </c>
      <c r="AQ155">
        <v>29</v>
      </c>
      <c r="AR155">
        <v>36</v>
      </c>
      <c r="AS155">
        <v>50</v>
      </c>
      <c r="AT155">
        <v>50</v>
      </c>
      <c r="AU155">
        <v>83</v>
      </c>
      <c r="AV155">
        <v>93</v>
      </c>
      <c r="AW155">
        <v>99</v>
      </c>
      <c r="AX155">
        <v>117</v>
      </c>
      <c r="AY155">
        <v>129</v>
      </c>
      <c r="AZ155">
        <v>149</v>
      </c>
      <c r="BA155">
        <v>149</v>
      </c>
      <c r="BB155">
        <v>197</v>
      </c>
      <c r="BC155">
        <v>238</v>
      </c>
      <c r="BD155">
        <v>428</v>
      </c>
      <c r="BE155">
        <v>566</v>
      </c>
      <c r="BF155">
        <v>673</v>
      </c>
      <c r="BG155">
        <v>790</v>
      </c>
      <c r="BH155">
        <v>900</v>
      </c>
      <c r="BI155">
        <v>1030</v>
      </c>
      <c r="BJ155">
        <v>1183</v>
      </c>
      <c r="BK155">
        <v>1306</v>
      </c>
      <c r="BL155">
        <v>1518</v>
      </c>
      <c r="BM155">
        <v>1624</v>
      </c>
      <c r="BN155">
        <v>1796</v>
      </c>
      <c r="BO155">
        <v>2031</v>
      </c>
      <c r="BP155">
        <v>2161</v>
      </c>
      <c r="BQ155">
        <v>2320</v>
      </c>
      <c r="BR155">
        <v>2470</v>
      </c>
      <c r="BS155">
        <v>2626</v>
      </c>
    </row>
    <row r="156" spans="1:71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4</v>
      </c>
      <c r="AX156">
        <v>4</v>
      </c>
      <c r="AY156">
        <v>6</v>
      </c>
      <c r="AZ156">
        <v>8</v>
      </c>
      <c r="BA156">
        <v>8</v>
      </c>
      <c r="BB156">
        <v>9</v>
      </c>
      <c r="BC156">
        <v>10</v>
      </c>
      <c r="BD156">
        <v>13</v>
      </c>
      <c r="BE156">
        <v>13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16</v>
      </c>
      <c r="BQ156">
        <v>16</v>
      </c>
      <c r="BR156">
        <v>17</v>
      </c>
      <c r="BS156">
        <v>17</v>
      </c>
    </row>
    <row r="157" spans="1:71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3</v>
      </c>
      <c r="AW157">
        <v>3</v>
      </c>
      <c r="AX157">
        <v>3</v>
      </c>
      <c r="AY157">
        <v>5</v>
      </c>
      <c r="AZ157">
        <v>6</v>
      </c>
      <c r="BA157">
        <v>6</v>
      </c>
      <c r="BB157">
        <v>12</v>
      </c>
      <c r="BC157">
        <v>18</v>
      </c>
      <c r="BD157">
        <v>21</v>
      </c>
      <c r="BE157">
        <v>30</v>
      </c>
      <c r="BF157">
        <v>38</v>
      </c>
      <c r="BG157">
        <v>38</v>
      </c>
      <c r="BH157">
        <v>53</v>
      </c>
      <c r="BI157">
        <v>64</v>
      </c>
      <c r="BJ157">
        <v>73</v>
      </c>
      <c r="BK157">
        <v>90</v>
      </c>
      <c r="BL157">
        <v>107</v>
      </c>
      <c r="BM157">
        <v>110</v>
      </c>
      <c r="BN157">
        <v>129</v>
      </c>
      <c r="BO157">
        <v>134</v>
      </c>
      <c r="BP157">
        <v>139</v>
      </c>
      <c r="BQ157">
        <v>149</v>
      </c>
      <c r="BR157">
        <v>151</v>
      </c>
      <c r="BS157">
        <v>156</v>
      </c>
    </row>
    <row r="158" spans="1:71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1</v>
      </c>
      <c r="BD158">
        <v>1</v>
      </c>
      <c r="BE158">
        <v>1</v>
      </c>
      <c r="BF158">
        <v>1</v>
      </c>
      <c r="BG158">
        <v>1</v>
      </c>
      <c r="BH158">
        <v>2</v>
      </c>
      <c r="BI158">
        <v>2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3</v>
      </c>
      <c r="BP158">
        <v>3</v>
      </c>
      <c r="BQ158">
        <v>5</v>
      </c>
      <c r="BR158">
        <v>5</v>
      </c>
      <c r="BS158">
        <v>5</v>
      </c>
    </row>
    <row r="159" spans="1:71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3</v>
      </c>
      <c r="BH159">
        <v>3</v>
      </c>
      <c r="BI159">
        <v>12</v>
      </c>
      <c r="BJ159">
        <v>14</v>
      </c>
      <c r="BK159">
        <v>28</v>
      </c>
      <c r="BL159">
        <v>36</v>
      </c>
      <c r="BM159">
        <v>42</v>
      </c>
      <c r="BN159">
        <v>48</v>
      </c>
      <c r="BO159">
        <v>81</v>
      </c>
      <c r="BP159">
        <v>94</v>
      </c>
      <c r="BQ159">
        <v>102</v>
      </c>
      <c r="BR159">
        <v>107</v>
      </c>
      <c r="BS159">
        <v>128</v>
      </c>
    </row>
    <row r="160" spans="1:71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1</v>
      </c>
      <c r="AO160">
        <v>4</v>
      </c>
      <c r="AP160">
        <v>5</v>
      </c>
      <c r="AQ160">
        <v>5</v>
      </c>
      <c r="AR160">
        <v>5</v>
      </c>
      <c r="AS160">
        <v>5</v>
      </c>
      <c r="AT160">
        <v>5</v>
      </c>
      <c r="AU160">
        <v>6</v>
      </c>
      <c r="AV160">
        <v>6</v>
      </c>
      <c r="AW160">
        <v>7</v>
      </c>
      <c r="AX160">
        <v>7</v>
      </c>
      <c r="AY160">
        <v>7</v>
      </c>
      <c r="AZ160">
        <v>8</v>
      </c>
      <c r="BA160">
        <v>12</v>
      </c>
      <c r="BB160">
        <v>12</v>
      </c>
      <c r="BC160">
        <v>26</v>
      </c>
      <c r="BD160">
        <v>41</v>
      </c>
      <c r="BE160">
        <v>53</v>
      </c>
      <c r="BF160">
        <v>82</v>
      </c>
      <c r="BG160">
        <v>93</v>
      </c>
      <c r="BH160">
        <v>118</v>
      </c>
      <c r="BI160">
        <v>164</v>
      </c>
      <c r="BJ160">
        <v>203</v>
      </c>
      <c r="BK160">
        <v>251</v>
      </c>
      <c r="BL160">
        <v>316</v>
      </c>
      <c r="BM160">
        <v>367</v>
      </c>
      <c r="BN160">
        <v>405</v>
      </c>
      <c r="BO160">
        <v>475</v>
      </c>
      <c r="BP160">
        <v>585</v>
      </c>
      <c r="BQ160">
        <v>717</v>
      </c>
      <c r="BR160">
        <v>848</v>
      </c>
      <c r="BS160">
        <v>993</v>
      </c>
    </row>
    <row r="161" spans="1:71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1</v>
      </c>
      <c r="AX161">
        <v>1</v>
      </c>
      <c r="AY161">
        <v>3</v>
      </c>
      <c r="AZ161">
        <v>3</v>
      </c>
      <c r="BA161">
        <v>3</v>
      </c>
      <c r="BB161">
        <v>6</v>
      </c>
      <c r="BC161">
        <v>12</v>
      </c>
      <c r="BD161">
        <v>23</v>
      </c>
      <c r="BE161">
        <v>23</v>
      </c>
      <c r="BF161">
        <v>30</v>
      </c>
      <c r="BG161">
        <v>30</v>
      </c>
      <c r="BH161">
        <v>49</v>
      </c>
      <c r="BI161">
        <v>66</v>
      </c>
      <c r="BJ161">
        <v>80</v>
      </c>
      <c r="BK161">
        <v>94</v>
      </c>
      <c r="BL161">
        <v>109</v>
      </c>
      <c r="BM161">
        <v>125</v>
      </c>
      <c r="BN161">
        <v>149</v>
      </c>
      <c r="BO161">
        <v>177</v>
      </c>
      <c r="BP161">
        <v>199</v>
      </c>
      <c r="BQ161">
        <v>231</v>
      </c>
      <c r="BR161">
        <v>263</v>
      </c>
      <c r="BS161">
        <v>298</v>
      </c>
    </row>
    <row r="162" spans="1:71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2</v>
      </c>
      <c r="BB162">
        <v>2</v>
      </c>
      <c r="BC162">
        <v>2</v>
      </c>
      <c r="BD162">
        <v>2</v>
      </c>
      <c r="BE162">
        <v>7</v>
      </c>
      <c r="BF162">
        <v>7</v>
      </c>
      <c r="BG162">
        <v>7</v>
      </c>
      <c r="BH162">
        <v>7</v>
      </c>
      <c r="BI162">
        <v>11</v>
      </c>
      <c r="BJ162">
        <v>11</v>
      </c>
      <c r="BK162">
        <v>23</v>
      </c>
      <c r="BL162">
        <v>23</v>
      </c>
      <c r="BM162">
        <v>23</v>
      </c>
      <c r="BN162">
        <v>31</v>
      </c>
      <c r="BO162">
        <v>33</v>
      </c>
      <c r="BP162">
        <v>42</v>
      </c>
      <c r="BQ162">
        <v>42</v>
      </c>
      <c r="BR162">
        <v>46</v>
      </c>
      <c r="BS162">
        <v>49</v>
      </c>
    </row>
    <row r="163" spans="1:71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5</v>
      </c>
      <c r="BG163">
        <v>6</v>
      </c>
      <c r="BH163">
        <v>6</v>
      </c>
      <c r="BI163">
        <v>6</v>
      </c>
      <c r="BJ163">
        <v>10</v>
      </c>
      <c r="BK163">
        <v>10</v>
      </c>
      <c r="BL163">
        <v>10</v>
      </c>
      <c r="BM163">
        <v>10</v>
      </c>
      <c r="BN163">
        <v>10</v>
      </c>
      <c r="BO163">
        <v>11</v>
      </c>
      <c r="BP163">
        <v>11</v>
      </c>
      <c r="BQ163">
        <v>12</v>
      </c>
      <c r="BR163">
        <v>12</v>
      </c>
      <c r="BS163">
        <v>12</v>
      </c>
    </row>
    <row r="164" spans="1:71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2</v>
      </c>
      <c r="BG164">
        <v>2</v>
      </c>
      <c r="BH164">
        <v>3</v>
      </c>
      <c r="BI164">
        <v>14</v>
      </c>
      <c r="BJ164">
        <v>14</v>
      </c>
      <c r="BK164">
        <v>21</v>
      </c>
      <c r="BL164">
        <v>27</v>
      </c>
      <c r="BM164">
        <v>47</v>
      </c>
      <c r="BN164">
        <v>52</v>
      </c>
      <c r="BO164">
        <v>69</v>
      </c>
      <c r="BP164">
        <v>82</v>
      </c>
      <c r="BQ164">
        <v>84</v>
      </c>
      <c r="BR164">
        <v>85</v>
      </c>
      <c r="BS164">
        <v>91</v>
      </c>
    </row>
    <row r="165" spans="1:71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1</v>
      </c>
      <c r="AR165">
        <v>1</v>
      </c>
      <c r="AS165">
        <v>1</v>
      </c>
      <c r="AT165">
        <v>2</v>
      </c>
      <c r="AU165">
        <v>2</v>
      </c>
      <c r="AV165">
        <v>2</v>
      </c>
      <c r="AW165">
        <v>2</v>
      </c>
      <c r="AX165">
        <v>2</v>
      </c>
      <c r="AY165">
        <v>3</v>
      </c>
      <c r="AZ165">
        <v>5</v>
      </c>
      <c r="BA165">
        <v>6</v>
      </c>
      <c r="BB165">
        <v>7</v>
      </c>
      <c r="BC165">
        <v>17</v>
      </c>
      <c r="BD165">
        <v>28</v>
      </c>
      <c r="BE165">
        <v>29</v>
      </c>
      <c r="BF165">
        <v>38</v>
      </c>
      <c r="BG165">
        <v>49</v>
      </c>
      <c r="BH165">
        <v>63</v>
      </c>
      <c r="BI165">
        <v>77</v>
      </c>
      <c r="BJ165">
        <v>96</v>
      </c>
      <c r="BK165">
        <v>115</v>
      </c>
      <c r="BL165">
        <v>143</v>
      </c>
      <c r="BM165">
        <v>170</v>
      </c>
      <c r="BN165">
        <v>225</v>
      </c>
      <c r="BO165">
        <v>275</v>
      </c>
      <c r="BP165">
        <v>345</v>
      </c>
      <c r="BQ165">
        <v>402</v>
      </c>
      <c r="BR165">
        <v>479</v>
      </c>
      <c r="BS165">
        <v>556</v>
      </c>
    </row>
    <row r="166" spans="1:71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2</v>
      </c>
      <c r="BD166">
        <v>2</v>
      </c>
      <c r="BE166">
        <v>2</v>
      </c>
      <c r="BF166">
        <v>2</v>
      </c>
      <c r="BG166">
        <v>2</v>
      </c>
      <c r="BH166">
        <v>3</v>
      </c>
      <c r="BI166">
        <v>3</v>
      </c>
      <c r="BJ166">
        <v>3</v>
      </c>
      <c r="BK166">
        <v>3</v>
      </c>
      <c r="BL166">
        <v>4</v>
      </c>
      <c r="BM166">
        <v>7</v>
      </c>
      <c r="BN166">
        <v>7</v>
      </c>
      <c r="BO166">
        <v>8</v>
      </c>
      <c r="BP166">
        <v>8</v>
      </c>
      <c r="BQ166">
        <v>8</v>
      </c>
      <c r="BR166">
        <v>11</v>
      </c>
      <c r="BS166">
        <v>11</v>
      </c>
    </row>
    <row r="167" spans="1:71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1</v>
      </c>
      <c r="G167">
        <v>1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2</v>
      </c>
      <c r="BM167">
        <v>2</v>
      </c>
      <c r="BN167">
        <v>3</v>
      </c>
      <c r="BO167">
        <v>3</v>
      </c>
      <c r="BP167">
        <v>4</v>
      </c>
      <c r="BQ167">
        <v>5</v>
      </c>
      <c r="BR167">
        <v>5</v>
      </c>
      <c r="BS167">
        <v>5</v>
      </c>
    </row>
    <row r="168" spans="1:71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2</v>
      </c>
      <c r="BC168">
        <v>2</v>
      </c>
      <c r="BD168">
        <v>2</v>
      </c>
      <c r="BE168">
        <v>2</v>
      </c>
      <c r="BF168">
        <v>3</v>
      </c>
      <c r="BG168">
        <v>4</v>
      </c>
      <c r="BH168">
        <v>4</v>
      </c>
      <c r="BI168">
        <v>5</v>
      </c>
      <c r="BJ168">
        <v>5</v>
      </c>
      <c r="BK168">
        <v>9</v>
      </c>
      <c r="BL168">
        <v>9</v>
      </c>
      <c r="BM168">
        <v>12</v>
      </c>
      <c r="BN168">
        <v>17</v>
      </c>
      <c r="BO168">
        <v>28</v>
      </c>
      <c r="BP168">
        <v>33</v>
      </c>
      <c r="BQ168">
        <v>46</v>
      </c>
      <c r="BR168">
        <v>50</v>
      </c>
      <c r="BS168">
        <v>50</v>
      </c>
    </row>
    <row r="169" spans="1:71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1</v>
      </c>
      <c r="BD169">
        <v>1</v>
      </c>
      <c r="BE169">
        <v>1</v>
      </c>
      <c r="BF169">
        <v>3</v>
      </c>
      <c r="BG169">
        <v>3</v>
      </c>
      <c r="BH169">
        <v>3</v>
      </c>
      <c r="BI169">
        <v>3</v>
      </c>
      <c r="BJ169">
        <v>3</v>
      </c>
      <c r="BK169">
        <v>3</v>
      </c>
      <c r="BL169">
        <v>4</v>
      </c>
      <c r="BM169">
        <v>6</v>
      </c>
      <c r="BN169">
        <v>6</v>
      </c>
      <c r="BO169">
        <v>6</v>
      </c>
      <c r="BP169">
        <v>8</v>
      </c>
      <c r="BQ169">
        <v>8</v>
      </c>
      <c r="BR169">
        <v>8</v>
      </c>
      <c r="BS169">
        <v>11</v>
      </c>
    </row>
    <row r="170" spans="1:71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1</v>
      </c>
      <c r="BJ170">
        <v>1</v>
      </c>
      <c r="BK170">
        <v>1</v>
      </c>
      <c r="BL170">
        <v>2</v>
      </c>
      <c r="BM170">
        <v>2</v>
      </c>
      <c r="BN170">
        <v>3</v>
      </c>
      <c r="BO170">
        <v>3</v>
      </c>
      <c r="BP170">
        <v>3</v>
      </c>
      <c r="BQ170">
        <v>3</v>
      </c>
      <c r="BR170">
        <v>6</v>
      </c>
      <c r="BS170">
        <v>6</v>
      </c>
    </row>
    <row r="171" spans="1:71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1</v>
      </c>
      <c r="AN171">
        <v>1</v>
      </c>
      <c r="AO171">
        <v>6</v>
      </c>
      <c r="AP171">
        <v>10</v>
      </c>
      <c r="AQ171">
        <v>18</v>
      </c>
      <c r="AR171">
        <v>24</v>
      </c>
      <c r="AS171">
        <v>38</v>
      </c>
      <c r="AT171">
        <v>82</v>
      </c>
      <c r="AU171">
        <v>128</v>
      </c>
      <c r="AV171">
        <v>188</v>
      </c>
      <c r="AW171">
        <v>265</v>
      </c>
      <c r="AX171">
        <v>321</v>
      </c>
      <c r="AY171">
        <v>382</v>
      </c>
      <c r="AZ171">
        <v>503</v>
      </c>
      <c r="BA171">
        <v>503</v>
      </c>
      <c r="BB171">
        <v>804</v>
      </c>
      <c r="BC171">
        <v>959</v>
      </c>
      <c r="BD171">
        <v>1135</v>
      </c>
      <c r="BE171">
        <v>1413</v>
      </c>
      <c r="BF171">
        <v>1705</v>
      </c>
      <c r="BG171">
        <v>2051</v>
      </c>
      <c r="BH171">
        <v>2460</v>
      </c>
      <c r="BI171">
        <v>2994</v>
      </c>
      <c r="BJ171">
        <v>3631</v>
      </c>
      <c r="BK171">
        <v>4204</v>
      </c>
      <c r="BL171">
        <v>4749</v>
      </c>
      <c r="BM171">
        <v>5560</v>
      </c>
      <c r="BN171">
        <v>6412</v>
      </c>
      <c r="BO171">
        <v>7431</v>
      </c>
      <c r="BP171">
        <v>8603</v>
      </c>
      <c r="BQ171">
        <v>9762</v>
      </c>
      <c r="BR171">
        <v>10866</v>
      </c>
      <c r="BS171">
        <v>11750</v>
      </c>
    </row>
    <row r="172" spans="1:71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1</v>
      </c>
      <c r="AO172">
        <v>1</v>
      </c>
      <c r="AP172">
        <v>1</v>
      </c>
      <c r="AQ172">
        <v>1</v>
      </c>
      <c r="AR172">
        <v>1</v>
      </c>
      <c r="AS172">
        <v>3</v>
      </c>
      <c r="AT172">
        <v>3</v>
      </c>
      <c r="AU172">
        <v>4</v>
      </c>
      <c r="AV172">
        <v>5</v>
      </c>
      <c r="AW172">
        <v>5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6</v>
      </c>
      <c r="BD172">
        <v>8</v>
      </c>
      <c r="BE172">
        <v>8</v>
      </c>
      <c r="BF172">
        <v>12</v>
      </c>
      <c r="BG172">
        <v>20</v>
      </c>
      <c r="BH172">
        <v>28</v>
      </c>
      <c r="BI172">
        <v>39</v>
      </c>
      <c r="BJ172">
        <v>52</v>
      </c>
      <c r="BK172">
        <v>102</v>
      </c>
      <c r="BL172">
        <v>102</v>
      </c>
      <c r="BM172">
        <v>155</v>
      </c>
      <c r="BN172">
        <v>205</v>
      </c>
      <c r="BO172">
        <v>283</v>
      </c>
      <c r="BP172">
        <v>368</v>
      </c>
      <c r="BQ172">
        <v>451</v>
      </c>
      <c r="BR172">
        <v>514</v>
      </c>
      <c r="BS172">
        <v>589</v>
      </c>
    </row>
    <row r="173" spans="1:71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1</v>
      </c>
      <c r="BI173">
        <v>1</v>
      </c>
      <c r="BJ173">
        <v>2</v>
      </c>
      <c r="BK173">
        <v>2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4</v>
      </c>
      <c r="BR173">
        <v>4</v>
      </c>
      <c r="BS173">
        <v>4</v>
      </c>
    </row>
    <row r="174" spans="1:71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1</v>
      </c>
      <c r="BJ174">
        <v>1</v>
      </c>
      <c r="BK174">
        <v>2</v>
      </c>
      <c r="BL174">
        <v>3</v>
      </c>
      <c r="BM174">
        <v>3</v>
      </c>
      <c r="BN174">
        <v>7</v>
      </c>
      <c r="BO174">
        <v>10</v>
      </c>
      <c r="BP174">
        <v>10</v>
      </c>
      <c r="BQ174">
        <v>10</v>
      </c>
      <c r="BR174">
        <v>18</v>
      </c>
      <c r="BS174">
        <v>27</v>
      </c>
    </row>
    <row r="175" spans="1:71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1</v>
      </c>
      <c r="AO175">
        <v>1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2</v>
      </c>
      <c r="AY175">
        <v>2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3</v>
      </c>
      <c r="BG175">
        <v>8</v>
      </c>
      <c r="BH175">
        <v>8</v>
      </c>
      <c r="BI175">
        <v>12</v>
      </c>
      <c r="BJ175">
        <v>22</v>
      </c>
      <c r="BK175">
        <v>30</v>
      </c>
      <c r="BL175">
        <v>40</v>
      </c>
      <c r="BM175">
        <v>44</v>
      </c>
      <c r="BN175">
        <v>51</v>
      </c>
      <c r="BO175">
        <v>65</v>
      </c>
      <c r="BP175">
        <v>70</v>
      </c>
      <c r="BQ175">
        <v>89</v>
      </c>
      <c r="BR175">
        <v>111</v>
      </c>
      <c r="BS175">
        <v>131</v>
      </c>
    </row>
    <row r="176" spans="1:71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1</v>
      </c>
      <c r="AM176">
        <v>1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3</v>
      </c>
      <c r="AV176">
        <v>3</v>
      </c>
      <c r="AW176">
        <v>3</v>
      </c>
      <c r="AX176">
        <v>3</v>
      </c>
      <c r="AY176">
        <v>7</v>
      </c>
      <c r="AZ176">
        <v>7</v>
      </c>
      <c r="BA176">
        <v>7</v>
      </c>
      <c r="BB176">
        <v>14</v>
      </c>
      <c r="BC176">
        <v>14</v>
      </c>
      <c r="BD176">
        <v>14</v>
      </c>
      <c r="BE176">
        <v>18</v>
      </c>
      <c r="BF176">
        <v>26</v>
      </c>
      <c r="BG176">
        <v>35</v>
      </c>
      <c r="BH176">
        <v>48</v>
      </c>
      <c r="BI176">
        <v>67</v>
      </c>
      <c r="BJ176">
        <v>85</v>
      </c>
      <c r="BK176">
        <v>115</v>
      </c>
      <c r="BL176">
        <v>136</v>
      </c>
      <c r="BM176">
        <v>148</v>
      </c>
      <c r="BN176">
        <v>177</v>
      </c>
      <c r="BO176">
        <v>201</v>
      </c>
      <c r="BP176">
        <v>219</v>
      </c>
      <c r="BQ176">
        <v>241</v>
      </c>
      <c r="BR176">
        <v>259</v>
      </c>
      <c r="BS176">
        <v>285</v>
      </c>
    </row>
    <row r="177" spans="1:71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1</v>
      </c>
      <c r="AM177">
        <v>1</v>
      </c>
      <c r="AN177">
        <v>6</v>
      </c>
      <c r="AO177">
        <v>15</v>
      </c>
      <c r="AP177">
        <v>19</v>
      </c>
      <c r="AQ177">
        <v>25</v>
      </c>
      <c r="AR177">
        <v>32</v>
      </c>
      <c r="AS177">
        <v>56</v>
      </c>
      <c r="AT177">
        <v>87</v>
      </c>
      <c r="AU177">
        <v>108</v>
      </c>
      <c r="AV177">
        <v>147</v>
      </c>
      <c r="AW177">
        <v>176</v>
      </c>
      <c r="AX177">
        <v>205</v>
      </c>
      <c r="AY177">
        <v>400</v>
      </c>
      <c r="AZ177">
        <v>598</v>
      </c>
      <c r="BA177">
        <v>702</v>
      </c>
      <c r="BB177">
        <v>996</v>
      </c>
      <c r="BC177">
        <v>1090</v>
      </c>
      <c r="BD177">
        <v>1221</v>
      </c>
      <c r="BE177">
        <v>1333</v>
      </c>
      <c r="BF177">
        <v>1463</v>
      </c>
      <c r="BG177">
        <v>1550</v>
      </c>
      <c r="BH177">
        <v>1746</v>
      </c>
      <c r="BI177">
        <v>1914</v>
      </c>
      <c r="BJ177">
        <v>2118</v>
      </c>
      <c r="BK177">
        <v>2385</v>
      </c>
      <c r="BL177">
        <v>2621</v>
      </c>
      <c r="BM177">
        <v>2863</v>
      </c>
      <c r="BN177">
        <v>3084</v>
      </c>
      <c r="BO177">
        <v>3369</v>
      </c>
      <c r="BP177">
        <v>3755</v>
      </c>
      <c r="BQ177">
        <v>4015</v>
      </c>
      <c r="BR177">
        <v>4284</v>
      </c>
      <c r="BS177">
        <v>4445</v>
      </c>
    </row>
    <row r="178" spans="1:71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2</v>
      </c>
      <c r="AK178">
        <v>2</v>
      </c>
      <c r="AL178">
        <v>4</v>
      </c>
      <c r="AM178">
        <v>4</v>
      </c>
      <c r="AN178">
        <v>4</v>
      </c>
      <c r="AO178">
        <v>6</v>
      </c>
      <c r="AP178">
        <v>6</v>
      </c>
      <c r="AQ178">
        <v>6</v>
      </c>
      <c r="AR178">
        <v>12</v>
      </c>
      <c r="AS178">
        <v>15</v>
      </c>
      <c r="AT178">
        <v>16</v>
      </c>
      <c r="AU178">
        <v>16</v>
      </c>
      <c r="AV178">
        <v>16</v>
      </c>
      <c r="AW178">
        <v>16</v>
      </c>
      <c r="AX178">
        <v>16</v>
      </c>
      <c r="AY178">
        <v>18</v>
      </c>
      <c r="AZ178">
        <v>18</v>
      </c>
      <c r="BA178">
        <v>18</v>
      </c>
      <c r="BB178">
        <v>19</v>
      </c>
      <c r="BC178">
        <v>19</v>
      </c>
      <c r="BD178">
        <v>22</v>
      </c>
      <c r="BE178">
        <v>22</v>
      </c>
      <c r="BF178">
        <v>24</v>
      </c>
      <c r="BG178">
        <v>39</v>
      </c>
      <c r="BH178">
        <v>48</v>
      </c>
      <c r="BI178">
        <v>48</v>
      </c>
      <c r="BJ178">
        <v>52</v>
      </c>
      <c r="BK178">
        <v>55</v>
      </c>
      <c r="BL178">
        <v>66</v>
      </c>
      <c r="BM178">
        <v>84</v>
      </c>
      <c r="BN178">
        <v>99</v>
      </c>
      <c r="BO178">
        <v>109</v>
      </c>
      <c r="BP178">
        <v>131</v>
      </c>
      <c r="BQ178">
        <v>152</v>
      </c>
      <c r="BR178">
        <v>167</v>
      </c>
      <c r="BS178">
        <v>179</v>
      </c>
    </row>
    <row r="179" spans="1:71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2</v>
      </c>
      <c r="AM179">
        <v>2</v>
      </c>
      <c r="AN179">
        <v>2</v>
      </c>
      <c r="AO179">
        <v>4</v>
      </c>
      <c r="AP179">
        <v>4</v>
      </c>
      <c r="AQ179">
        <v>4</v>
      </c>
      <c r="AR179">
        <v>5</v>
      </c>
      <c r="AS179">
        <v>5</v>
      </c>
      <c r="AT179">
        <v>5</v>
      </c>
      <c r="AU179">
        <v>6</v>
      </c>
      <c r="AV179">
        <v>6</v>
      </c>
      <c r="AW179">
        <v>6</v>
      </c>
      <c r="AX179">
        <v>6</v>
      </c>
      <c r="AY179">
        <v>16</v>
      </c>
      <c r="AZ179">
        <v>19</v>
      </c>
      <c r="BA179">
        <v>20</v>
      </c>
      <c r="BB179">
        <v>28</v>
      </c>
      <c r="BC179">
        <v>31</v>
      </c>
      <c r="BD179">
        <v>53</v>
      </c>
      <c r="BE179">
        <v>136</v>
      </c>
      <c r="BF179">
        <v>236</v>
      </c>
      <c r="BG179">
        <v>299</v>
      </c>
      <c r="BH179">
        <v>454</v>
      </c>
      <c r="BI179">
        <v>501</v>
      </c>
      <c r="BJ179">
        <v>730</v>
      </c>
      <c r="BK179">
        <v>776</v>
      </c>
      <c r="BL179">
        <v>875</v>
      </c>
      <c r="BM179">
        <v>972</v>
      </c>
      <c r="BN179">
        <v>1063</v>
      </c>
      <c r="BO179">
        <v>1201</v>
      </c>
      <c r="BP179">
        <v>1373</v>
      </c>
      <c r="BQ179">
        <v>1495</v>
      </c>
      <c r="BR179">
        <v>1597</v>
      </c>
      <c r="BS179">
        <v>1717</v>
      </c>
    </row>
    <row r="180" spans="1:71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1</v>
      </c>
      <c r="AZ180">
        <v>8</v>
      </c>
      <c r="BA180">
        <v>11</v>
      </c>
      <c r="BB180">
        <v>27</v>
      </c>
      <c r="BC180">
        <v>36</v>
      </c>
      <c r="BD180">
        <v>43</v>
      </c>
      <c r="BE180">
        <v>55</v>
      </c>
      <c r="BF180">
        <v>69</v>
      </c>
      <c r="BG180">
        <v>86</v>
      </c>
      <c r="BH180">
        <v>109</v>
      </c>
      <c r="BI180">
        <v>137</v>
      </c>
      <c r="BJ180">
        <v>200</v>
      </c>
      <c r="BK180">
        <v>313</v>
      </c>
      <c r="BL180">
        <v>345</v>
      </c>
      <c r="BM180">
        <v>345</v>
      </c>
      <c r="BN180">
        <v>443</v>
      </c>
      <c r="BO180">
        <v>558</v>
      </c>
      <c r="BP180">
        <v>674</v>
      </c>
      <c r="BQ180">
        <v>786</v>
      </c>
      <c r="BR180">
        <v>901</v>
      </c>
      <c r="BS180">
        <v>989</v>
      </c>
    </row>
    <row r="181" spans="1:71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1</v>
      </c>
      <c r="BJ181">
        <v>1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</row>
    <row r="182" spans="1:71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1</v>
      </c>
      <c r="AX182">
        <v>1</v>
      </c>
      <c r="AY182">
        <v>1</v>
      </c>
      <c r="AZ182">
        <v>5</v>
      </c>
      <c r="BA182">
        <v>5</v>
      </c>
      <c r="BB182">
        <v>6</v>
      </c>
      <c r="BC182">
        <v>6</v>
      </c>
      <c r="BD182">
        <v>6</v>
      </c>
      <c r="BE182">
        <v>8</v>
      </c>
      <c r="BF182">
        <v>9</v>
      </c>
      <c r="BG182">
        <v>11</v>
      </c>
      <c r="BH182">
        <v>11</v>
      </c>
      <c r="BI182">
        <v>13</v>
      </c>
      <c r="BJ182">
        <v>18</v>
      </c>
      <c r="BK182">
        <v>22</v>
      </c>
      <c r="BL182">
        <v>22</v>
      </c>
      <c r="BM182">
        <v>27</v>
      </c>
      <c r="BN182">
        <v>37</v>
      </c>
      <c r="BO182">
        <v>41</v>
      </c>
      <c r="BP182">
        <v>52</v>
      </c>
      <c r="BQ182">
        <v>56</v>
      </c>
      <c r="BR182">
        <v>59</v>
      </c>
      <c r="BS182">
        <v>64</v>
      </c>
    </row>
    <row r="183" spans="1:71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1</v>
      </c>
      <c r="AV183">
        <v>1</v>
      </c>
      <c r="AW183">
        <v>6</v>
      </c>
      <c r="AX183">
        <v>7</v>
      </c>
      <c r="AY183">
        <v>11</v>
      </c>
      <c r="AZ183">
        <v>11</v>
      </c>
      <c r="BA183">
        <v>15</v>
      </c>
      <c r="BB183">
        <v>28</v>
      </c>
      <c r="BC183">
        <v>38</v>
      </c>
      <c r="BD183">
        <v>43</v>
      </c>
      <c r="BE183">
        <v>86</v>
      </c>
      <c r="BF183">
        <v>117</v>
      </c>
      <c r="BG183">
        <v>145</v>
      </c>
      <c r="BH183">
        <v>234</v>
      </c>
      <c r="BI183">
        <v>234</v>
      </c>
      <c r="BJ183">
        <v>318</v>
      </c>
      <c r="BK183">
        <v>363</v>
      </c>
      <c r="BL183">
        <v>395</v>
      </c>
      <c r="BM183">
        <v>416</v>
      </c>
      <c r="BN183">
        <v>480</v>
      </c>
      <c r="BO183">
        <v>580</v>
      </c>
      <c r="BP183">
        <v>635</v>
      </c>
      <c r="BQ183">
        <v>671</v>
      </c>
      <c r="BR183">
        <v>852</v>
      </c>
      <c r="BS183">
        <v>950</v>
      </c>
    </row>
    <row r="184" spans="1:71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1</v>
      </c>
      <c r="L184">
        <v>1</v>
      </c>
      <c r="M184">
        <v>1</v>
      </c>
      <c r="N184">
        <v>2</v>
      </c>
      <c r="O184">
        <v>2</v>
      </c>
      <c r="P184">
        <v>2</v>
      </c>
      <c r="Q184">
        <v>2</v>
      </c>
      <c r="R184">
        <v>2</v>
      </c>
      <c r="S184">
        <v>3</v>
      </c>
      <c r="T184">
        <v>3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5</v>
      </c>
      <c r="AV184">
        <v>6</v>
      </c>
      <c r="AW184">
        <v>10</v>
      </c>
      <c r="AX184">
        <v>20</v>
      </c>
      <c r="AY184">
        <v>33</v>
      </c>
      <c r="AZ184">
        <v>49</v>
      </c>
      <c r="BA184">
        <v>52</v>
      </c>
      <c r="BB184">
        <v>64</v>
      </c>
      <c r="BC184">
        <v>111</v>
      </c>
      <c r="BD184">
        <v>140</v>
      </c>
      <c r="BE184">
        <v>142</v>
      </c>
      <c r="BF184">
        <v>187</v>
      </c>
      <c r="BG184">
        <v>202</v>
      </c>
      <c r="BH184">
        <v>217</v>
      </c>
      <c r="BI184">
        <v>230</v>
      </c>
      <c r="BJ184">
        <v>307</v>
      </c>
      <c r="BK184">
        <v>380</v>
      </c>
      <c r="BL184">
        <v>462</v>
      </c>
      <c r="BM184">
        <v>552</v>
      </c>
      <c r="BN184">
        <v>636</v>
      </c>
      <c r="BO184">
        <v>707</v>
      </c>
      <c r="BP184">
        <v>803</v>
      </c>
      <c r="BQ184">
        <v>1075</v>
      </c>
      <c r="BR184">
        <v>1418</v>
      </c>
      <c r="BS184">
        <v>1546</v>
      </c>
    </row>
    <row r="185" spans="1:71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5</v>
      </c>
      <c r="AV185">
        <v>5</v>
      </c>
      <c r="AW185">
        <v>11</v>
      </c>
      <c r="AX185">
        <v>16</v>
      </c>
      <c r="AY185">
        <v>22</v>
      </c>
      <c r="AZ185">
        <v>31</v>
      </c>
      <c r="BA185">
        <v>49</v>
      </c>
      <c r="BB185">
        <v>68</v>
      </c>
      <c r="BC185">
        <v>103</v>
      </c>
      <c r="BD185">
        <v>119</v>
      </c>
      <c r="BE185">
        <v>177</v>
      </c>
      <c r="BF185">
        <v>238</v>
      </c>
      <c r="BG185">
        <v>251</v>
      </c>
      <c r="BH185">
        <v>355</v>
      </c>
      <c r="BI185">
        <v>425</v>
      </c>
      <c r="BJ185">
        <v>536</v>
      </c>
      <c r="BK185">
        <v>634</v>
      </c>
      <c r="BL185">
        <v>749</v>
      </c>
      <c r="BM185">
        <v>901</v>
      </c>
      <c r="BN185">
        <v>1051</v>
      </c>
      <c r="BO185">
        <v>1221</v>
      </c>
      <c r="BP185">
        <v>1389</v>
      </c>
      <c r="BQ185">
        <v>1638</v>
      </c>
      <c r="BR185">
        <v>1862</v>
      </c>
      <c r="BS185">
        <v>2055</v>
      </c>
    </row>
    <row r="186" spans="1:71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2</v>
      </c>
      <c r="AR186">
        <v>2</v>
      </c>
      <c r="AS186">
        <v>5</v>
      </c>
      <c r="AT186">
        <v>8</v>
      </c>
      <c r="AU186">
        <v>13</v>
      </c>
      <c r="AV186">
        <v>20</v>
      </c>
      <c r="AW186">
        <v>30</v>
      </c>
      <c r="AX186">
        <v>30</v>
      </c>
      <c r="AY186">
        <v>41</v>
      </c>
      <c r="AZ186">
        <v>59</v>
      </c>
      <c r="BA186">
        <v>59</v>
      </c>
      <c r="BB186">
        <v>112</v>
      </c>
      <c r="BC186">
        <v>169</v>
      </c>
      <c r="BD186">
        <v>245</v>
      </c>
      <c r="BE186">
        <v>331</v>
      </c>
      <c r="BF186">
        <v>448</v>
      </c>
      <c r="BG186">
        <v>448</v>
      </c>
      <c r="BH186">
        <v>785</v>
      </c>
      <c r="BI186">
        <v>1020</v>
      </c>
      <c r="BJ186">
        <v>1280</v>
      </c>
      <c r="BK186">
        <v>1600</v>
      </c>
      <c r="BL186">
        <v>2060</v>
      </c>
      <c r="BM186">
        <v>2362</v>
      </c>
      <c r="BN186">
        <v>2995</v>
      </c>
      <c r="BO186">
        <v>3544</v>
      </c>
      <c r="BP186">
        <v>4268</v>
      </c>
      <c r="BQ186">
        <v>5170</v>
      </c>
      <c r="BR186">
        <v>5962</v>
      </c>
      <c r="BS186">
        <v>6408</v>
      </c>
    </row>
    <row r="187" spans="1:71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1</v>
      </c>
      <c r="AP187">
        <v>3</v>
      </c>
      <c r="AQ187">
        <v>3</v>
      </c>
      <c r="AR187">
        <v>7</v>
      </c>
      <c r="AS187">
        <v>8</v>
      </c>
      <c r="AT187">
        <v>8</v>
      </c>
      <c r="AU187">
        <v>8</v>
      </c>
      <c r="AV187">
        <v>8</v>
      </c>
      <c r="AW187">
        <v>15</v>
      </c>
      <c r="AX187">
        <v>18</v>
      </c>
      <c r="AY187">
        <v>24</v>
      </c>
      <c r="AZ187">
        <v>262</v>
      </c>
      <c r="BA187">
        <v>262</v>
      </c>
      <c r="BB187">
        <v>320</v>
      </c>
      <c r="BC187">
        <v>337</v>
      </c>
      <c r="BD187">
        <v>401</v>
      </c>
      <c r="BE187">
        <v>439</v>
      </c>
      <c r="BF187">
        <v>439</v>
      </c>
      <c r="BG187">
        <v>452</v>
      </c>
      <c r="BH187">
        <v>460</v>
      </c>
      <c r="BI187">
        <v>470</v>
      </c>
      <c r="BJ187">
        <v>481</v>
      </c>
      <c r="BK187">
        <v>494</v>
      </c>
      <c r="BL187">
        <v>501</v>
      </c>
      <c r="BM187">
        <v>526</v>
      </c>
      <c r="BN187">
        <v>537</v>
      </c>
      <c r="BO187">
        <v>549</v>
      </c>
      <c r="BP187">
        <v>562</v>
      </c>
      <c r="BQ187">
        <v>590</v>
      </c>
      <c r="BR187">
        <v>634</v>
      </c>
      <c r="BS187">
        <v>693</v>
      </c>
    </row>
    <row r="188" spans="1:71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1</v>
      </c>
      <c r="AM188">
        <v>1</v>
      </c>
      <c r="AN188">
        <v>3</v>
      </c>
      <c r="AO188">
        <v>3</v>
      </c>
      <c r="AP188">
        <v>3</v>
      </c>
      <c r="AQ188">
        <v>3</v>
      </c>
      <c r="AR188">
        <v>3</v>
      </c>
      <c r="AS188">
        <v>4</v>
      </c>
      <c r="AT188">
        <v>6</v>
      </c>
      <c r="AU188">
        <v>9</v>
      </c>
      <c r="AV188">
        <v>9</v>
      </c>
      <c r="AW188">
        <v>15</v>
      </c>
      <c r="AX188">
        <v>15</v>
      </c>
      <c r="AY188">
        <v>25</v>
      </c>
      <c r="AZ188">
        <v>45</v>
      </c>
      <c r="BA188">
        <v>49</v>
      </c>
      <c r="BB188">
        <v>89</v>
      </c>
      <c r="BC188">
        <v>123</v>
      </c>
      <c r="BD188">
        <v>131</v>
      </c>
      <c r="BE188">
        <v>158</v>
      </c>
      <c r="BF188">
        <v>184</v>
      </c>
      <c r="BG188">
        <v>260</v>
      </c>
      <c r="BH188">
        <v>277</v>
      </c>
      <c r="BI188">
        <v>308</v>
      </c>
      <c r="BJ188">
        <v>367</v>
      </c>
      <c r="BK188">
        <v>433</v>
      </c>
      <c r="BL188">
        <v>576</v>
      </c>
      <c r="BM188">
        <v>794</v>
      </c>
      <c r="BN188">
        <v>906</v>
      </c>
      <c r="BO188">
        <v>1029</v>
      </c>
      <c r="BP188">
        <v>1292</v>
      </c>
      <c r="BQ188">
        <v>1452</v>
      </c>
      <c r="BR188">
        <v>1815</v>
      </c>
      <c r="BS188">
        <v>2109</v>
      </c>
    </row>
    <row r="189" spans="1:71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2</v>
      </c>
      <c r="M189">
        <v>2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3</v>
      </c>
      <c r="AR189">
        <v>3</v>
      </c>
      <c r="AS189">
        <v>3</v>
      </c>
      <c r="AT189">
        <v>4</v>
      </c>
      <c r="AU189">
        <v>13</v>
      </c>
      <c r="AV189">
        <v>13</v>
      </c>
      <c r="AW189">
        <v>17</v>
      </c>
      <c r="AX189">
        <v>17</v>
      </c>
      <c r="AY189">
        <v>20</v>
      </c>
      <c r="AZ189">
        <v>20</v>
      </c>
      <c r="BA189">
        <v>28</v>
      </c>
      <c r="BB189">
        <v>45</v>
      </c>
      <c r="BC189">
        <v>59</v>
      </c>
      <c r="BD189">
        <v>63</v>
      </c>
      <c r="BE189">
        <v>90</v>
      </c>
      <c r="BF189">
        <v>114</v>
      </c>
      <c r="BG189">
        <v>147</v>
      </c>
      <c r="BH189">
        <v>199</v>
      </c>
      <c r="BI189">
        <v>253</v>
      </c>
      <c r="BJ189">
        <v>306</v>
      </c>
      <c r="BK189">
        <v>367</v>
      </c>
      <c r="BL189">
        <v>438</v>
      </c>
      <c r="BM189">
        <v>495</v>
      </c>
      <c r="BN189">
        <v>658</v>
      </c>
      <c r="BO189">
        <v>840</v>
      </c>
      <c r="BP189">
        <v>1036</v>
      </c>
      <c r="BQ189">
        <v>1264</v>
      </c>
      <c r="BR189">
        <v>1534</v>
      </c>
      <c r="BS189">
        <v>1836</v>
      </c>
    </row>
    <row r="190" spans="1:71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1</v>
      </c>
      <c r="BD190">
        <v>1</v>
      </c>
      <c r="BE190">
        <v>5</v>
      </c>
      <c r="BF190">
        <v>7</v>
      </c>
      <c r="BG190">
        <v>8</v>
      </c>
      <c r="BH190">
        <v>8</v>
      </c>
      <c r="BI190">
        <v>17</v>
      </c>
      <c r="BJ190">
        <v>17</v>
      </c>
      <c r="BK190">
        <v>19</v>
      </c>
      <c r="BL190">
        <v>36</v>
      </c>
      <c r="BM190">
        <v>40</v>
      </c>
      <c r="BN190">
        <v>41</v>
      </c>
      <c r="BO190">
        <v>50</v>
      </c>
      <c r="BP190">
        <v>54</v>
      </c>
      <c r="BQ190">
        <v>60</v>
      </c>
      <c r="BR190">
        <v>70</v>
      </c>
      <c r="BS190">
        <v>70</v>
      </c>
    </row>
    <row r="191" spans="1:71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1</v>
      </c>
      <c r="BD191">
        <v>2</v>
      </c>
      <c r="BE191">
        <v>2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3</v>
      </c>
      <c r="BM191">
        <v>3</v>
      </c>
      <c r="BN191">
        <v>3</v>
      </c>
      <c r="BO191">
        <v>3</v>
      </c>
      <c r="BP191">
        <v>3</v>
      </c>
      <c r="BQ191">
        <v>3</v>
      </c>
      <c r="BR191">
        <v>9</v>
      </c>
      <c r="BS191">
        <v>9</v>
      </c>
    </row>
    <row r="192" spans="1:71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1</v>
      </c>
      <c r="BD192">
        <v>1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</row>
    <row r="193" spans="1:71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1</v>
      </c>
      <c r="AN193">
        <v>1</v>
      </c>
      <c r="AO193">
        <v>1</v>
      </c>
      <c r="AP193">
        <v>1</v>
      </c>
      <c r="AQ193">
        <v>8</v>
      </c>
      <c r="AR193">
        <v>10</v>
      </c>
      <c r="AS193">
        <v>16</v>
      </c>
      <c r="AT193">
        <v>21</v>
      </c>
      <c r="AU193">
        <v>21</v>
      </c>
      <c r="AV193">
        <v>23</v>
      </c>
      <c r="AW193">
        <v>36</v>
      </c>
      <c r="AX193">
        <v>36</v>
      </c>
      <c r="AY193">
        <v>51</v>
      </c>
      <c r="AZ193">
        <v>62</v>
      </c>
      <c r="BA193">
        <v>69</v>
      </c>
      <c r="BB193">
        <v>80</v>
      </c>
      <c r="BC193">
        <v>80</v>
      </c>
      <c r="BD193">
        <v>101</v>
      </c>
      <c r="BE193">
        <v>109</v>
      </c>
      <c r="BF193">
        <v>109</v>
      </c>
      <c r="BG193">
        <v>119</v>
      </c>
      <c r="BH193">
        <v>119</v>
      </c>
      <c r="BI193">
        <v>144</v>
      </c>
      <c r="BJ193">
        <v>144</v>
      </c>
      <c r="BK193">
        <v>175</v>
      </c>
      <c r="BL193">
        <v>187</v>
      </c>
      <c r="BM193">
        <v>187</v>
      </c>
      <c r="BN193">
        <v>208</v>
      </c>
      <c r="BO193">
        <v>208</v>
      </c>
      <c r="BP193">
        <v>223</v>
      </c>
      <c r="BQ193">
        <v>224</v>
      </c>
      <c r="BR193">
        <v>224</v>
      </c>
      <c r="BS193">
        <v>230</v>
      </c>
    </row>
    <row r="194" spans="1:71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1</v>
      </c>
      <c r="AR194">
        <v>1</v>
      </c>
      <c r="AS194">
        <v>1</v>
      </c>
      <c r="AT194">
        <v>5</v>
      </c>
      <c r="AU194">
        <v>5</v>
      </c>
      <c r="AV194">
        <v>5</v>
      </c>
      <c r="AW194">
        <v>11</v>
      </c>
      <c r="AX194">
        <v>15</v>
      </c>
      <c r="AY194">
        <v>20</v>
      </c>
      <c r="AZ194">
        <v>21</v>
      </c>
      <c r="BA194">
        <v>45</v>
      </c>
      <c r="BB194">
        <v>86</v>
      </c>
      <c r="BC194">
        <v>103</v>
      </c>
      <c r="BD194">
        <v>103</v>
      </c>
      <c r="BE194">
        <v>118</v>
      </c>
      <c r="BF194">
        <v>171</v>
      </c>
      <c r="BG194">
        <v>171</v>
      </c>
      <c r="BH194">
        <v>274</v>
      </c>
      <c r="BI194">
        <v>344</v>
      </c>
      <c r="BJ194">
        <v>392</v>
      </c>
      <c r="BK194">
        <v>511</v>
      </c>
      <c r="BL194">
        <v>562</v>
      </c>
      <c r="BM194">
        <v>767</v>
      </c>
      <c r="BN194">
        <v>900</v>
      </c>
      <c r="BO194">
        <v>1012</v>
      </c>
      <c r="BP194">
        <v>1104</v>
      </c>
      <c r="BQ194">
        <v>1203</v>
      </c>
      <c r="BR194">
        <v>1299</v>
      </c>
      <c r="BS194">
        <v>1453</v>
      </c>
    </row>
    <row r="195" spans="1:71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1</v>
      </c>
      <c r="AR195">
        <v>2</v>
      </c>
      <c r="AS195">
        <v>4</v>
      </c>
      <c r="AT195">
        <v>4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10</v>
      </c>
      <c r="BC195">
        <v>10</v>
      </c>
      <c r="BD195">
        <v>24</v>
      </c>
      <c r="BE195">
        <v>24</v>
      </c>
      <c r="BF195">
        <v>26</v>
      </c>
      <c r="BG195">
        <v>31</v>
      </c>
      <c r="BH195">
        <v>31</v>
      </c>
      <c r="BI195">
        <v>38</v>
      </c>
      <c r="BJ195">
        <v>47</v>
      </c>
      <c r="BK195">
        <v>67</v>
      </c>
      <c r="BL195">
        <v>79</v>
      </c>
      <c r="BM195">
        <v>86</v>
      </c>
      <c r="BN195">
        <v>99</v>
      </c>
      <c r="BO195">
        <v>105</v>
      </c>
      <c r="BP195">
        <v>119</v>
      </c>
      <c r="BQ195">
        <v>130</v>
      </c>
      <c r="BR195">
        <v>142</v>
      </c>
      <c r="BS195">
        <v>162</v>
      </c>
    </row>
    <row r="196" spans="1:71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1</v>
      </c>
      <c r="AV196">
        <v>1</v>
      </c>
      <c r="AW196">
        <v>1</v>
      </c>
      <c r="AX196">
        <v>1</v>
      </c>
      <c r="AY196">
        <v>5</v>
      </c>
      <c r="AZ196">
        <v>12</v>
      </c>
      <c r="BA196">
        <v>19</v>
      </c>
      <c r="BB196">
        <v>35</v>
      </c>
      <c r="BC196">
        <v>46</v>
      </c>
      <c r="BD196">
        <v>48</v>
      </c>
      <c r="BE196">
        <v>55</v>
      </c>
      <c r="BF196">
        <v>65</v>
      </c>
      <c r="BG196">
        <v>83</v>
      </c>
      <c r="BH196">
        <v>103</v>
      </c>
      <c r="BI196">
        <v>135</v>
      </c>
      <c r="BJ196">
        <v>171</v>
      </c>
      <c r="BK196">
        <v>222</v>
      </c>
      <c r="BL196">
        <v>249</v>
      </c>
      <c r="BM196">
        <v>303</v>
      </c>
      <c r="BN196">
        <v>384</v>
      </c>
      <c r="BO196">
        <v>384</v>
      </c>
      <c r="BP196">
        <v>457</v>
      </c>
      <c r="BQ196">
        <v>659</v>
      </c>
      <c r="BR196">
        <v>741</v>
      </c>
      <c r="BS196">
        <v>785</v>
      </c>
    </row>
    <row r="197" spans="1:71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2</v>
      </c>
      <c r="BD197">
        <v>2</v>
      </c>
      <c r="BE197">
        <v>3</v>
      </c>
      <c r="BF197">
        <v>4</v>
      </c>
      <c r="BG197">
        <v>4</v>
      </c>
      <c r="BH197">
        <v>6</v>
      </c>
      <c r="BI197">
        <v>7</v>
      </c>
      <c r="BJ197">
        <v>7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8</v>
      </c>
      <c r="BR197">
        <v>8</v>
      </c>
      <c r="BS197">
        <v>8</v>
      </c>
    </row>
    <row r="198" spans="1:71" x14ac:dyDescent="0.25">
      <c r="A198" s="1" t="s">
        <v>2</v>
      </c>
      <c r="B198" s="1" t="s">
        <v>4</v>
      </c>
      <c r="C198">
        <v>0</v>
      </c>
      <c r="D198">
        <v>1</v>
      </c>
      <c r="E198">
        <v>3</v>
      </c>
      <c r="F198">
        <v>3</v>
      </c>
      <c r="G198">
        <v>4</v>
      </c>
      <c r="H198">
        <v>5</v>
      </c>
      <c r="I198">
        <v>7</v>
      </c>
      <c r="J198">
        <v>7</v>
      </c>
      <c r="K198">
        <v>10</v>
      </c>
      <c r="L198">
        <v>13</v>
      </c>
      <c r="M198">
        <v>16</v>
      </c>
      <c r="N198">
        <v>18</v>
      </c>
      <c r="O198">
        <v>18</v>
      </c>
      <c r="P198">
        <v>24</v>
      </c>
      <c r="Q198">
        <v>28</v>
      </c>
      <c r="R198">
        <v>28</v>
      </c>
      <c r="S198">
        <v>30</v>
      </c>
      <c r="T198">
        <v>33</v>
      </c>
      <c r="U198">
        <v>40</v>
      </c>
      <c r="V198">
        <v>45</v>
      </c>
      <c r="W198">
        <v>47</v>
      </c>
      <c r="X198">
        <v>50</v>
      </c>
      <c r="Y198">
        <v>58</v>
      </c>
      <c r="Z198">
        <v>67</v>
      </c>
      <c r="AA198">
        <v>72</v>
      </c>
      <c r="AB198">
        <v>75</v>
      </c>
      <c r="AC198">
        <v>77</v>
      </c>
      <c r="AD198">
        <v>81</v>
      </c>
      <c r="AE198">
        <v>84</v>
      </c>
      <c r="AF198">
        <v>84</v>
      </c>
      <c r="AG198">
        <v>85</v>
      </c>
      <c r="AH198">
        <v>85</v>
      </c>
      <c r="AI198">
        <v>89</v>
      </c>
      <c r="AJ198">
        <v>89</v>
      </c>
      <c r="AK198">
        <v>91</v>
      </c>
      <c r="AL198">
        <v>93</v>
      </c>
      <c r="AM198">
        <v>93</v>
      </c>
      <c r="AN198">
        <v>93</v>
      </c>
      <c r="AO198">
        <v>102</v>
      </c>
      <c r="AP198">
        <v>106</v>
      </c>
      <c r="AQ198">
        <v>108</v>
      </c>
      <c r="AR198">
        <v>110</v>
      </c>
      <c r="AS198">
        <v>110</v>
      </c>
      <c r="AT198">
        <v>117</v>
      </c>
      <c r="AU198">
        <v>130</v>
      </c>
      <c r="AV198">
        <v>138</v>
      </c>
      <c r="AW198">
        <v>150</v>
      </c>
      <c r="AX198">
        <v>150</v>
      </c>
      <c r="AY198">
        <v>160</v>
      </c>
      <c r="AZ198">
        <v>178</v>
      </c>
      <c r="BA198">
        <v>178</v>
      </c>
      <c r="BB198">
        <v>200</v>
      </c>
      <c r="BC198">
        <v>212</v>
      </c>
      <c r="BD198">
        <v>226</v>
      </c>
      <c r="BE198">
        <v>243</v>
      </c>
      <c r="BF198">
        <v>266</v>
      </c>
      <c r="BG198">
        <v>313</v>
      </c>
      <c r="BH198">
        <v>345</v>
      </c>
      <c r="BI198">
        <v>385</v>
      </c>
      <c r="BJ198">
        <v>432</v>
      </c>
      <c r="BK198">
        <v>455</v>
      </c>
      <c r="BL198">
        <v>509</v>
      </c>
      <c r="BM198">
        <v>558</v>
      </c>
      <c r="BN198">
        <v>631</v>
      </c>
      <c r="BO198">
        <v>683</v>
      </c>
      <c r="BP198">
        <v>732</v>
      </c>
      <c r="BQ198">
        <v>802</v>
      </c>
      <c r="BR198">
        <v>844</v>
      </c>
      <c r="BS198">
        <v>879</v>
      </c>
    </row>
    <row r="199" spans="1:71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1</v>
      </c>
      <c r="AV199">
        <v>1</v>
      </c>
      <c r="AW199">
        <v>3</v>
      </c>
      <c r="AX199">
        <v>3</v>
      </c>
      <c r="AY199">
        <v>7</v>
      </c>
      <c r="AZ199">
        <v>10</v>
      </c>
      <c r="BA199">
        <v>16</v>
      </c>
      <c r="BB199">
        <v>32</v>
      </c>
      <c r="BC199">
        <v>44</v>
      </c>
      <c r="BD199">
        <v>54</v>
      </c>
      <c r="BE199">
        <v>63</v>
      </c>
      <c r="BF199">
        <v>72</v>
      </c>
      <c r="BG199">
        <v>105</v>
      </c>
      <c r="BH199">
        <v>123</v>
      </c>
      <c r="BI199">
        <v>137</v>
      </c>
      <c r="BJ199">
        <v>178</v>
      </c>
      <c r="BK199">
        <v>185</v>
      </c>
      <c r="BL199">
        <v>186</v>
      </c>
      <c r="BM199">
        <v>204</v>
      </c>
      <c r="BN199">
        <v>216</v>
      </c>
      <c r="BO199">
        <v>226</v>
      </c>
      <c r="BP199">
        <v>269</v>
      </c>
      <c r="BQ199">
        <v>292</v>
      </c>
      <c r="BR199">
        <v>314</v>
      </c>
      <c r="BS199">
        <v>336</v>
      </c>
    </row>
    <row r="200" spans="1:71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2</v>
      </c>
      <c r="AU200">
        <v>7</v>
      </c>
      <c r="AV200">
        <v>7</v>
      </c>
      <c r="AW200">
        <v>16</v>
      </c>
      <c r="AX200">
        <v>16</v>
      </c>
      <c r="AY200">
        <v>31</v>
      </c>
      <c r="AZ200">
        <v>57</v>
      </c>
      <c r="BA200">
        <v>89</v>
      </c>
      <c r="BB200">
        <v>141</v>
      </c>
      <c r="BC200">
        <v>181</v>
      </c>
      <c r="BD200">
        <v>219</v>
      </c>
      <c r="BE200">
        <v>253</v>
      </c>
      <c r="BF200">
        <v>275</v>
      </c>
      <c r="BG200">
        <v>275</v>
      </c>
      <c r="BH200">
        <v>286</v>
      </c>
      <c r="BI200">
        <v>341</v>
      </c>
      <c r="BJ200">
        <v>383</v>
      </c>
      <c r="BK200">
        <v>414</v>
      </c>
      <c r="BL200">
        <v>442</v>
      </c>
      <c r="BM200">
        <v>480</v>
      </c>
      <c r="BN200">
        <v>528</v>
      </c>
      <c r="BO200">
        <v>562</v>
      </c>
      <c r="BP200">
        <v>632</v>
      </c>
      <c r="BQ200">
        <v>684</v>
      </c>
      <c r="BR200">
        <v>730</v>
      </c>
      <c r="BS200">
        <v>756</v>
      </c>
    </row>
    <row r="201" spans="1:71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1</v>
      </c>
      <c r="BF201">
        <v>1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2</v>
      </c>
      <c r="BP201">
        <v>3</v>
      </c>
      <c r="BQ201">
        <v>3</v>
      </c>
      <c r="BR201">
        <v>3</v>
      </c>
      <c r="BS201">
        <v>3</v>
      </c>
    </row>
    <row r="202" spans="1:71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1</v>
      </c>
      <c r="AU202">
        <v>1</v>
      </c>
      <c r="AV202">
        <v>1</v>
      </c>
      <c r="AW202">
        <v>3</v>
      </c>
      <c r="AX202">
        <v>3</v>
      </c>
      <c r="AY202">
        <v>7</v>
      </c>
      <c r="AZ202">
        <v>13</v>
      </c>
      <c r="BA202">
        <v>17</v>
      </c>
      <c r="BB202">
        <v>24</v>
      </c>
      <c r="BC202">
        <v>38</v>
      </c>
      <c r="BD202">
        <v>51</v>
      </c>
      <c r="BE202">
        <v>62</v>
      </c>
      <c r="BF202">
        <v>62</v>
      </c>
      <c r="BG202">
        <v>116</v>
      </c>
      <c r="BH202">
        <v>150</v>
      </c>
      <c r="BI202">
        <v>202</v>
      </c>
      <c r="BJ202">
        <v>240</v>
      </c>
      <c r="BK202">
        <v>274</v>
      </c>
      <c r="BL202">
        <v>402</v>
      </c>
      <c r="BM202">
        <v>554</v>
      </c>
      <c r="BN202">
        <v>709</v>
      </c>
      <c r="BO202">
        <v>927</v>
      </c>
      <c r="BP202">
        <v>1170</v>
      </c>
      <c r="BQ202">
        <v>1187</v>
      </c>
      <c r="BR202">
        <v>1280</v>
      </c>
      <c r="BS202">
        <v>1326</v>
      </c>
    </row>
    <row r="203" spans="1:71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1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2</v>
      </c>
      <c r="V203">
        <v>2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6</v>
      </c>
      <c r="AL203">
        <v>13</v>
      </c>
      <c r="AM203">
        <v>15</v>
      </c>
      <c r="AN203">
        <v>32</v>
      </c>
      <c r="AO203">
        <v>45</v>
      </c>
      <c r="AP203">
        <v>84</v>
      </c>
      <c r="AQ203">
        <v>120</v>
      </c>
      <c r="AR203">
        <v>165</v>
      </c>
      <c r="AS203">
        <v>222</v>
      </c>
      <c r="AT203">
        <v>259</v>
      </c>
      <c r="AU203">
        <v>400</v>
      </c>
      <c r="AV203">
        <v>500</v>
      </c>
      <c r="AW203">
        <v>673</v>
      </c>
      <c r="AX203">
        <v>1073</v>
      </c>
      <c r="AY203">
        <v>1695</v>
      </c>
      <c r="AZ203">
        <v>2277</v>
      </c>
      <c r="BA203">
        <v>2277</v>
      </c>
      <c r="BB203">
        <v>5232</v>
      </c>
      <c r="BC203">
        <v>6391</v>
      </c>
      <c r="BD203">
        <v>7798</v>
      </c>
      <c r="BE203">
        <v>9942</v>
      </c>
      <c r="BF203">
        <v>11748</v>
      </c>
      <c r="BG203">
        <v>13910</v>
      </c>
      <c r="BH203">
        <v>17963</v>
      </c>
      <c r="BI203">
        <v>20410</v>
      </c>
      <c r="BJ203">
        <v>25374</v>
      </c>
      <c r="BK203">
        <v>28768</v>
      </c>
      <c r="BL203">
        <v>35136</v>
      </c>
      <c r="BM203">
        <v>39885</v>
      </c>
      <c r="BN203">
        <v>49515</v>
      </c>
      <c r="BO203">
        <v>57786</v>
      </c>
      <c r="BP203">
        <v>65719</v>
      </c>
      <c r="BQ203">
        <v>73235</v>
      </c>
      <c r="BR203">
        <v>80110</v>
      </c>
      <c r="BS203">
        <v>87956</v>
      </c>
    </row>
    <row r="204" spans="1:71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1</v>
      </c>
      <c r="I204">
        <v>1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2</v>
      </c>
      <c r="BA204">
        <v>2</v>
      </c>
      <c r="BB204">
        <v>6</v>
      </c>
      <c r="BC204">
        <v>10</v>
      </c>
      <c r="BD204">
        <v>18</v>
      </c>
      <c r="BE204">
        <v>28</v>
      </c>
      <c r="BF204">
        <v>44</v>
      </c>
      <c r="BG204">
        <v>51</v>
      </c>
      <c r="BH204">
        <v>60</v>
      </c>
      <c r="BI204">
        <v>73</v>
      </c>
      <c r="BJ204">
        <v>77</v>
      </c>
      <c r="BK204">
        <v>82</v>
      </c>
      <c r="BL204">
        <v>97</v>
      </c>
      <c r="BM204">
        <v>102</v>
      </c>
      <c r="BN204">
        <v>102</v>
      </c>
      <c r="BO204">
        <v>106</v>
      </c>
      <c r="BP204">
        <v>106</v>
      </c>
      <c r="BQ204">
        <v>113</v>
      </c>
      <c r="BR204">
        <v>117</v>
      </c>
      <c r="BS204">
        <v>122</v>
      </c>
    </row>
    <row r="205" spans="1:71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2</v>
      </c>
      <c r="BH205">
        <v>2</v>
      </c>
      <c r="BI205">
        <v>2</v>
      </c>
      <c r="BJ205">
        <v>2</v>
      </c>
      <c r="BK205">
        <v>2</v>
      </c>
      <c r="BL205">
        <v>2</v>
      </c>
      <c r="BM205">
        <v>3</v>
      </c>
      <c r="BN205">
        <v>3</v>
      </c>
      <c r="BO205">
        <v>3</v>
      </c>
      <c r="BP205">
        <v>3</v>
      </c>
      <c r="BQ205">
        <v>5</v>
      </c>
      <c r="BR205">
        <v>6</v>
      </c>
      <c r="BS205">
        <v>6</v>
      </c>
    </row>
    <row r="206" spans="1:71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1</v>
      </c>
      <c r="BD206">
        <v>1</v>
      </c>
      <c r="BE206">
        <v>1</v>
      </c>
      <c r="BF206">
        <v>1</v>
      </c>
      <c r="BG206">
        <v>1</v>
      </c>
      <c r="BH206">
        <v>1</v>
      </c>
      <c r="BI206">
        <v>4</v>
      </c>
      <c r="BJ206">
        <v>4</v>
      </c>
      <c r="BK206">
        <v>5</v>
      </c>
      <c r="BL206">
        <v>5</v>
      </c>
      <c r="BM206">
        <v>7</v>
      </c>
      <c r="BN206">
        <v>8</v>
      </c>
      <c r="BO206">
        <v>8</v>
      </c>
      <c r="BP206">
        <v>8</v>
      </c>
      <c r="BQ206">
        <v>8</v>
      </c>
      <c r="BR206">
        <v>8</v>
      </c>
      <c r="BS206">
        <v>8</v>
      </c>
    </row>
    <row r="207" spans="1:71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1</v>
      </c>
      <c r="M207">
        <v>1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2</v>
      </c>
      <c r="AM207">
        <v>7</v>
      </c>
      <c r="AN207">
        <v>7</v>
      </c>
      <c r="AO207">
        <v>12</v>
      </c>
      <c r="AP207">
        <v>14</v>
      </c>
      <c r="AQ207">
        <v>15</v>
      </c>
      <c r="AR207">
        <v>21</v>
      </c>
      <c r="AS207">
        <v>35</v>
      </c>
      <c r="AT207">
        <v>94</v>
      </c>
      <c r="AU207">
        <v>101</v>
      </c>
      <c r="AV207">
        <v>161</v>
      </c>
      <c r="AW207">
        <v>203</v>
      </c>
      <c r="AX207">
        <v>248</v>
      </c>
      <c r="AY207">
        <v>355</v>
      </c>
      <c r="AZ207">
        <v>500</v>
      </c>
      <c r="BA207">
        <v>599</v>
      </c>
      <c r="BB207">
        <v>814</v>
      </c>
      <c r="BC207">
        <v>961</v>
      </c>
      <c r="BD207">
        <v>1022</v>
      </c>
      <c r="BE207">
        <v>1103</v>
      </c>
      <c r="BF207">
        <v>1190</v>
      </c>
      <c r="BG207">
        <v>1279</v>
      </c>
      <c r="BH207">
        <v>1439</v>
      </c>
      <c r="BI207">
        <v>1639</v>
      </c>
      <c r="BJ207">
        <v>1763</v>
      </c>
      <c r="BK207">
        <v>1934</v>
      </c>
      <c r="BL207">
        <v>2046</v>
      </c>
      <c r="BM207">
        <v>2286</v>
      </c>
      <c r="BN207">
        <v>2526</v>
      </c>
      <c r="BO207">
        <v>2840</v>
      </c>
      <c r="BP207">
        <v>3069</v>
      </c>
      <c r="BQ207">
        <v>3447</v>
      </c>
      <c r="BR207">
        <v>3700</v>
      </c>
      <c r="BS207">
        <v>4028</v>
      </c>
    </row>
    <row r="208" spans="1:71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1</v>
      </c>
      <c r="AL208">
        <v>1</v>
      </c>
      <c r="AM208">
        <v>8</v>
      </c>
      <c r="AN208">
        <v>8</v>
      </c>
      <c r="AO208">
        <v>18</v>
      </c>
      <c r="AP208">
        <v>27</v>
      </c>
      <c r="AQ208">
        <v>42</v>
      </c>
      <c r="AR208">
        <v>56</v>
      </c>
      <c r="AS208">
        <v>90</v>
      </c>
      <c r="AT208">
        <v>114</v>
      </c>
      <c r="AU208">
        <v>214</v>
      </c>
      <c r="AV208">
        <v>268</v>
      </c>
      <c r="AW208">
        <v>337</v>
      </c>
      <c r="AX208">
        <v>374</v>
      </c>
      <c r="AY208">
        <v>491</v>
      </c>
      <c r="AZ208">
        <v>652</v>
      </c>
      <c r="BA208">
        <v>652</v>
      </c>
      <c r="BB208">
        <v>1139</v>
      </c>
      <c r="BC208">
        <v>1359</v>
      </c>
      <c r="BD208">
        <v>2200</v>
      </c>
      <c r="BE208">
        <v>2200</v>
      </c>
      <c r="BF208">
        <v>2700</v>
      </c>
      <c r="BG208">
        <v>3028</v>
      </c>
      <c r="BH208">
        <v>4075</v>
      </c>
      <c r="BI208">
        <v>5294</v>
      </c>
      <c r="BJ208">
        <v>6575</v>
      </c>
      <c r="BK208">
        <v>7474</v>
      </c>
      <c r="BL208">
        <v>8795</v>
      </c>
      <c r="BM208">
        <v>9877</v>
      </c>
      <c r="BN208">
        <v>10897</v>
      </c>
      <c r="BO208">
        <v>11811</v>
      </c>
      <c r="BP208">
        <v>12928</v>
      </c>
      <c r="BQ208">
        <v>14076</v>
      </c>
      <c r="BR208">
        <v>14829</v>
      </c>
      <c r="BS208">
        <v>15922</v>
      </c>
    </row>
    <row r="209" spans="1:71" x14ac:dyDescent="0.25">
      <c r="A209" s="1" t="s">
        <v>2</v>
      </c>
      <c r="B209" s="1" t="s">
        <v>144</v>
      </c>
      <c r="C209">
        <v>1</v>
      </c>
      <c r="D209">
        <v>1</v>
      </c>
      <c r="E209">
        <v>3</v>
      </c>
      <c r="F209">
        <v>3</v>
      </c>
      <c r="G209">
        <v>4</v>
      </c>
      <c r="H209">
        <v>5</v>
      </c>
      <c r="I209">
        <v>8</v>
      </c>
      <c r="J209">
        <v>8</v>
      </c>
      <c r="K209">
        <v>9</v>
      </c>
      <c r="L209">
        <v>10</v>
      </c>
      <c r="M209">
        <v>10</v>
      </c>
      <c r="N209">
        <v>10</v>
      </c>
      <c r="O209">
        <v>10</v>
      </c>
      <c r="P209">
        <v>11</v>
      </c>
      <c r="Q209">
        <v>11</v>
      </c>
      <c r="R209">
        <v>16</v>
      </c>
      <c r="S209">
        <v>16</v>
      </c>
      <c r="T209">
        <v>17</v>
      </c>
      <c r="U209">
        <v>18</v>
      </c>
      <c r="V209">
        <v>18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20</v>
      </c>
      <c r="AC209">
        <v>22</v>
      </c>
      <c r="AD209">
        <v>22</v>
      </c>
      <c r="AE209">
        <v>23</v>
      </c>
      <c r="AF209">
        <v>24</v>
      </c>
      <c r="AG209">
        <v>26</v>
      </c>
      <c r="AH209">
        <v>26</v>
      </c>
      <c r="AI209">
        <v>28</v>
      </c>
      <c r="AJ209">
        <v>30</v>
      </c>
      <c r="AK209">
        <v>31</v>
      </c>
      <c r="AL209">
        <v>32</v>
      </c>
      <c r="AM209">
        <v>32</v>
      </c>
      <c r="AN209">
        <v>34</v>
      </c>
      <c r="AO209">
        <v>39</v>
      </c>
      <c r="AP209">
        <v>40</v>
      </c>
      <c r="AQ209">
        <v>41</v>
      </c>
      <c r="AR209">
        <v>42</v>
      </c>
      <c r="AS209">
        <v>42</v>
      </c>
      <c r="AT209">
        <v>44</v>
      </c>
      <c r="AU209">
        <v>45</v>
      </c>
      <c r="AV209">
        <v>45</v>
      </c>
      <c r="AW209">
        <v>45</v>
      </c>
      <c r="AX209">
        <v>45</v>
      </c>
      <c r="AY209">
        <v>47</v>
      </c>
      <c r="AZ209">
        <v>48</v>
      </c>
      <c r="BA209">
        <v>49</v>
      </c>
      <c r="BB209">
        <v>50</v>
      </c>
      <c r="BC209">
        <v>53</v>
      </c>
      <c r="BD209">
        <v>59</v>
      </c>
      <c r="BE209">
        <v>67</v>
      </c>
      <c r="BF209">
        <v>77</v>
      </c>
      <c r="BG209">
        <v>100</v>
      </c>
      <c r="BH209">
        <v>108</v>
      </c>
      <c r="BI209">
        <v>135</v>
      </c>
      <c r="BJ209">
        <v>153</v>
      </c>
      <c r="BK209">
        <v>169</v>
      </c>
      <c r="BL209">
        <v>195</v>
      </c>
      <c r="BM209">
        <v>215</v>
      </c>
      <c r="BN209">
        <v>235</v>
      </c>
      <c r="BO209">
        <v>252</v>
      </c>
      <c r="BP209">
        <v>267</v>
      </c>
      <c r="BQ209">
        <v>283</v>
      </c>
      <c r="BR209">
        <v>298</v>
      </c>
      <c r="BS209">
        <v>306</v>
      </c>
    </row>
    <row r="210" spans="1:71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1</v>
      </c>
      <c r="BF210">
        <v>1</v>
      </c>
      <c r="BG210">
        <v>3</v>
      </c>
      <c r="BH210">
        <v>6</v>
      </c>
      <c r="BI210">
        <v>6</v>
      </c>
      <c r="BJ210">
        <v>6</v>
      </c>
      <c r="BK210">
        <v>12</v>
      </c>
      <c r="BL210">
        <v>12</v>
      </c>
      <c r="BM210">
        <v>12</v>
      </c>
      <c r="BN210">
        <v>12</v>
      </c>
      <c r="BO210">
        <v>13</v>
      </c>
      <c r="BP210">
        <v>13</v>
      </c>
      <c r="BQ210">
        <v>14</v>
      </c>
      <c r="BR210">
        <v>14</v>
      </c>
      <c r="BS210">
        <v>19</v>
      </c>
    </row>
    <row r="211" spans="1:71" x14ac:dyDescent="0.25">
      <c r="A211" s="1" t="s">
        <v>2</v>
      </c>
      <c r="B211" s="1" t="s">
        <v>1</v>
      </c>
      <c r="C211">
        <v>2</v>
      </c>
      <c r="D211">
        <v>3</v>
      </c>
      <c r="E211">
        <v>5</v>
      </c>
      <c r="F211">
        <v>7</v>
      </c>
      <c r="G211">
        <v>8</v>
      </c>
      <c r="H211">
        <v>8</v>
      </c>
      <c r="I211">
        <v>14</v>
      </c>
      <c r="J211">
        <v>14</v>
      </c>
      <c r="K211">
        <v>14</v>
      </c>
      <c r="L211">
        <v>19</v>
      </c>
      <c r="M211">
        <v>19</v>
      </c>
      <c r="N211">
        <v>19</v>
      </c>
      <c r="O211">
        <v>19</v>
      </c>
      <c r="P211">
        <v>25</v>
      </c>
      <c r="Q211">
        <v>25</v>
      </c>
      <c r="R211">
        <v>25</v>
      </c>
      <c r="S211">
        <v>25</v>
      </c>
      <c r="T211">
        <v>32</v>
      </c>
      <c r="U211">
        <v>32</v>
      </c>
      <c r="V211">
        <v>32</v>
      </c>
      <c r="W211">
        <v>33</v>
      </c>
      <c r="X211">
        <v>33</v>
      </c>
      <c r="Y211">
        <v>33</v>
      </c>
      <c r="Z211">
        <v>33</v>
      </c>
      <c r="AA211">
        <v>33</v>
      </c>
      <c r="AB211">
        <v>34</v>
      </c>
      <c r="AC211">
        <v>35</v>
      </c>
      <c r="AD211">
        <v>35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37</v>
      </c>
      <c r="AL211">
        <v>40</v>
      </c>
      <c r="AM211">
        <v>40</v>
      </c>
      <c r="AN211">
        <v>41</v>
      </c>
      <c r="AO211">
        <v>42</v>
      </c>
      <c r="AP211">
        <v>42</v>
      </c>
      <c r="AQ211">
        <v>43</v>
      </c>
      <c r="AR211">
        <v>43</v>
      </c>
      <c r="AS211">
        <v>43</v>
      </c>
      <c r="AT211">
        <v>47</v>
      </c>
      <c r="AU211">
        <v>48</v>
      </c>
      <c r="AV211">
        <v>50</v>
      </c>
      <c r="AW211">
        <v>50</v>
      </c>
      <c r="AX211">
        <v>50</v>
      </c>
      <c r="AY211">
        <v>53</v>
      </c>
      <c r="AZ211">
        <v>59</v>
      </c>
      <c r="BA211">
        <v>70</v>
      </c>
      <c r="BB211">
        <v>75</v>
      </c>
      <c r="BC211">
        <v>82</v>
      </c>
      <c r="BD211">
        <v>114</v>
      </c>
      <c r="BE211">
        <v>147</v>
      </c>
      <c r="BF211">
        <v>177</v>
      </c>
      <c r="BG211">
        <v>212</v>
      </c>
      <c r="BH211">
        <v>272</v>
      </c>
      <c r="BI211">
        <v>322</v>
      </c>
      <c r="BJ211">
        <v>411</v>
      </c>
      <c r="BK211">
        <v>599</v>
      </c>
      <c r="BL211">
        <v>721</v>
      </c>
      <c r="BM211">
        <v>827</v>
      </c>
      <c r="BN211">
        <v>934</v>
      </c>
      <c r="BO211">
        <v>1045</v>
      </c>
      <c r="BP211">
        <v>1136</v>
      </c>
      <c r="BQ211">
        <v>1245</v>
      </c>
      <c r="BR211">
        <v>1388</v>
      </c>
      <c r="BS211">
        <v>1524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1</v>
      </c>
      <c r="AV212">
        <v>1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9</v>
      </c>
      <c r="BJ212">
        <v>16</v>
      </c>
      <c r="BK212">
        <v>16</v>
      </c>
      <c r="BL212">
        <v>18</v>
      </c>
      <c r="BM212">
        <v>20</v>
      </c>
      <c r="BN212">
        <v>23</v>
      </c>
      <c r="BO212">
        <v>23</v>
      </c>
      <c r="BP212">
        <v>25</v>
      </c>
      <c r="BQ212">
        <v>25</v>
      </c>
      <c r="BR212">
        <v>25</v>
      </c>
      <c r="BS212">
        <v>30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2</v>
      </c>
      <c r="BD213">
        <v>2</v>
      </c>
      <c r="BE213">
        <v>4</v>
      </c>
      <c r="BF213">
        <v>5</v>
      </c>
      <c r="BG213">
        <v>7</v>
      </c>
      <c r="BH213">
        <v>9</v>
      </c>
      <c r="BI213">
        <v>9</v>
      </c>
      <c r="BJ213">
        <v>49</v>
      </c>
      <c r="BK213">
        <v>50</v>
      </c>
      <c r="BL213">
        <v>51</v>
      </c>
      <c r="BM213">
        <v>57</v>
      </c>
      <c r="BN213">
        <v>60</v>
      </c>
      <c r="BO213">
        <v>65</v>
      </c>
      <c r="BP213">
        <v>66</v>
      </c>
      <c r="BQ213">
        <v>74</v>
      </c>
      <c r="BR213">
        <v>78</v>
      </c>
      <c r="BS213">
        <v>82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1</v>
      </c>
      <c r="AT214">
        <v>1</v>
      </c>
      <c r="AU214">
        <v>1</v>
      </c>
      <c r="AV214">
        <v>1</v>
      </c>
      <c r="AW214">
        <v>2</v>
      </c>
      <c r="AX214">
        <v>2</v>
      </c>
      <c r="AY214">
        <v>5</v>
      </c>
      <c r="AZ214">
        <v>7</v>
      </c>
      <c r="BA214">
        <v>7</v>
      </c>
      <c r="BB214">
        <v>16</v>
      </c>
      <c r="BC214">
        <v>18</v>
      </c>
      <c r="BD214">
        <v>18</v>
      </c>
      <c r="BE214">
        <v>20</v>
      </c>
      <c r="BF214">
        <v>24</v>
      </c>
      <c r="BG214">
        <v>29</v>
      </c>
      <c r="BH214">
        <v>39</v>
      </c>
      <c r="BI214">
        <v>54</v>
      </c>
      <c r="BJ214">
        <v>60</v>
      </c>
      <c r="BK214">
        <v>75</v>
      </c>
      <c r="BL214">
        <v>89</v>
      </c>
      <c r="BM214">
        <v>114</v>
      </c>
      <c r="BN214">
        <v>173</v>
      </c>
      <c r="BO214">
        <v>197</v>
      </c>
      <c r="BP214">
        <v>227</v>
      </c>
      <c r="BQ214">
        <v>278</v>
      </c>
      <c r="BR214">
        <v>312</v>
      </c>
      <c r="BS214">
        <v>312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1</v>
      </c>
      <c r="BA215">
        <v>1</v>
      </c>
      <c r="BB215">
        <v>5</v>
      </c>
      <c r="BC215">
        <v>5</v>
      </c>
      <c r="BD215">
        <v>6</v>
      </c>
      <c r="BE215">
        <v>18</v>
      </c>
      <c r="BF215">
        <v>47</v>
      </c>
      <c r="BG215">
        <v>98</v>
      </c>
      <c r="BH215">
        <v>192</v>
      </c>
      <c r="BI215">
        <v>359</v>
      </c>
      <c r="BJ215">
        <v>670</v>
      </c>
      <c r="BK215">
        <v>1236</v>
      </c>
      <c r="BL215">
        <v>1529</v>
      </c>
      <c r="BM215">
        <v>1872</v>
      </c>
      <c r="BN215">
        <v>2433</v>
      </c>
      <c r="BO215">
        <v>3629</v>
      </c>
      <c r="BP215">
        <v>5698</v>
      </c>
      <c r="BQ215">
        <v>7402</v>
      </c>
      <c r="BR215">
        <v>9217</v>
      </c>
      <c r="BS215">
        <v>10827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</v>
      </c>
      <c r="BK216">
        <v>1</v>
      </c>
      <c r="BL216">
        <v>9</v>
      </c>
      <c r="BM216">
        <v>9</v>
      </c>
      <c r="BN216">
        <v>14</v>
      </c>
      <c r="BO216">
        <v>14</v>
      </c>
      <c r="BP216">
        <v>23</v>
      </c>
      <c r="BQ216">
        <v>30</v>
      </c>
      <c r="BR216">
        <v>33</v>
      </c>
      <c r="BS216">
        <v>33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1</v>
      </c>
      <c r="AS217">
        <v>1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3</v>
      </c>
      <c r="BC217">
        <v>3</v>
      </c>
      <c r="BD217">
        <v>3</v>
      </c>
      <c r="BE217">
        <v>7</v>
      </c>
      <c r="BF217">
        <v>14</v>
      </c>
      <c r="BG217">
        <v>14</v>
      </c>
      <c r="BH217">
        <v>16</v>
      </c>
      <c r="BI217">
        <v>29</v>
      </c>
      <c r="BJ217">
        <v>47</v>
      </c>
      <c r="BK217">
        <v>73</v>
      </c>
      <c r="BL217">
        <v>73</v>
      </c>
      <c r="BM217">
        <v>97</v>
      </c>
      <c r="BN217">
        <v>145</v>
      </c>
      <c r="BO217">
        <v>196</v>
      </c>
      <c r="BP217">
        <v>310</v>
      </c>
      <c r="BQ217">
        <v>356</v>
      </c>
      <c r="BR217">
        <v>475</v>
      </c>
      <c r="BS217">
        <v>548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4</v>
      </c>
      <c r="K218">
        <v>4</v>
      </c>
      <c r="L218">
        <v>4</v>
      </c>
      <c r="M218">
        <v>4</v>
      </c>
      <c r="N218">
        <v>5</v>
      </c>
      <c r="O218">
        <v>5</v>
      </c>
      <c r="P218">
        <v>5</v>
      </c>
      <c r="Q218">
        <v>5</v>
      </c>
      <c r="R218">
        <v>5</v>
      </c>
      <c r="S218">
        <v>5</v>
      </c>
      <c r="T218">
        <v>7</v>
      </c>
      <c r="U218">
        <v>7</v>
      </c>
      <c r="V218">
        <v>8</v>
      </c>
      <c r="W218">
        <v>8</v>
      </c>
      <c r="X218">
        <v>8</v>
      </c>
      <c r="Y218">
        <v>8</v>
      </c>
      <c r="Z218">
        <v>8</v>
      </c>
      <c r="AA218">
        <v>8</v>
      </c>
      <c r="AB218">
        <v>9</v>
      </c>
      <c r="AC218">
        <v>9</v>
      </c>
      <c r="AD218">
        <v>9</v>
      </c>
      <c r="AE218">
        <v>9</v>
      </c>
      <c r="AF218">
        <v>9</v>
      </c>
      <c r="AG218">
        <v>9</v>
      </c>
      <c r="AH218">
        <v>13</v>
      </c>
      <c r="AI218">
        <v>13</v>
      </c>
      <c r="AJ218">
        <v>13</v>
      </c>
      <c r="AK218">
        <v>13</v>
      </c>
      <c r="AL218">
        <v>13</v>
      </c>
      <c r="AM218">
        <v>13</v>
      </c>
      <c r="AN218">
        <v>19</v>
      </c>
      <c r="AO218">
        <v>21</v>
      </c>
      <c r="AP218">
        <v>21</v>
      </c>
      <c r="AQ218">
        <v>21</v>
      </c>
      <c r="AR218">
        <v>27</v>
      </c>
      <c r="AS218">
        <v>27</v>
      </c>
      <c r="AT218">
        <v>29</v>
      </c>
      <c r="AU218">
        <v>29</v>
      </c>
      <c r="AV218">
        <v>45</v>
      </c>
      <c r="AW218">
        <v>45</v>
      </c>
      <c r="AX218">
        <v>45</v>
      </c>
      <c r="AY218">
        <v>74</v>
      </c>
      <c r="AZ218">
        <v>74</v>
      </c>
      <c r="BA218">
        <v>85</v>
      </c>
      <c r="BB218">
        <v>85</v>
      </c>
      <c r="BC218">
        <v>85</v>
      </c>
      <c r="BD218">
        <v>98</v>
      </c>
      <c r="BE218">
        <v>98</v>
      </c>
      <c r="BF218">
        <v>98</v>
      </c>
      <c r="BG218">
        <v>113</v>
      </c>
      <c r="BH218">
        <v>140</v>
      </c>
      <c r="BI218">
        <v>140</v>
      </c>
      <c r="BJ218">
        <v>153</v>
      </c>
      <c r="BK218">
        <v>153</v>
      </c>
      <c r="BL218">
        <v>198</v>
      </c>
      <c r="BM218">
        <v>248</v>
      </c>
      <c r="BN218">
        <v>333</v>
      </c>
      <c r="BO218">
        <v>333</v>
      </c>
      <c r="BP218">
        <v>405</v>
      </c>
      <c r="BQ218">
        <v>468</v>
      </c>
      <c r="BR218">
        <v>570</v>
      </c>
      <c r="BS218">
        <v>611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2</v>
      </c>
      <c r="BI219">
        <v>2</v>
      </c>
      <c r="BJ219">
        <v>2</v>
      </c>
      <c r="BK219">
        <v>6</v>
      </c>
      <c r="BL219">
        <v>6</v>
      </c>
      <c r="BM219">
        <v>6</v>
      </c>
      <c r="BN219">
        <v>7</v>
      </c>
      <c r="BO219">
        <v>15</v>
      </c>
      <c r="BP219">
        <v>17</v>
      </c>
      <c r="BQ219">
        <v>17</v>
      </c>
      <c r="BR219">
        <v>22</v>
      </c>
      <c r="BS219">
        <v>27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1</v>
      </c>
      <c r="BC220">
        <v>1</v>
      </c>
      <c r="BD220">
        <v>1</v>
      </c>
      <c r="BE220">
        <v>1</v>
      </c>
      <c r="BF220">
        <v>1</v>
      </c>
      <c r="BG220">
        <v>1</v>
      </c>
      <c r="BH220">
        <v>3</v>
      </c>
      <c r="BI220">
        <v>3</v>
      </c>
      <c r="BJ220">
        <v>3</v>
      </c>
      <c r="BK220">
        <v>3</v>
      </c>
      <c r="BL220">
        <v>5</v>
      </c>
      <c r="BM220">
        <v>6</v>
      </c>
      <c r="BN220">
        <v>8</v>
      </c>
      <c r="BO220">
        <v>8</v>
      </c>
      <c r="BP220">
        <v>8</v>
      </c>
      <c r="BQ220">
        <v>8</v>
      </c>
      <c r="BR220">
        <v>8</v>
      </c>
      <c r="BS220">
        <v>12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1</v>
      </c>
      <c r="AZ221">
        <v>2</v>
      </c>
      <c r="BA221">
        <v>2</v>
      </c>
      <c r="BB221">
        <v>2</v>
      </c>
      <c r="BC221">
        <v>2</v>
      </c>
      <c r="BD221">
        <v>3</v>
      </c>
      <c r="BE221">
        <v>6</v>
      </c>
      <c r="BF221">
        <v>6</v>
      </c>
      <c r="BG221">
        <v>6</v>
      </c>
      <c r="BH221">
        <v>11</v>
      </c>
      <c r="BI221">
        <v>14</v>
      </c>
      <c r="BJ221">
        <v>32</v>
      </c>
      <c r="BK221">
        <v>32</v>
      </c>
      <c r="BL221">
        <v>36</v>
      </c>
      <c r="BM221">
        <v>36</v>
      </c>
      <c r="BN221">
        <v>46</v>
      </c>
      <c r="BO221">
        <v>66</v>
      </c>
      <c r="BP221">
        <v>88</v>
      </c>
      <c r="BQ221">
        <v>97</v>
      </c>
      <c r="BR221">
        <v>108</v>
      </c>
      <c r="BS221">
        <v>141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1</v>
      </c>
      <c r="AT222">
        <v>1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3</v>
      </c>
      <c r="BG222">
        <v>8</v>
      </c>
      <c r="BH222">
        <v>10</v>
      </c>
      <c r="BI222">
        <v>10</v>
      </c>
      <c r="BJ222">
        <v>10</v>
      </c>
      <c r="BK222">
        <v>15</v>
      </c>
      <c r="BL222">
        <v>15</v>
      </c>
      <c r="BM222">
        <v>15</v>
      </c>
      <c r="BN222">
        <v>26</v>
      </c>
      <c r="BO222">
        <v>35</v>
      </c>
      <c r="BP222">
        <v>55</v>
      </c>
      <c r="BQ222">
        <v>56</v>
      </c>
      <c r="BR222">
        <v>65</v>
      </c>
      <c r="BS222">
        <v>69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1</v>
      </c>
      <c r="BJ223">
        <v>1</v>
      </c>
      <c r="BK223">
        <v>5</v>
      </c>
      <c r="BL223">
        <v>13</v>
      </c>
      <c r="BM223">
        <v>23</v>
      </c>
      <c r="BN223">
        <v>23</v>
      </c>
      <c r="BO223">
        <v>25</v>
      </c>
      <c r="BP223">
        <v>29</v>
      </c>
      <c r="BQ223">
        <v>32</v>
      </c>
      <c r="BR223">
        <v>42</v>
      </c>
      <c r="BS223">
        <v>49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1</v>
      </c>
      <c r="BH224">
        <v>1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5</v>
      </c>
      <c r="BP224">
        <v>5</v>
      </c>
      <c r="BQ224">
        <v>5</v>
      </c>
      <c r="BR224">
        <v>5</v>
      </c>
      <c r="BS224">
        <v>5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2</v>
      </c>
      <c r="M225">
        <v>2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3</v>
      </c>
      <c r="T225">
        <v>3</v>
      </c>
      <c r="U225">
        <v>3</v>
      </c>
      <c r="V225">
        <v>8</v>
      </c>
      <c r="W225">
        <v>8</v>
      </c>
      <c r="X225">
        <v>9</v>
      </c>
      <c r="Y225">
        <v>9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13</v>
      </c>
      <c r="AK225">
        <v>13</v>
      </c>
      <c r="AL225">
        <v>13</v>
      </c>
      <c r="AM225">
        <v>15</v>
      </c>
      <c r="AN225">
        <v>20</v>
      </c>
      <c r="AO225">
        <v>23</v>
      </c>
      <c r="AP225">
        <v>36</v>
      </c>
      <c r="AQ225">
        <v>40</v>
      </c>
      <c r="AR225">
        <v>51</v>
      </c>
      <c r="AS225">
        <v>85</v>
      </c>
      <c r="AT225">
        <v>115</v>
      </c>
      <c r="AU225">
        <v>163</v>
      </c>
      <c r="AV225">
        <v>206</v>
      </c>
      <c r="AW225">
        <v>273</v>
      </c>
      <c r="AX225">
        <v>321</v>
      </c>
      <c r="AY225">
        <v>382</v>
      </c>
      <c r="AZ225">
        <v>456</v>
      </c>
      <c r="BA225">
        <v>456</v>
      </c>
      <c r="BB225">
        <v>798</v>
      </c>
      <c r="BC225">
        <v>1140</v>
      </c>
      <c r="BD225">
        <v>1140</v>
      </c>
      <c r="BE225">
        <v>1543</v>
      </c>
      <c r="BF225">
        <v>1950</v>
      </c>
      <c r="BG225">
        <v>2626</v>
      </c>
      <c r="BH225">
        <v>2689</v>
      </c>
      <c r="BI225">
        <v>3983</v>
      </c>
      <c r="BJ225">
        <v>5018</v>
      </c>
      <c r="BK225">
        <v>5683</v>
      </c>
      <c r="BL225">
        <v>6650</v>
      </c>
      <c r="BM225">
        <v>8077</v>
      </c>
      <c r="BN225">
        <v>9529</v>
      </c>
      <c r="BO225">
        <v>11658</v>
      </c>
      <c r="BP225">
        <v>14543</v>
      </c>
      <c r="BQ225">
        <v>17089</v>
      </c>
      <c r="BR225">
        <v>19522</v>
      </c>
      <c r="BS225">
        <v>22141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4</v>
      </c>
      <c r="BD226">
        <v>4</v>
      </c>
      <c r="BE226">
        <v>8</v>
      </c>
      <c r="BF226">
        <v>29</v>
      </c>
      <c r="BG226">
        <v>50</v>
      </c>
      <c r="BH226">
        <v>79</v>
      </c>
      <c r="BI226">
        <v>94</v>
      </c>
      <c r="BJ226">
        <v>110</v>
      </c>
      <c r="BK226">
        <v>158</v>
      </c>
      <c r="BL226">
        <v>162</v>
      </c>
      <c r="BM226">
        <v>162</v>
      </c>
      <c r="BN226">
        <v>189</v>
      </c>
      <c r="BO226">
        <v>217</v>
      </c>
      <c r="BP226">
        <v>238</v>
      </c>
      <c r="BQ226">
        <v>274</v>
      </c>
      <c r="BR226">
        <v>304</v>
      </c>
      <c r="BS226">
        <v>310</v>
      </c>
    </row>
    <row r="227" spans="1:71" x14ac:dyDescent="0.25">
      <c r="A227" s="1" t="s">
        <v>2</v>
      </c>
      <c r="B227" s="1" t="s">
        <v>101</v>
      </c>
      <c r="C227">
        <v>1</v>
      </c>
      <c r="D227">
        <v>1</v>
      </c>
      <c r="E227">
        <v>2</v>
      </c>
      <c r="F227">
        <v>2</v>
      </c>
      <c r="G227">
        <v>5</v>
      </c>
      <c r="H227">
        <v>5</v>
      </c>
      <c r="I227">
        <v>5</v>
      </c>
      <c r="J227">
        <v>5</v>
      </c>
      <c r="K227">
        <v>5</v>
      </c>
      <c r="L227">
        <v>7</v>
      </c>
      <c r="M227">
        <v>8</v>
      </c>
      <c r="N227">
        <v>8</v>
      </c>
      <c r="O227">
        <v>11</v>
      </c>
      <c r="P227">
        <v>11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12</v>
      </c>
      <c r="X227">
        <v>12</v>
      </c>
      <c r="Y227">
        <v>13</v>
      </c>
      <c r="Z227">
        <v>13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15</v>
      </c>
      <c r="AH227">
        <v>15</v>
      </c>
      <c r="AI227">
        <v>15</v>
      </c>
      <c r="AJ227">
        <v>51</v>
      </c>
      <c r="AK227">
        <v>51</v>
      </c>
      <c r="AL227">
        <v>57</v>
      </c>
      <c r="AM227">
        <v>58</v>
      </c>
      <c r="AN227">
        <v>60</v>
      </c>
      <c r="AO227">
        <v>68</v>
      </c>
      <c r="AP227">
        <v>74</v>
      </c>
      <c r="AQ227">
        <v>98</v>
      </c>
      <c r="AR227">
        <v>118</v>
      </c>
      <c r="AS227">
        <v>149</v>
      </c>
      <c r="AT227">
        <v>217</v>
      </c>
      <c r="AU227">
        <v>262</v>
      </c>
      <c r="AV227">
        <v>402</v>
      </c>
      <c r="AW227">
        <v>518</v>
      </c>
      <c r="AX227">
        <v>583</v>
      </c>
      <c r="AY227">
        <v>959</v>
      </c>
      <c r="AZ227">
        <v>1281</v>
      </c>
      <c r="BA227">
        <v>1663</v>
      </c>
      <c r="BB227">
        <v>2179</v>
      </c>
      <c r="BC227">
        <v>2727</v>
      </c>
      <c r="BD227">
        <v>3499</v>
      </c>
      <c r="BE227">
        <v>4632</v>
      </c>
      <c r="BF227">
        <v>6421</v>
      </c>
      <c r="BG227">
        <v>7783</v>
      </c>
      <c r="BH227">
        <v>13677</v>
      </c>
      <c r="BI227">
        <v>19100</v>
      </c>
      <c r="BJ227">
        <v>25489</v>
      </c>
      <c r="BK227">
        <v>33276</v>
      </c>
      <c r="BL227">
        <v>43847</v>
      </c>
      <c r="BM227">
        <v>53740</v>
      </c>
      <c r="BN227">
        <v>65778</v>
      </c>
      <c r="BO227">
        <v>83836</v>
      </c>
      <c r="BP227">
        <v>101657</v>
      </c>
      <c r="BQ227">
        <v>121478</v>
      </c>
      <c r="BR227">
        <v>140886</v>
      </c>
      <c r="BS227">
        <v>161807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</v>
      </c>
      <c r="BE228">
        <v>6</v>
      </c>
      <c r="BF228">
        <v>10</v>
      </c>
      <c r="BG228">
        <v>15</v>
      </c>
      <c r="BH228">
        <v>23</v>
      </c>
      <c r="BI228">
        <v>33</v>
      </c>
      <c r="BJ228">
        <v>43</v>
      </c>
      <c r="BK228">
        <v>43</v>
      </c>
      <c r="BL228">
        <v>46</v>
      </c>
      <c r="BM228">
        <v>50</v>
      </c>
      <c r="BN228">
        <v>60</v>
      </c>
      <c r="BO228">
        <v>75</v>
      </c>
      <c r="BP228">
        <v>88</v>
      </c>
      <c r="BQ228">
        <v>104</v>
      </c>
      <c r="BR228">
        <v>144</v>
      </c>
      <c r="BS228">
        <v>149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2</v>
      </c>
      <c r="BD229">
        <v>10</v>
      </c>
      <c r="BE229">
        <v>17</v>
      </c>
      <c r="BF229">
        <v>33</v>
      </c>
      <c r="BG229">
        <v>36</v>
      </c>
      <c r="BH229">
        <v>42</v>
      </c>
      <c r="BI229">
        <v>42</v>
      </c>
      <c r="BJ229">
        <v>70</v>
      </c>
      <c r="BK229">
        <v>70</v>
      </c>
      <c r="BL229">
        <v>77</v>
      </c>
      <c r="BM229">
        <v>84</v>
      </c>
      <c r="BN229">
        <v>91</v>
      </c>
      <c r="BO229">
        <v>107</v>
      </c>
      <c r="BP229">
        <v>107</v>
      </c>
      <c r="BQ229">
        <v>119</v>
      </c>
      <c r="BR229">
        <v>119</v>
      </c>
      <c r="BS229">
        <v>135</v>
      </c>
    </row>
    <row r="230" spans="1:71" x14ac:dyDescent="0.25">
      <c r="A230" s="1" t="s">
        <v>2</v>
      </c>
      <c r="B230" s="1" t="s">
        <v>145</v>
      </c>
      <c r="C230">
        <v>0</v>
      </c>
      <c r="D230">
        <v>2</v>
      </c>
      <c r="E230">
        <v>2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6</v>
      </c>
      <c r="N230">
        <v>6</v>
      </c>
      <c r="O230">
        <v>8</v>
      </c>
      <c r="P230">
        <v>8</v>
      </c>
      <c r="Q230">
        <v>8</v>
      </c>
      <c r="R230">
        <v>10</v>
      </c>
      <c r="S230">
        <v>10</v>
      </c>
      <c r="T230">
        <v>13</v>
      </c>
      <c r="U230">
        <v>13</v>
      </c>
      <c r="V230">
        <v>14</v>
      </c>
      <c r="W230">
        <v>15</v>
      </c>
      <c r="X230">
        <v>15</v>
      </c>
      <c r="Y230">
        <v>16</v>
      </c>
      <c r="Z230">
        <v>16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18</v>
      </c>
      <c r="AW230">
        <v>30</v>
      </c>
      <c r="AX230">
        <v>30</v>
      </c>
      <c r="AY230">
        <v>31</v>
      </c>
      <c r="AZ230">
        <v>38</v>
      </c>
      <c r="BA230">
        <v>39</v>
      </c>
      <c r="BB230">
        <v>47</v>
      </c>
      <c r="BC230">
        <v>53</v>
      </c>
      <c r="BD230">
        <v>56</v>
      </c>
      <c r="BE230">
        <v>61</v>
      </c>
      <c r="BF230">
        <v>66</v>
      </c>
      <c r="BG230">
        <v>75</v>
      </c>
      <c r="BH230">
        <v>85</v>
      </c>
      <c r="BI230">
        <v>91</v>
      </c>
      <c r="BJ230">
        <v>94</v>
      </c>
      <c r="BK230">
        <v>113</v>
      </c>
      <c r="BL230">
        <v>123</v>
      </c>
      <c r="BM230">
        <v>134</v>
      </c>
      <c r="BN230">
        <v>141</v>
      </c>
      <c r="BO230">
        <v>153</v>
      </c>
      <c r="BP230">
        <v>163</v>
      </c>
      <c r="BQ230">
        <v>174</v>
      </c>
      <c r="BR230">
        <v>188</v>
      </c>
      <c r="BS230">
        <v>203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2</v>
      </c>
      <c r="BH231">
        <v>2</v>
      </c>
      <c r="BI231">
        <v>2</v>
      </c>
      <c r="BJ231">
        <v>2</v>
      </c>
      <c r="BK231">
        <v>3</v>
      </c>
      <c r="BL231">
        <v>3</v>
      </c>
      <c r="BM231">
        <v>3</v>
      </c>
      <c r="BN231">
        <v>12</v>
      </c>
      <c r="BO231">
        <v>16</v>
      </c>
      <c r="BP231">
        <v>22</v>
      </c>
      <c r="BQ231">
        <v>28</v>
      </c>
      <c r="BR231">
        <v>29</v>
      </c>
      <c r="BS231">
        <v>35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1</v>
      </c>
      <c r="BJ232">
        <v>3</v>
      </c>
      <c r="BK232">
        <v>3</v>
      </c>
      <c r="BL232">
        <v>3</v>
      </c>
      <c r="BM232">
        <v>3</v>
      </c>
      <c r="BN232">
        <v>3</v>
      </c>
      <c r="BO232">
        <v>3</v>
      </c>
      <c r="BP232">
        <v>5</v>
      </c>
      <c r="BQ232">
        <v>7</v>
      </c>
      <c r="BR232">
        <v>7</v>
      </c>
      <c r="BS232">
        <v>7</v>
      </c>
    </row>
    <row r="233" spans="1:71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</row>
    <row r="234" spans="1:71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1</v>
      </c>
      <c r="BL234">
        <v>2</v>
      </c>
      <c r="BM234">
        <v>2</v>
      </c>
      <c r="BN234">
        <v>7</v>
      </c>
      <c r="BO234">
        <v>11</v>
      </c>
      <c r="BP234">
        <v>11</v>
      </c>
      <c r="BQ234">
        <v>11</v>
      </c>
      <c r="BR234">
        <v>11</v>
      </c>
      <c r="BS234">
        <v>11</v>
      </c>
    </row>
    <row r="235" spans="1:71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1</v>
      </c>
      <c r="BL235">
        <v>1</v>
      </c>
      <c r="BM235">
        <v>1</v>
      </c>
      <c r="BN235">
        <v>1</v>
      </c>
      <c r="BO235">
        <v>7</v>
      </c>
      <c r="BP235">
        <v>7</v>
      </c>
      <c r="BQ235">
        <v>7</v>
      </c>
      <c r="BR235">
        <v>9</v>
      </c>
      <c r="BS235">
        <v>9</v>
      </c>
    </row>
    <row r="236" spans="1:71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1</v>
      </c>
      <c r="BL236">
        <v>1</v>
      </c>
      <c r="BM236">
        <v>3</v>
      </c>
      <c r="BN236">
        <v>5</v>
      </c>
      <c r="BO236">
        <v>7</v>
      </c>
      <c r="BP236">
        <v>7</v>
      </c>
      <c r="BQ236">
        <v>8</v>
      </c>
      <c r="BR236">
        <v>8</v>
      </c>
      <c r="BS236">
        <v>8</v>
      </c>
    </row>
    <row r="237" spans="1:71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</v>
      </c>
      <c r="BL237">
        <v>1</v>
      </c>
      <c r="BM237">
        <v>1</v>
      </c>
      <c r="BN237">
        <v>5</v>
      </c>
      <c r="BO237">
        <v>5</v>
      </c>
      <c r="BP237">
        <v>5</v>
      </c>
      <c r="BQ237">
        <v>5</v>
      </c>
      <c r="BR237">
        <v>9</v>
      </c>
      <c r="BS237">
        <v>10</v>
      </c>
    </row>
    <row r="238" spans="1:71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1</v>
      </c>
      <c r="BL238">
        <v>1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</row>
    <row r="239" spans="1:71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1</v>
      </c>
      <c r="BM239">
        <v>1</v>
      </c>
      <c r="BN239">
        <v>2</v>
      </c>
      <c r="BO239">
        <v>2</v>
      </c>
      <c r="BP239">
        <v>2</v>
      </c>
      <c r="BQ239">
        <v>2</v>
      </c>
      <c r="BR239">
        <v>2</v>
      </c>
      <c r="BS239">
        <v>3</v>
      </c>
    </row>
    <row r="240" spans="1:71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2</v>
      </c>
      <c r="BN241">
        <v>3</v>
      </c>
      <c r="BO241">
        <v>6</v>
      </c>
      <c r="BP241">
        <v>6</v>
      </c>
      <c r="BQ241">
        <v>8</v>
      </c>
      <c r="BR241">
        <v>8</v>
      </c>
      <c r="BS241">
        <v>8</v>
      </c>
    </row>
    <row r="242" spans="1:71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1</v>
      </c>
      <c r="BN242">
        <v>1</v>
      </c>
      <c r="BO242">
        <v>1</v>
      </c>
      <c r="BP242">
        <v>1</v>
      </c>
      <c r="BQ242">
        <v>3</v>
      </c>
      <c r="BR242">
        <v>8</v>
      </c>
      <c r="BS242">
        <v>8</v>
      </c>
    </row>
    <row r="243" spans="1:71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4</v>
      </c>
      <c r="AU243">
        <v>7</v>
      </c>
      <c r="AV243">
        <v>16</v>
      </c>
      <c r="AW243">
        <v>16</v>
      </c>
      <c r="AX243">
        <v>19</v>
      </c>
      <c r="AY243">
        <v>26</v>
      </c>
      <c r="AZ243">
        <v>30</v>
      </c>
      <c r="BA243">
        <v>30</v>
      </c>
      <c r="BB243">
        <v>31</v>
      </c>
      <c r="BC243">
        <v>35</v>
      </c>
      <c r="BD243">
        <v>38</v>
      </c>
      <c r="BE243">
        <v>38</v>
      </c>
      <c r="BF243">
        <v>39</v>
      </c>
      <c r="BG243">
        <v>41</v>
      </c>
      <c r="BH243">
        <v>44</v>
      </c>
      <c r="BI243">
        <v>47</v>
      </c>
      <c r="BJ243">
        <v>48</v>
      </c>
      <c r="BK243">
        <v>52</v>
      </c>
      <c r="BL243">
        <v>59</v>
      </c>
      <c r="BM243">
        <v>59</v>
      </c>
      <c r="BN243">
        <v>59</v>
      </c>
      <c r="BO243">
        <v>84</v>
      </c>
      <c r="BP243">
        <v>91</v>
      </c>
      <c r="BQ243">
        <v>98</v>
      </c>
      <c r="BR243">
        <v>109</v>
      </c>
      <c r="BS243">
        <v>116</v>
      </c>
    </row>
    <row r="244" spans="1:71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2</v>
      </c>
      <c r="BO244">
        <v>2</v>
      </c>
      <c r="BP244">
        <v>2</v>
      </c>
      <c r="BQ244">
        <v>2</v>
      </c>
      <c r="BR244">
        <v>2</v>
      </c>
      <c r="BS244">
        <v>8</v>
      </c>
    </row>
    <row r="245" spans="1:71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2</v>
      </c>
      <c r="BO245">
        <v>4</v>
      </c>
      <c r="BP245">
        <v>11</v>
      </c>
      <c r="BQ245">
        <v>18</v>
      </c>
      <c r="BR245">
        <v>18</v>
      </c>
      <c r="BS245">
        <v>25</v>
      </c>
    </row>
    <row r="246" spans="1:71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2</v>
      </c>
      <c r="BO246">
        <v>2</v>
      </c>
      <c r="BP246">
        <v>2</v>
      </c>
      <c r="BQ246">
        <v>2</v>
      </c>
      <c r="BR246">
        <v>2</v>
      </c>
      <c r="BS246">
        <v>7</v>
      </c>
    </row>
    <row r="247" spans="1:71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1</v>
      </c>
      <c r="BP247">
        <v>1</v>
      </c>
      <c r="BQ247">
        <v>1</v>
      </c>
      <c r="BR247">
        <v>1</v>
      </c>
      <c r="BS247">
        <v>1</v>
      </c>
    </row>
    <row r="248" spans="1:71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3</v>
      </c>
      <c r="BP248">
        <v>3</v>
      </c>
      <c r="BQ248">
        <v>4</v>
      </c>
      <c r="BR248">
        <v>4</v>
      </c>
      <c r="BS248">
        <v>4</v>
      </c>
    </row>
    <row r="249" spans="1:71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71</v>
      </c>
      <c r="BP249">
        <v>86</v>
      </c>
      <c r="BQ249">
        <v>91</v>
      </c>
      <c r="BR249">
        <v>94</v>
      </c>
      <c r="BS249">
        <v>94</v>
      </c>
    </row>
    <row r="250" spans="1:71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8</v>
      </c>
      <c r="BQ250">
        <v>8</v>
      </c>
      <c r="BR250">
        <v>10</v>
      </c>
      <c r="BS250">
        <v>14</v>
      </c>
    </row>
    <row r="251" spans="1:71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2</v>
      </c>
      <c r="BR251">
        <v>2</v>
      </c>
      <c r="BS251">
        <v>2</v>
      </c>
    </row>
    <row r="252" spans="1:71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2</v>
      </c>
      <c r="BR252">
        <v>2</v>
      </c>
      <c r="BS252">
        <v>2</v>
      </c>
    </row>
    <row r="253" spans="1:71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4</v>
      </c>
      <c r="BR253">
        <v>4</v>
      </c>
      <c r="BS253">
        <v>5</v>
      </c>
    </row>
    <row r="254" spans="1:71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2</v>
      </c>
      <c r="BR254">
        <v>2</v>
      </c>
      <c r="BS254">
        <v>2</v>
      </c>
    </row>
    <row r="255" spans="1:71" x14ac:dyDescent="0.2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3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F4AC5-B6CE-440B-A6CA-45413F000EA7}">
  <sheetPr codeName="Tabelle3"/>
  <dimension ref="A1:CT255"/>
  <sheetViews>
    <sheetView workbookViewId="0">
      <selection sqref="A1:BN246"/>
    </sheetView>
  </sheetViews>
  <sheetFormatPr baseColWidth="10" defaultRowHeight="15" x14ac:dyDescent="0.25"/>
  <cols>
    <col min="1" max="1" width="26.57031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3.28515625" bestFit="1" customWidth="1"/>
    <col min="100" max="100" width="27" bestFit="1" customWidth="1"/>
    <col min="101" max="110" width="9.5703125" bestFit="1" customWidth="1"/>
    <col min="111" max="119" width="8.5703125" bestFit="1" customWidth="1"/>
    <col min="120" max="139" width="9.5703125" bestFit="1" customWidth="1"/>
    <col min="140" max="148" width="8.5703125" bestFit="1" customWidth="1"/>
    <col min="149" max="164" width="9.57031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2</v>
      </c>
      <c r="BO2">
        <v>4</v>
      </c>
      <c r="BP2">
        <v>4</v>
      </c>
      <c r="BQ2">
        <v>4</v>
      </c>
      <c r="BR2">
        <v>4</v>
      </c>
      <c r="BS2">
        <v>4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1</v>
      </c>
      <c r="BA3">
        <v>1</v>
      </c>
      <c r="BB3">
        <v>1</v>
      </c>
      <c r="BC3">
        <v>1</v>
      </c>
      <c r="BD3">
        <v>1</v>
      </c>
      <c r="BE3">
        <v>1</v>
      </c>
      <c r="BF3">
        <v>1</v>
      </c>
      <c r="BG3">
        <v>2</v>
      </c>
      <c r="BH3">
        <v>2</v>
      </c>
      <c r="BI3">
        <v>2</v>
      </c>
      <c r="BJ3">
        <v>2</v>
      </c>
      <c r="BK3">
        <v>2</v>
      </c>
      <c r="BL3">
        <v>4</v>
      </c>
      <c r="BM3">
        <v>5</v>
      </c>
      <c r="BN3">
        <v>5</v>
      </c>
      <c r="BO3">
        <v>6</v>
      </c>
      <c r="BP3">
        <v>8</v>
      </c>
      <c r="BQ3">
        <v>10</v>
      </c>
      <c r="BR3">
        <v>10</v>
      </c>
      <c r="BS3">
        <v>11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1</v>
      </c>
      <c r="BB4">
        <v>2</v>
      </c>
      <c r="BC4">
        <v>3</v>
      </c>
      <c r="BD4">
        <v>4</v>
      </c>
      <c r="BE4">
        <v>4</v>
      </c>
      <c r="BF4">
        <v>4</v>
      </c>
      <c r="BG4">
        <v>7</v>
      </c>
      <c r="BH4">
        <v>9</v>
      </c>
      <c r="BI4">
        <v>11</v>
      </c>
      <c r="BJ4">
        <v>15</v>
      </c>
      <c r="BK4">
        <v>17</v>
      </c>
      <c r="BL4">
        <v>17</v>
      </c>
      <c r="BM4">
        <v>19</v>
      </c>
      <c r="BN4">
        <v>21</v>
      </c>
      <c r="BO4">
        <v>25</v>
      </c>
      <c r="BP4">
        <v>26</v>
      </c>
      <c r="BQ4">
        <v>29</v>
      </c>
      <c r="BR4">
        <v>31</v>
      </c>
      <c r="BS4">
        <v>35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1</v>
      </c>
      <c r="BL5">
        <v>1</v>
      </c>
      <c r="BM5">
        <v>1</v>
      </c>
      <c r="BN5">
        <v>1</v>
      </c>
      <c r="BO5">
        <v>3</v>
      </c>
      <c r="BP5">
        <v>3</v>
      </c>
      <c r="BQ5">
        <v>3</v>
      </c>
      <c r="BR5">
        <v>6</v>
      </c>
      <c r="BS5">
        <v>8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2</v>
      </c>
      <c r="BS6">
        <v>2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</v>
      </c>
      <c r="AX8">
        <v>1</v>
      </c>
      <c r="AY8">
        <v>1</v>
      </c>
      <c r="AZ8">
        <v>1</v>
      </c>
      <c r="BA8">
        <v>1</v>
      </c>
      <c r="BB8">
        <v>2</v>
      </c>
      <c r="BC8">
        <v>2</v>
      </c>
      <c r="BD8">
        <v>2</v>
      </c>
      <c r="BE8">
        <v>2</v>
      </c>
      <c r="BF8">
        <v>2</v>
      </c>
      <c r="BG8">
        <v>2</v>
      </c>
      <c r="BH8">
        <v>3</v>
      </c>
      <c r="BI8">
        <v>3</v>
      </c>
      <c r="BJ8">
        <v>4</v>
      </c>
      <c r="BK8">
        <v>4</v>
      </c>
      <c r="BL8">
        <v>4</v>
      </c>
      <c r="BM8">
        <v>6</v>
      </c>
      <c r="BN8">
        <v>8</v>
      </c>
      <c r="BO8">
        <v>9</v>
      </c>
      <c r="BP8">
        <v>13</v>
      </c>
      <c r="BQ8">
        <v>18</v>
      </c>
      <c r="BR8">
        <v>19</v>
      </c>
      <c r="BS8">
        <v>23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</v>
      </c>
      <c r="BP9">
        <v>1</v>
      </c>
      <c r="BQ9">
        <v>1</v>
      </c>
      <c r="BR9">
        <v>3</v>
      </c>
      <c r="BS9">
        <v>3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1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1</v>
      </c>
      <c r="AT11">
        <v>1</v>
      </c>
      <c r="AU11">
        <v>1</v>
      </c>
      <c r="AV11">
        <v>1</v>
      </c>
      <c r="AW11">
        <v>2</v>
      </c>
      <c r="AX11">
        <v>2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4</v>
      </c>
      <c r="BG11">
        <v>5</v>
      </c>
      <c r="BH11">
        <v>5</v>
      </c>
      <c r="BI11">
        <v>6</v>
      </c>
      <c r="BJ11">
        <v>6</v>
      </c>
      <c r="BK11">
        <v>6</v>
      </c>
      <c r="BL11">
        <v>6</v>
      </c>
      <c r="BM11">
        <v>7</v>
      </c>
      <c r="BN11">
        <v>7</v>
      </c>
      <c r="BO11">
        <v>7</v>
      </c>
      <c r="BP11">
        <v>7</v>
      </c>
      <c r="BQ11">
        <v>8</v>
      </c>
      <c r="BR11">
        <v>8</v>
      </c>
      <c r="BS11">
        <v>8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1</v>
      </c>
      <c r="BP13">
        <v>1</v>
      </c>
      <c r="BQ13">
        <v>1</v>
      </c>
      <c r="BR13">
        <v>2</v>
      </c>
      <c r="BS13">
        <v>2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3</v>
      </c>
      <c r="BP16">
        <v>3</v>
      </c>
      <c r="BQ16">
        <v>3</v>
      </c>
      <c r="BR16">
        <v>4</v>
      </c>
      <c r="BS16">
        <v>4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2</v>
      </c>
      <c r="BP17">
        <v>2</v>
      </c>
      <c r="BQ17">
        <v>2</v>
      </c>
      <c r="BR17">
        <v>2</v>
      </c>
      <c r="BS17">
        <v>2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1</v>
      </c>
      <c r="BB18">
        <v>1</v>
      </c>
      <c r="BC18">
        <v>1</v>
      </c>
      <c r="BD18">
        <v>1</v>
      </c>
      <c r="BE18">
        <v>3</v>
      </c>
      <c r="BF18">
        <v>3</v>
      </c>
      <c r="BG18">
        <v>4</v>
      </c>
      <c r="BH18">
        <v>6</v>
      </c>
      <c r="BI18">
        <v>6</v>
      </c>
      <c r="BJ18">
        <v>8</v>
      </c>
      <c r="BK18">
        <v>16</v>
      </c>
      <c r="BL18">
        <v>21</v>
      </c>
      <c r="BM18">
        <v>28</v>
      </c>
      <c r="BN18">
        <v>30</v>
      </c>
      <c r="BO18">
        <v>49</v>
      </c>
      <c r="BP18">
        <v>58</v>
      </c>
      <c r="BQ18">
        <v>68</v>
      </c>
      <c r="BR18">
        <v>86</v>
      </c>
      <c r="BS18">
        <v>108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2</v>
      </c>
      <c r="BO19">
        <v>3</v>
      </c>
      <c r="BP19">
        <v>3</v>
      </c>
      <c r="BQ19">
        <v>4</v>
      </c>
      <c r="BR19">
        <v>4</v>
      </c>
      <c r="BS19">
        <v>4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2</v>
      </c>
      <c r="BL21">
        <v>2</v>
      </c>
      <c r="BM21">
        <v>3</v>
      </c>
      <c r="BN21">
        <v>4</v>
      </c>
      <c r="BO21">
        <v>4</v>
      </c>
      <c r="BP21">
        <v>4</v>
      </c>
      <c r="BQ21">
        <v>4</v>
      </c>
      <c r="BR21">
        <v>4</v>
      </c>
      <c r="BS21">
        <v>4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1</v>
      </c>
      <c r="BI22">
        <v>1</v>
      </c>
      <c r="BJ22">
        <v>2</v>
      </c>
      <c r="BK22">
        <v>2</v>
      </c>
      <c r="BL22">
        <v>3</v>
      </c>
      <c r="BM22">
        <v>4</v>
      </c>
      <c r="BN22">
        <v>5</v>
      </c>
      <c r="BO22">
        <v>5</v>
      </c>
      <c r="BP22">
        <v>5</v>
      </c>
      <c r="BQ22">
        <v>5</v>
      </c>
      <c r="BR22">
        <v>5</v>
      </c>
      <c r="BS22">
        <v>5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3</v>
      </c>
      <c r="BA25">
        <v>3</v>
      </c>
      <c r="BB25">
        <v>3</v>
      </c>
      <c r="BC25">
        <v>4</v>
      </c>
      <c r="BD25">
        <v>4</v>
      </c>
      <c r="BE25">
        <v>5</v>
      </c>
      <c r="BF25">
        <v>10</v>
      </c>
      <c r="BG25">
        <v>14</v>
      </c>
      <c r="BH25">
        <v>21</v>
      </c>
      <c r="BI25">
        <v>37</v>
      </c>
      <c r="BJ25">
        <v>67</v>
      </c>
      <c r="BK25">
        <v>75</v>
      </c>
      <c r="BL25">
        <v>88</v>
      </c>
      <c r="BM25">
        <v>122</v>
      </c>
      <c r="BN25">
        <v>178</v>
      </c>
      <c r="BO25">
        <v>220</v>
      </c>
      <c r="BP25">
        <v>289</v>
      </c>
      <c r="BQ25">
        <v>353</v>
      </c>
      <c r="BR25">
        <v>431</v>
      </c>
      <c r="BS25">
        <v>513</v>
      </c>
    </row>
    <row r="26" spans="1:71" x14ac:dyDescent="0.25">
      <c r="A26" s="1" t="s">
        <v>2</v>
      </c>
      <c r="B26" s="1" t="s">
        <v>202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</row>
    <row r="27" spans="1:71" x14ac:dyDescent="0.25">
      <c r="A27" s="1" t="s">
        <v>2</v>
      </c>
      <c r="B27" s="1" t="s">
        <v>81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</row>
    <row r="28" spans="1:71" x14ac:dyDescent="0.25">
      <c r="A28" s="1" t="s">
        <v>2</v>
      </c>
      <c r="B28" s="1" t="s">
        <v>150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1</v>
      </c>
      <c r="BS28">
        <v>4</v>
      </c>
    </row>
    <row r="29" spans="1:71" x14ac:dyDescent="0.25">
      <c r="A29" s="1" t="s">
        <v>2</v>
      </c>
      <c r="B29" s="1" t="s">
        <v>78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1</v>
      </c>
      <c r="BK29">
        <v>1</v>
      </c>
      <c r="BL29">
        <v>1</v>
      </c>
      <c r="BM29">
        <v>3</v>
      </c>
      <c r="BN29">
        <v>3</v>
      </c>
      <c r="BO29">
        <v>3</v>
      </c>
      <c r="BP29">
        <v>4</v>
      </c>
      <c r="BQ29">
        <v>5</v>
      </c>
      <c r="BR29">
        <v>6</v>
      </c>
      <c r="BS29">
        <v>10</v>
      </c>
    </row>
    <row r="30" spans="1:71" x14ac:dyDescent="0.25">
      <c r="A30" s="1" t="s">
        <v>2</v>
      </c>
      <c r="B30" s="1" t="s">
        <v>38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1</v>
      </c>
      <c r="BG30">
        <v>3</v>
      </c>
      <c r="BH30">
        <v>6</v>
      </c>
      <c r="BI30">
        <v>11</v>
      </c>
      <c r="BJ30">
        <v>15</v>
      </c>
      <c r="BK30">
        <v>25</v>
      </c>
      <c r="BL30">
        <v>34</v>
      </c>
      <c r="BM30">
        <v>46</v>
      </c>
      <c r="BN30">
        <v>59</v>
      </c>
      <c r="BO30">
        <v>77</v>
      </c>
      <c r="BP30">
        <v>92</v>
      </c>
      <c r="BQ30">
        <v>111</v>
      </c>
      <c r="BR30">
        <v>136</v>
      </c>
      <c r="BS30">
        <v>159</v>
      </c>
    </row>
    <row r="31" spans="1:71" x14ac:dyDescent="0.25">
      <c r="A31" s="1" t="s">
        <v>2</v>
      </c>
      <c r="B31" s="1" t="s">
        <v>100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1</v>
      </c>
      <c r="BR31">
        <v>1</v>
      </c>
      <c r="BS31">
        <v>1</v>
      </c>
    </row>
    <row r="32" spans="1:71" x14ac:dyDescent="0.25">
      <c r="A32" s="1" t="s">
        <v>2</v>
      </c>
      <c r="B32" s="1" t="s">
        <v>91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1</v>
      </c>
      <c r="BA32">
        <v>1</v>
      </c>
      <c r="BB32">
        <v>1</v>
      </c>
      <c r="BC32">
        <v>2</v>
      </c>
      <c r="BD32">
        <v>2</v>
      </c>
      <c r="BE32">
        <v>2</v>
      </c>
      <c r="BF32">
        <v>2</v>
      </c>
      <c r="BG32">
        <v>2</v>
      </c>
      <c r="BH32">
        <v>3</v>
      </c>
      <c r="BI32">
        <v>3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7</v>
      </c>
      <c r="BR32">
        <v>8</v>
      </c>
      <c r="BS32">
        <v>8</v>
      </c>
    </row>
    <row r="33" spans="1:71" x14ac:dyDescent="0.25">
      <c r="A33" s="1" t="s">
        <v>2</v>
      </c>
      <c r="B33" s="1" t="s">
        <v>104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1</v>
      </c>
      <c r="BH33">
        <v>1</v>
      </c>
      <c r="BI33">
        <v>1</v>
      </c>
      <c r="BJ33">
        <v>2</v>
      </c>
      <c r="BK33">
        <v>4</v>
      </c>
      <c r="BL33">
        <v>4</v>
      </c>
      <c r="BM33">
        <v>4</v>
      </c>
      <c r="BN33">
        <v>4</v>
      </c>
      <c r="BO33">
        <v>7</v>
      </c>
      <c r="BP33">
        <v>9</v>
      </c>
      <c r="BQ33">
        <v>11</v>
      </c>
      <c r="BR33">
        <v>12</v>
      </c>
      <c r="BS33">
        <v>12</v>
      </c>
    </row>
    <row r="34" spans="1:71" x14ac:dyDescent="0.25">
      <c r="A34" s="1" t="s">
        <v>2</v>
      </c>
      <c r="B34" s="1" t="s">
        <v>227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1</v>
      </c>
      <c r="BO34">
        <v>1</v>
      </c>
      <c r="BP34">
        <v>1</v>
      </c>
      <c r="BQ34">
        <v>1</v>
      </c>
      <c r="BR34">
        <v>1</v>
      </c>
      <c r="BS34">
        <v>1</v>
      </c>
    </row>
    <row r="35" spans="1:71" x14ac:dyDescent="0.25">
      <c r="A35" s="1" t="s">
        <v>2</v>
      </c>
      <c r="B35" s="1" t="s">
        <v>13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</row>
    <row r="36" spans="1:71" x14ac:dyDescent="0.25">
      <c r="A36" s="1" t="s">
        <v>2</v>
      </c>
      <c r="B36" s="1" t="s">
        <v>82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1</v>
      </c>
      <c r="BO36">
        <v>1</v>
      </c>
      <c r="BP36">
        <v>2</v>
      </c>
      <c r="BQ36">
        <v>2</v>
      </c>
      <c r="BR36">
        <v>6</v>
      </c>
      <c r="BS36">
        <v>6</v>
      </c>
    </row>
    <row r="37" spans="1:71" x14ac:dyDescent="0.25">
      <c r="A37" s="1" t="s">
        <v>96</v>
      </c>
      <c r="B37" s="1" t="s">
        <v>8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1</v>
      </c>
      <c r="BJ37">
        <v>1</v>
      </c>
      <c r="BK37">
        <v>1</v>
      </c>
      <c r="BL37">
        <v>1</v>
      </c>
      <c r="BM37">
        <v>1</v>
      </c>
      <c r="BN37">
        <v>2</v>
      </c>
      <c r="BO37">
        <v>2</v>
      </c>
      <c r="BP37">
        <v>2</v>
      </c>
      <c r="BQ37">
        <v>2</v>
      </c>
      <c r="BR37">
        <v>2</v>
      </c>
      <c r="BS37">
        <v>3</v>
      </c>
    </row>
    <row r="38" spans="1:71" x14ac:dyDescent="0.25">
      <c r="A38" s="1" t="s">
        <v>7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1</v>
      </c>
      <c r="AY38">
        <v>1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4</v>
      </c>
      <c r="BF38">
        <v>4</v>
      </c>
      <c r="BG38">
        <v>7</v>
      </c>
      <c r="BH38">
        <v>7</v>
      </c>
      <c r="BI38">
        <v>8</v>
      </c>
      <c r="BJ38">
        <v>10</v>
      </c>
      <c r="BK38">
        <v>10</v>
      </c>
      <c r="BL38">
        <v>13</v>
      </c>
      <c r="BM38">
        <v>13</v>
      </c>
      <c r="BN38">
        <v>13</v>
      </c>
      <c r="BO38">
        <v>14</v>
      </c>
      <c r="BP38">
        <v>14</v>
      </c>
      <c r="BQ38">
        <v>17</v>
      </c>
      <c r="BR38">
        <v>17</v>
      </c>
      <c r="BS38">
        <v>19</v>
      </c>
    </row>
    <row r="39" spans="1:71" x14ac:dyDescent="0.25">
      <c r="A39" s="1" t="s">
        <v>103</v>
      </c>
      <c r="B39" s="1" t="s">
        <v>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</row>
    <row r="40" spans="1:71" x14ac:dyDescent="0.25">
      <c r="A40" s="1" t="s">
        <v>169</v>
      </c>
      <c r="B40" s="1" t="s">
        <v>8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1</v>
      </c>
      <c r="BR40">
        <v>1</v>
      </c>
      <c r="BS40">
        <v>1</v>
      </c>
    </row>
    <row r="41" spans="1:71" x14ac:dyDescent="0.25">
      <c r="A41" s="1" t="s">
        <v>156</v>
      </c>
      <c r="B41" s="1" t="s">
        <v>8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</row>
    <row r="42" spans="1:71" x14ac:dyDescent="0.25">
      <c r="A42" s="1" t="s">
        <v>192</v>
      </c>
      <c r="B42" s="1" t="s">
        <v>8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1</v>
      </c>
    </row>
    <row r="43" spans="1:71" x14ac:dyDescent="0.25">
      <c r="A43" s="1" t="s">
        <v>200</v>
      </c>
      <c r="B43" s="1" t="s">
        <v>8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</row>
    <row r="44" spans="1:71" x14ac:dyDescent="0.25">
      <c r="A44" s="1" t="s">
        <v>95</v>
      </c>
      <c r="B44" s="1" t="s">
        <v>8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1</v>
      </c>
      <c r="BG44">
        <v>1</v>
      </c>
      <c r="BH44">
        <v>1</v>
      </c>
      <c r="BI44">
        <v>2</v>
      </c>
      <c r="BJ44">
        <v>3</v>
      </c>
      <c r="BK44">
        <v>5</v>
      </c>
      <c r="BL44">
        <v>6</v>
      </c>
      <c r="BM44">
        <v>7</v>
      </c>
      <c r="BN44">
        <v>8</v>
      </c>
      <c r="BO44">
        <v>13</v>
      </c>
      <c r="BP44">
        <v>18</v>
      </c>
      <c r="BQ44">
        <v>18</v>
      </c>
      <c r="BR44">
        <v>21</v>
      </c>
      <c r="BS44">
        <v>31</v>
      </c>
    </row>
    <row r="45" spans="1:71" x14ac:dyDescent="0.25">
      <c r="A45" s="1" t="s">
        <v>193</v>
      </c>
      <c r="B45" s="1" t="s">
        <v>8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</row>
    <row r="46" spans="1:71" x14ac:dyDescent="0.25">
      <c r="A46" s="1" t="s">
        <v>97</v>
      </c>
      <c r="B46" s="1" t="s">
        <v>8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1</v>
      </c>
      <c r="BI46">
        <v>1</v>
      </c>
      <c r="BJ46">
        <v>5</v>
      </c>
      <c r="BK46">
        <v>4</v>
      </c>
      <c r="BL46">
        <v>4</v>
      </c>
      <c r="BM46">
        <v>4</v>
      </c>
      <c r="BN46">
        <v>6</v>
      </c>
      <c r="BO46">
        <v>8</v>
      </c>
      <c r="BP46">
        <v>18</v>
      </c>
      <c r="BQ46">
        <v>22</v>
      </c>
      <c r="BR46">
        <v>22</v>
      </c>
      <c r="BS46">
        <v>22</v>
      </c>
    </row>
    <row r="47" spans="1:71" x14ac:dyDescent="0.25">
      <c r="A47" s="1" t="s">
        <v>170</v>
      </c>
      <c r="B47" s="1" t="s">
        <v>8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2</v>
      </c>
    </row>
    <row r="48" spans="1:71" x14ac:dyDescent="0.25">
      <c r="A48" s="1" t="s">
        <v>2</v>
      </c>
      <c r="B48" s="1" t="s">
        <v>194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</row>
    <row r="49" spans="1:71" x14ac:dyDescent="0.25">
      <c r="A49" s="1" t="s">
        <v>2</v>
      </c>
      <c r="B49" s="1" t="s">
        <v>220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</row>
    <row r="50" spans="1:71" x14ac:dyDescent="0.25">
      <c r="A50" s="1" t="s">
        <v>2</v>
      </c>
      <c r="B50" s="1" t="s">
        <v>70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</v>
      </c>
      <c r="BL50">
        <v>2</v>
      </c>
      <c r="BM50">
        <v>2</v>
      </c>
      <c r="BN50">
        <v>3</v>
      </c>
      <c r="BO50">
        <v>4</v>
      </c>
      <c r="BP50">
        <v>5</v>
      </c>
      <c r="BQ50">
        <v>6</v>
      </c>
      <c r="BR50">
        <v>7</v>
      </c>
      <c r="BS50">
        <v>8</v>
      </c>
    </row>
    <row r="51" spans="1:71" x14ac:dyDescent="0.25">
      <c r="A51" s="1" t="s">
        <v>117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1</v>
      </c>
      <c r="V51">
        <v>3</v>
      </c>
      <c r="W51">
        <v>4</v>
      </c>
      <c r="X51">
        <v>4</v>
      </c>
      <c r="Y51">
        <v>5</v>
      </c>
      <c r="Z51">
        <v>6</v>
      </c>
      <c r="AA51">
        <v>6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</row>
    <row r="52" spans="1:71" x14ac:dyDescent="0.25">
      <c r="A52" s="1" t="s">
        <v>125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1</v>
      </c>
      <c r="I52">
        <v>1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2</v>
      </c>
      <c r="U52">
        <v>2</v>
      </c>
      <c r="V52">
        <v>2</v>
      </c>
      <c r="W52">
        <v>3</v>
      </c>
      <c r="X52">
        <v>3</v>
      </c>
      <c r="Y52">
        <v>3</v>
      </c>
      <c r="Z52">
        <v>3</v>
      </c>
      <c r="AA52">
        <v>4</v>
      </c>
      <c r="AB52">
        <v>4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5</v>
      </c>
      <c r="AN52">
        <v>7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</row>
    <row r="53" spans="1:71" x14ac:dyDescent="0.25">
      <c r="A53" s="1" t="s">
        <v>121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1</v>
      </c>
      <c r="N53">
        <v>2</v>
      </c>
      <c r="O53">
        <v>2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3</v>
      </c>
      <c r="X53">
        <v>3</v>
      </c>
      <c r="Y53">
        <v>4</v>
      </c>
      <c r="Z53">
        <v>5</v>
      </c>
      <c r="AA53">
        <v>5</v>
      </c>
      <c r="AB53">
        <v>5</v>
      </c>
      <c r="AC53">
        <v>5</v>
      </c>
      <c r="AD53">
        <v>5</v>
      </c>
      <c r="AE53">
        <v>5</v>
      </c>
      <c r="AF53">
        <v>6</v>
      </c>
      <c r="AG53">
        <v>6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</row>
    <row r="54" spans="1:71" x14ac:dyDescent="0.25">
      <c r="A54" s="1" t="s">
        <v>128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1</v>
      </c>
      <c r="AG54">
        <v>1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</row>
    <row r="55" spans="1:71" x14ac:dyDescent="0.25">
      <c r="A55" s="1" t="s">
        <v>136</v>
      </c>
      <c r="B55" s="1" t="s">
        <v>109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1</v>
      </c>
      <c r="U55">
        <v>2</v>
      </c>
      <c r="V55">
        <v>2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</row>
    <row r="56" spans="1:71" x14ac:dyDescent="0.25">
      <c r="A56" s="1" t="s">
        <v>113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2</v>
      </c>
      <c r="Z56">
        <v>2</v>
      </c>
      <c r="AA56">
        <v>2</v>
      </c>
      <c r="AB56">
        <v>2</v>
      </c>
      <c r="AC56">
        <v>4</v>
      </c>
      <c r="AD56">
        <v>4</v>
      </c>
      <c r="AE56">
        <v>5</v>
      </c>
      <c r="AF56">
        <v>5</v>
      </c>
      <c r="AG56">
        <v>5</v>
      </c>
      <c r="AH56">
        <v>5</v>
      </c>
      <c r="AI56">
        <v>6</v>
      </c>
      <c r="AJ56">
        <v>6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8</v>
      </c>
      <c r="AY56">
        <v>8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</row>
    <row r="57" spans="1:71" x14ac:dyDescent="0.25">
      <c r="A57" s="1" t="s">
        <v>129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1</v>
      </c>
      <c r="V57">
        <v>1</v>
      </c>
      <c r="W57">
        <v>1</v>
      </c>
      <c r="X57">
        <v>1</v>
      </c>
      <c r="Y57">
        <v>2</v>
      </c>
      <c r="Z57">
        <v>2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</row>
    <row r="58" spans="1:71" x14ac:dyDescent="0.25">
      <c r="A58" s="1" t="s">
        <v>133</v>
      </c>
      <c r="B58" s="1" t="s">
        <v>109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2</v>
      </c>
      <c r="AE58">
        <v>2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</row>
    <row r="59" spans="1:71" x14ac:dyDescent="0.25">
      <c r="A59" s="1" t="s">
        <v>132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1</v>
      </c>
      <c r="I59">
        <v>1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2</v>
      </c>
      <c r="T59">
        <v>2</v>
      </c>
      <c r="U59">
        <v>3</v>
      </c>
      <c r="V59">
        <v>3</v>
      </c>
      <c r="W59">
        <v>3</v>
      </c>
      <c r="X59">
        <v>4</v>
      </c>
      <c r="Y59">
        <v>4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5</v>
      </c>
      <c r="AJ59">
        <v>5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6</v>
      </c>
      <c r="AU59">
        <v>6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</row>
    <row r="60" spans="1:71" x14ac:dyDescent="0.25">
      <c r="A60" s="1" t="s">
        <v>127</v>
      </c>
      <c r="B60" s="1" t="s">
        <v>109</v>
      </c>
      <c r="C60">
        <v>0</v>
      </c>
      <c r="D60">
        <v>1</v>
      </c>
      <c r="E60">
        <v>1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2</v>
      </c>
      <c r="V60">
        <v>2</v>
      </c>
      <c r="W60">
        <v>2</v>
      </c>
      <c r="X60">
        <v>2</v>
      </c>
      <c r="Y60">
        <v>3</v>
      </c>
      <c r="Z60">
        <v>3</v>
      </c>
      <c r="AA60">
        <v>3</v>
      </c>
      <c r="AB60">
        <v>3</v>
      </c>
      <c r="AC60">
        <v>3</v>
      </c>
      <c r="AD60">
        <v>4</v>
      </c>
      <c r="AE60">
        <v>4</v>
      </c>
      <c r="AF60">
        <v>5</v>
      </c>
      <c r="AG60">
        <v>5</v>
      </c>
      <c r="AH60">
        <v>6</v>
      </c>
      <c r="AI60">
        <v>6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</row>
    <row r="61" spans="1:71" x14ac:dyDescent="0.25">
      <c r="A61" s="1" t="s">
        <v>123</v>
      </c>
      <c r="B61" s="1" t="s">
        <v>109</v>
      </c>
      <c r="C61">
        <v>0</v>
      </c>
      <c r="D61">
        <v>0</v>
      </c>
      <c r="E61">
        <v>1</v>
      </c>
      <c r="F61">
        <v>1</v>
      </c>
      <c r="G61">
        <v>1</v>
      </c>
      <c r="H61">
        <v>1</v>
      </c>
      <c r="I61">
        <v>1</v>
      </c>
      <c r="J61">
        <v>1</v>
      </c>
      <c r="K61">
        <v>2</v>
      </c>
      <c r="L61">
        <v>2</v>
      </c>
      <c r="M61">
        <v>2</v>
      </c>
      <c r="N61">
        <v>2</v>
      </c>
      <c r="O61">
        <v>2</v>
      </c>
      <c r="P61">
        <v>2</v>
      </c>
      <c r="Q61">
        <v>2</v>
      </c>
      <c r="R61">
        <v>3</v>
      </c>
      <c r="S61">
        <v>3</v>
      </c>
      <c r="T61">
        <v>5</v>
      </c>
      <c r="U61">
        <v>6</v>
      </c>
      <c r="V61">
        <v>7</v>
      </c>
      <c r="W61">
        <v>8</v>
      </c>
      <c r="X61">
        <v>8</v>
      </c>
      <c r="Y61">
        <v>9</v>
      </c>
      <c r="Z61">
        <v>11</v>
      </c>
      <c r="AA61">
        <v>11</v>
      </c>
      <c r="AB61">
        <v>11</v>
      </c>
      <c r="AC61">
        <v>11</v>
      </c>
      <c r="AD61">
        <v>11</v>
      </c>
      <c r="AE61">
        <v>12</v>
      </c>
      <c r="AF61">
        <v>12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13</v>
      </c>
      <c r="AN61">
        <v>13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</row>
    <row r="62" spans="1:71" x14ac:dyDescent="0.25">
      <c r="A62" s="1" t="s">
        <v>114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1</v>
      </c>
      <c r="H62">
        <v>1</v>
      </c>
      <c r="I62">
        <v>1</v>
      </c>
      <c r="J62">
        <v>2</v>
      </c>
      <c r="K62">
        <v>2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3</v>
      </c>
      <c r="T62">
        <v>4</v>
      </c>
      <c r="U62">
        <v>6</v>
      </c>
      <c r="V62">
        <v>6</v>
      </c>
      <c r="W62">
        <v>7</v>
      </c>
      <c r="X62">
        <v>8</v>
      </c>
      <c r="Y62">
        <v>10</v>
      </c>
      <c r="Z62">
        <v>11</v>
      </c>
      <c r="AA62">
        <v>13</v>
      </c>
      <c r="AB62">
        <v>13</v>
      </c>
      <c r="AC62">
        <v>16</v>
      </c>
      <c r="AD62">
        <v>19</v>
      </c>
      <c r="AE62">
        <v>19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20</v>
      </c>
      <c r="AN62">
        <v>20</v>
      </c>
      <c r="AO62">
        <v>21</v>
      </c>
      <c r="AP62">
        <v>22</v>
      </c>
      <c r="AQ62">
        <v>22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</row>
    <row r="63" spans="1:71" x14ac:dyDescent="0.25">
      <c r="A63" s="1" t="s">
        <v>137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1</v>
      </c>
      <c r="Q63">
        <v>1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2</v>
      </c>
      <c r="AF63">
        <v>2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3</v>
      </c>
      <c r="AX63">
        <v>3</v>
      </c>
      <c r="AY63">
        <v>3</v>
      </c>
      <c r="AZ63">
        <v>3</v>
      </c>
      <c r="BA63">
        <v>3</v>
      </c>
      <c r="BB63">
        <v>4</v>
      </c>
      <c r="BC63">
        <v>4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</row>
    <row r="64" spans="1:71" x14ac:dyDescent="0.25">
      <c r="A64" s="1" t="s">
        <v>108</v>
      </c>
      <c r="B64" s="1" t="s">
        <v>109</v>
      </c>
      <c r="C64">
        <v>17</v>
      </c>
      <c r="D64">
        <v>17</v>
      </c>
      <c r="E64">
        <v>24</v>
      </c>
      <c r="F64">
        <v>40</v>
      </c>
      <c r="G64">
        <v>52</v>
      </c>
      <c r="H64">
        <v>76</v>
      </c>
      <c r="I64">
        <v>125</v>
      </c>
      <c r="J64">
        <v>125</v>
      </c>
      <c r="K64">
        <v>162</v>
      </c>
      <c r="L64">
        <v>204</v>
      </c>
      <c r="M64">
        <v>249</v>
      </c>
      <c r="N64">
        <v>350</v>
      </c>
      <c r="O64">
        <v>414</v>
      </c>
      <c r="P64">
        <v>479</v>
      </c>
      <c r="Q64">
        <v>549</v>
      </c>
      <c r="R64">
        <v>618</v>
      </c>
      <c r="S64">
        <v>699</v>
      </c>
      <c r="T64">
        <v>780</v>
      </c>
      <c r="U64">
        <v>871</v>
      </c>
      <c r="V64">
        <v>974</v>
      </c>
      <c r="W64">
        <v>1068</v>
      </c>
      <c r="X64">
        <v>1068</v>
      </c>
      <c r="Y64">
        <v>1310</v>
      </c>
      <c r="Z64">
        <v>1457</v>
      </c>
      <c r="AA64">
        <v>1596</v>
      </c>
      <c r="AB64">
        <v>1696</v>
      </c>
      <c r="AC64">
        <v>1789</v>
      </c>
      <c r="AD64">
        <v>1921</v>
      </c>
      <c r="AE64">
        <v>2029</v>
      </c>
      <c r="AF64">
        <v>2144</v>
      </c>
      <c r="AG64">
        <v>2144</v>
      </c>
      <c r="AH64">
        <v>2346</v>
      </c>
      <c r="AI64">
        <v>2346</v>
      </c>
      <c r="AJ64">
        <v>2495</v>
      </c>
      <c r="AK64">
        <v>2563</v>
      </c>
      <c r="AL64">
        <v>2615</v>
      </c>
      <c r="AM64">
        <v>2641</v>
      </c>
      <c r="AN64">
        <v>2682</v>
      </c>
      <c r="AO64">
        <v>2727</v>
      </c>
      <c r="AP64">
        <v>2761</v>
      </c>
      <c r="AQ64">
        <v>2803</v>
      </c>
      <c r="AR64">
        <v>2835</v>
      </c>
      <c r="AS64">
        <v>2871</v>
      </c>
      <c r="AT64">
        <v>2902</v>
      </c>
      <c r="AU64">
        <v>2931</v>
      </c>
      <c r="AV64">
        <v>2959</v>
      </c>
      <c r="AW64">
        <v>2986</v>
      </c>
      <c r="AX64">
        <v>3008</v>
      </c>
      <c r="AY64">
        <v>3024</v>
      </c>
      <c r="AZ64">
        <v>3046</v>
      </c>
      <c r="BA64">
        <v>3056</v>
      </c>
      <c r="BB64">
        <v>3062</v>
      </c>
      <c r="BC64">
        <v>3075</v>
      </c>
      <c r="BD64">
        <v>3085</v>
      </c>
      <c r="BE64">
        <v>3099</v>
      </c>
      <c r="BF64">
        <v>3111</v>
      </c>
      <c r="BG64">
        <v>3122</v>
      </c>
      <c r="BH64">
        <v>3130</v>
      </c>
      <c r="BI64">
        <v>3133</v>
      </c>
      <c r="BJ64">
        <v>3139</v>
      </c>
      <c r="BK64">
        <v>3153</v>
      </c>
      <c r="BL64">
        <v>3153</v>
      </c>
      <c r="BM64">
        <v>3160</v>
      </c>
      <c r="BN64">
        <v>3163</v>
      </c>
      <c r="BO64">
        <v>3169</v>
      </c>
      <c r="BP64">
        <v>3174</v>
      </c>
      <c r="BQ64">
        <v>3177</v>
      </c>
      <c r="BR64">
        <v>3182</v>
      </c>
      <c r="BS64">
        <v>3186</v>
      </c>
    </row>
    <row r="65" spans="1:71" x14ac:dyDescent="0.25">
      <c r="A65" s="1" t="s">
        <v>116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2</v>
      </c>
      <c r="Y65">
        <v>2</v>
      </c>
      <c r="Z65">
        <v>2</v>
      </c>
      <c r="AA65">
        <v>2</v>
      </c>
      <c r="AB65">
        <v>3</v>
      </c>
      <c r="AC65">
        <v>3</v>
      </c>
      <c r="AD65">
        <v>4</v>
      </c>
      <c r="AE65">
        <v>4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</row>
    <row r="66" spans="1:71" x14ac:dyDescent="0.25">
      <c r="A66" s="1" t="s">
        <v>142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</row>
    <row r="67" spans="1:71" x14ac:dyDescent="0.25">
      <c r="A67" s="1" t="s">
        <v>120</v>
      </c>
      <c r="B67" s="1" t="s">
        <v>109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</row>
    <row r="68" spans="1:71" x14ac:dyDescent="0.25">
      <c r="A68" s="1" t="s">
        <v>118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1</v>
      </c>
      <c r="W68">
        <v>1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</row>
    <row r="69" spans="1:71" x14ac:dyDescent="0.25">
      <c r="A69" s="1" t="s">
        <v>139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1</v>
      </c>
      <c r="T69">
        <v>1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</row>
    <row r="70" spans="1:71" x14ac:dyDescent="0.25">
      <c r="A70" s="1" t="s">
        <v>138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</v>
      </c>
      <c r="Y70">
        <v>1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2</v>
      </c>
      <c r="BJ70">
        <v>2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</row>
    <row r="71" spans="1:71" x14ac:dyDescent="0.25">
      <c r="A71" s="1" t="s">
        <v>148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</row>
    <row r="72" spans="1:71" x14ac:dyDescent="0.25">
      <c r="A72" s="1" t="s">
        <v>143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</row>
    <row r="73" spans="1:71" x14ac:dyDescent="0.25">
      <c r="A73" s="1" t="s">
        <v>147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</row>
    <row r="74" spans="1:71" x14ac:dyDescent="0.25">
      <c r="A74" s="1" t="s">
        <v>130</v>
      </c>
      <c r="B74" s="1" t="s">
        <v>109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1</v>
      </c>
      <c r="AG74">
        <v>1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2</v>
      </c>
      <c r="BB74">
        <v>2</v>
      </c>
      <c r="BC74">
        <v>2</v>
      </c>
      <c r="BD74">
        <v>2</v>
      </c>
      <c r="BE74">
        <v>2</v>
      </c>
      <c r="BF74">
        <v>3</v>
      </c>
      <c r="BG74">
        <v>3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</row>
    <row r="75" spans="1:71" x14ac:dyDescent="0.25">
      <c r="A75" s="1" t="s">
        <v>119</v>
      </c>
      <c r="B75" s="1" t="s">
        <v>109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1</v>
      </c>
      <c r="V75">
        <v>1</v>
      </c>
      <c r="W75">
        <v>1</v>
      </c>
      <c r="X75">
        <v>2</v>
      </c>
      <c r="Y75">
        <v>2</v>
      </c>
      <c r="Z75">
        <v>2</v>
      </c>
      <c r="AA75">
        <v>2</v>
      </c>
      <c r="AB75">
        <v>2</v>
      </c>
      <c r="AC75">
        <v>2</v>
      </c>
      <c r="AD75">
        <v>3</v>
      </c>
      <c r="AE75">
        <v>3</v>
      </c>
      <c r="AF75">
        <v>4</v>
      </c>
      <c r="AG75">
        <v>4</v>
      </c>
      <c r="AH75">
        <v>4</v>
      </c>
      <c r="AI75">
        <v>4</v>
      </c>
      <c r="AJ75">
        <v>5</v>
      </c>
      <c r="AK75">
        <v>6</v>
      </c>
      <c r="AL75">
        <v>6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7</v>
      </c>
      <c r="BC75">
        <v>7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</row>
    <row r="76" spans="1:71" x14ac:dyDescent="0.25">
      <c r="A76" s="1" t="s">
        <v>126</v>
      </c>
      <c r="B76" s="1" t="s">
        <v>109</v>
      </c>
      <c r="C76">
        <v>0</v>
      </c>
      <c r="D76">
        <v>0</v>
      </c>
      <c r="E76">
        <v>0</v>
      </c>
      <c r="F76">
        <v>0</v>
      </c>
      <c r="G76">
        <v>1</v>
      </c>
      <c r="H76">
        <v>1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2</v>
      </c>
      <c r="AF76">
        <v>2</v>
      </c>
      <c r="AG76">
        <v>2</v>
      </c>
      <c r="AH76">
        <v>3</v>
      </c>
      <c r="AI76">
        <v>3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4</v>
      </c>
      <c r="BL76">
        <v>4</v>
      </c>
      <c r="BM76">
        <v>4</v>
      </c>
      <c r="BN76">
        <v>5</v>
      </c>
      <c r="BO76">
        <v>5</v>
      </c>
      <c r="BP76">
        <v>5</v>
      </c>
      <c r="BQ76">
        <v>5</v>
      </c>
      <c r="BR76">
        <v>5</v>
      </c>
      <c r="BS76">
        <v>5</v>
      </c>
    </row>
    <row r="77" spans="1:71" x14ac:dyDescent="0.25">
      <c r="A77" s="1" t="s">
        <v>135</v>
      </c>
      <c r="B77" s="1" t="s">
        <v>109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</row>
    <row r="78" spans="1:71" x14ac:dyDescent="0.25">
      <c r="A78" s="1" t="s">
        <v>122</v>
      </c>
      <c r="B78" s="1" t="s">
        <v>109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1</v>
      </c>
      <c r="K78">
        <v>1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3</v>
      </c>
      <c r="AC78">
        <v>3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</row>
    <row r="79" spans="1:71" x14ac:dyDescent="0.25">
      <c r="A79" s="1" t="s">
        <v>134</v>
      </c>
      <c r="B79" s="1" t="s">
        <v>109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1</v>
      </c>
      <c r="R79">
        <v>1</v>
      </c>
      <c r="S79">
        <v>1</v>
      </c>
      <c r="T79">
        <v>1</v>
      </c>
      <c r="U79">
        <v>1</v>
      </c>
      <c r="V79">
        <v>1</v>
      </c>
      <c r="W79">
        <v>2</v>
      </c>
      <c r="X79">
        <v>2</v>
      </c>
      <c r="Y79">
        <v>3</v>
      </c>
      <c r="Z79">
        <v>3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</row>
    <row r="80" spans="1:71" x14ac:dyDescent="0.25">
      <c r="A80" s="1" t="s">
        <v>157</v>
      </c>
      <c r="B80" s="1" t="s">
        <v>109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</row>
    <row r="81" spans="1:71" x14ac:dyDescent="0.25">
      <c r="A81" s="1" t="s">
        <v>141</v>
      </c>
      <c r="B81" s="1" t="s">
        <v>109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2</v>
      </c>
      <c r="AI81">
        <v>2</v>
      </c>
      <c r="AJ81">
        <v>2</v>
      </c>
      <c r="AK81">
        <v>2</v>
      </c>
      <c r="AL81">
        <v>2</v>
      </c>
      <c r="AM81">
        <v>2</v>
      </c>
      <c r="AN81">
        <v>3</v>
      </c>
      <c r="AO81">
        <v>3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</row>
    <row r="82" spans="1:71" x14ac:dyDescent="0.25">
      <c r="A82" s="1" t="s">
        <v>131</v>
      </c>
      <c r="B82" s="1" t="s">
        <v>109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1</v>
      </c>
      <c r="AF82">
        <v>2</v>
      </c>
      <c r="AG82">
        <v>2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</row>
    <row r="83" spans="1:71" x14ac:dyDescent="0.25">
      <c r="A83" s="1" t="s">
        <v>115</v>
      </c>
      <c r="B83" s="1" t="s">
        <v>109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1</v>
      </c>
      <c r="AG83">
        <v>1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</row>
    <row r="84" spans="1:71" x14ac:dyDescent="0.25">
      <c r="A84" s="1" t="s">
        <v>2</v>
      </c>
      <c r="B84" s="1" t="s">
        <v>83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2</v>
      </c>
      <c r="BL84">
        <v>3</v>
      </c>
      <c r="BM84">
        <v>3</v>
      </c>
      <c r="BN84">
        <v>4</v>
      </c>
      <c r="BO84">
        <v>6</v>
      </c>
      <c r="BP84">
        <v>6</v>
      </c>
      <c r="BQ84">
        <v>6</v>
      </c>
      <c r="BR84">
        <v>10</v>
      </c>
      <c r="BS84">
        <v>12</v>
      </c>
    </row>
    <row r="85" spans="1:71" x14ac:dyDescent="0.25">
      <c r="A85" s="1" t="s">
        <v>2</v>
      </c>
      <c r="B85" s="1" t="s">
        <v>195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</row>
    <row r="86" spans="1:71" x14ac:dyDescent="0.25">
      <c r="A86" s="1" t="s">
        <v>2</v>
      </c>
      <c r="B86" s="1" t="s">
        <v>158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1</v>
      </c>
      <c r="BK86">
        <v>1</v>
      </c>
      <c r="BL86">
        <v>1</v>
      </c>
      <c r="BM86">
        <v>2</v>
      </c>
      <c r="BN86">
        <v>2</v>
      </c>
      <c r="BO86">
        <v>3</v>
      </c>
      <c r="BP86">
        <v>3</v>
      </c>
      <c r="BQ86">
        <v>6</v>
      </c>
      <c r="BR86">
        <v>6</v>
      </c>
      <c r="BS86">
        <v>8</v>
      </c>
    </row>
    <row r="87" spans="1:71" x14ac:dyDescent="0.25">
      <c r="A87" s="1" t="s">
        <v>2</v>
      </c>
      <c r="B87" s="1" t="s">
        <v>84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1</v>
      </c>
      <c r="BI87">
        <v>1</v>
      </c>
      <c r="BJ87">
        <v>2</v>
      </c>
      <c r="BK87">
        <v>2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</row>
    <row r="88" spans="1:71" x14ac:dyDescent="0.25">
      <c r="A88" s="1" t="s">
        <v>2</v>
      </c>
      <c r="B88" s="1" t="s">
        <v>159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1</v>
      </c>
      <c r="BS88">
        <v>1</v>
      </c>
    </row>
    <row r="89" spans="1:71" x14ac:dyDescent="0.25">
      <c r="A89" s="1" t="s">
        <v>2</v>
      </c>
      <c r="B89" s="1" t="s">
        <v>33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1</v>
      </c>
      <c r="BI89">
        <v>1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3</v>
      </c>
      <c r="BP89">
        <v>3</v>
      </c>
      <c r="BQ89">
        <v>5</v>
      </c>
      <c r="BR89">
        <v>6</v>
      </c>
      <c r="BS89">
        <v>6</v>
      </c>
    </row>
    <row r="90" spans="1:71" x14ac:dyDescent="0.25">
      <c r="A90" s="1" t="s">
        <v>2</v>
      </c>
      <c r="B90" s="1" t="s">
        <v>102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2</v>
      </c>
      <c r="AG90">
        <v>2</v>
      </c>
      <c r="AH90">
        <v>2</v>
      </c>
      <c r="AI90">
        <v>3</v>
      </c>
      <c r="AJ90">
        <v>3</v>
      </c>
      <c r="AK90">
        <v>3</v>
      </c>
      <c r="AL90">
        <v>4</v>
      </c>
      <c r="AM90">
        <v>4</v>
      </c>
      <c r="AN90">
        <v>6</v>
      </c>
      <c r="AO90">
        <v>6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7</v>
      </c>
      <c r="BA90">
        <v>7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8</v>
      </c>
      <c r="BK90">
        <v>8</v>
      </c>
      <c r="BL90">
        <v>8</v>
      </c>
      <c r="BM90">
        <v>10</v>
      </c>
      <c r="BN90">
        <v>10</v>
      </c>
      <c r="BO90">
        <v>10</v>
      </c>
      <c r="BP90">
        <v>10</v>
      </c>
      <c r="BQ90">
        <v>10</v>
      </c>
      <c r="BR90">
        <v>10</v>
      </c>
      <c r="BS90">
        <v>10</v>
      </c>
    </row>
    <row r="91" spans="1:71" x14ac:dyDescent="0.25">
      <c r="A91" s="1" t="s">
        <v>2</v>
      </c>
      <c r="B91" s="1" t="s">
        <v>164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1</v>
      </c>
      <c r="BH91">
        <v>1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2</v>
      </c>
      <c r="BP91">
        <v>2</v>
      </c>
      <c r="BQ91">
        <v>3</v>
      </c>
      <c r="BR91">
        <v>3</v>
      </c>
      <c r="BS91">
        <v>4</v>
      </c>
    </row>
    <row r="92" spans="1:71" x14ac:dyDescent="0.25">
      <c r="A92" s="1" t="s">
        <v>2</v>
      </c>
      <c r="B92" s="1" t="s">
        <v>99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1</v>
      </c>
      <c r="BL92">
        <v>1</v>
      </c>
      <c r="BM92">
        <v>3</v>
      </c>
      <c r="BN92">
        <v>3</v>
      </c>
      <c r="BO92">
        <v>3</v>
      </c>
      <c r="BP92">
        <v>5</v>
      </c>
      <c r="BQ92">
        <v>5</v>
      </c>
      <c r="BR92">
        <v>5</v>
      </c>
      <c r="BS92">
        <v>7</v>
      </c>
    </row>
    <row r="93" spans="1:71" x14ac:dyDescent="0.25">
      <c r="A93" s="1" t="s">
        <v>2</v>
      </c>
      <c r="B93" s="1" t="s">
        <v>140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1</v>
      </c>
      <c r="BL93">
        <v>1</v>
      </c>
      <c r="BM93">
        <v>3</v>
      </c>
      <c r="BN93">
        <v>6</v>
      </c>
      <c r="BO93">
        <v>9</v>
      </c>
      <c r="BP93">
        <v>9</v>
      </c>
      <c r="BQ93">
        <v>11</v>
      </c>
      <c r="BR93">
        <v>16</v>
      </c>
      <c r="BS93">
        <v>23</v>
      </c>
    </row>
    <row r="94" spans="1:71" x14ac:dyDescent="0.25">
      <c r="A94" s="1" t="s">
        <v>151</v>
      </c>
      <c r="B94" s="1" t="s">
        <v>124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</row>
    <row r="95" spans="1:71" x14ac:dyDescent="0.25">
      <c r="A95" s="1" t="s">
        <v>217</v>
      </c>
      <c r="B95" s="1" t="s">
        <v>124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</row>
    <row r="96" spans="1:71" x14ac:dyDescent="0.25">
      <c r="A96" s="1" t="s">
        <v>2</v>
      </c>
      <c r="B96" s="1" t="s">
        <v>124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1</v>
      </c>
      <c r="BD96">
        <v>2</v>
      </c>
      <c r="BE96">
        <v>3</v>
      </c>
      <c r="BF96">
        <v>4</v>
      </c>
      <c r="BG96">
        <v>4</v>
      </c>
      <c r="BH96">
        <v>6</v>
      </c>
      <c r="BI96">
        <v>9</v>
      </c>
      <c r="BJ96">
        <v>13</v>
      </c>
      <c r="BK96">
        <v>13</v>
      </c>
      <c r="BL96">
        <v>24</v>
      </c>
      <c r="BM96">
        <v>32</v>
      </c>
      <c r="BN96">
        <v>34</v>
      </c>
      <c r="BO96">
        <v>41</v>
      </c>
      <c r="BP96">
        <v>52</v>
      </c>
      <c r="BQ96">
        <v>65</v>
      </c>
      <c r="BR96">
        <v>72</v>
      </c>
      <c r="BS96">
        <v>77</v>
      </c>
    </row>
    <row r="97" spans="1:71" x14ac:dyDescent="0.25">
      <c r="A97" s="1" t="s">
        <v>2</v>
      </c>
      <c r="B97" s="1" t="s">
        <v>215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</row>
    <row r="98" spans="1:71" x14ac:dyDescent="0.25">
      <c r="A98" s="1" t="s">
        <v>2</v>
      </c>
      <c r="B98" s="1" t="s">
        <v>60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1</v>
      </c>
      <c r="BG98">
        <v>1</v>
      </c>
      <c r="BH98">
        <v>2</v>
      </c>
      <c r="BI98">
        <v>2</v>
      </c>
      <c r="BJ98">
        <v>2</v>
      </c>
      <c r="BK98">
        <v>3</v>
      </c>
      <c r="BL98">
        <v>3</v>
      </c>
      <c r="BM98">
        <v>6</v>
      </c>
      <c r="BN98">
        <v>10</v>
      </c>
      <c r="BO98">
        <v>10</v>
      </c>
      <c r="BP98">
        <v>20</v>
      </c>
      <c r="BQ98">
        <v>28</v>
      </c>
      <c r="BR98">
        <v>39</v>
      </c>
      <c r="BS98">
        <v>42</v>
      </c>
    </row>
    <row r="99" spans="1:71" x14ac:dyDescent="0.25">
      <c r="A99" s="1" t="s">
        <v>2</v>
      </c>
      <c r="B99" s="1" t="s">
        <v>57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2</v>
      </c>
      <c r="BD99">
        <v>2</v>
      </c>
      <c r="BE99">
        <v>2</v>
      </c>
      <c r="BF99">
        <v>2</v>
      </c>
      <c r="BG99">
        <v>2</v>
      </c>
      <c r="BH99">
        <v>3</v>
      </c>
      <c r="BI99">
        <v>5</v>
      </c>
      <c r="BJ99">
        <v>7</v>
      </c>
      <c r="BK99">
        <v>14</v>
      </c>
      <c r="BL99">
        <v>18</v>
      </c>
      <c r="BM99">
        <v>27</v>
      </c>
      <c r="BN99">
        <v>28</v>
      </c>
      <c r="BO99">
        <v>34</v>
      </c>
      <c r="BP99">
        <v>36</v>
      </c>
      <c r="BQ99">
        <v>48</v>
      </c>
      <c r="BR99">
        <v>58</v>
      </c>
      <c r="BS99">
        <v>60</v>
      </c>
    </row>
    <row r="100" spans="1:71" x14ac:dyDescent="0.25">
      <c r="A100" s="1" t="s">
        <v>2</v>
      </c>
      <c r="B100" s="1" t="s">
        <v>25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2</v>
      </c>
      <c r="BC100">
        <v>2</v>
      </c>
      <c r="BD100">
        <v>2</v>
      </c>
      <c r="BE100">
        <v>2</v>
      </c>
      <c r="BF100">
        <v>4</v>
      </c>
      <c r="BG100">
        <v>6</v>
      </c>
      <c r="BH100">
        <v>6</v>
      </c>
      <c r="BI100">
        <v>8</v>
      </c>
      <c r="BJ100">
        <v>10</v>
      </c>
      <c r="BK100">
        <v>14</v>
      </c>
      <c r="BL100">
        <v>19</v>
      </c>
      <c r="BM100">
        <v>20</v>
      </c>
      <c r="BN100">
        <v>21</v>
      </c>
      <c r="BO100">
        <v>24</v>
      </c>
      <c r="BP100">
        <v>30</v>
      </c>
      <c r="BQ100">
        <v>36</v>
      </c>
      <c r="BR100">
        <v>40</v>
      </c>
      <c r="BS100">
        <v>41</v>
      </c>
    </row>
    <row r="101" spans="1:71" x14ac:dyDescent="0.25">
      <c r="A101" s="1" t="s">
        <v>2</v>
      </c>
      <c r="B101" s="1" t="s">
        <v>221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</row>
    <row r="102" spans="1:71" x14ac:dyDescent="0.25">
      <c r="A102" s="1" t="s">
        <v>2</v>
      </c>
      <c r="B102" s="1" t="s">
        <v>196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</row>
    <row r="103" spans="1:71" x14ac:dyDescent="0.25">
      <c r="A103" s="1" t="s">
        <v>2</v>
      </c>
      <c r="B103" s="1" t="s">
        <v>233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</row>
    <row r="104" spans="1:71" x14ac:dyDescent="0.25">
      <c r="A104" s="1" t="s">
        <v>2</v>
      </c>
      <c r="B104" s="1" t="s">
        <v>44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1</v>
      </c>
      <c r="BO104">
        <v>1</v>
      </c>
      <c r="BP104">
        <v>1</v>
      </c>
      <c r="BQ104">
        <v>1</v>
      </c>
      <c r="BR104">
        <v>3</v>
      </c>
      <c r="BS104">
        <v>3</v>
      </c>
    </row>
    <row r="105" spans="1:71" x14ac:dyDescent="0.25">
      <c r="A105" s="1" t="s">
        <v>2</v>
      </c>
      <c r="B105" s="1" t="s">
        <v>182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</row>
    <row r="106" spans="1:71" x14ac:dyDescent="0.25">
      <c r="A106" s="1" t="s">
        <v>2</v>
      </c>
      <c r="B106" s="1" t="s">
        <v>171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</row>
    <row r="107" spans="1:71" x14ac:dyDescent="0.25">
      <c r="A107" s="1" t="s">
        <v>2</v>
      </c>
      <c r="B107" s="1" t="s">
        <v>222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</row>
    <row r="108" spans="1:71" x14ac:dyDescent="0.25">
      <c r="A108" s="1" t="s">
        <v>2</v>
      </c>
      <c r="B108" s="1" t="s">
        <v>16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1</v>
      </c>
      <c r="BK108">
        <v>1</v>
      </c>
      <c r="BL108">
        <v>1</v>
      </c>
      <c r="BM108">
        <v>1</v>
      </c>
      <c r="BN108">
        <v>3</v>
      </c>
      <c r="BO108">
        <v>5</v>
      </c>
      <c r="BP108">
        <v>7</v>
      </c>
      <c r="BQ108">
        <v>9</v>
      </c>
      <c r="BR108">
        <v>11</v>
      </c>
      <c r="BS108">
        <v>13</v>
      </c>
    </row>
    <row r="109" spans="1:71" x14ac:dyDescent="0.25">
      <c r="A109" s="1" t="s">
        <v>190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</row>
    <row r="110" spans="1:71" x14ac:dyDescent="0.25">
      <c r="A110" s="1" t="s">
        <v>168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</row>
    <row r="111" spans="1:71" x14ac:dyDescent="0.25">
      <c r="A111" s="1" t="s">
        <v>201</v>
      </c>
      <c r="B111" s="1" t="s">
        <v>112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1</v>
      </c>
      <c r="BL111">
        <v>1</v>
      </c>
      <c r="BM111">
        <v>1</v>
      </c>
      <c r="BN111">
        <v>1</v>
      </c>
      <c r="BO111">
        <v>1</v>
      </c>
      <c r="BP111">
        <v>1</v>
      </c>
      <c r="BQ111">
        <v>2</v>
      </c>
      <c r="BR111">
        <v>4</v>
      </c>
      <c r="BS111">
        <v>4</v>
      </c>
    </row>
    <row r="112" spans="1:71" x14ac:dyDescent="0.25">
      <c r="A112" s="1" t="s">
        <v>197</v>
      </c>
      <c r="B112" s="1" t="s">
        <v>112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</row>
    <row r="113" spans="1:71" x14ac:dyDescent="0.25">
      <c r="A113" s="1" t="s">
        <v>218</v>
      </c>
      <c r="B113" s="1" t="s">
        <v>112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</row>
    <row r="114" spans="1:71" x14ac:dyDescent="0.25">
      <c r="A114" s="1" t="s">
        <v>208</v>
      </c>
      <c r="B114" s="1" t="s">
        <v>112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</row>
    <row r="115" spans="1:71" x14ac:dyDescent="0.25">
      <c r="A115" s="1" t="s">
        <v>160</v>
      </c>
      <c r="B115" s="1" t="s">
        <v>112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</row>
    <row r="116" spans="1:71" x14ac:dyDescent="0.25">
      <c r="A116" s="1" t="s">
        <v>152</v>
      </c>
      <c r="B116" s="1" t="s">
        <v>112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1</v>
      </c>
    </row>
    <row r="117" spans="1:71" x14ac:dyDescent="0.25">
      <c r="A117" s="1" t="s">
        <v>90</v>
      </c>
      <c r="B117" s="1" t="s">
        <v>112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</row>
    <row r="118" spans="1:71" x14ac:dyDescent="0.25">
      <c r="A118" s="1" t="s">
        <v>2</v>
      </c>
      <c r="B118" s="1" t="s">
        <v>112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2</v>
      </c>
      <c r="AM118">
        <v>2</v>
      </c>
      <c r="AN118">
        <v>2</v>
      </c>
      <c r="AO118">
        <v>2</v>
      </c>
      <c r="AP118">
        <v>2</v>
      </c>
      <c r="AQ118">
        <v>3</v>
      </c>
      <c r="AR118">
        <v>4</v>
      </c>
      <c r="AS118">
        <v>4</v>
      </c>
      <c r="AT118">
        <v>6</v>
      </c>
      <c r="AU118">
        <v>9</v>
      </c>
      <c r="AV118">
        <v>11</v>
      </c>
      <c r="AW118">
        <v>19</v>
      </c>
      <c r="AX118">
        <v>19</v>
      </c>
      <c r="AY118">
        <v>33</v>
      </c>
      <c r="AZ118">
        <v>48</v>
      </c>
      <c r="BA118">
        <v>48</v>
      </c>
      <c r="BB118">
        <v>79</v>
      </c>
      <c r="BC118">
        <v>91</v>
      </c>
      <c r="BD118">
        <v>91</v>
      </c>
      <c r="BE118">
        <v>148</v>
      </c>
      <c r="BF118">
        <v>148</v>
      </c>
      <c r="BG118">
        <v>148</v>
      </c>
      <c r="BH118">
        <v>243</v>
      </c>
      <c r="BI118">
        <v>450</v>
      </c>
      <c r="BJ118">
        <v>562</v>
      </c>
      <c r="BK118">
        <v>674</v>
      </c>
      <c r="BL118">
        <v>860</v>
      </c>
      <c r="BM118">
        <v>1100</v>
      </c>
      <c r="BN118">
        <v>1331</v>
      </c>
      <c r="BO118">
        <v>1696</v>
      </c>
      <c r="BP118">
        <v>1995</v>
      </c>
      <c r="BQ118">
        <v>2314</v>
      </c>
      <c r="BR118">
        <v>2606</v>
      </c>
      <c r="BS118">
        <v>3024</v>
      </c>
    </row>
    <row r="119" spans="1:71" x14ac:dyDescent="0.25">
      <c r="A119" s="1" t="s">
        <v>2</v>
      </c>
      <c r="B119" s="1" t="s">
        <v>183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1</v>
      </c>
      <c r="BJ119">
        <v>1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</row>
    <row r="120" spans="1:71" x14ac:dyDescent="0.25">
      <c r="A120" s="1" t="s">
        <v>2</v>
      </c>
      <c r="B120" s="1" t="s">
        <v>330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1</v>
      </c>
      <c r="BM120">
        <v>1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</row>
    <row r="121" spans="1:71" x14ac:dyDescent="0.25">
      <c r="A121" s="1" t="s">
        <v>2</v>
      </c>
      <c r="B121" s="1" t="s">
        <v>39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</row>
    <row r="122" spans="1:71" x14ac:dyDescent="0.25">
      <c r="A122" s="1" t="s">
        <v>2</v>
      </c>
      <c r="B122" s="1" t="s">
        <v>15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2</v>
      </c>
      <c r="AY122">
        <v>2</v>
      </c>
      <c r="AZ122">
        <v>3</v>
      </c>
      <c r="BA122">
        <v>3</v>
      </c>
      <c r="BB122">
        <v>7</v>
      </c>
      <c r="BC122">
        <v>9</v>
      </c>
      <c r="BD122">
        <v>11</v>
      </c>
      <c r="BE122">
        <v>17</v>
      </c>
      <c r="BF122">
        <v>24</v>
      </c>
      <c r="BG122">
        <v>28</v>
      </c>
      <c r="BH122">
        <v>44</v>
      </c>
      <c r="BI122">
        <v>67</v>
      </c>
      <c r="BJ122">
        <v>84</v>
      </c>
      <c r="BK122">
        <v>94</v>
      </c>
      <c r="BL122">
        <v>123</v>
      </c>
      <c r="BM122">
        <v>157</v>
      </c>
      <c r="BN122">
        <v>206</v>
      </c>
      <c r="BO122">
        <v>267</v>
      </c>
      <c r="BP122">
        <v>342</v>
      </c>
      <c r="BQ122">
        <v>433</v>
      </c>
      <c r="BR122">
        <v>533</v>
      </c>
      <c r="BS122">
        <v>645</v>
      </c>
    </row>
    <row r="123" spans="1:71" x14ac:dyDescent="0.25">
      <c r="A123" s="1" t="s">
        <v>2</v>
      </c>
      <c r="B123" s="1" t="s">
        <v>177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1</v>
      </c>
      <c r="BK123">
        <v>1</v>
      </c>
      <c r="BL123">
        <v>2</v>
      </c>
      <c r="BM123">
        <v>2</v>
      </c>
      <c r="BN123">
        <v>4</v>
      </c>
      <c r="BO123">
        <v>4</v>
      </c>
      <c r="BP123">
        <v>4</v>
      </c>
      <c r="BQ123">
        <v>5</v>
      </c>
      <c r="BR123">
        <v>5</v>
      </c>
      <c r="BS123">
        <v>5</v>
      </c>
    </row>
    <row r="124" spans="1:71" x14ac:dyDescent="0.25">
      <c r="A124" s="1" t="s">
        <v>2</v>
      </c>
      <c r="B124" s="1" t="s">
        <v>40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1</v>
      </c>
      <c r="BA124">
        <v>1</v>
      </c>
      <c r="BB124">
        <v>1</v>
      </c>
      <c r="BC124">
        <v>3</v>
      </c>
      <c r="BD124">
        <v>4</v>
      </c>
      <c r="BE124">
        <v>4</v>
      </c>
      <c r="BF124">
        <v>5</v>
      </c>
      <c r="BG124">
        <v>5</v>
      </c>
      <c r="BH124">
        <v>6</v>
      </c>
      <c r="BI124">
        <v>6</v>
      </c>
      <c r="BJ124">
        <v>13</v>
      </c>
      <c r="BK124">
        <v>15</v>
      </c>
      <c r="BL124">
        <v>17</v>
      </c>
      <c r="BM124">
        <v>20</v>
      </c>
      <c r="BN124">
        <v>22</v>
      </c>
      <c r="BO124">
        <v>26</v>
      </c>
      <c r="BP124">
        <v>28</v>
      </c>
      <c r="BQ124">
        <v>32</v>
      </c>
      <c r="BR124">
        <v>38</v>
      </c>
      <c r="BS124">
        <v>43</v>
      </c>
    </row>
    <row r="125" spans="1:71" x14ac:dyDescent="0.25">
      <c r="A125" s="1" t="s">
        <v>2</v>
      </c>
      <c r="B125" s="1" t="s">
        <v>184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</row>
    <row r="126" spans="1:71" x14ac:dyDescent="0.25">
      <c r="A126" s="1" t="s">
        <v>2</v>
      </c>
      <c r="B126" s="1" t="s">
        <v>173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</row>
    <row r="127" spans="1:71" x14ac:dyDescent="0.25">
      <c r="A127" s="1" t="s">
        <v>2</v>
      </c>
      <c r="B127" s="1" t="s">
        <v>165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1</v>
      </c>
      <c r="BB127">
        <v>1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</row>
    <row r="128" spans="1:71" x14ac:dyDescent="0.25">
      <c r="A128" s="1" t="s">
        <v>2</v>
      </c>
      <c r="B128" s="1" t="s">
        <v>225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</row>
    <row r="129" spans="1:71" x14ac:dyDescent="0.25">
      <c r="A129" s="1" t="s">
        <v>2</v>
      </c>
      <c r="B129" s="1" t="s">
        <v>105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</row>
    <row r="130" spans="1:71" x14ac:dyDescent="0.25">
      <c r="A130" s="1" t="s">
        <v>2</v>
      </c>
      <c r="B130" s="1" t="s">
        <v>153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1</v>
      </c>
      <c r="BP130">
        <v>1</v>
      </c>
      <c r="BQ130">
        <v>1</v>
      </c>
      <c r="BR130">
        <v>3</v>
      </c>
      <c r="BS130">
        <v>7</v>
      </c>
    </row>
    <row r="131" spans="1:71" x14ac:dyDescent="0.25">
      <c r="A131" s="1" t="s">
        <v>2</v>
      </c>
      <c r="B131" s="1" t="s">
        <v>73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1</v>
      </c>
      <c r="BE131">
        <v>1</v>
      </c>
      <c r="BF131">
        <v>1</v>
      </c>
      <c r="BG131">
        <v>1</v>
      </c>
      <c r="BH131">
        <v>1</v>
      </c>
      <c r="BI131">
        <v>3</v>
      </c>
      <c r="BJ131">
        <v>4</v>
      </c>
      <c r="BK131">
        <v>6</v>
      </c>
      <c r="BL131">
        <v>7</v>
      </c>
      <c r="BM131">
        <v>9</v>
      </c>
      <c r="BN131">
        <v>10</v>
      </c>
      <c r="BO131">
        <v>10</v>
      </c>
      <c r="BP131">
        <v>10</v>
      </c>
      <c r="BQ131">
        <v>11</v>
      </c>
      <c r="BR131">
        <v>13</v>
      </c>
      <c r="BS131">
        <v>15</v>
      </c>
    </row>
    <row r="132" spans="1:71" x14ac:dyDescent="0.25">
      <c r="A132" s="1" t="s">
        <v>2</v>
      </c>
      <c r="B132" s="1" t="s">
        <v>47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5</v>
      </c>
      <c r="BE132">
        <v>0</v>
      </c>
      <c r="BF132">
        <v>1</v>
      </c>
      <c r="BG132">
        <v>1</v>
      </c>
      <c r="BH132">
        <v>1</v>
      </c>
      <c r="BI132">
        <v>0</v>
      </c>
      <c r="BJ132">
        <v>1</v>
      </c>
      <c r="BK132">
        <v>1</v>
      </c>
      <c r="BL132">
        <v>1</v>
      </c>
      <c r="BM132">
        <v>2</v>
      </c>
      <c r="BN132">
        <v>2</v>
      </c>
      <c r="BO132">
        <v>2</v>
      </c>
      <c r="BP132">
        <v>2</v>
      </c>
      <c r="BQ132">
        <v>2</v>
      </c>
      <c r="BR132">
        <v>2</v>
      </c>
      <c r="BS132">
        <v>2</v>
      </c>
    </row>
    <row r="133" spans="1:71" x14ac:dyDescent="0.25">
      <c r="A133" s="1" t="s">
        <v>2</v>
      </c>
      <c r="B133" s="1" t="s">
        <v>19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1</v>
      </c>
      <c r="BA133">
        <v>1</v>
      </c>
      <c r="BB133">
        <v>2</v>
      </c>
      <c r="BC133">
        <v>2</v>
      </c>
      <c r="BD133">
        <v>2</v>
      </c>
      <c r="BE133">
        <v>2</v>
      </c>
      <c r="BF133">
        <v>3</v>
      </c>
      <c r="BG133">
        <v>3</v>
      </c>
      <c r="BH133">
        <v>4</v>
      </c>
      <c r="BI133">
        <v>5</v>
      </c>
      <c r="BJ133">
        <v>4</v>
      </c>
      <c r="BK133">
        <v>7</v>
      </c>
      <c r="BL133">
        <v>10</v>
      </c>
      <c r="BM133">
        <v>10</v>
      </c>
      <c r="BN133">
        <v>12</v>
      </c>
      <c r="BO133">
        <v>20</v>
      </c>
      <c r="BP133">
        <v>20</v>
      </c>
      <c r="BQ133">
        <v>24</v>
      </c>
      <c r="BR133">
        <v>27</v>
      </c>
      <c r="BS133">
        <v>32</v>
      </c>
    </row>
    <row r="134" spans="1:71" x14ac:dyDescent="0.25">
      <c r="A134" s="1" t="s">
        <v>2</v>
      </c>
      <c r="B134" s="1" t="s">
        <v>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1</v>
      </c>
      <c r="BA134">
        <v>1</v>
      </c>
      <c r="BB134">
        <v>4</v>
      </c>
      <c r="BC134">
        <v>5</v>
      </c>
      <c r="BD134">
        <v>5</v>
      </c>
      <c r="BE134">
        <v>5</v>
      </c>
      <c r="BF134">
        <v>5</v>
      </c>
      <c r="BG134">
        <v>19</v>
      </c>
      <c r="BH134">
        <v>25</v>
      </c>
      <c r="BI134">
        <v>32</v>
      </c>
      <c r="BJ134">
        <v>38</v>
      </c>
      <c r="BK134">
        <v>48</v>
      </c>
      <c r="BL134">
        <v>49</v>
      </c>
      <c r="BM134">
        <v>55</v>
      </c>
      <c r="BN134">
        <v>58</v>
      </c>
      <c r="BO134">
        <v>78</v>
      </c>
      <c r="BP134">
        <v>87</v>
      </c>
      <c r="BQ134">
        <v>102</v>
      </c>
      <c r="BR134">
        <v>114</v>
      </c>
      <c r="BS134">
        <v>122</v>
      </c>
    </row>
    <row r="135" spans="1:71" x14ac:dyDescent="0.25">
      <c r="A135" s="1" t="s">
        <v>2</v>
      </c>
      <c r="B135" s="1" t="s">
        <v>110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2</v>
      </c>
      <c r="AF135">
        <v>2</v>
      </c>
      <c r="AG135">
        <v>4</v>
      </c>
      <c r="AH135">
        <v>5</v>
      </c>
      <c r="AI135">
        <v>8</v>
      </c>
      <c r="AJ135">
        <v>12</v>
      </c>
      <c r="AK135">
        <v>16</v>
      </c>
      <c r="AL135">
        <v>19</v>
      </c>
      <c r="AM135">
        <v>26</v>
      </c>
      <c r="AN135">
        <v>34</v>
      </c>
      <c r="AO135">
        <v>43</v>
      </c>
      <c r="AP135">
        <v>54</v>
      </c>
      <c r="AQ135">
        <v>66</v>
      </c>
      <c r="AR135">
        <v>77</v>
      </c>
      <c r="AS135">
        <v>92</v>
      </c>
      <c r="AT135">
        <v>107</v>
      </c>
      <c r="AU135">
        <v>124</v>
      </c>
      <c r="AV135">
        <v>145</v>
      </c>
      <c r="AW135">
        <v>194</v>
      </c>
      <c r="AX135">
        <v>237</v>
      </c>
      <c r="AY135">
        <v>291</v>
      </c>
      <c r="AZ135">
        <v>354</v>
      </c>
      <c r="BA135">
        <v>429</v>
      </c>
      <c r="BB135">
        <v>514</v>
      </c>
      <c r="BC135">
        <v>611</v>
      </c>
      <c r="BD135">
        <v>724</v>
      </c>
      <c r="BE135">
        <v>853</v>
      </c>
      <c r="BF135">
        <v>988</v>
      </c>
      <c r="BG135">
        <v>1135</v>
      </c>
      <c r="BH135">
        <v>1284</v>
      </c>
      <c r="BI135">
        <v>1433</v>
      </c>
      <c r="BJ135">
        <v>1556</v>
      </c>
      <c r="BK135">
        <v>1685</v>
      </c>
      <c r="BL135">
        <v>1812</v>
      </c>
      <c r="BM135">
        <v>1934</v>
      </c>
      <c r="BN135">
        <v>2077</v>
      </c>
      <c r="BO135">
        <v>2234</v>
      </c>
      <c r="BP135">
        <v>2378</v>
      </c>
      <c r="BQ135">
        <v>2517</v>
      </c>
      <c r="BR135">
        <v>2640</v>
      </c>
      <c r="BS135">
        <v>2757</v>
      </c>
    </row>
    <row r="136" spans="1:71" x14ac:dyDescent="0.25">
      <c r="A136" s="1" t="s">
        <v>2</v>
      </c>
      <c r="B136" s="1" t="s">
        <v>27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2</v>
      </c>
      <c r="AT136">
        <v>2</v>
      </c>
      <c r="AU136">
        <v>3</v>
      </c>
      <c r="AV136">
        <v>4</v>
      </c>
      <c r="AW136">
        <v>6</v>
      </c>
      <c r="AX136">
        <v>6</v>
      </c>
      <c r="AY136">
        <v>7</v>
      </c>
      <c r="AZ136">
        <v>7</v>
      </c>
      <c r="BA136">
        <v>8</v>
      </c>
      <c r="BB136">
        <v>9</v>
      </c>
      <c r="BC136">
        <v>10</v>
      </c>
      <c r="BD136">
        <v>10</v>
      </c>
      <c r="BE136">
        <v>10</v>
      </c>
      <c r="BF136">
        <v>11</v>
      </c>
      <c r="BG136">
        <v>12</v>
      </c>
      <c r="BH136">
        <v>13</v>
      </c>
      <c r="BI136">
        <v>17</v>
      </c>
      <c r="BJ136">
        <v>17</v>
      </c>
      <c r="BK136">
        <v>20</v>
      </c>
      <c r="BL136">
        <v>23</v>
      </c>
      <c r="BM136">
        <v>27</v>
      </c>
      <c r="BN136">
        <v>29</v>
      </c>
      <c r="BO136">
        <v>36</v>
      </c>
      <c r="BP136">
        <v>40</v>
      </c>
      <c r="BQ136">
        <v>42</v>
      </c>
      <c r="BR136">
        <v>42</v>
      </c>
      <c r="BS136">
        <v>46</v>
      </c>
    </row>
    <row r="137" spans="1:71" x14ac:dyDescent="0.25">
      <c r="A137" s="1" t="s">
        <v>2</v>
      </c>
      <c r="B137" s="1" t="s">
        <v>53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1</v>
      </c>
      <c r="BA137">
        <v>1</v>
      </c>
      <c r="BB137">
        <v>1</v>
      </c>
      <c r="BC137">
        <v>2</v>
      </c>
      <c r="BD137">
        <v>2</v>
      </c>
      <c r="BE137">
        <v>2</v>
      </c>
      <c r="BF137">
        <v>2</v>
      </c>
      <c r="BG137">
        <v>2</v>
      </c>
      <c r="BH137">
        <v>3</v>
      </c>
      <c r="BI137">
        <v>3</v>
      </c>
      <c r="BJ137">
        <v>3</v>
      </c>
      <c r="BK137">
        <v>4</v>
      </c>
      <c r="BL137">
        <v>6</v>
      </c>
      <c r="BM137">
        <v>7</v>
      </c>
      <c r="BN137">
        <v>9</v>
      </c>
      <c r="BO137">
        <v>19</v>
      </c>
      <c r="BP137">
        <v>22</v>
      </c>
      <c r="BQ137">
        <v>36</v>
      </c>
      <c r="BR137">
        <v>46</v>
      </c>
      <c r="BS137">
        <v>54</v>
      </c>
    </row>
    <row r="138" spans="1:71" x14ac:dyDescent="0.25">
      <c r="A138" s="1" t="s">
        <v>2</v>
      </c>
      <c r="B138" s="1" t="s">
        <v>36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1</v>
      </c>
      <c r="BK138">
        <v>1</v>
      </c>
      <c r="BL138">
        <v>1</v>
      </c>
      <c r="BM138">
        <v>3</v>
      </c>
      <c r="BN138">
        <v>5</v>
      </c>
      <c r="BO138">
        <v>8</v>
      </c>
      <c r="BP138">
        <v>12</v>
      </c>
      <c r="BQ138">
        <v>12</v>
      </c>
      <c r="BR138">
        <v>15</v>
      </c>
      <c r="BS138">
        <v>16</v>
      </c>
    </row>
    <row r="139" spans="1:71" x14ac:dyDescent="0.25">
      <c r="A139" s="1" t="s">
        <v>2</v>
      </c>
      <c r="B139" s="1" t="s">
        <v>20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1</v>
      </c>
      <c r="AH139">
        <v>2</v>
      </c>
      <c r="AI139">
        <v>3</v>
      </c>
      <c r="AJ139">
        <v>7</v>
      </c>
      <c r="AK139">
        <v>10</v>
      </c>
      <c r="AL139">
        <v>12</v>
      </c>
      <c r="AM139">
        <v>17</v>
      </c>
      <c r="AN139">
        <v>21</v>
      </c>
      <c r="AO139">
        <v>29</v>
      </c>
      <c r="AP139">
        <v>34</v>
      </c>
      <c r="AQ139">
        <v>52</v>
      </c>
      <c r="AR139">
        <v>79</v>
      </c>
      <c r="AS139">
        <v>107</v>
      </c>
      <c r="AT139">
        <v>148</v>
      </c>
      <c r="AU139">
        <v>197</v>
      </c>
      <c r="AV139">
        <v>233</v>
      </c>
      <c r="AW139">
        <v>366</v>
      </c>
      <c r="AX139">
        <v>463</v>
      </c>
      <c r="AY139">
        <v>631</v>
      </c>
      <c r="AZ139">
        <v>827</v>
      </c>
      <c r="BA139">
        <v>827</v>
      </c>
      <c r="BB139">
        <v>1266</v>
      </c>
      <c r="BC139">
        <v>1441</v>
      </c>
      <c r="BD139">
        <v>1809</v>
      </c>
      <c r="BE139">
        <v>2158</v>
      </c>
      <c r="BF139">
        <v>2503</v>
      </c>
      <c r="BG139">
        <v>2978</v>
      </c>
      <c r="BH139">
        <v>3405</v>
      </c>
      <c r="BI139">
        <v>4032</v>
      </c>
      <c r="BJ139">
        <v>4825</v>
      </c>
      <c r="BK139">
        <v>5476</v>
      </c>
      <c r="BL139">
        <v>6077</v>
      </c>
      <c r="BM139">
        <v>6820</v>
      </c>
      <c r="BN139">
        <v>7503</v>
      </c>
      <c r="BO139">
        <v>8215</v>
      </c>
      <c r="BP139">
        <v>9134</v>
      </c>
      <c r="BQ139">
        <v>10023</v>
      </c>
      <c r="BR139">
        <v>10779</v>
      </c>
      <c r="BS139">
        <v>11591</v>
      </c>
    </row>
    <row r="140" spans="1:71" x14ac:dyDescent="0.25">
      <c r="A140" s="1" t="s">
        <v>2</v>
      </c>
      <c r="B140" s="1" t="s">
        <v>161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1</v>
      </c>
      <c r="BI140">
        <v>1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</row>
    <row r="141" spans="1:71" x14ac:dyDescent="0.25">
      <c r="A141" s="1" t="s">
        <v>2</v>
      </c>
      <c r="B141" s="1" t="s">
        <v>3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2</v>
      </c>
      <c r="AM141">
        <v>4</v>
      </c>
      <c r="AN141">
        <v>4</v>
      </c>
      <c r="AO141">
        <v>5</v>
      </c>
      <c r="AP141">
        <v>6</v>
      </c>
      <c r="AQ141">
        <v>6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10</v>
      </c>
      <c r="AY141">
        <v>10</v>
      </c>
      <c r="AZ141">
        <v>15</v>
      </c>
      <c r="BA141">
        <v>16</v>
      </c>
      <c r="BB141">
        <v>19</v>
      </c>
      <c r="BC141">
        <v>22</v>
      </c>
      <c r="BD141">
        <v>22</v>
      </c>
      <c r="BE141">
        <v>27</v>
      </c>
      <c r="BF141">
        <v>29</v>
      </c>
      <c r="BG141">
        <v>29</v>
      </c>
      <c r="BH141">
        <v>29</v>
      </c>
      <c r="BI141">
        <v>33</v>
      </c>
      <c r="BJ141">
        <v>35</v>
      </c>
      <c r="BK141">
        <v>41</v>
      </c>
      <c r="BL141">
        <v>42</v>
      </c>
      <c r="BM141">
        <v>43</v>
      </c>
      <c r="BN141">
        <v>45</v>
      </c>
      <c r="BO141">
        <v>47</v>
      </c>
      <c r="BP141">
        <v>49</v>
      </c>
      <c r="BQ141">
        <v>52</v>
      </c>
      <c r="BR141">
        <v>54</v>
      </c>
      <c r="BS141">
        <v>54</v>
      </c>
    </row>
    <row r="142" spans="1:71" x14ac:dyDescent="0.25">
      <c r="A142" s="1" t="s">
        <v>2</v>
      </c>
      <c r="B142" s="1" t="s">
        <v>71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1</v>
      </c>
      <c r="BQ142">
        <v>1</v>
      </c>
      <c r="BR142">
        <v>3</v>
      </c>
      <c r="BS142">
        <v>5</v>
      </c>
    </row>
    <row r="143" spans="1:71" x14ac:dyDescent="0.25">
      <c r="A143" s="1" t="s">
        <v>2</v>
      </c>
      <c r="B143" s="1" t="s">
        <v>167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3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1</v>
      </c>
      <c r="BP143">
        <v>1</v>
      </c>
      <c r="BQ143">
        <v>1</v>
      </c>
      <c r="BR143">
        <v>1</v>
      </c>
      <c r="BS143">
        <v>1</v>
      </c>
    </row>
    <row r="144" spans="1:71" x14ac:dyDescent="0.25">
      <c r="A144" s="1" t="s">
        <v>2</v>
      </c>
      <c r="B144" s="1" t="s">
        <v>174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1</v>
      </c>
      <c r="BP144">
        <v>1</v>
      </c>
      <c r="BQ144">
        <v>1</v>
      </c>
      <c r="BR144">
        <v>1</v>
      </c>
      <c r="BS144">
        <v>1</v>
      </c>
    </row>
    <row r="145" spans="1:71" x14ac:dyDescent="0.25">
      <c r="A145" s="1" t="s">
        <v>2</v>
      </c>
      <c r="B145" s="1" t="s">
        <v>111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1</v>
      </c>
      <c r="AG145">
        <v>2</v>
      </c>
      <c r="AH145">
        <v>2</v>
      </c>
      <c r="AI145">
        <v>6</v>
      </c>
      <c r="AJ145">
        <v>8</v>
      </c>
      <c r="AK145">
        <v>10</v>
      </c>
      <c r="AL145">
        <v>12</v>
      </c>
      <c r="AM145">
        <v>13</v>
      </c>
      <c r="AN145">
        <v>13</v>
      </c>
      <c r="AO145">
        <v>16</v>
      </c>
      <c r="AP145">
        <v>17</v>
      </c>
      <c r="AQ145">
        <v>28</v>
      </c>
      <c r="AR145">
        <v>28</v>
      </c>
      <c r="AS145">
        <v>35</v>
      </c>
      <c r="AT145">
        <v>35</v>
      </c>
      <c r="AU145">
        <v>42</v>
      </c>
      <c r="AV145">
        <v>44</v>
      </c>
      <c r="AW145">
        <v>50</v>
      </c>
      <c r="AX145">
        <v>53</v>
      </c>
      <c r="AY145">
        <v>54</v>
      </c>
      <c r="AZ145">
        <v>60</v>
      </c>
      <c r="BA145">
        <v>66</v>
      </c>
      <c r="BB145">
        <v>66</v>
      </c>
      <c r="BC145">
        <v>72</v>
      </c>
      <c r="BD145">
        <v>75</v>
      </c>
      <c r="BE145">
        <v>75</v>
      </c>
      <c r="BF145">
        <v>81</v>
      </c>
      <c r="BG145">
        <v>84</v>
      </c>
      <c r="BH145">
        <v>91</v>
      </c>
      <c r="BI145">
        <v>94</v>
      </c>
      <c r="BJ145">
        <v>102</v>
      </c>
      <c r="BK145">
        <v>111</v>
      </c>
      <c r="BL145">
        <v>111</v>
      </c>
      <c r="BM145">
        <v>120</v>
      </c>
      <c r="BN145">
        <v>126</v>
      </c>
      <c r="BO145">
        <v>131</v>
      </c>
      <c r="BP145">
        <v>139</v>
      </c>
      <c r="BQ145">
        <v>144</v>
      </c>
      <c r="BR145">
        <v>152</v>
      </c>
      <c r="BS145">
        <v>158</v>
      </c>
    </row>
    <row r="146" spans="1:71" x14ac:dyDescent="0.25">
      <c r="A146" s="1" t="s">
        <v>2</v>
      </c>
      <c r="B146" s="1" t="s">
        <v>31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</row>
    <row r="147" spans="1:71" x14ac:dyDescent="0.25">
      <c r="A147" s="1" t="s">
        <v>2</v>
      </c>
      <c r="B147" s="1" t="s">
        <v>211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</row>
    <row r="148" spans="1:71" x14ac:dyDescent="0.25">
      <c r="A148" s="1" t="s">
        <v>2</v>
      </c>
      <c r="B148" s="1" t="s">
        <v>65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</row>
    <row r="149" spans="1:71" x14ac:dyDescent="0.25">
      <c r="A149" s="1" t="s">
        <v>2</v>
      </c>
      <c r="B149" s="1" t="s">
        <v>26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1</v>
      </c>
      <c r="AZ149">
        <v>3</v>
      </c>
      <c r="BA149">
        <v>3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4</v>
      </c>
      <c r="BI149">
        <v>4</v>
      </c>
      <c r="BJ149">
        <v>4</v>
      </c>
      <c r="BK149">
        <v>4</v>
      </c>
      <c r="BL149">
        <v>4</v>
      </c>
      <c r="BM149">
        <v>4</v>
      </c>
      <c r="BN149">
        <v>6</v>
      </c>
      <c r="BO149">
        <v>6</v>
      </c>
      <c r="BP149">
        <v>8</v>
      </c>
      <c r="BQ149">
        <v>8</v>
      </c>
      <c r="BR149">
        <v>10</v>
      </c>
      <c r="BS149">
        <v>11</v>
      </c>
    </row>
    <row r="150" spans="1:71" x14ac:dyDescent="0.25">
      <c r="A150" s="1" t="s">
        <v>2</v>
      </c>
      <c r="B150" s="1" t="s">
        <v>203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</row>
    <row r="151" spans="1:71" x14ac:dyDescent="0.25">
      <c r="A151" s="1" t="s">
        <v>2</v>
      </c>
      <c r="B151" s="1" t="s">
        <v>75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</row>
    <row r="152" spans="1:71" x14ac:dyDescent="0.25">
      <c r="A152" s="1" t="s">
        <v>2</v>
      </c>
      <c r="B152" s="1" t="s">
        <v>48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1</v>
      </c>
      <c r="BK152">
        <v>1</v>
      </c>
      <c r="BL152">
        <v>1</v>
      </c>
      <c r="BM152">
        <v>2</v>
      </c>
      <c r="BN152">
        <v>4</v>
      </c>
      <c r="BO152">
        <v>4</v>
      </c>
      <c r="BP152">
        <v>5</v>
      </c>
      <c r="BQ152">
        <v>7</v>
      </c>
      <c r="BR152">
        <v>7</v>
      </c>
      <c r="BS152">
        <v>7</v>
      </c>
    </row>
    <row r="153" spans="1:71" x14ac:dyDescent="0.25">
      <c r="A153" s="1" t="s">
        <v>2</v>
      </c>
      <c r="B153" s="1" t="s">
        <v>54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</v>
      </c>
      <c r="BD153">
        <v>1</v>
      </c>
      <c r="BE153">
        <v>1</v>
      </c>
      <c r="BF153">
        <v>1</v>
      </c>
      <c r="BG153">
        <v>2</v>
      </c>
      <c r="BH153">
        <v>4</v>
      </c>
      <c r="BI153">
        <v>4</v>
      </c>
      <c r="BJ153">
        <v>8</v>
      </c>
      <c r="BK153">
        <v>8</v>
      </c>
      <c r="BL153">
        <v>8</v>
      </c>
      <c r="BM153">
        <v>8</v>
      </c>
      <c r="BN153">
        <v>8</v>
      </c>
      <c r="BO153">
        <v>9</v>
      </c>
      <c r="BP153">
        <v>15</v>
      </c>
      <c r="BQ153">
        <v>18</v>
      </c>
      <c r="BR153">
        <v>21</v>
      </c>
      <c r="BS153">
        <v>22</v>
      </c>
    </row>
    <row r="154" spans="1:71" x14ac:dyDescent="0.25">
      <c r="A154" s="1" t="s">
        <v>2</v>
      </c>
      <c r="B154" s="1" t="s">
        <v>224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</row>
    <row r="155" spans="1:71" x14ac:dyDescent="0.25">
      <c r="A155" s="1" t="s">
        <v>2</v>
      </c>
      <c r="B155" s="1" t="s">
        <v>6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2</v>
      </c>
      <c r="BG155">
        <v>2</v>
      </c>
      <c r="BH155">
        <v>2</v>
      </c>
      <c r="BI155">
        <v>3</v>
      </c>
      <c r="BJ155">
        <v>4</v>
      </c>
      <c r="BK155">
        <v>10</v>
      </c>
      <c r="BL155">
        <v>14</v>
      </c>
      <c r="BM155">
        <v>16</v>
      </c>
      <c r="BN155">
        <v>20</v>
      </c>
      <c r="BO155">
        <v>23</v>
      </c>
      <c r="BP155">
        <v>26</v>
      </c>
      <c r="BQ155">
        <v>27</v>
      </c>
      <c r="BR155">
        <v>35</v>
      </c>
      <c r="BS155">
        <v>37</v>
      </c>
    </row>
    <row r="156" spans="1:71" x14ac:dyDescent="0.25">
      <c r="A156" s="1" t="s">
        <v>2</v>
      </c>
      <c r="B156" s="1" t="s">
        <v>92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</row>
    <row r="157" spans="1:71" x14ac:dyDescent="0.25">
      <c r="A157" s="1" t="s">
        <v>2</v>
      </c>
      <c r="B157" s="1" t="s">
        <v>89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</row>
    <row r="158" spans="1:71" x14ac:dyDescent="0.25">
      <c r="A158" s="1" t="s">
        <v>2</v>
      </c>
      <c r="B158" s="1" t="s">
        <v>185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1</v>
      </c>
    </row>
    <row r="159" spans="1:71" x14ac:dyDescent="0.25">
      <c r="A159" s="1" t="s">
        <v>2</v>
      </c>
      <c r="B159" s="1" t="s">
        <v>212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1</v>
      </c>
      <c r="BK159">
        <v>2</v>
      </c>
      <c r="BL159">
        <v>2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3</v>
      </c>
      <c r="BS159">
        <v>3</v>
      </c>
    </row>
    <row r="160" spans="1:71" x14ac:dyDescent="0.25">
      <c r="A160" s="1" t="s">
        <v>2</v>
      </c>
      <c r="B160" s="1" t="s">
        <v>49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1</v>
      </c>
      <c r="BI160">
        <v>1</v>
      </c>
      <c r="BJ160">
        <v>2</v>
      </c>
      <c r="BK160">
        <v>2</v>
      </c>
      <c r="BL160">
        <v>3</v>
      </c>
      <c r="BM160">
        <v>4</v>
      </c>
      <c r="BN160">
        <v>5</v>
      </c>
      <c r="BO160">
        <v>6</v>
      </c>
      <c r="BP160">
        <v>8</v>
      </c>
      <c r="BQ160">
        <v>12</v>
      </c>
      <c r="BR160">
        <v>16</v>
      </c>
      <c r="BS160">
        <v>20</v>
      </c>
    </row>
    <row r="161" spans="1:71" x14ac:dyDescent="0.25">
      <c r="A161" s="1" t="s">
        <v>2</v>
      </c>
      <c r="B161" s="1" t="s">
        <v>149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1</v>
      </c>
      <c r="BH161">
        <v>1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2</v>
      </c>
      <c r="BQ161">
        <v>2</v>
      </c>
      <c r="BR161">
        <v>2</v>
      </c>
      <c r="BS161">
        <v>2</v>
      </c>
    </row>
    <row r="162" spans="1:71" x14ac:dyDescent="0.25">
      <c r="A162" s="1" t="s">
        <v>2</v>
      </c>
      <c r="B162" s="1" t="s">
        <v>55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1</v>
      </c>
      <c r="BS162">
        <v>1</v>
      </c>
    </row>
    <row r="163" spans="1:71" x14ac:dyDescent="0.25">
      <c r="A163" s="1" t="s">
        <v>2</v>
      </c>
      <c r="B163" s="1" t="s">
        <v>106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</row>
    <row r="164" spans="1:71" x14ac:dyDescent="0.25">
      <c r="A164" s="1" t="s">
        <v>2</v>
      </c>
      <c r="B164" s="1" t="s">
        <v>210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</row>
    <row r="165" spans="1:71" x14ac:dyDescent="0.25">
      <c r="A165" s="1" t="s">
        <v>2</v>
      </c>
      <c r="B165" s="1" t="s">
        <v>66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1</v>
      </c>
      <c r="AZ165">
        <v>1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2</v>
      </c>
      <c r="BG165">
        <v>2</v>
      </c>
      <c r="BH165">
        <v>2</v>
      </c>
      <c r="BI165">
        <v>3</v>
      </c>
      <c r="BJ165">
        <v>3</v>
      </c>
      <c r="BK165">
        <v>4</v>
      </c>
      <c r="BL165">
        <v>4</v>
      </c>
      <c r="BM165">
        <v>5</v>
      </c>
      <c r="BN165">
        <v>6</v>
      </c>
      <c r="BO165">
        <v>11</v>
      </c>
      <c r="BP165">
        <v>23</v>
      </c>
      <c r="BQ165">
        <v>25</v>
      </c>
      <c r="BR165">
        <v>26</v>
      </c>
      <c r="BS165">
        <v>33</v>
      </c>
    </row>
    <row r="166" spans="1:71" x14ac:dyDescent="0.25">
      <c r="A166" s="1" t="s">
        <v>2</v>
      </c>
      <c r="B166" s="1" t="s">
        <v>178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</row>
    <row r="167" spans="1:71" x14ac:dyDescent="0.25">
      <c r="A167" s="1" t="s">
        <v>2</v>
      </c>
      <c r="B167" s="1" t="s">
        <v>5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</row>
    <row r="168" spans="1:71" x14ac:dyDescent="0.25">
      <c r="A168" s="1" t="s">
        <v>213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</row>
    <row r="169" spans="1:71" x14ac:dyDescent="0.25">
      <c r="A169" s="1" t="s">
        <v>204</v>
      </c>
      <c r="B169" s="1" t="s">
        <v>199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1</v>
      </c>
      <c r="BI169">
        <v>1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</row>
    <row r="170" spans="1:71" x14ac:dyDescent="0.25">
      <c r="A170" s="1" t="s">
        <v>228</v>
      </c>
      <c r="B170" s="1" t="s">
        <v>199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</row>
    <row r="171" spans="1:71" x14ac:dyDescent="0.25">
      <c r="A171" s="1" t="s">
        <v>2</v>
      </c>
      <c r="B171" s="1" t="s">
        <v>199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1</v>
      </c>
      <c r="AV171">
        <v>1</v>
      </c>
      <c r="AW171">
        <v>3</v>
      </c>
      <c r="AX171">
        <v>3</v>
      </c>
      <c r="AY171">
        <v>4</v>
      </c>
      <c r="AZ171">
        <v>5</v>
      </c>
      <c r="BA171">
        <v>5</v>
      </c>
      <c r="BB171">
        <v>10</v>
      </c>
      <c r="BC171">
        <v>12</v>
      </c>
      <c r="BD171">
        <v>20</v>
      </c>
      <c r="BE171">
        <v>24</v>
      </c>
      <c r="BF171">
        <v>43</v>
      </c>
      <c r="BG171">
        <v>58</v>
      </c>
      <c r="BH171">
        <v>76</v>
      </c>
      <c r="BI171">
        <v>106</v>
      </c>
      <c r="BJ171">
        <v>136</v>
      </c>
      <c r="BK171">
        <v>179</v>
      </c>
      <c r="BL171">
        <v>213</v>
      </c>
      <c r="BM171">
        <v>276</v>
      </c>
      <c r="BN171">
        <v>356</v>
      </c>
      <c r="BO171">
        <v>434</v>
      </c>
      <c r="BP171">
        <v>546</v>
      </c>
      <c r="BQ171">
        <v>639</v>
      </c>
      <c r="BR171">
        <v>771</v>
      </c>
      <c r="BS171">
        <v>864</v>
      </c>
    </row>
    <row r="172" spans="1:71" x14ac:dyDescent="0.25">
      <c r="A172" s="1" t="s">
        <v>2</v>
      </c>
      <c r="B172" s="1" t="s">
        <v>50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1</v>
      </c>
      <c r="BS172">
        <v>1</v>
      </c>
    </row>
    <row r="173" spans="1:71" x14ac:dyDescent="0.25">
      <c r="A173" s="1" t="s">
        <v>2</v>
      </c>
      <c r="B173" s="1" t="s">
        <v>223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1</v>
      </c>
      <c r="BQ173">
        <v>1</v>
      </c>
      <c r="BR173">
        <v>1</v>
      </c>
      <c r="BS173">
        <v>1</v>
      </c>
    </row>
    <row r="174" spans="1:71" x14ac:dyDescent="0.25">
      <c r="A174" s="1" t="s">
        <v>2</v>
      </c>
      <c r="B174" s="1" t="s">
        <v>229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1</v>
      </c>
      <c r="BO174">
        <v>1</v>
      </c>
      <c r="BP174">
        <v>1</v>
      </c>
      <c r="BQ174">
        <v>1</v>
      </c>
      <c r="BR174">
        <v>1</v>
      </c>
      <c r="BS174">
        <v>3</v>
      </c>
    </row>
    <row r="175" spans="1:71" x14ac:dyDescent="0.25">
      <c r="A175" s="1" t="s">
        <v>2</v>
      </c>
      <c r="B175" s="1" t="s">
        <v>51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1</v>
      </c>
      <c r="BM175">
        <v>1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2</v>
      </c>
    </row>
    <row r="176" spans="1:71" x14ac:dyDescent="0.25">
      <c r="A176" s="1" t="s">
        <v>2</v>
      </c>
      <c r="B176" s="1" t="s">
        <v>41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1</v>
      </c>
      <c r="BL176">
        <v>2</v>
      </c>
      <c r="BM176">
        <v>2</v>
      </c>
      <c r="BN176">
        <v>3</v>
      </c>
      <c r="BO176">
        <v>3</v>
      </c>
      <c r="BP176">
        <v>3</v>
      </c>
      <c r="BQ176">
        <v>4</v>
      </c>
      <c r="BR176">
        <v>6</v>
      </c>
      <c r="BS176">
        <v>7</v>
      </c>
    </row>
    <row r="177" spans="1:71" x14ac:dyDescent="0.25">
      <c r="A177" s="1" t="s">
        <v>2</v>
      </c>
      <c r="B177" s="1" t="s">
        <v>42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3</v>
      </c>
      <c r="BD177">
        <v>3</v>
      </c>
      <c r="BE177">
        <v>3</v>
      </c>
      <c r="BF177">
        <v>3</v>
      </c>
      <c r="BG177">
        <v>6</v>
      </c>
      <c r="BH177">
        <v>7</v>
      </c>
      <c r="BI177">
        <v>7</v>
      </c>
      <c r="BJ177">
        <v>7</v>
      </c>
      <c r="BK177">
        <v>7</v>
      </c>
      <c r="BL177">
        <v>10</v>
      </c>
      <c r="BM177">
        <v>12</v>
      </c>
      <c r="BN177">
        <v>14</v>
      </c>
      <c r="BO177">
        <v>14</v>
      </c>
      <c r="BP177">
        <v>19</v>
      </c>
      <c r="BQ177">
        <v>23</v>
      </c>
      <c r="BR177">
        <v>25</v>
      </c>
      <c r="BS177">
        <v>32</v>
      </c>
    </row>
    <row r="178" spans="1:71" x14ac:dyDescent="0.25">
      <c r="A178" s="1" t="s">
        <v>2</v>
      </c>
      <c r="B178" s="1" t="s">
        <v>28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</row>
    <row r="179" spans="1:71" x14ac:dyDescent="0.25">
      <c r="A179" s="1" t="s">
        <v>2</v>
      </c>
      <c r="B179" s="1" t="s">
        <v>37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2</v>
      </c>
      <c r="BI179">
        <v>3</v>
      </c>
      <c r="BJ179">
        <v>3</v>
      </c>
      <c r="BK179">
        <v>5</v>
      </c>
      <c r="BL179">
        <v>6</v>
      </c>
      <c r="BM179">
        <v>7</v>
      </c>
      <c r="BN179">
        <v>8</v>
      </c>
      <c r="BO179">
        <v>9</v>
      </c>
      <c r="BP179">
        <v>11</v>
      </c>
      <c r="BQ179">
        <v>12</v>
      </c>
      <c r="BR179">
        <v>14</v>
      </c>
      <c r="BS179">
        <v>21</v>
      </c>
    </row>
    <row r="180" spans="1:71" x14ac:dyDescent="0.25">
      <c r="A180" s="1" t="s">
        <v>2</v>
      </c>
      <c r="B180" s="1" t="s">
        <v>107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1</v>
      </c>
      <c r="BA180">
        <v>1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3</v>
      </c>
      <c r="BL180">
        <v>6</v>
      </c>
      <c r="BM180">
        <v>6</v>
      </c>
      <c r="BN180">
        <v>8</v>
      </c>
      <c r="BO180">
        <v>8</v>
      </c>
      <c r="BP180">
        <v>9</v>
      </c>
      <c r="BQ180">
        <v>14</v>
      </c>
      <c r="BR180">
        <v>17</v>
      </c>
      <c r="BS180">
        <v>24</v>
      </c>
    </row>
    <row r="181" spans="1:71" x14ac:dyDescent="0.25">
      <c r="A181" s="1" t="s">
        <v>2</v>
      </c>
      <c r="B181" s="1" t="s">
        <v>230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</row>
    <row r="182" spans="1:71" x14ac:dyDescent="0.25">
      <c r="A182" s="1" t="s">
        <v>2</v>
      </c>
      <c r="B182" s="1" t="s">
        <v>94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1</v>
      </c>
      <c r="BK182">
        <v>1</v>
      </c>
      <c r="BL182">
        <v>1</v>
      </c>
      <c r="BM182">
        <v>2</v>
      </c>
      <c r="BN182">
        <v>3</v>
      </c>
      <c r="BO182">
        <v>3</v>
      </c>
      <c r="BP182">
        <v>3</v>
      </c>
      <c r="BQ182">
        <v>3</v>
      </c>
      <c r="BR182">
        <v>3</v>
      </c>
      <c r="BS182">
        <v>3</v>
      </c>
    </row>
    <row r="183" spans="1:71" x14ac:dyDescent="0.25">
      <c r="A183" s="1" t="s">
        <v>2</v>
      </c>
      <c r="B183" s="1" t="s">
        <v>85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3</v>
      </c>
      <c r="BJ183">
        <v>5</v>
      </c>
      <c r="BK183">
        <v>5</v>
      </c>
      <c r="BL183">
        <v>5</v>
      </c>
      <c r="BM183">
        <v>7</v>
      </c>
      <c r="BN183">
        <v>9</v>
      </c>
      <c r="BO183">
        <v>9</v>
      </c>
      <c r="BP183">
        <v>11</v>
      </c>
      <c r="BQ183">
        <v>16</v>
      </c>
      <c r="BR183">
        <v>18</v>
      </c>
      <c r="BS183">
        <v>24</v>
      </c>
    </row>
    <row r="184" spans="1:71" x14ac:dyDescent="0.25">
      <c r="A184" s="1" t="s">
        <v>2</v>
      </c>
      <c r="B184" s="1" t="s">
        <v>18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1</v>
      </c>
      <c r="O184">
        <v>1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2</v>
      </c>
      <c r="BB184">
        <v>5</v>
      </c>
      <c r="BC184">
        <v>8</v>
      </c>
      <c r="BD184">
        <v>11</v>
      </c>
      <c r="BE184">
        <v>12</v>
      </c>
      <c r="BF184">
        <v>12</v>
      </c>
      <c r="BG184">
        <v>19</v>
      </c>
      <c r="BH184">
        <v>17</v>
      </c>
      <c r="BI184">
        <v>18</v>
      </c>
      <c r="BJ184">
        <v>19</v>
      </c>
      <c r="BK184">
        <v>25</v>
      </c>
      <c r="BL184">
        <v>33</v>
      </c>
      <c r="BM184">
        <v>35</v>
      </c>
      <c r="BN184">
        <v>38</v>
      </c>
      <c r="BO184">
        <v>45</v>
      </c>
      <c r="BP184">
        <v>54</v>
      </c>
      <c r="BQ184">
        <v>68</v>
      </c>
      <c r="BR184">
        <v>71</v>
      </c>
      <c r="BS184">
        <v>78</v>
      </c>
    </row>
    <row r="185" spans="1:71" x14ac:dyDescent="0.25">
      <c r="A185" s="1" t="s">
        <v>2</v>
      </c>
      <c r="B185" s="1" t="s">
        <v>76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1</v>
      </c>
      <c r="BB185">
        <v>2</v>
      </c>
      <c r="BC185">
        <v>3</v>
      </c>
      <c r="BD185">
        <v>3</v>
      </c>
      <c r="BE185">
        <v>4</v>
      </c>
      <c r="BF185">
        <v>5</v>
      </c>
      <c r="BG185">
        <v>5</v>
      </c>
      <c r="BH185">
        <v>5</v>
      </c>
      <c r="BI185">
        <v>5</v>
      </c>
      <c r="BJ185">
        <v>5</v>
      </c>
      <c r="BK185">
        <v>7</v>
      </c>
      <c r="BL185">
        <v>8</v>
      </c>
      <c r="BM185">
        <v>10</v>
      </c>
      <c r="BN185">
        <v>14</v>
      </c>
      <c r="BO185">
        <v>16</v>
      </c>
      <c r="BP185">
        <v>16</v>
      </c>
      <c r="BQ185">
        <v>18</v>
      </c>
      <c r="BR185">
        <v>22</v>
      </c>
      <c r="BS185">
        <v>31</v>
      </c>
    </row>
    <row r="186" spans="1:71" x14ac:dyDescent="0.25">
      <c r="A186" s="1" t="s">
        <v>2</v>
      </c>
      <c r="B186" s="1" t="s">
        <v>62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1</v>
      </c>
      <c r="BG186">
        <v>2</v>
      </c>
      <c r="BH186">
        <v>3</v>
      </c>
      <c r="BI186">
        <v>6</v>
      </c>
      <c r="BJ186">
        <v>12</v>
      </c>
      <c r="BK186">
        <v>14</v>
      </c>
      <c r="BL186">
        <v>23</v>
      </c>
      <c r="BM186">
        <v>33</v>
      </c>
      <c r="BN186">
        <v>43</v>
      </c>
      <c r="BO186">
        <v>60</v>
      </c>
      <c r="BP186">
        <v>76</v>
      </c>
      <c r="BQ186">
        <v>100</v>
      </c>
      <c r="BR186">
        <v>119</v>
      </c>
      <c r="BS186">
        <v>140</v>
      </c>
    </row>
    <row r="187" spans="1:71" x14ac:dyDescent="0.25">
      <c r="A187" s="1" t="s">
        <v>2</v>
      </c>
      <c r="B187" s="1" t="s">
        <v>56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1</v>
      </c>
      <c r="BR187">
        <v>1</v>
      </c>
      <c r="BS187">
        <v>1</v>
      </c>
    </row>
    <row r="188" spans="1:71" x14ac:dyDescent="0.25">
      <c r="A188" s="1" t="s">
        <v>2</v>
      </c>
      <c r="B188" s="1" t="s">
        <v>43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3</v>
      </c>
      <c r="BL188">
        <v>7</v>
      </c>
      <c r="BM188">
        <v>11</v>
      </c>
      <c r="BN188">
        <v>17</v>
      </c>
      <c r="BO188">
        <v>23</v>
      </c>
      <c r="BP188">
        <v>26</v>
      </c>
      <c r="BQ188">
        <v>37</v>
      </c>
      <c r="BR188">
        <v>43</v>
      </c>
      <c r="BS188">
        <v>65</v>
      </c>
    </row>
    <row r="189" spans="1:71" x14ac:dyDescent="0.25">
      <c r="A189" s="1" t="s">
        <v>2</v>
      </c>
      <c r="B189" s="1" t="s">
        <v>146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1</v>
      </c>
      <c r="BI189">
        <v>1</v>
      </c>
      <c r="BJ189">
        <v>1</v>
      </c>
      <c r="BK189">
        <v>1</v>
      </c>
      <c r="BL189">
        <v>1</v>
      </c>
      <c r="BM189">
        <v>1</v>
      </c>
      <c r="BN189">
        <v>3</v>
      </c>
      <c r="BO189">
        <v>3</v>
      </c>
      <c r="BP189">
        <v>4</v>
      </c>
      <c r="BQ189">
        <v>4</v>
      </c>
      <c r="BR189">
        <v>8</v>
      </c>
      <c r="BS189">
        <v>9</v>
      </c>
    </row>
    <row r="190" spans="1:71" x14ac:dyDescent="0.25">
      <c r="A190" s="1" t="s">
        <v>2</v>
      </c>
      <c r="B190" s="1" t="s">
        <v>186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</row>
    <row r="191" spans="1:71" x14ac:dyDescent="0.25">
      <c r="A191" s="1" t="s">
        <v>2</v>
      </c>
      <c r="B191" s="1" t="s">
        <v>187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</row>
    <row r="192" spans="1:71" x14ac:dyDescent="0.25">
      <c r="A192" s="1" t="s">
        <v>2</v>
      </c>
      <c r="B192" s="1" t="s">
        <v>188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</row>
    <row r="193" spans="1:71" x14ac:dyDescent="0.25">
      <c r="A193" s="1" t="s">
        <v>2</v>
      </c>
      <c r="B193" s="1" t="s">
        <v>45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1</v>
      </c>
      <c r="AS193">
        <v>1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2</v>
      </c>
      <c r="AZ193">
        <v>2</v>
      </c>
      <c r="BA193">
        <v>3</v>
      </c>
      <c r="BB193">
        <v>5</v>
      </c>
      <c r="BC193">
        <v>5</v>
      </c>
      <c r="BD193">
        <v>5</v>
      </c>
      <c r="BE193">
        <v>7</v>
      </c>
      <c r="BF193">
        <v>7</v>
      </c>
      <c r="BG193">
        <v>11</v>
      </c>
      <c r="BH193">
        <v>11</v>
      </c>
      <c r="BI193">
        <v>14</v>
      </c>
      <c r="BJ193">
        <v>20</v>
      </c>
      <c r="BK193">
        <v>20</v>
      </c>
      <c r="BL193">
        <v>20</v>
      </c>
      <c r="BM193">
        <v>21</v>
      </c>
      <c r="BN193">
        <v>21</v>
      </c>
      <c r="BO193">
        <v>21</v>
      </c>
      <c r="BP193">
        <v>21</v>
      </c>
      <c r="BQ193">
        <v>22</v>
      </c>
      <c r="BR193">
        <v>22</v>
      </c>
      <c r="BS193">
        <v>25</v>
      </c>
    </row>
    <row r="194" spans="1:71" x14ac:dyDescent="0.25">
      <c r="A194" s="1" t="s">
        <v>2</v>
      </c>
      <c r="B194" s="1" t="s">
        <v>67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1</v>
      </c>
      <c r="BN194">
        <v>2</v>
      </c>
      <c r="BO194">
        <v>3</v>
      </c>
      <c r="BP194">
        <v>3</v>
      </c>
      <c r="BQ194">
        <v>4</v>
      </c>
      <c r="BR194">
        <v>8</v>
      </c>
      <c r="BS194">
        <v>8</v>
      </c>
    </row>
    <row r="195" spans="1:71" x14ac:dyDescent="0.25">
      <c r="A195" s="1" t="s">
        <v>2</v>
      </c>
      <c r="B195" s="1" t="s">
        <v>68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</row>
    <row r="196" spans="1:71" x14ac:dyDescent="0.25">
      <c r="A196" s="1" t="s">
        <v>2</v>
      </c>
      <c r="B196" s="1" t="s">
        <v>86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1</v>
      </c>
      <c r="BJ196">
        <v>1</v>
      </c>
      <c r="BK196">
        <v>2</v>
      </c>
      <c r="BL196">
        <v>3</v>
      </c>
      <c r="BM196">
        <v>3</v>
      </c>
      <c r="BN196">
        <v>4</v>
      </c>
      <c r="BO196">
        <v>1</v>
      </c>
      <c r="BP196">
        <v>1</v>
      </c>
      <c r="BQ196">
        <v>10</v>
      </c>
      <c r="BR196">
        <v>13</v>
      </c>
      <c r="BS196">
        <v>16</v>
      </c>
    </row>
    <row r="197" spans="1:71" x14ac:dyDescent="0.25">
      <c r="A197" s="1" t="s">
        <v>2</v>
      </c>
      <c r="B197" s="1" t="s">
        <v>179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</row>
    <row r="198" spans="1:71" x14ac:dyDescent="0.25">
      <c r="A198" s="1" t="s">
        <v>2</v>
      </c>
      <c r="B198" s="1" t="s">
        <v>4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2</v>
      </c>
      <c r="BK198">
        <v>2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3</v>
      </c>
      <c r="BS198">
        <v>3</v>
      </c>
    </row>
    <row r="199" spans="1:71" x14ac:dyDescent="0.25">
      <c r="A199" s="1" t="s">
        <v>2</v>
      </c>
      <c r="B199" s="1" t="s">
        <v>87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1</v>
      </c>
      <c r="BH199">
        <v>1</v>
      </c>
      <c r="BI199">
        <v>1</v>
      </c>
      <c r="BJ199">
        <v>1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</row>
    <row r="200" spans="1:71" x14ac:dyDescent="0.25">
      <c r="A200" s="1" t="s">
        <v>2</v>
      </c>
      <c r="B200" s="1" t="s">
        <v>79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1</v>
      </c>
      <c r="BD200">
        <v>1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2</v>
      </c>
      <c r="BL200">
        <v>3</v>
      </c>
      <c r="BM200">
        <v>4</v>
      </c>
      <c r="BN200">
        <v>5</v>
      </c>
      <c r="BO200">
        <v>6</v>
      </c>
      <c r="BP200">
        <v>9</v>
      </c>
      <c r="BQ200">
        <v>9</v>
      </c>
      <c r="BR200">
        <v>11</v>
      </c>
      <c r="BS200">
        <v>11</v>
      </c>
    </row>
    <row r="201" spans="1:71" x14ac:dyDescent="0.25">
      <c r="A201" s="1" t="s">
        <v>2</v>
      </c>
      <c r="B201" s="1" t="s">
        <v>205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</row>
    <row r="202" spans="1:71" x14ac:dyDescent="0.25">
      <c r="A202" s="1" t="s">
        <v>2</v>
      </c>
      <c r="B202" s="1" t="s">
        <v>80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1</v>
      </c>
      <c r="BQ202">
        <v>1</v>
      </c>
      <c r="BR202">
        <v>2</v>
      </c>
      <c r="BS202">
        <v>3</v>
      </c>
    </row>
    <row r="203" spans="1:71" x14ac:dyDescent="0.25">
      <c r="A203" s="1" t="s">
        <v>2</v>
      </c>
      <c r="B203" s="1" t="s">
        <v>22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1</v>
      </c>
      <c r="AS203">
        <v>2</v>
      </c>
      <c r="AT203">
        <v>3</v>
      </c>
      <c r="AU203">
        <v>5</v>
      </c>
      <c r="AV203">
        <v>10</v>
      </c>
      <c r="AW203">
        <v>17</v>
      </c>
      <c r="AX203">
        <v>28</v>
      </c>
      <c r="AY203">
        <v>35</v>
      </c>
      <c r="AZ203">
        <v>54</v>
      </c>
      <c r="BA203">
        <v>55</v>
      </c>
      <c r="BB203">
        <v>133</v>
      </c>
      <c r="BC203">
        <v>195</v>
      </c>
      <c r="BD203">
        <v>289</v>
      </c>
      <c r="BE203">
        <v>342</v>
      </c>
      <c r="BF203">
        <v>533</v>
      </c>
      <c r="BG203">
        <v>623</v>
      </c>
      <c r="BH203">
        <v>830</v>
      </c>
      <c r="BI203">
        <v>1043</v>
      </c>
      <c r="BJ203">
        <v>1375</v>
      </c>
      <c r="BK203">
        <v>1772</v>
      </c>
      <c r="BL203">
        <v>2311</v>
      </c>
      <c r="BM203">
        <v>2808</v>
      </c>
      <c r="BN203">
        <v>3647</v>
      </c>
      <c r="BO203">
        <v>4365</v>
      </c>
      <c r="BP203">
        <v>5138</v>
      </c>
      <c r="BQ203">
        <v>5982</v>
      </c>
      <c r="BR203">
        <v>6803</v>
      </c>
      <c r="BS203">
        <v>7716</v>
      </c>
    </row>
    <row r="204" spans="1:71" x14ac:dyDescent="0.25">
      <c r="A204" s="1" t="s">
        <v>2</v>
      </c>
      <c r="B204" s="1" t="s">
        <v>14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1</v>
      </c>
      <c r="BR204">
        <v>1</v>
      </c>
      <c r="BS204">
        <v>2</v>
      </c>
    </row>
    <row r="205" spans="1:71" x14ac:dyDescent="0.25">
      <c r="A205" s="1" t="s">
        <v>2</v>
      </c>
      <c r="B205" s="1" t="s">
        <v>172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2</v>
      </c>
    </row>
    <row r="206" spans="1:71" x14ac:dyDescent="0.25">
      <c r="A206" s="1" t="s">
        <v>2</v>
      </c>
      <c r="B206" s="1" t="s">
        <v>189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</row>
    <row r="207" spans="1:71" x14ac:dyDescent="0.25">
      <c r="A207" s="1" t="s">
        <v>2</v>
      </c>
      <c r="B207" s="1" t="s">
        <v>21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1</v>
      </c>
      <c r="BA207">
        <v>1</v>
      </c>
      <c r="BB207">
        <v>1</v>
      </c>
      <c r="BC207">
        <v>2</v>
      </c>
      <c r="BD207">
        <v>3</v>
      </c>
      <c r="BE207">
        <v>6</v>
      </c>
      <c r="BF207">
        <v>7</v>
      </c>
      <c r="BG207">
        <v>10</v>
      </c>
      <c r="BH207">
        <v>11</v>
      </c>
      <c r="BI207">
        <v>16</v>
      </c>
      <c r="BJ207">
        <v>20</v>
      </c>
      <c r="BK207">
        <v>21</v>
      </c>
      <c r="BL207">
        <v>25</v>
      </c>
      <c r="BM207">
        <v>36</v>
      </c>
      <c r="BN207">
        <v>62</v>
      </c>
      <c r="BO207">
        <v>77</v>
      </c>
      <c r="BP207">
        <v>105</v>
      </c>
      <c r="BQ207">
        <v>105</v>
      </c>
      <c r="BR207">
        <v>110</v>
      </c>
      <c r="BS207">
        <v>146</v>
      </c>
    </row>
    <row r="208" spans="1:71" x14ac:dyDescent="0.25">
      <c r="A208" s="1" t="s">
        <v>2</v>
      </c>
      <c r="B208" s="1" t="s">
        <v>34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</v>
      </c>
      <c r="AU208">
        <v>1</v>
      </c>
      <c r="AV208">
        <v>1</v>
      </c>
      <c r="AW208">
        <v>2</v>
      </c>
      <c r="AX208">
        <v>2</v>
      </c>
      <c r="AY208">
        <v>3</v>
      </c>
      <c r="AZ208">
        <v>4</v>
      </c>
      <c r="BA208">
        <v>4</v>
      </c>
      <c r="BB208">
        <v>11</v>
      </c>
      <c r="BC208">
        <v>13</v>
      </c>
      <c r="BD208">
        <v>14</v>
      </c>
      <c r="BE208">
        <v>14</v>
      </c>
      <c r="BF208">
        <v>27</v>
      </c>
      <c r="BG208">
        <v>28</v>
      </c>
      <c r="BH208">
        <v>41</v>
      </c>
      <c r="BI208">
        <v>54</v>
      </c>
      <c r="BJ208">
        <v>75</v>
      </c>
      <c r="BK208">
        <v>98</v>
      </c>
      <c r="BL208">
        <v>120</v>
      </c>
      <c r="BM208">
        <v>122</v>
      </c>
      <c r="BN208">
        <v>153</v>
      </c>
      <c r="BO208">
        <v>191</v>
      </c>
      <c r="BP208">
        <v>231</v>
      </c>
      <c r="BQ208">
        <v>264</v>
      </c>
      <c r="BR208">
        <v>300</v>
      </c>
      <c r="BS208">
        <v>359</v>
      </c>
    </row>
    <row r="209" spans="1:71" x14ac:dyDescent="0.25">
      <c r="A209" s="1" t="s">
        <v>2</v>
      </c>
      <c r="B209" s="1" t="s">
        <v>144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1</v>
      </c>
      <c r="AC209">
        <v>1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2</v>
      </c>
      <c r="BJ209">
        <v>2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5</v>
      </c>
    </row>
    <row r="210" spans="1:71" x14ac:dyDescent="0.25">
      <c r="A210" s="1" t="s">
        <v>2</v>
      </c>
      <c r="B210" s="1" t="s">
        <v>206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</row>
    <row r="211" spans="1:71" x14ac:dyDescent="0.25">
      <c r="A211" s="1" t="s">
        <v>2</v>
      </c>
      <c r="B211" s="1" t="s">
        <v>1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1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4</v>
      </c>
      <c r="BN211">
        <v>4</v>
      </c>
      <c r="BO211">
        <v>4</v>
      </c>
      <c r="BP211">
        <v>5</v>
      </c>
      <c r="BQ211">
        <v>6</v>
      </c>
      <c r="BR211">
        <v>7</v>
      </c>
      <c r="BS211">
        <v>9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1</v>
      </c>
      <c r="BQ212">
        <v>1</v>
      </c>
      <c r="BR212">
        <v>1</v>
      </c>
      <c r="BS212">
        <v>1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1</v>
      </c>
      <c r="BO213">
        <v>1</v>
      </c>
      <c r="BP213">
        <v>2</v>
      </c>
      <c r="BQ213">
        <v>3</v>
      </c>
      <c r="BR213">
        <v>3</v>
      </c>
      <c r="BS213">
        <v>3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1</v>
      </c>
      <c r="BI214">
        <v>1</v>
      </c>
      <c r="BJ214">
        <v>1</v>
      </c>
      <c r="BK214">
        <v>3</v>
      </c>
      <c r="BL214">
        <v>3</v>
      </c>
      <c r="BM214">
        <v>4</v>
      </c>
      <c r="BN214">
        <v>5</v>
      </c>
      <c r="BO214">
        <v>6</v>
      </c>
      <c r="BP214">
        <v>6</v>
      </c>
      <c r="BQ214">
        <v>8</v>
      </c>
      <c r="BR214">
        <v>8</v>
      </c>
      <c r="BS214">
        <v>8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1</v>
      </c>
      <c r="BG215">
        <v>1</v>
      </c>
      <c r="BH215">
        <v>3</v>
      </c>
      <c r="BI215">
        <v>4</v>
      </c>
      <c r="BJ215">
        <v>9</v>
      </c>
      <c r="BK215">
        <v>30</v>
      </c>
      <c r="BL215">
        <v>37</v>
      </c>
      <c r="BM215">
        <v>44</v>
      </c>
      <c r="BN215">
        <v>59</v>
      </c>
      <c r="BO215">
        <v>75</v>
      </c>
      <c r="BP215">
        <v>92</v>
      </c>
      <c r="BQ215">
        <v>108</v>
      </c>
      <c r="BR215">
        <v>131</v>
      </c>
      <c r="BS215">
        <v>168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</v>
      </c>
      <c r="BC217">
        <v>1</v>
      </c>
      <c r="BD217">
        <v>1</v>
      </c>
      <c r="BE217">
        <v>1</v>
      </c>
      <c r="BF217">
        <v>2</v>
      </c>
      <c r="BG217">
        <v>2</v>
      </c>
      <c r="BH217">
        <v>2</v>
      </c>
      <c r="BI217">
        <v>3</v>
      </c>
      <c r="BJ217">
        <v>3</v>
      </c>
      <c r="BK217">
        <v>3</v>
      </c>
      <c r="BL217">
        <v>3</v>
      </c>
      <c r="BM217">
        <v>3</v>
      </c>
      <c r="BN217">
        <v>5</v>
      </c>
      <c r="BO217">
        <v>5</v>
      </c>
      <c r="BP217">
        <v>5</v>
      </c>
      <c r="BQ217">
        <v>9</v>
      </c>
      <c r="BR217">
        <v>10</v>
      </c>
      <c r="BS217">
        <v>13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2</v>
      </c>
      <c r="BJ218">
        <v>2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3</v>
      </c>
      <c r="BS218">
        <v>5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1</v>
      </c>
      <c r="BP221">
        <v>1</v>
      </c>
      <c r="BQ221">
        <v>1</v>
      </c>
      <c r="BR221">
        <v>2</v>
      </c>
      <c r="BS221">
        <v>2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1</v>
      </c>
      <c r="AU225">
        <v>2</v>
      </c>
      <c r="AV225">
        <v>2</v>
      </c>
      <c r="AW225">
        <v>3</v>
      </c>
      <c r="AX225">
        <v>4</v>
      </c>
      <c r="AY225">
        <v>6</v>
      </c>
      <c r="AZ225">
        <v>8</v>
      </c>
      <c r="BA225">
        <v>8</v>
      </c>
      <c r="BB225">
        <v>8</v>
      </c>
      <c r="BC225">
        <v>21</v>
      </c>
      <c r="BD225">
        <v>21</v>
      </c>
      <c r="BE225">
        <v>55</v>
      </c>
      <c r="BF225">
        <v>55</v>
      </c>
      <c r="BG225">
        <v>71</v>
      </c>
      <c r="BH225">
        <v>137</v>
      </c>
      <c r="BI225">
        <v>177</v>
      </c>
      <c r="BJ225">
        <v>233</v>
      </c>
      <c r="BK225">
        <v>281</v>
      </c>
      <c r="BL225">
        <v>335</v>
      </c>
      <c r="BM225">
        <v>422</v>
      </c>
      <c r="BN225">
        <v>465</v>
      </c>
      <c r="BO225">
        <v>578</v>
      </c>
      <c r="BP225">
        <v>759</v>
      </c>
      <c r="BQ225">
        <v>1019</v>
      </c>
      <c r="BR225">
        <v>1228</v>
      </c>
      <c r="BS225">
        <v>1408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1</v>
      </c>
      <c r="BS226">
        <v>1</v>
      </c>
    </row>
    <row r="227" spans="1:71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1</v>
      </c>
      <c r="AP227">
        <v>1</v>
      </c>
      <c r="AQ227">
        <v>6</v>
      </c>
      <c r="AR227">
        <v>7</v>
      </c>
      <c r="AS227">
        <v>11</v>
      </c>
      <c r="AT227">
        <v>12</v>
      </c>
      <c r="AU227">
        <v>14</v>
      </c>
      <c r="AV227">
        <v>17</v>
      </c>
      <c r="AW227">
        <v>21</v>
      </c>
      <c r="AX227">
        <v>22</v>
      </c>
      <c r="AY227">
        <v>28</v>
      </c>
      <c r="AZ227">
        <v>36</v>
      </c>
      <c r="BA227">
        <v>40</v>
      </c>
      <c r="BB227">
        <v>47</v>
      </c>
      <c r="BC227">
        <v>54</v>
      </c>
      <c r="BD227">
        <v>63</v>
      </c>
      <c r="BE227">
        <v>85</v>
      </c>
      <c r="BF227">
        <v>108</v>
      </c>
      <c r="BG227">
        <v>118</v>
      </c>
      <c r="BH227">
        <v>200</v>
      </c>
      <c r="BI227">
        <v>244</v>
      </c>
      <c r="BJ227">
        <v>307</v>
      </c>
      <c r="BK227">
        <v>417</v>
      </c>
      <c r="BL227">
        <v>557</v>
      </c>
      <c r="BM227">
        <v>706</v>
      </c>
      <c r="BN227">
        <v>942</v>
      </c>
      <c r="BO227">
        <v>1209</v>
      </c>
      <c r="BP227">
        <v>1581</v>
      </c>
      <c r="BQ227">
        <v>2026</v>
      </c>
      <c r="BR227">
        <v>2467</v>
      </c>
      <c r="BS227">
        <v>2978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1</v>
      </c>
      <c r="BQ228">
        <v>2</v>
      </c>
      <c r="BR228">
        <v>2</v>
      </c>
      <c r="BS228">
        <v>2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1</v>
      </c>
      <c r="BQ229">
        <v>2</v>
      </c>
      <c r="BR229">
        <v>2</v>
      </c>
      <c r="BS229">
        <v>3</v>
      </c>
    </row>
    <row r="230" spans="1:71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1</v>
      </c>
      <c r="BM232">
        <v>1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</row>
    <row r="233" spans="1:71" x14ac:dyDescent="0.25">
      <c r="A233" s="1" t="s">
        <v>102</v>
      </c>
      <c r="B233" s="1" t="s">
        <v>8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1</v>
      </c>
      <c r="BL233">
        <v>1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</row>
    <row r="234" spans="1:71" x14ac:dyDescent="0.25">
      <c r="A234" s="1" t="s">
        <v>2</v>
      </c>
      <c r="B234" s="1" t="s">
        <v>235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</row>
    <row r="235" spans="1:71" x14ac:dyDescent="0.25">
      <c r="A235" s="1" t="s">
        <v>2</v>
      </c>
      <c r="B235" s="1" t="s">
        <v>236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</row>
    <row r="236" spans="1:71" x14ac:dyDescent="0.25">
      <c r="A236" s="1" t="s">
        <v>2</v>
      </c>
      <c r="B236" s="1" t="s">
        <v>237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</row>
    <row r="237" spans="1:71" x14ac:dyDescent="0.25">
      <c r="A237" s="1" t="s">
        <v>2</v>
      </c>
      <c r="B237" s="1" t="s">
        <v>238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1</v>
      </c>
      <c r="BS237">
        <v>2</v>
      </c>
    </row>
    <row r="238" spans="1:71" x14ac:dyDescent="0.25">
      <c r="A238" s="1" t="s">
        <v>2</v>
      </c>
      <c r="B238" s="1" t="s">
        <v>239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</row>
    <row r="239" spans="1:71" x14ac:dyDescent="0.25">
      <c r="A239" s="1" t="s">
        <v>2</v>
      </c>
      <c r="B239" s="1" t="s">
        <v>331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</row>
    <row r="240" spans="1:71" x14ac:dyDescent="0.25">
      <c r="A240" s="1" t="s">
        <v>245</v>
      </c>
      <c r="B240" s="1" t="s">
        <v>8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332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</row>
    <row r="242" spans="1:71" x14ac:dyDescent="0.25">
      <c r="A242" s="1" t="s">
        <v>2</v>
      </c>
      <c r="B242" s="1" t="s">
        <v>333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</row>
    <row r="243" spans="1:71" x14ac:dyDescent="0.25">
      <c r="A243" s="1" t="s">
        <v>2</v>
      </c>
      <c r="B243" s="1" t="s">
        <v>334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1</v>
      </c>
      <c r="BP243">
        <v>1</v>
      </c>
      <c r="BQ243">
        <v>1</v>
      </c>
      <c r="BR243">
        <v>1</v>
      </c>
      <c r="BS243">
        <v>1</v>
      </c>
    </row>
    <row r="244" spans="1:71" x14ac:dyDescent="0.25">
      <c r="A244" s="1" t="s">
        <v>2</v>
      </c>
      <c r="B244" s="1" t="s">
        <v>335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</row>
    <row r="245" spans="1:71" x14ac:dyDescent="0.25">
      <c r="A245" s="1" t="s">
        <v>2</v>
      </c>
      <c r="B245" s="1" t="s">
        <v>336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1</v>
      </c>
      <c r="BS245">
        <v>2</v>
      </c>
    </row>
    <row r="246" spans="1:71" x14ac:dyDescent="0.25">
      <c r="A246" s="1" t="s">
        <v>2</v>
      </c>
      <c r="B246" s="1" t="s">
        <v>337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</row>
    <row r="247" spans="1:71" x14ac:dyDescent="0.25">
      <c r="A247" s="1" t="s">
        <v>439</v>
      </c>
      <c r="B247" s="1" t="s">
        <v>8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</row>
    <row r="248" spans="1:71" x14ac:dyDescent="0.25">
      <c r="A248" s="1" t="s">
        <v>440</v>
      </c>
      <c r="B248" s="1" t="s">
        <v>8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</row>
    <row r="249" spans="1:71" x14ac:dyDescent="0.25">
      <c r="A249" s="1" t="s">
        <v>2</v>
      </c>
      <c r="B249" s="1" t="s">
        <v>191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1</v>
      </c>
      <c r="BP249">
        <v>1</v>
      </c>
      <c r="BQ249">
        <v>1</v>
      </c>
      <c r="BR249">
        <v>1</v>
      </c>
      <c r="BS249">
        <v>1</v>
      </c>
    </row>
    <row r="250" spans="1:71" x14ac:dyDescent="0.25">
      <c r="A250" s="1" t="s">
        <v>2</v>
      </c>
      <c r="B250" s="1" t="s">
        <v>442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</row>
    <row r="251" spans="1:71" x14ac:dyDescent="0.25">
      <c r="A251" s="1" t="s">
        <v>443</v>
      </c>
      <c r="B251" s="1" t="s">
        <v>155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</row>
    <row r="252" spans="1:71" x14ac:dyDescent="0.25">
      <c r="A252" s="1" t="s">
        <v>444</v>
      </c>
      <c r="B252" s="1" t="s">
        <v>155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</row>
    <row r="253" spans="1:71" x14ac:dyDescent="0.25">
      <c r="A253" s="1" t="s">
        <v>445</v>
      </c>
      <c r="B253" s="1" t="s">
        <v>155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</row>
    <row r="254" spans="1:71" x14ac:dyDescent="0.25">
      <c r="A254" s="1" t="s">
        <v>2</v>
      </c>
      <c r="B254" s="1" t="s">
        <v>446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</row>
    <row r="255" spans="1:71" x14ac:dyDescent="0.25">
      <c r="A255" s="1" t="s">
        <v>2</v>
      </c>
      <c r="B255" s="1" t="s">
        <v>448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DB7FF-BC99-4FA3-B127-F96962CABE4B}">
  <sheetPr codeName="Tabelle4"/>
  <dimension ref="A1:CT241"/>
  <sheetViews>
    <sheetView topLeftCell="AT1" workbookViewId="0">
      <selection activeCell="A115" sqref="A115:XFD115"/>
    </sheetView>
  </sheetViews>
  <sheetFormatPr baseColWidth="10" defaultRowHeight="15" x14ac:dyDescent="0.25"/>
  <cols>
    <col min="1" max="1" width="25" bestFit="1" customWidth="1"/>
    <col min="2" max="2" width="30.85546875" bestFit="1" customWidth="1"/>
    <col min="3" max="7" width="11.140625" bestFit="1" customWidth="1"/>
    <col min="8" max="97" width="12.140625" bestFit="1" customWidth="1"/>
    <col min="98" max="98" width="13.140625" bestFit="1" customWidth="1"/>
    <col min="99" max="99" width="26.5703125" bestFit="1" customWidth="1"/>
    <col min="100" max="100" width="30.85546875" bestFit="1" customWidth="1"/>
    <col min="101" max="110" width="10.28515625" bestFit="1" customWidth="1"/>
    <col min="111" max="119" width="9.140625" bestFit="1" customWidth="1"/>
    <col min="120" max="139" width="10.28515625" bestFit="1" customWidth="1"/>
    <col min="140" max="148" width="9.140625" bestFit="1" customWidth="1"/>
    <col min="149" max="161" width="10.28515625" bestFit="1" customWidth="1"/>
  </cols>
  <sheetData>
    <row r="1" spans="1:98" x14ac:dyDescent="0.25">
      <c r="A1" t="s">
        <v>338</v>
      </c>
      <c r="B1" t="s">
        <v>339</v>
      </c>
      <c r="C1" t="s">
        <v>340</v>
      </c>
      <c r="D1" t="s">
        <v>341</v>
      </c>
      <c r="E1" t="s">
        <v>342</v>
      </c>
      <c r="F1" t="s">
        <v>343</v>
      </c>
      <c r="G1" t="s">
        <v>344</v>
      </c>
      <c r="H1" t="s">
        <v>345</v>
      </c>
      <c r="I1" t="s">
        <v>346</v>
      </c>
      <c r="J1" t="s">
        <v>347</v>
      </c>
      <c r="K1" t="s">
        <v>348</v>
      </c>
      <c r="L1" t="s">
        <v>349</v>
      </c>
      <c r="M1" t="s">
        <v>350</v>
      </c>
      <c r="N1" t="s">
        <v>351</v>
      </c>
      <c r="O1" t="s">
        <v>352</v>
      </c>
      <c r="P1" t="s">
        <v>353</v>
      </c>
      <c r="Q1" t="s">
        <v>354</v>
      </c>
      <c r="R1" t="s">
        <v>355</v>
      </c>
      <c r="S1" t="s">
        <v>356</v>
      </c>
      <c r="T1" t="s">
        <v>357</v>
      </c>
      <c r="U1" t="s">
        <v>358</v>
      </c>
      <c r="V1" t="s">
        <v>359</v>
      </c>
      <c r="W1" t="s">
        <v>360</v>
      </c>
      <c r="X1" t="s">
        <v>361</v>
      </c>
      <c r="Y1" t="s">
        <v>362</v>
      </c>
      <c r="Z1" t="s">
        <v>363</v>
      </c>
      <c r="AA1" t="s">
        <v>364</v>
      </c>
      <c r="AB1" t="s">
        <v>365</v>
      </c>
      <c r="AC1" t="s">
        <v>366</v>
      </c>
      <c r="AD1" t="s">
        <v>367</v>
      </c>
      <c r="AE1" t="s">
        <v>368</v>
      </c>
      <c r="AF1" t="s">
        <v>369</v>
      </c>
      <c r="AG1" t="s">
        <v>370</v>
      </c>
      <c r="AH1" t="s">
        <v>371</v>
      </c>
      <c r="AI1" t="s">
        <v>372</v>
      </c>
      <c r="AJ1" t="s">
        <v>373</v>
      </c>
      <c r="AK1" t="s">
        <v>374</v>
      </c>
      <c r="AL1" t="s">
        <v>375</v>
      </c>
      <c r="AM1" t="s">
        <v>376</v>
      </c>
      <c r="AN1" t="s">
        <v>377</v>
      </c>
      <c r="AO1" t="s">
        <v>378</v>
      </c>
      <c r="AP1" t="s">
        <v>379</v>
      </c>
      <c r="AQ1" t="s">
        <v>380</v>
      </c>
      <c r="AR1" t="s">
        <v>381</v>
      </c>
      <c r="AS1" t="s">
        <v>382</v>
      </c>
      <c r="AT1" t="s">
        <v>383</v>
      </c>
      <c r="AU1" t="s">
        <v>384</v>
      </c>
      <c r="AV1" t="s">
        <v>385</v>
      </c>
      <c r="AW1" t="s">
        <v>386</v>
      </c>
      <c r="AX1" t="s">
        <v>387</v>
      </c>
      <c r="AY1" t="s">
        <v>388</v>
      </c>
      <c r="AZ1" t="s">
        <v>389</v>
      </c>
      <c r="BA1" t="s">
        <v>390</v>
      </c>
      <c r="BB1" t="s">
        <v>391</v>
      </c>
      <c r="BC1" t="s">
        <v>392</v>
      </c>
      <c r="BD1" t="s">
        <v>393</v>
      </c>
      <c r="BE1" t="s">
        <v>394</v>
      </c>
      <c r="BF1" t="s">
        <v>395</v>
      </c>
      <c r="BG1" t="s">
        <v>396</v>
      </c>
      <c r="BH1" t="s">
        <v>397</v>
      </c>
      <c r="BI1" t="s">
        <v>398</v>
      </c>
      <c r="BJ1" t="s">
        <v>399</v>
      </c>
      <c r="BK1" t="s">
        <v>400</v>
      </c>
      <c r="BL1" t="s">
        <v>401</v>
      </c>
      <c r="BM1" t="s">
        <v>402</v>
      </c>
      <c r="BN1" t="s">
        <v>403</v>
      </c>
      <c r="BO1" t="s">
        <v>404</v>
      </c>
      <c r="BP1" t="s">
        <v>405</v>
      </c>
      <c r="BQ1" t="s">
        <v>406</v>
      </c>
      <c r="BR1" t="s">
        <v>407</v>
      </c>
      <c r="BS1" t="s">
        <v>408</v>
      </c>
      <c r="BT1" t="s">
        <v>409</v>
      </c>
      <c r="BU1" t="s">
        <v>410</v>
      </c>
      <c r="BV1" t="s">
        <v>411</v>
      </c>
      <c r="BW1" t="s">
        <v>412</v>
      </c>
      <c r="BX1" t="s">
        <v>413</v>
      </c>
      <c r="BY1" t="s">
        <v>414</v>
      </c>
      <c r="BZ1" t="s">
        <v>415</v>
      </c>
      <c r="CA1" t="s">
        <v>416</v>
      </c>
      <c r="CB1" t="s">
        <v>417</v>
      </c>
      <c r="CC1" t="s">
        <v>418</v>
      </c>
      <c r="CD1" t="s">
        <v>419</v>
      </c>
      <c r="CE1" t="s">
        <v>420</v>
      </c>
      <c r="CF1" t="s">
        <v>421</v>
      </c>
      <c r="CG1" t="s">
        <v>422</v>
      </c>
      <c r="CH1" t="s">
        <v>423</v>
      </c>
      <c r="CI1" t="s">
        <v>424</v>
      </c>
      <c r="CJ1" t="s">
        <v>425</v>
      </c>
      <c r="CK1" t="s">
        <v>426</v>
      </c>
      <c r="CL1" t="s">
        <v>427</v>
      </c>
      <c r="CM1" t="s">
        <v>428</v>
      </c>
      <c r="CN1" t="s">
        <v>429</v>
      </c>
      <c r="CO1" t="s">
        <v>430</v>
      </c>
      <c r="CP1" t="s">
        <v>431</v>
      </c>
      <c r="CQ1" t="s">
        <v>432</v>
      </c>
      <c r="CR1" t="s">
        <v>433</v>
      </c>
      <c r="CS1" t="s">
        <v>434</v>
      </c>
      <c r="CT1" t="s">
        <v>435</v>
      </c>
    </row>
    <row r="2" spans="1:98" x14ac:dyDescent="0.25">
      <c r="A2" s="1" t="s">
        <v>2</v>
      </c>
      <c r="B2" s="1" t="s">
        <v>29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1</v>
      </c>
      <c r="BF2">
        <v>1</v>
      </c>
      <c r="BG2">
        <v>1</v>
      </c>
      <c r="BH2">
        <v>1</v>
      </c>
      <c r="BI2">
        <v>1</v>
      </c>
      <c r="BJ2">
        <v>1</v>
      </c>
      <c r="BK2">
        <v>1</v>
      </c>
      <c r="BL2">
        <v>1</v>
      </c>
      <c r="BM2">
        <v>1</v>
      </c>
      <c r="BN2">
        <v>2</v>
      </c>
      <c r="BO2">
        <v>2</v>
      </c>
      <c r="BP2">
        <v>2</v>
      </c>
      <c r="BQ2">
        <v>2</v>
      </c>
      <c r="BR2">
        <v>2</v>
      </c>
      <c r="BS2">
        <v>2</v>
      </c>
    </row>
    <row r="3" spans="1:98" x14ac:dyDescent="0.25">
      <c r="A3" s="1" t="s">
        <v>2</v>
      </c>
      <c r="B3" s="1" t="s">
        <v>98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2</v>
      </c>
      <c r="BK3">
        <v>2</v>
      </c>
      <c r="BL3">
        <v>2</v>
      </c>
      <c r="BM3">
        <v>10</v>
      </c>
      <c r="BN3">
        <v>17</v>
      </c>
      <c r="BO3">
        <v>17</v>
      </c>
      <c r="BP3">
        <v>31</v>
      </c>
      <c r="BQ3">
        <v>31</v>
      </c>
      <c r="BR3">
        <v>33</v>
      </c>
      <c r="BS3">
        <v>44</v>
      </c>
    </row>
    <row r="4" spans="1:98" x14ac:dyDescent="0.25">
      <c r="A4" s="1" t="s">
        <v>2</v>
      </c>
      <c r="B4" s="1" t="s">
        <v>32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8</v>
      </c>
      <c r="BB4">
        <v>8</v>
      </c>
      <c r="BC4">
        <v>12</v>
      </c>
      <c r="BD4">
        <v>12</v>
      </c>
      <c r="BE4">
        <v>12</v>
      </c>
      <c r="BF4">
        <v>12</v>
      </c>
      <c r="BG4">
        <v>12</v>
      </c>
      <c r="BH4">
        <v>32</v>
      </c>
      <c r="BI4">
        <v>32</v>
      </c>
      <c r="BJ4">
        <v>32</v>
      </c>
      <c r="BK4">
        <v>65</v>
      </c>
      <c r="BL4">
        <v>65</v>
      </c>
      <c r="BM4">
        <v>24</v>
      </c>
      <c r="BN4">
        <v>65</v>
      </c>
      <c r="BO4">
        <v>29</v>
      </c>
      <c r="BP4">
        <v>29</v>
      </c>
      <c r="BQ4">
        <v>31</v>
      </c>
      <c r="BR4">
        <v>31</v>
      </c>
      <c r="BS4">
        <v>37</v>
      </c>
    </row>
    <row r="5" spans="1:98" x14ac:dyDescent="0.25">
      <c r="A5" s="1" t="s">
        <v>2</v>
      </c>
      <c r="B5" s="1" t="s">
        <v>63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1</v>
      </c>
      <c r="BB5">
        <v>0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  <c r="BO5">
        <v>1</v>
      </c>
      <c r="BP5">
        <v>1</v>
      </c>
      <c r="BQ5">
        <v>1</v>
      </c>
      <c r="BR5">
        <v>1</v>
      </c>
      <c r="BS5">
        <v>10</v>
      </c>
    </row>
    <row r="6" spans="1:98" x14ac:dyDescent="0.25">
      <c r="A6" s="1" t="s">
        <v>2</v>
      </c>
      <c r="B6" s="1" t="s">
        <v>226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</row>
    <row r="7" spans="1:98" x14ac:dyDescent="0.25">
      <c r="A7" s="1" t="s">
        <v>2</v>
      </c>
      <c r="B7" s="1" t="s">
        <v>175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</row>
    <row r="8" spans="1:98" x14ac:dyDescent="0.25">
      <c r="A8" s="1" t="s">
        <v>2</v>
      </c>
      <c r="B8" s="1" t="s">
        <v>69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1</v>
      </c>
      <c r="BD8">
        <v>1</v>
      </c>
      <c r="BE8">
        <v>1</v>
      </c>
      <c r="BF8">
        <v>3</v>
      </c>
      <c r="BG8">
        <v>3</v>
      </c>
      <c r="BH8">
        <v>3</v>
      </c>
      <c r="BI8">
        <v>3</v>
      </c>
      <c r="BJ8">
        <v>3</v>
      </c>
      <c r="BK8">
        <v>3</v>
      </c>
      <c r="BL8">
        <v>3</v>
      </c>
      <c r="BM8">
        <v>52</v>
      </c>
      <c r="BN8">
        <v>52</v>
      </c>
      <c r="BO8">
        <v>63</v>
      </c>
      <c r="BP8">
        <v>72</v>
      </c>
      <c r="BQ8">
        <v>72</v>
      </c>
      <c r="BR8">
        <v>72</v>
      </c>
      <c r="BS8">
        <v>228</v>
      </c>
    </row>
    <row r="9" spans="1:98" x14ac:dyDescent="0.25">
      <c r="A9" s="1" t="s">
        <v>2</v>
      </c>
      <c r="B9" s="1" t="s">
        <v>59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1</v>
      </c>
      <c r="BG9">
        <v>1</v>
      </c>
      <c r="BH9">
        <v>1</v>
      </c>
      <c r="BI9">
        <v>1</v>
      </c>
      <c r="BJ9">
        <v>1</v>
      </c>
      <c r="BK9">
        <v>2</v>
      </c>
      <c r="BL9">
        <v>2</v>
      </c>
      <c r="BM9">
        <v>14</v>
      </c>
      <c r="BN9">
        <v>16</v>
      </c>
      <c r="BO9">
        <v>18</v>
      </c>
      <c r="BP9">
        <v>28</v>
      </c>
      <c r="BQ9">
        <v>30</v>
      </c>
      <c r="BR9">
        <v>30</v>
      </c>
      <c r="BS9">
        <v>30</v>
      </c>
    </row>
    <row r="10" spans="1:98" x14ac:dyDescent="0.25">
      <c r="A10" s="1" t="s">
        <v>166</v>
      </c>
      <c r="B10" s="1" t="s">
        <v>10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1</v>
      </c>
      <c r="BP10">
        <v>1</v>
      </c>
      <c r="BQ10">
        <v>2</v>
      </c>
      <c r="BR10">
        <v>2</v>
      </c>
      <c r="BS10">
        <v>2</v>
      </c>
    </row>
    <row r="11" spans="1:98" x14ac:dyDescent="0.25">
      <c r="A11" s="1" t="s">
        <v>9</v>
      </c>
      <c r="B11" s="1" t="s">
        <v>10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2</v>
      </c>
      <c r="L11">
        <v>2</v>
      </c>
      <c r="M11">
        <v>2</v>
      </c>
      <c r="N11">
        <v>2</v>
      </c>
      <c r="O11">
        <v>2</v>
      </c>
      <c r="P11">
        <v>2</v>
      </c>
      <c r="Q11">
        <v>2</v>
      </c>
      <c r="R11">
        <v>2</v>
      </c>
      <c r="S11">
        <v>2</v>
      </c>
      <c r="T11">
        <v>2</v>
      </c>
      <c r="U11">
        <v>2</v>
      </c>
      <c r="V11">
        <v>2</v>
      </c>
      <c r="W11">
        <v>2</v>
      </c>
      <c r="X11">
        <v>2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4</v>
      </c>
      <c r="AS11">
        <v>4</v>
      </c>
      <c r="AT11">
        <v>4</v>
      </c>
      <c r="AU11">
        <v>4</v>
      </c>
      <c r="AV11">
        <v>4</v>
      </c>
      <c r="AW11">
        <v>4</v>
      </c>
      <c r="AX11">
        <v>4</v>
      </c>
      <c r="AY11">
        <v>4</v>
      </c>
      <c r="AZ11">
        <v>4</v>
      </c>
      <c r="BA11">
        <v>4</v>
      </c>
      <c r="BB11">
        <v>4</v>
      </c>
      <c r="BC11">
        <v>4</v>
      </c>
      <c r="BD11">
        <v>4</v>
      </c>
      <c r="BE11">
        <v>4</v>
      </c>
      <c r="BF11">
        <v>4</v>
      </c>
      <c r="BG11">
        <v>4</v>
      </c>
      <c r="BH11">
        <v>4</v>
      </c>
      <c r="BI11">
        <v>4</v>
      </c>
      <c r="BJ11">
        <v>4</v>
      </c>
      <c r="BK11">
        <v>4</v>
      </c>
      <c r="BL11">
        <v>4</v>
      </c>
      <c r="BM11">
        <v>4</v>
      </c>
      <c r="BN11">
        <v>4</v>
      </c>
      <c r="BO11">
        <v>4</v>
      </c>
      <c r="BP11">
        <v>4</v>
      </c>
      <c r="BQ11">
        <v>4</v>
      </c>
      <c r="BR11">
        <v>4</v>
      </c>
      <c r="BS11">
        <v>4</v>
      </c>
    </row>
    <row r="12" spans="1:98" x14ac:dyDescent="0.25">
      <c r="A12" s="1" t="s">
        <v>74</v>
      </c>
      <c r="B12" s="1" t="s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</row>
    <row r="13" spans="1:98" x14ac:dyDescent="0.25">
      <c r="A13" s="1" t="s">
        <v>12</v>
      </c>
      <c r="B13" s="1" t="s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1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1</v>
      </c>
      <c r="AR13">
        <v>1</v>
      </c>
      <c r="AS13">
        <v>1</v>
      </c>
      <c r="AT13">
        <v>8</v>
      </c>
      <c r="AU13">
        <v>8</v>
      </c>
      <c r="AV13">
        <v>8</v>
      </c>
      <c r="AW13">
        <v>8</v>
      </c>
      <c r="AX13">
        <v>8</v>
      </c>
      <c r="AY13">
        <v>8</v>
      </c>
      <c r="AZ13">
        <v>8</v>
      </c>
      <c r="BA13">
        <v>8</v>
      </c>
      <c r="BB13">
        <v>8</v>
      </c>
      <c r="BC13">
        <v>8</v>
      </c>
      <c r="BD13">
        <v>8</v>
      </c>
      <c r="BE13">
        <v>8</v>
      </c>
      <c r="BF13">
        <v>8</v>
      </c>
      <c r="BG13">
        <v>8</v>
      </c>
      <c r="BH13">
        <v>8</v>
      </c>
      <c r="BI13">
        <v>8</v>
      </c>
      <c r="BJ13">
        <v>8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8</v>
      </c>
    </row>
    <row r="14" spans="1:98" x14ac:dyDescent="0.25">
      <c r="A14" s="1" t="s">
        <v>23</v>
      </c>
      <c r="B14" s="1" t="s">
        <v>10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2</v>
      </c>
      <c r="AR14">
        <v>2</v>
      </c>
      <c r="AS14">
        <v>2</v>
      </c>
      <c r="AT14">
        <v>2</v>
      </c>
      <c r="AU14">
        <v>2</v>
      </c>
      <c r="AV14">
        <v>2</v>
      </c>
      <c r="AW14">
        <v>2</v>
      </c>
      <c r="AX14">
        <v>2</v>
      </c>
      <c r="AY14">
        <v>2</v>
      </c>
      <c r="AZ14">
        <v>2</v>
      </c>
      <c r="BA14">
        <v>2</v>
      </c>
      <c r="BB14">
        <v>3</v>
      </c>
      <c r="BC14">
        <v>3</v>
      </c>
      <c r="BD14">
        <v>3</v>
      </c>
      <c r="BE14">
        <v>3</v>
      </c>
      <c r="BF14">
        <v>3</v>
      </c>
      <c r="BG14">
        <v>3</v>
      </c>
      <c r="BH14">
        <v>3</v>
      </c>
      <c r="BI14">
        <v>3</v>
      </c>
      <c r="BJ14">
        <v>3</v>
      </c>
      <c r="BK14">
        <v>3</v>
      </c>
      <c r="BL14">
        <v>3</v>
      </c>
      <c r="BM14">
        <v>3</v>
      </c>
      <c r="BN14">
        <v>6</v>
      </c>
      <c r="BO14">
        <v>6</v>
      </c>
      <c r="BP14">
        <v>6</v>
      </c>
      <c r="BQ14">
        <v>6</v>
      </c>
      <c r="BR14">
        <v>6</v>
      </c>
      <c r="BS14">
        <v>6</v>
      </c>
    </row>
    <row r="15" spans="1:98" x14ac:dyDescent="0.25">
      <c r="A15" s="1" t="s">
        <v>64</v>
      </c>
      <c r="B15" s="1" t="s">
        <v>10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3</v>
      </c>
      <c r="BI15">
        <v>3</v>
      </c>
      <c r="BJ15">
        <v>3</v>
      </c>
      <c r="BK15">
        <v>3</v>
      </c>
      <c r="BL15">
        <v>3</v>
      </c>
      <c r="BM15">
        <v>3</v>
      </c>
      <c r="BN15">
        <v>3</v>
      </c>
      <c r="BO15">
        <v>3</v>
      </c>
      <c r="BP15">
        <v>3</v>
      </c>
      <c r="BQ15">
        <v>5</v>
      </c>
      <c r="BR15">
        <v>5</v>
      </c>
      <c r="BS15">
        <v>5</v>
      </c>
    </row>
    <row r="16" spans="1:98" x14ac:dyDescent="0.25">
      <c r="A16" s="1" t="s">
        <v>11</v>
      </c>
      <c r="B16" s="1" t="s">
        <v>10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4</v>
      </c>
      <c r="AR16">
        <v>4</v>
      </c>
      <c r="AS16">
        <v>4</v>
      </c>
      <c r="AT16">
        <v>7</v>
      </c>
      <c r="AU16">
        <v>7</v>
      </c>
      <c r="AV16">
        <v>7</v>
      </c>
      <c r="AW16">
        <v>7</v>
      </c>
      <c r="AX16">
        <v>7</v>
      </c>
      <c r="AY16">
        <v>7</v>
      </c>
      <c r="AZ16">
        <v>7</v>
      </c>
      <c r="BA16">
        <v>7</v>
      </c>
      <c r="BB16">
        <v>8</v>
      </c>
      <c r="BC16">
        <v>8</v>
      </c>
      <c r="BD16">
        <v>8</v>
      </c>
      <c r="BE16">
        <v>8</v>
      </c>
      <c r="BF16">
        <v>8</v>
      </c>
      <c r="BG16">
        <v>8</v>
      </c>
      <c r="BH16">
        <v>8</v>
      </c>
      <c r="BI16">
        <v>8</v>
      </c>
      <c r="BJ16">
        <v>8</v>
      </c>
      <c r="BK16">
        <v>70</v>
      </c>
      <c r="BL16">
        <v>70</v>
      </c>
      <c r="BM16">
        <v>97</v>
      </c>
      <c r="BN16">
        <v>97</v>
      </c>
      <c r="BO16">
        <v>149</v>
      </c>
      <c r="BP16">
        <v>171</v>
      </c>
      <c r="BQ16">
        <v>191</v>
      </c>
      <c r="BR16">
        <v>191</v>
      </c>
      <c r="BS16">
        <v>191</v>
      </c>
    </row>
    <row r="17" spans="1:71" x14ac:dyDescent="0.25">
      <c r="A17" s="1" t="s">
        <v>52</v>
      </c>
      <c r="B17" s="1" t="s">
        <v>10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</v>
      </c>
      <c r="BO17">
        <v>1</v>
      </c>
      <c r="BP17">
        <v>1</v>
      </c>
      <c r="BQ17">
        <v>28</v>
      </c>
      <c r="BR17">
        <v>28</v>
      </c>
      <c r="BS17">
        <v>41</v>
      </c>
    </row>
    <row r="18" spans="1:71" x14ac:dyDescent="0.25">
      <c r="A18" s="1" t="s">
        <v>2</v>
      </c>
      <c r="B18" s="1" t="s">
        <v>35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2</v>
      </c>
      <c r="AY18">
        <v>4</v>
      </c>
      <c r="AZ18">
        <v>4</v>
      </c>
      <c r="BA18">
        <v>4</v>
      </c>
      <c r="BB18">
        <v>6</v>
      </c>
      <c r="BC18">
        <v>6</v>
      </c>
      <c r="BD18">
        <v>6</v>
      </c>
      <c r="BE18">
        <v>6</v>
      </c>
      <c r="BF18">
        <v>1</v>
      </c>
      <c r="BG18">
        <v>9</v>
      </c>
      <c r="BH18">
        <v>9</v>
      </c>
      <c r="BI18">
        <v>9</v>
      </c>
      <c r="BJ18">
        <v>9</v>
      </c>
      <c r="BK18">
        <v>9</v>
      </c>
      <c r="BL18">
        <v>9</v>
      </c>
      <c r="BM18">
        <v>9</v>
      </c>
      <c r="BN18">
        <v>9</v>
      </c>
      <c r="BO18">
        <v>112</v>
      </c>
      <c r="BP18">
        <v>225</v>
      </c>
      <c r="BQ18">
        <v>225</v>
      </c>
      <c r="BR18">
        <v>479</v>
      </c>
      <c r="BS18">
        <v>636</v>
      </c>
    </row>
    <row r="19" spans="1:71" x14ac:dyDescent="0.25">
      <c r="A19" s="1" t="s">
        <v>2</v>
      </c>
      <c r="B19" s="1" t="s">
        <v>58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3</v>
      </c>
      <c r="BA19">
        <v>3</v>
      </c>
      <c r="BB19">
        <v>3</v>
      </c>
      <c r="BC19">
        <v>3</v>
      </c>
      <c r="BD19">
        <v>6</v>
      </c>
      <c r="BE19">
        <v>6</v>
      </c>
      <c r="BF19">
        <v>6</v>
      </c>
      <c r="BG19">
        <v>6</v>
      </c>
      <c r="BH19">
        <v>6</v>
      </c>
      <c r="BI19">
        <v>6</v>
      </c>
      <c r="BJ19">
        <v>11</v>
      </c>
      <c r="BK19">
        <v>10</v>
      </c>
      <c r="BL19">
        <v>10</v>
      </c>
      <c r="BM19">
        <v>10</v>
      </c>
      <c r="BN19">
        <v>10</v>
      </c>
      <c r="BO19">
        <v>15</v>
      </c>
      <c r="BP19">
        <v>15</v>
      </c>
      <c r="BQ19">
        <v>15</v>
      </c>
      <c r="BR19">
        <v>15</v>
      </c>
      <c r="BS19">
        <v>26</v>
      </c>
    </row>
    <row r="20" spans="1:71" x14ac:dyDescent="0.25">
      <c r="A20" s="1" t="s">
        <v>2</v>
      </c>
      <c r="B20" s="1" t="s">
        <v>329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1</v>
      </c>
      <c r="BN20">
        <v>1</v>
      </c>
      <c r="BO20">
        <v>1</v>
      </c>
      <c r="BP20">
        <v>1</v>
      </c>
      <c r="BQ20">
        <v>1</v>
      </c>
      <c r="BR20">
        <v>1</v>
      </c>
      <c r="BS20">
        <v>1</v>
      </c>
    </row>
    <row r="21" spans="1:71" x14ac:dyDescent="0.25">
      <c r="A21" s="1" t="s">
        <v>2</v>
      </c>
      <c r="B21" s="1" t="s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4</v>
      </c>
      <c r="AV21">
        <v>4</v>
      </c>
      <c r="AW21">
        <v>4</v>
      </c>
      <c r="AX21">
        <v>14</v>
      </c>
      <c r="AY21">
        <v>22</v>
      </c>
      <c r="AZ21">
        <v>35</v>
      </c>
      <c r="BA21">
        <v>35</v>
      </c>
      <c r="BB21">
        <v>44</v>
      </c>
      <c r="BC21">
        <v>44</v>
      </c>
      <c r="BD21">
        <v>60</v>
      </c>
      <c r="BE21">
        <v>77</v>
      </c>
      <c r="BF21">
        <v>81</v>
      </c>
      <c r="BG21">
        <v>88</v>
      </c>
      <c r="BH21">
        <v>100</v>
      </c>
      <c r="BI21">
        <v>100</v>
      </c>
      <c r="BJ21">
        <v>125</v>
      </c>
      <c r="BK21">
        <v>149</v>
      </c>
      <c r="BL21">
        <v>149</v>
      </c>
      <c r="BM21">
        <v>177</v>
      </c>
      <c r="BN21">
        <v>177</v>
      </c>
      <c r="BO21">
        <v>204</v>
      </c>
      <c r="BP21">
        <v>227</v>
      </c>
      <c r="BQ21">
        <v>265</v>
      </c>
      <c r="BR21">
        <v>272</v>
      </c>
      <c r="BS21">
        <v>279</v>
      </c>
    </row>
    <row r="22" spans="1:71" x14ac:dyDescent="0.25">
      <c r="A22" s="1" t="s">
        <v>2</v>
      </c>
      <c r="B22" s="1" t="s">
        <v>93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2</v>
      </c>
      <c r="BF22">
        <v>3</v>
      </c>
      <c r="BG22">
        <v>3</v>
      </c>
      <c r="BH22">
        <v>3</v>
      </c>
      <c r="BI22">
        <v>3</v>
      </c>
      <c r="BJ22">
        <v>3</v>
      </c>
      <c r="BK22">
        <v>3</v>
      </c>
      <c r="BL22">
        <v>3</v>
      </c>
      <c r="BM22">
        <v>5</v>
      </c>
      <c r="BN22">
        <v>7</v>
      </c>
      <c r="BO22">
        <v>11</v>
      </c>
      <c r="BP22">
        <v>11</v>
      </c>
      <c r="BQ22">
        <v>15</v>
      </c>
      <c r="BR22">
        <v>15</v>
      </c>
      <c r="BS22">
        <v>19</v>
      </c>
    </row>
    <row r="23" spans="1:71" x14ac:dyDescent="0.25">
      <c r="A23" s="1" t="s">
        <v>2</v>
      </c>
      <c r="B23" s="1" t="s">
        <v>209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</row>
    <row r="24" spans="1:71" x14ac:dyDescent="0.25">
      <c r="A24" s="1" t="s">
        <v>2</v>
      </c>
      <c r="B24" s="1" t="s">
        <v>46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1</v>
      </c>
      <c r="AY24">
        <v>3</v>
      </c>
      <c r="AZ24">
        <v>3</v>
      </c>
      <c r="BA24">
        <v>3</v>
      </c>
      <c r="BB24">
        <v>3</v>
      </c>
      <c r="BC24">
        <v>3</v>
      </c>
      <c r="BD24">
        <v>3</v>
      </c>
      <c r="BE24">
        <v>3</v>
      </c>
      <c r="BF24">
        <v>3</v>
      </c>
      <c r="BG24">
        <v>5</v>
      </c>
      <c r="BH24">
        <v>5</v>
      </c>
      <c r="BI24">
        <v>5</v>
      </c>
      <c r="BJ24">
        <v>15</v>
      </c>
      <c r="BK24">
        <v>15</v>
      </c>
      <c r="BL24">
        <v>15</v>
      </c>
      <c r="BM24">
        <v>22</v>
      </c>
      <c r="BN24">
        <v>29</v>
      </c>
      <c r="BO24">
        <v>29</v>
      </c>
      <c r="BP24">
        <v>32</v>
      </c>
      <c r="BQ24">
        <v>32</v>
      </c>
      <c r="BR24">
        <v>32</v>
      </c>
      <c r="BS24">
        <v>32</v>
      </c>
    </row>
    <row r="25" spans="1:71" x14ac:dyDescent="0.25">
      <c r="A25" s="1" t="s">
        <v>2</v>
      </c>
      <c r="B25" s="1" t="s">
        <v>24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31</v>
      </c>
      <c r="BH25">
        <v>31</v>
      </c>
      <c r="BI25">
        <v>1</v>
      </c>
      <c r="BJ25">
        <v>263</v>
      </c>
      <c r="BK25">
        <v>263</v>
      </c>
      <c r="BL25">
        <v>263</v>
      </c>
      <c r="BM25">
        <v>461</v>
      </c>
      <c r="BN25">
        <v>547</v>
      </c>
      <c r="BO25">
        <v>675</v>
      </c>
      <c r="BP25">
        <v>858</v>
      </c>
      <c r="BQ25">
        <v>1063</v>
      </c>
      <c r="BR25">
        <v>1359</v>
      </c>
      <c r="BS25">
        <v>1527</v>
      </c>
    </row>
    <row r="26" spans="1:71" x14ac:dyDescent="0.25">
      <c r="A26" s="1" t="s">
        <v>2</v>
      </c>
      <c r="B26" s="1" t="s">
        <v>331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</row>
    <row r="27" spans="1:71" x14ac:dyDescent="0.25">
      <c r="A27" s="1" t="s">
        <v>2</v>
      </c>
      <c r="B27" s="1" t="s">
        <v>202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</row>
    <row r="28" spans="1:71" x14ac:dyDescent="0.25">
      <c r="A28" s="1" t="s">
        <v>2</v>
      </c>
      <c r="B28" s="1" t="s">
        <v>81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</row>
    <row r="29" spans="1:71" x14ac:dyDescent="0.25">
      <c r="A29" s="1" t="s">
        <v>2</v>
      </c>
      <c r="B29" s="1" t="s">
        <v>150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</row>
    <row r="30" spans="1:71" x14ac:dyDescent="0.25">
      <c r="A30" s="1" t="s">
        <v>2</v>
      </c>
      <c r="B30" s="1" t="s">
        <v>78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2</v>
      </c>
      <c r="BG30">
        <v>2</v>
      </c>
      <c r="BH30">
        <v>2</v>
      </c>
      <c r="BI30">
        <v>2</v>
      </c>
      <c r="BJ30">
        <v>2</v>
      </c>
      <c r="BK30">
        <v>2</v>
      </c>
      <c r="BL30">
        <v>2</v>
      </c>
      <c r="BM30">
        <v>2</v>
      </c>
      <c r="BN30">
        <v>2</v>
      </c>
      <c r="BO30">
        <v>2</v>
      </c>
      <c r="BP30">
        <v>5</v>
      </c>
      <c r="BQ30">
        <v>5</v>
      </c>
      <c r="BR30">
        <v>8</v>
      </c>
      <c r="BS30">
        <v>17</v>
      </c>
    </row>
    <row r="31" spans="1:71" x14ac:dyDescent="0.25">
      <c r="A31" s="1" t="s">
        <v>2</v>
      </c>
      <c r="B31" s="1" t="s">
        <v>38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1</v>
      </c>
      <c r="BF31">
        <v>2</v>
      </c>
      <c r="BG31">
        <v>2</v>
      </c>
      <c r="BH31">
        <v>2</v>
      </c>
      <c r="BI31">
        <v>2</v>
      </c>
      <c r="BJ31">
        <v>2</v>
      </c>
      <c r="BK31">
        <v>2</v>
      </c>
      <c r="BL31">
        <v>2</v>
      </c>
      <c r="BM31">
        <v>2</v>
      </c>
      <c r="BN31">
        <v>2</v>
      </c>
      <c r="BO31">
        <v>6</v>
      </c>
      <c r="BP31">
        <v>6</v>
      </c>
      <c r="BQ31">
        <v>6</v>
      </c>
      <c r="BR31">
        <v>6</v>
      </c>
      <c r="BS31">
        <v>120</v>
      </c>
    </row>
    <row r="32" spans="1:71" x14ac:dyDescent="0.25">
      <c r="A32" s="1" t="s">
        <v>2</v>
      </c>
      <c r="B32" s="1" t="s">
        <v>100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1</v>
      </c>
      <c r="BJ32">
        <v>2</v>
      </c>
      <c r="BK32">
        <v>2</v>
      </c>
      <c r="BL32">
        <v>2</v>
      </c>
      <c r="BM32">
        <v>2</v>
      </c>
      <c r="BN32">
        <v>2</v>
      </c>
      <c r="BO32">
        <v>5</v>
      </c>
      <c r="BP32">
        <v>11</v>
      </c>
      <c r="BQ32">
        <v>25</v>
      </c>
      <c r="BR32">
        <v>34</v>
      </c>
      <c r="BS32">
        <v>38</v>
      </c>
    </row>
    <row r="33" spans="1:71" x14ac:dyDescent="0.25">
      <c r="A33" s="1" t="s">
        <v>2</v>
      </c>
      <c r="B33" s="1" t="s">
        <v>91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3</v>
      </c>
      <c r="BK33">
        <v>3</v>
      </c>
      <c r="BL33">
        <v>3</v>
      </c>
      <c r="BM33">
        <v>3</v>
      </c>
      <c r="BN33">
        <v>4</v>
      </c>
      <c r="BO33">
        <v>8</v>
      </c>
      <c r="BP33">
        <v>9</v>
      </c>
      <c r="BQ33">
        <v>11</v>
      </c>
      <c r="BR33">
        <v>14</v>
      </c>
      <c r="BS33">
        <v>17</v>
      </c>
    </row>
    <row r="34" spans="1:71" x14ac:dyDescent="0.25">
      <c r="A34" s="1" t="s">
        <v>2</v>
      </c>
      <c r="B34" s="1" t="s">
        <v>104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5</v>
      </c>
      <c r="BK34">
        <v>5</v>
      </c>
      <c r="BL34">
        <v>5</v>
      </c>
      <c r="BM34">
        <v>7</v>
      </c>
      <c r="BN34">
        <v>10</v>
      </c>
      <c r="BO34">
        <v>10</v>
      </c>
      <c r="BP34">
        <v>12</v>
      </c>
      <c r="BQ34">
        <v>21</v>
      </c>
      <c r="BR34">
        <v>23</v>
      </c>
      <c r="BS34">
        <v>31</v>
      </c>
    </row>
    <row r="35" spans="1:71" x14ac:dyDescent="0.25">
      <c r="A35" s="1" t="s">
        <v>2</v>
      </c>
      <c r="B35" s="1" t="s">
        <v>227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</row>
    <row r="36" spans="1:71" x14ac:dyDescent="0.25">
      <c r="A36" s="1" t="s">
        <v>2</v>
      </c>
      <c r="B36" s="1" t="s">
        <v>13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1</v>
      </c>
      <c r="Y36">
        <v>1</v>
      </c>
      <c r="Z36">
        <v>1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>
        <v>1</v>
      </c>
      <c r="AH36">
        <v>1</v>
      </c>
      <c r="AI36">
        <v>1</v>
      </c>
      <c r="AJ36">
        <v>1</v>
      </c>
      <c r="AK36">
        <v>1</v>
      </c>
      <c r="AL36">
        <v>1</v>
      </c>
      <c r="AM36">
        <v>1</v>
      </c>
      <c r="AN36">
        <v>1</v>
      </c>
      <c r="AO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V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C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4</v>
      </c>
      <c r="BN36">
        <v>10</v>
      </c>
      <c r="BO36">
        <v>10</v>
      </c>
      <c r="BP36">
        <v>11</v>
      </c>
      <c r="BQ36">
        <v>13</v>
      </c>
      <c r="BR36">
        <v>21</v>
      </c>
      <c r="BS36">
        <v>21</v>
      </c>
    </row>
    <row r="37" spans="1:71" x14ac:dyDescent="0.25">
      <c r="A37" s="1" t="s">
        <v>2</v>
      </c>
      <c r="B37" s="1" t="s">
        <v>82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2</v>
      </c>
      <c r="BO37">
        <v>2</v>
      </c>
      <c r="BP37">
        <v>2</v>
      </c>
      <c r="BQ37">
        <v>2</v>
      </c>
      <c r="BR37">
        <v>5</v>
      </c>
      <c r="BS37">
        <v>5</v>
      </c>
    </row>
    <row r="38" spans="1:71" x14ac:dyDescent="0.25">
      <c r="A38" s="1" t="s">
        <v>2</v>
      </c>
      <c r="B38" s="1" t="s">
        <v>8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>
        <v>3</v>
      </c>
      <c r="AH38">
        <v>3</v>
      </c>
      <c r="AI38">
        <v>3</v>
      </c>
      <c r="AJ38">
        <v>3</v>
      </c>
      <c r="AK38">
        <v>3</v>
      </c>
      <c r="AL38">
        <v>3</v>
      </c>
      <c r="AM38">
        <v>6</v>
      </c>
      <c r="AN38">
        <v>6</v>
      </c>
      <c r="AO38">
        <v>6</v>
      </c>
      <c r="AP38">
        <v>6</v>
      </c>
      <c r="AQ38">
        <v>6</v>
      </c>
      <c r="AR38">
        <v>6</v>
      </c>
      <c r="AS38">
        <v>6</v>
      </c>
      <c r="AT38">
        <v>6</v>
      </c>
      <c r="AU38">
        <v>6</v>
      </c>
      <c r="AV38">
        <v>8</v>
      </c>
      <c r="AW38">
        <v>8</v>
      </c>
      <c r="AX38">
        <v>8</v>
      </c>
      <c r="AY38">
        <v>8</v>
      </c>
      <c r="AZ38">
        <v>8</v>
      </c>
      <c r="BA38">
        <v>8</v>
      </c>
      <c r="BB38">
        <v>8</v>
      </c>
      <c r="BC38">
        <v>8</v>
      </c>
      <c r="BD38">
        <v>8</v>
      </c>
      <c r="BE38">
        <v>9</v>
      </c>
      <c r="BF38">
        <v>9</v>
      </c>
      <c r="BG38">
        <v>9</v>
      </c>
      <c r="BH38">
        <v>9</v>
      </c>
      <c r="BI38">
        <v>9</v>
      </c>
      <c r="BJ38">
        <v>10</v>
      </c>
      <c r="BK38">
        <v>10</v>
      </c>
      <c r="BL38">
        <v>10</v>
      </c>
      <c r="BM38">
        <v>110</v>
      </c>
      <c r="BN38">
        <v>183</v>
      </c>
      <c r="BO38">
        <v>184</v>
      </c>
      <c r="BP38">
        <v>256</v>
      </c>
      <c r="BQ38">
        <v>466</v>
      </c>
      <c r="BR38">
        <v>466</v>
      </c>
      <c r="BS38">
        <v>466</v>
      </c>
    </row>
    <row r="39" spans="1:71" x14ac:dyDescent="0.25">
      <c r="A39" s="1" t="s">
        <v>2</v>
      </c>
      <c r="B39" s="1" t="s">
        <v>194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</row>
    <row r="40" spans="1:71" x14ac:dyDescent="0.25">
      <c r="A40" s="1" t="s">
        <v>2</v>
      </c>
      <c r="B40" s="1" t="s">
        <v>220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</row>
    <row r="41" spans="1:71" x14ac:dyDescent="0.25">
      <c r="A41" s="1" t="s">
        <v>2</v>
      </c>
      <c r="B41" s="1" t="s">
        <v>70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6</v>
      </c>
      <c r="BJ41">
        <v>6</v>
      </c>
      <c r="BK41">
        <v>8</v>
      </c>
      <c r="BL41">
        <v>8</v>
      </c>
      <c r="BM41">
        <v>17</v>
      </c>
      <c r="BN41">
        <v>22</v>
      </c>
      <c r="BO41">
        <v>22</v>
      </c>
      <c r="BP41">
        <v>43</v>
      </c>
      <c r="BQ41">
        <v>61</v>
      </c>
      <c r="BR41">
        <v>75</v>
      </c>
      <c r="BS41">
        <v>156</v>
      </c>
    </row>
    <row r="42" spans="1:71" x14ac:dyDescent="0.25">
      <c r="A42" s="1" t="s">
        <v>117</v>
      </c>
      <c r="B42" s="1" t="s">
        <v>109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2</v>
      </c>
      <c r="K42">
        <v>2</v>
      </c>
      <c r="L42">
        <v>3</v>
      </c>
      <c r="M42">
        <v>5</v>
      </c>
      <c r="N42">
        <v>7</v>
      </c>
      <c r="O42">
        <v>14</v>
      </c>
      <c r="P42">
        <v>20</v>
      </c>
      <c r="Q42">
        <v>23</v>
      </c>
      <c r="R42">
        <v>34</v>
      </c>
      <c r="S42">
        <v>47</v>
      </c>
      <c r="T42">
        <v>59</v>
      </c>
      <c r="U42">
        <v>72</v>
      </c>
      <c r="V42">
        <v>88</v>
      </c>
      <c r="W42">
        <v>105</v>
      </c>
      <c r="X42">
        <v>127</v>
      </c>
      <c r="Y42">
        <v>157</v>
      </c>
      <c r="Z42">
        <v>193</v>
      </c>
      <c r="AA42">
        <v>221</v>
      </c>
      <c r="AB42">
        <v>255</v>
      </c>
      <c r="AC42">
        <v>280</v>
      </c>
      <c r="AD42">
        <v>361</v>
      </c>
      <c r="AE42">
        <v>413</v>
      </c>
      <c r="AF42">
        <v>474</v>
      </c>
      <c r="AG42">
        <v>539</v>
      </c>
      <c r="AH42">
        <v>597</v>
      </c>
      <c r="AI42">
        <v>637</v>
      </c>
      <c r="AJ42">
        <v>663</v>
      </c>
      <c r="AK42">
        <v>712</v>
      </c>
      <c r="AL42">
        <v>744</v>
      </c>
      <c r="AM42">
        <v>792</v>
      </c>
      <c r="AN42">
        <v>821</v>
      </c>
      <c r="AO42">
        <v>868</v>
      </c>
      <c r="AP42">
        <v>873</v>
      </c>
      <c r="AQ42">
        <v>917</v>
      </c>
      <c r="AR42">
        <v>936</v>
      </c>
      <c r="AS42">
        <v>956</v>
      </c>
      <c r="AT42">
        <v>970</v>
      </c>
      <c r="AU42">
        <v>979</v>
      </c>
      <c r="AV42">
        <v>979</v>
      </c>
      <c r="AW42">
        <v>984</v>
      </c>
      <c r="AX42">
        <v>984</v>
      </c>
      <c r="AY42">
        <v>984</v>
      </c>
      <c r="AZ42">
        <v>984</v>
      </c>
      <c r="BA42">
        <v>984</v>
      </c>
      <c r="BB42">
        <v>984</v>
      </c>
      <c r="BC42">
        <v>984</v>
      </c>
      <c r="BD42">
        <v>984</v>
      </c>
      <c r="BE42">
        <v>984</v>
      </c>
      <c r="BF42">
        <v>984</v>
      </c>
      <c r="BG42">
        <v>984</v>
      </c>
      <c r="BH42">
        <v>984</v>
      </c>
      <c r="BI42">
        <v>984</v>
      </c>
      <c r="BJ42">
        <v>984</v>
      </c>
      <c r="BK42">
        <v>984</v>
      </c>
      <c r="BL42">
        <v>984</v>
      </c>
      <c r="BM42">
        <v>984</v>
      </c>
      <c r="BN42">
        <v>984</v>
      </c>
      <c r="BO42">
        <v>984</v>
      </c>
      <c r="BP42">
        <v>984</v>
      </c>
      <c r="BQ42">
        <v>984</v>
      </c>
      <c r="BR42">
        <v>984</v>
      </c>
      <c r="BS42">
        <v>984</v>
      </c>
    </row>
    <row r="43" spans="1:71" x14ac:dyDescent="0.25">
      <c r="A43" s="1" t="s">
        <v>125</v>
      </c>
      <c r="B43" s="1" t="s">
        <v>109</v>
      </c>
      <c r="C43">
        <v>0</v>
      </c>
      <c r="D43">
        <v>0</v>
      </c>
      <c r="E43">
        <v>1</v>
      </c>
      <c r="F43">
        <v>2</v>
      </c>
      <c r="G43">
        <v>2</v>
      </c>
      <c r="H43">
        <v>2</v>
      </c>
      <c r="I43">
        <v>4</v>
      </c>
      <c r="J43">
        <v>4</v>
      </c>
      <c r="K43">
        <v>4</v>
      </c>
      <c r="L43">
        <v>5</v>
      </c>
      <c r="M43">
        <v>9</v>
      </c>
      <c r="N43">
        <v>9</v>
      </c>
      <c r="O43">
        <v>12</v>
      </c>
      <c r="P43">
        <v>23</v>
      </c>
      <c r="Q43">
        <v>24</v>
      </c>
      <c r="R43">
        <v>31</v>
      </c>
      <c r="S43">
        <v>33</v>
      </c>
      <c r="T43">
        <v>34</v>
      </c>
      <c r="U43">
        <v>37</v>
      </c>
      <c r="V43">
        <v>44</v>
      </c>
      <c r="W43">
        <v>48</v>
      </c>
      <c r="X43">
        <v>56</v>
      </c>
      <c r="Y43">
        <v>69</v>
      </c>
      <c r="Z43">
        <v>80</v>
      </c>
      <c r="AA43">
        <v>98</v>
      </c>
      <c r="AB43">
        <v>108</v>
      </c>
      <c r="AC43">
        <v>114</v>
      </c>
      <c r="AD43">
        <v>122</v>
      </c>
      <c r="AE43">
        <v>145</v>
      </c>
      <c r="AF43">
        <v>153</v>
      </c>
      <c r="AG43">
        <v>169</v>
      </c>
      <c r="AH43">
        <v>178</v>
      </c>
      <c r="AI43">
        <v>189</v>
      </c>
      <c r="AJ43">
        <v>198</v>
      </c>
      <c r="AK43">
        <v>215</v>
      </c>
      <c r="AL43">
        <v>235</v>
      </c>
      <c r="AM43">
        <v>248</v>
      </c>
      <c r="AN43">
        <v>257</v>
      </c>
      <c r="AO43">
        <v>271</v>
      </c>
      <c r="AP43">
        <v>276</v>
      </c>
      <c r="AQ43">
        <v>282</v>
      </c>
      <c r="AR43">
        <v>288</v>
      </c>
      <c r="AS43">
        <v>297</v>
      </c>
      <c r="AT43">
        <v>297</v>
      </c>
      <c r="AU43">
        <v>299</v>
      </c>
      <c r="AV43">
        <v>303</v>
      </c>
      <c r="AW43">
        <v>308</v>
      </c>
      <c r="AX43">
        <v>315</v>
      </c>
      <c r="AY43">
        <v>320</v>
      </c>
      <c r="AZ43">
        <v>326</v>
      </c>
      <c r="BA43">
        <v>334</v>
      </c>
      <c r="BB43">
        <v>342</v>
      </c>
      <c r="BC43">
        <v>349</v>
      </c>
      <c r="BD43">
        <v>353</v>
      </c>
      <c r="BE43">
        <v>360</v>
      </c>
      <c r="BF43">
        <v>369</v>
      </c>
      <c r="BG43">
        <v>378</v>
      </c>
      <c r="BH43">
        <v>380</v>
      </c>
      <c r="BI43">
        <v>390</v>
      </c>
      <c r="BJ43">
        <v>396</v>
      </c>
      <c r="BK43">
        <v>400</v>
      </c>
      <c r="BL43">
        <v>400</v>
      </c>
      <c r="BM43">
        <v>401</v>
      </c>
      <c r="BN43">
        <v>403</v>
      </c>
      <c r="BO43">
        <v>406</v>
      </c>
      <c r="BP43">
        <v>408</v>
      </c>
      <c r="BQ43">
        <v>410</v>
      </c>
      <c r="BR43">
        <v>412</v>
      </c>
      <c r="BS43">
        <v>415</v>
      </c>
    </row>
    <row r="44" spans="1:71" x14ac:dyDescent="0.25">
      <c r="A44" s="1" t="s">
        <v>121</v>
      </c>
      <c r="B44" s="1" t="s">
        <v>109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1</v>
      </c>
      <c r="K44">
        <v>1</v>
      </c>
      <c r="L44">
        <v>1</v>
      </c>
      <c r="M44">
        <v>3</v>
      </c>
      <c r="N44">
        <v>7</v>
      </c>
      <c r="O44">
        <v>9</v>
      </c>
      <c r="P44">
        <v>9</v>
      </c>
      <c r="Q44">
        <v>15</v>
      </c>
      <c r="R44">
        <v>24</v>
      </c>
      <c r="S44">
        <v>31</v>
      </c>
      <c r="T44">
        <v>39</v>
      </c>
      <c r="U44">
        <v>51</v>
      </c>
      <c r="V44">
        <v>66</v>
      </c>
      <c r="W44">
        <v>79</v>
      </c>
      <c r="X44">
        <v>102</v>
      </c>
      <c r="Y44">
        <v>128</v>
      </c>
      <c r="Z44">
        <v>152</v>
      </c>
      <c r="AA44">
        <v>184</v>
      </c>
      <c r="AB44">
        <v>207</v>
      </c>
      <c r="AC44">
        <v>225</v>
      </c>
      <c r="AD44">
        <v>254</v>
      </c>
      <c r="AE44">
        <v>274</v>
      </c>
      <c r="AF44">
        <v>299</v>
      </c>
      <c r="AG44">
        <v>316</v>
      </c>
      <c r="AH44">
        <v>328</v>
      </c>
      <c r="AI44">
        <v>335</v>
      </c>
      <c r="AJ44">
        <v>349</v>
      </c>
      <c r="AK44">
        <v>372</v>
      </c>
      <c r="AL44">
        <v>384</v>
      </c>
      <c r="AM44">
        <v>401</v>
      </c>
      <c r="AN44">
        <v>422</v>
      </c>
      <c r="AO44">
        <v>438</v>
      </c>
      <c r="AP44">
        <v>450</v>
      </c>
      <c r="AQ44">
        <v>469</v>
      </c>
      <c r="AR44">
        <v>490</v>
      </c>
      <c r="AS44">
        <v>502</v>
      </c>
      <c r="AT44">
        <v>512</v>
      </c>
      <c r="AU44">
        <v>513</v>
      </c>
      <c r="AV44">
        <v>526</v>
      </c>
      <c r="AW44">
        <v>527</v>
      </c>
      <c r="AX44">
        <v>542</v>
      </c>
      <c r="AY44">
        <v>547</v>
      </c>
      <c r="AZ44">
        <v>554</v>
      </c>
      <c r="BA44">
        <v>564</v>
      </c>
      <c r="BB44">
        <v>566</v>
      </c>
      <c r="BC44">
        <v>569</v>
      </c>
      <c r="BD44">
        <v>570</v>
      </c>
      <c r="BE44">
        <v>570</v>
      </c>
      <c r="BF44">
        <v>570</v>
      </c>
      <c r="BG44">
        <v>570</v>
      </c>
      <c r="BH44">
        <v>570</v>
      </c>
      <c r="BI44">
        <v>570</v>
      </c>
      <c r="BJ44">
        <v>570</v>
      </c>
      <c r="BK44">
        <v>570</v>
      </c>
      <c r="BL44">
        <v>570</v>
      </c>
      <c r="BM44">
        <v>570</v>
      </c>
      <c r="BN44">
        <v>570</v>
      </c>
      <c r="BO44">
        <v>570</v>
      </c>
      <c r="BP44">
        <v>570</v>
      </c>
      <c r="BQ44">
        <v>570</v>
      </c>
      <c r="BR44">
        <v>570</v>
      </c>
      <c r="BS44">
        <v>570</v>
      </c>
    </row>
    <row r="45" spans="1:71" x14ac:dyDescent="0.25">
      <c r="A45" s="1" t="s">
        <v>128</v>
      </c>
      <c r="B45" s="1" t="s">
        <v>109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1</v>
      </c>
      <c r="P45">
        <v>3</v>
      </c>
      <c r="Q45">
        <v>11</v>
      </c>
      <c r="R45">
        <v>14</v>
      </c>
      <c r="S45">
        <v>20</v>
      </c>
      <c r="T45">
        <v>24</v>
      </c>
      <c r="U45">
        <v>35</v>
      </c>
      <c r="V45">
        <v>39</v>
      </c>
      <c r="W45">
        <v>45</v>
      </c>
      <c r="X45">
        <v>53</v>
      </c>
      <c r="Y45">
        <v>57</v>
      </c>
      <c r="Z45">
        <v>63</v>
      </c>
      <c r="AA45">
        <v>71</v>
      </c>
      <c r="AB45">
        <v>82</v>
      </c>
      <c r="AC45">
        <v>90</v>
      </c>
      <c r="AD45">
        <v>93</v>
      </c>
      <c r="AE45">
        <v>112</v>
      </c>
      <c r="AF45">
        <v>126</v>
      </c>
      <c r="AG45">
        <v>149</v>
      </c>
      <c r="AH45">
        <v>162</v>
      </c>
      <c r="AI45">
        <v>170</v>
      </c>
      <c r="AJ45">
        <v>183</v>
      </c>
      <c r="AK45">
        <v>199</v>
      </c>
      <c r="AL45">
        <v>218</v>
      </c>
      <c r="AM45">
        <v>228</v>
      </c>
      <c r="AN45">
        <v>235</v>
      </c>
      <c r="AO45">
        <v>243</v>
      </c>
      <c r="AP45">
        <v>247</v>
      </c>
      <c r="AQ45">
        <v>255</v>
      </c>
      <c r="AR45">
        <v>260</v>
      </c>
      <c r="AS45">
        <v>270</v>
      </c>
      <c r="AT45">
        <v>277</v>
      </c>
      <c r="AU45">
        <v>284</v>
      </c>
      <c r="AV45">
        <v>295</v>
      </c>
      <c r="AW45">
        <v>295</v>
      </c>
      <c r="AX45">
        <v>295</v>
      </c>
      <c r="AY45">
        <v>295</v>
      </c>
      <c r="AZ45">
        <v>295</v>
      </c>
      <c r="BA45">
        <v>295</v>
      </c>
      <c r="BB45">
        <v>295</v>
      </c>
      <c r="BC45">
        <v>295</v>
      </c>
      <c r="BD45">
        <v>295</v>
      </c>
      <c r="BE45">
        <v>295</v>
      </c>
      <c r="BF45">
        <v>295</v>
      </c>
      <c r="BG45">
        <v>295</v>
      </c>
      <c r="BH45">
        <v>295</v>
      </c>
      <c r="BI45">
        <v>295</v>
      </c>
      <c r="BJ45">
        <v>295</v>
      </c>
      <c r="BK45">
        <v>295</v>
      </c>
      <c r="BL45">
        <v>295</v>
      </c>
      <c r="BM45">
        <v>295</v>
      </c>
      <c r="BN45">
        <v>295</v>
      </c>
      <c r="BO45">
        <v>295</v>
      </c>
      <c r="BP45">
        <v>295</v>
      </c>
      <c r="BQ45">
        <v>295</v>
      </c>
      <c r="BR45">
        <v>295</v>
      </c>
      <c r="BS45">
        <v>295</v>
      </c>
    </row>
    <row r="46" spans="1:71" x14ac:dyDescent="0.25">
      <c r="A46" s="1" t="s">
        <v>136</v>
      </c>
      <c r="B46" s="1" t="s">
        <v>109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3</v>
      </c>
      <c r="O46">
        <v>3</v>
      </c>
      <c r="P46">
        <v>4</v>
      </c>
      <c r="Q46">
        <v>6</v>
      </c>
      <c r="R46">
        <v>6</v>
      </c>
      <c r="S46">
        <v>9</v>
      </c>
      <c r="T46">
        <v>12</v>
      </c>
      <c r="U46">
        <v>16</v>
      </c>
      <c r="V46">
        <v>17</v>
      </c>
      <c r="W46">
        <v>24</v>
      </c>
      <c r="X46">
        <v>31</v>
      </c>
      <c r="Y46">
        <v>39</v>
      </c>
      <c r="Z46">
        <v>39</v>
      </c>
      <c r="AA46">
        <v>49</v>
      </c>
      <c r="AB46">
        <v>54</v>
      </c>
      <c r="AC46">
        <v>58</v>
      </c>
      <c r="AD46">
        <v>62</v>
      </c>
      <c r="AE46">
        <v>65</v>
      </c>
      <c r="AF46">
        <v>71</v>
      </c>
      <c r="AG46">
        <v>76</v>
      </c>
      <c r="AH46">
        <v>76</v>
      </c>
      <c r="AI46">
        <v>78</v>
      </c>
      <c r="AJ46">
        <v>80</v>
      </c>
      <c r="AK46">
        <v>80</v>
      </c>
      <c r="AL46">
        <v>81</v>
      </c>
      <c r="AM46">
        <v>81</v>
      </c>
      <c r="AN46">
        <v>82</v>
      </c>
      <c r="AO46">
        <v>82</v>
      </c>
      <c r="AP46">
        <v>84</v>
      </c>
      <c r="AQ46">
        <v>85</v>
      </c>
      <c r="AR46">
        <v>86</v>
      </c>
      <c r="AS46">
        <v>87</v>
      </c>
      <c r="AT46">
        <v>87</v>
      </c>
      <c r="AU46">
        <v>87</v>
      </c>
      <c r="AV46">
        <v>87</v>
      </c>
      <c r="AW46">
        <v>87</v>
      </c>
      <c r="AX46">
        <v>88</v>
      </c>
      <c r="AY46">
        <v>88</v>
      </c>
      <c r="AZ46">
        <v>88</v>
      </c>
      <c r="BA46">
        <v>88</v>
      </c>
      <c r="BB46">
        <v>88</v>
      </c>
      <c r="BC46">
        <v>89</v>
      </c>
      <c r="BD46">
        <v>91</v>
      </c>
      <c r="BE46">
        <v>91</v>
      </c>
      <c r="BF46">
        <v>91</v>
      </c>
      <c r="BG46">
        <v>91</v>
      </c>
      <c r="BH46">
        <v>91</v>
      </c>
      <c r="BI46">
        <v>98</v>
      </c>
      <c r="BJ46">
        <v>113</v>
      </c>
      <c r="BK46">
        <v>114</v>
      </c>
      <c r="BL46">
        <v>114</v>
      </c>
      <c r="BM46">
        <v>119</v>
      </c>
      <c r="BN46">
        <v>119</v>
      </c>
      <c r="BO46">
        <v>121</v>
      </c>
      <c r="BP46">
        <v>123</v>
      </c>
      <c r="BQ46">
        <v>125</v>
      </c>
      <c r="BR46">
        <v>125</v>
      </c>
      <c r="BS46">
        <v>125</v>
      </c>
    </row>
    <row r="47" spans="1:71" x14ac:dyDescent="0.25">
      <c r="A47" s="1" t="s">
        <v>113</v>
      </c>
      <c r="B47" s="1" t="s">
        <v>109</v>
      </c>
      <c r="C47">
        <v>0</v>
      </c>
      <c r="D47">
        <v>2</v>
      </c>
      <c r="E47">
        <v>2</v>
      </c>
      <c r="F47">
        <v>2</v>
      </c>
      <c r="G47">
        <v>2</v>
      </c>
      <c r="H47">
        <v>4</v>
      </c>
      <c r="I47">
        <v>4</v>
      </c>
      <c r="J47">
        <v>5</v>
      </c>
      <c r="K47">
        <v>10</v>
      </c>
      <c r="L47">
        <v>11</v>
      </c>
      <c r="M47">
        <v>14</v>
      </c>
      <c r="N47">
        <v>15</v>
      </c>
      <c r="O47">
        <v>21</v>
      </c>
      <c r="P47">
        <v>30</v>
      </c>
      <c r="Q47">
        <v>49</v>
      </c>
      <c r="R47">
        <v>69</v>
      </c>
      <c r="S47">
        <v>88</v>
      </c>
      <c r="T47">
        <v>112</v>
      </c>
      <c r="U47">
        <v>141</v>
      </c>
      <c r="V47">
        <v>167</v>
      </c>
      <c r="W47">
        <v>212</v>
      </c>
      <c r="X47">
        <v>275</v>
      </c>
      <c r="Y47">
        <v>314</v>
      </c>
      <c r="Z47">
        <v>362</v>
      </c>
      <c r="AA47">
        <v>410</v>
      </c>
      <c r="AB47">
        <v>465</v>
      </c>
      <c r="AC47">
        <v>524</v>
      </c>
      <c r="AD47">
        <v>565</v>
      </c>
      <c r="AE47">
        <v>606</v>
      </c>
      <c r="AF47">
        <v>642</v>
      </c>
      <c r="AG47">
        <v>690</v>
      </c>
      <c r="AH47">
        <v>728</v>
      </c>
      <c r="AI47">
        <v>755</v>
      </c>
      <c r="AJ47">
        <v>786</v>
      </c>
      <c r="AK47">
        <v>822</v>
      </c>
      <c r="AL47">
        <v>851</v>
      </c>
      <c r="AM47">
        <v>890</v>
      </c>
      <c r="AN47">
        <v>935</v>
      </c>
      <c r="AO47">
        <v>983</v>
      </c>
      <c r="AP47">
        <v>1016</v>
      </c>
      <c r="AQ47">
        <v>1059</v>
      </c>
      <c r="AR47">
        <v>1101</v>
      </c>
      <c r="AS47">
        <v>1133</v>
      </c>
      <c r="AT47">
        <v>1181</v>
      </c>
      <c r="AU47">
        <v>1216</v>
      </c>
      <c r="AV47">
        <v>1237</v>
      </c>
      <c r="AW47">
        <v>1256</v>
      </c>
      <c r="AX47">
        <v>1260</v>
      </c>
      <c r="AY47">
        <v>1274</v>
      </c>
      <c r="AZ47">
        <v>1282</v>
      </c>
      <c r="BA47">
        <v>1289</v>
      </c>
      <c r="BB47">
        <v>1296</v>
      </c>
      <c r="BC47">
        <v>1299</v>
      </c>
      <c r="BD47">
        <v>1304</v>
      </c>
      <c r="BE47">
        <v>1306</v>
      </c>
      <c r="BF47">
        <v>1307</v>
      </c>
      <c r="BG47">
        <v>1313</v>
      </c>
      <c r="BH47">
        <v>1318</v>
      </c>
      <c r="BI47">
        <v>1323</v>
      </c>
      <c r="BJ47">
        <v>1325</v>
      </c>
      <c r="BK47">
        <v>1329</v>
      </c>
      <c r="BL47">
        <v>1332</v>
      </c>
      <c r="BM47">
        <v>1333</v>
      </c>
      <c r="BN47">
        <v>1336</v>
      </c>
      <c r="BO47">
        <v>1336</v>
      </c>
      <c r="BP47">
        <v>1337</v>
      </c>
      <c r="BQ47">
        <v>1341</v>
      </c>
      <c r="BR47">
        <v>1349</v>
      </c>
      <c r="BS47">
        <v>1351</v>
      </c>
    </row>
    <row r="48" spans="1:71" x14ac:dyDescent="0.25">
      <c r="A48" s="1" t="s">
        <v>129</v>
      </c>
      <c r="B48" s="1" t="s">
        <v>109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2</v>
      </c>
      <c r="J48">
        <v>2</v>
      </c>
      <c r="K48">
        <v>2</v>
      </c>
      <c r="L48">
        <v>2</v>
      </c>
      <c r="M48">
        <v>2</v>
      </c>
      <c r="N48">
        <v>2</v>
      </c>
      <c r="O48">
        <v>7</v>
      </c>
      <c r="P48">
        <v>10</v>
      </c>
      <c r="Q48">
        <v>13</v>
      </c>
      <c r="R48">
        <v>14</v>
      </c>
      <c r="S48">
        <v>17</v>
      </c>
      <c r="T48">
        <v>17</v>
      </c>
      <c r="U48">
        <v>18</v>
      </c>
      <c r="V48">
        <v>24</v>
      </c>
      <c r="W48">
        <v>33</v>
      </c>
      <c r="X48">
        <v>32</v>
      </c>
      <c r="Y48">
        <v>33</v>
      </c>
      <c r="Z48">
        <v>36</v>
      </c>
      <c r="AA48">
        <v>44</v>
      </c>
      <c r="AB48">
        <v>49</v>
      </c>
      <c r="AC48">
        <v>53</v>
      </c>
      <c r="AD48">
        <v>69</v>
      </c>
      <c r="AE48">
        <v>86</v>
      </c>
      <c r="AF48">
        <v>90</v>
      </c>
      <c r="AG48">
        <v>97</v>
      </c>
      <c r="AH48">
        <v>104</v>
      </c>
      <c r="AI48">
        <v>106</v>
      </c>
      <c r="AJ48">
        <v>112</v>
      </c>
      <c r="AK48">
        <v>134</v>
      </c>
      <c r="AL48">
        <v>147</v>
      </c>
      <c r="AM48">
        <v>161</v>
      </c>
      <c r="AN48">
        <v>168</v>
      </c>
      <c r="AO48">
        <v>176</v>
      </c>
      <c r="AP48">
        <v>181</v>
      </c>
      <c r="AQ48">
        <v>192</v>
      </c>
      <c r="AR48">
        <v>202</v>
      </c>
      <c r="AS48">
        <v>210</v>
      </c>
      <c r="AT48">
        <v>214</v>
      </c>
      <c r="AU48">
        <v>217</v>
      </c>
      <c r="AV48">
        <v>218</v>
      </c>
      <c r="AW48">
        <v>223</v>
      </c>
      <c r="AX48">
        <v>230</v>
      </c>
      <c r="AY48">
        <v>234</v>
      </c>
      <c r="AZ48">
        <v>238</v>
      </c>
      <c r="BA48">
        <v>241</v>
      </c>
      <c r="BB48">
        <v>243</v>
      </c>
      <c r="BC48">
        <v>243</v>
      </c>
      <c r="BD48">
        <v>243</v>
      </c>
      <c r="BE48">
        <v>248</v>
      </c>
      <c r="BF48">
        <v>248</v>
      </c>
      <c r="BG48">
        <v>250</v>
      </c>
      <c r="BH48">
        <v>250</v>
      </c>
      <c r="BI48">
        <v>250</v>
      </c>
      <c r="BJ48">
        <v>250</v>
      </c>
      <c r="BK48">
        <v>250</v>
      </c>
      <c r="BL48">
        <v>250</v>
      </c>
      <c r="BM48">
        <v>250</v>
      </c>
      <c r="BN48">
        <v>250</v>
      </c>
      <c r="BO48">
        <v>250</v>
      </c>
      <c r="BP48">
        <v>250</v>
      </c>
      <c r="BQ48">
        <v>250</v>
      </c>
      <c r="BR48">
        <v>250</v>
      </c>
      <c r="BS48">
        <v>250</v>
      </c>
    </row>
    <row r="49" spans="1:71" x14ac:dyDescent="0.25">
      <c r="A49" s="1" t="s">
        <v>133</v>
      </c>
      <c r="B49" s="1" t="s">
        <v>109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1</v>
      </c>
      <c r="K49">
        <v>1</v>
      </c>
      <c r="L49">
        <v>2</v>
      </c>
      <c r="M49">
        <v>2</v>
      </c>
      <c r="N49">
        <v>2</v>
      </c>
      <c r="O49">
        <v>2</v>
      </c>
      <c r="P49">
        <v>2</v>
      </c>
      <c r="Q49">
        <v>9</v>
      </c>
      <c r="R49">
        <v>6</v>
      </c>
      <c r="S49">
        <v>6</v>
      </c>
      <c r="T49">
        <v>7</v>
      </c>
      <c r="U49">
        <v>7</v>
      </c>
      <c r="V49">
        <v>10</v>
      </c>
      <c r="W49">
        <v>17</v>
      </c>
      <c r="X49">
        <v>18</v>
      </c>
      <c r="Y49">
        <v>27</v>
      </c>
      <c r="Z49">
        <v>28</v>
      </c>
      <c r="AA49">
        <v>41</v>
      </c>
      <c r="AB49">
        <v>46</v>
      </c>
      <c r="AC49">
        <v>57</v>
      </c>
      <c r="AD49">
        <v>66</v>
      </c>
      <c r="AE49">
        <v>70</v>
      </c>
      <c r="AF49">
        <v>72</v>
      </c>
      <c r="AG49">
        <v>77</v>
      </c>
      <c r="AH49">
        <v>90</v>
      </c>
      <c r="AI49">
        <v>102</v>
      </c>
      <c r="AJ49">
        <v>102</v>
      </c>
      <c r="AK49">
        <v>104</v>
      </c>
      <c r="AL49">
        <v>104</v>
      </c>
      <c r="AM49">
        <v>112</v>
      </c>
      <c r="AN49">
        <v>112</v>
      </c>
      <c r="AO49">
        <v>112</v>
      </c>
      <c r="AP49">
        <v>112</v>
      </c>
      <c r="AQ49">
        <v>114</v>
      </c>
      <c r="AR49">
        <v>114</v>
      </c>
      <c r="AS49">
        <v>114</v>
      </c>
      <c r="AT49">
        <v>114</v>
      </c>
      <c r="AU49">
        <v>114</v>
      </c>
      <c r="AV49">
        <v>115</v>
      </c>
      <c r="AW49">
        <v>117</v>
      </c>
      <c r="AX49">
        <v>123</v>
      </c>
      <c r="AY49">
        <v>129</v>
      </c>
      <c r="AZ49">
        <v>133</v>
      </c>
      <c r="BA49">
        <v>137</v>
      </c>
      <c r="BB49">
        <v>140</v>
      </c>
      <c r="BC49">
        <v>143</v>
      </c>
      <c r="BD49">
        <v>143</v>
      </c>
      <c r="BE49">
        <v>144</v>
      </c>
      <c r="BF49">
        <v>144</v>
      </c>
      <c r="BG49">
        <v>144</v>
      </c>
      <c r="BH49">
        <v>144</v>
      </c>
      <c r="BI49">
        <v>144</v>
      </c>
      <c r="BJ49">
        <v>144</v>
      </c>
      <c r="BK49">
        <v>144</v>
      </c>
      <c r="BL49">
        <v>144</v>
      </c>
      <c r="BM49">
        <v>144</v>
      </c>
      <c r="BN49">
        <v>144</v>
      </c>
      <c r="BO49">
        <v>144</v>
      </c>
      <c r="BP49">
        <v>144</v>
      </c>
      <c r="BQ49">
        <v>144</v>
      </c>
      <c r="BR49">
        <v>144</v>
      </c>
      <c r="BS49">
        <v>144</v>
      </c>
    </row>
    <row r="50" spans="1:71" x14ac:dyDescent="0.25">
      <c r="A50" s="1" t="s">
        <v>132</v>
      </c>
      <c r="B50" s="1" t="s">
        <v>109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1</v>
      </c>
      <c r="M50">
        <v>1</v>
      </c>
      <c r="N50">
        <v>4</v>
      </c>
      <c r="O50">
        <v>4</v>
      </c>
      <c r="P50">
        <v>5</v>
      </c>
      <c r="Q50">
        <v>5</v>
      </c>
      <c r="R50">
        <v>8</v>
      </c>
      <c r="S50">
        <v>10</v>
      </c>
      <c r="T50">
        <v>14</v>
      </c>
      <c r="U50">
        <v>19</v>
      </c>
      <c r="V50">
        <v>19</v>
      </c>
      <c r="W50">
        <v>20</v>
      </c>
      <c r="X50">
        <v>27</v>
      </c>
      <c r="Y50">
        <v>30</v>
      </c>
      <c r="Z50">
        <v>43</v>
      </c>
      <c r="AA50">
        <v>39</v>
      </c>
      <c r="AB50">
        <v>52</v>
      </c>
      <c r="AC50">
        <v>59</v>
      </c>
      <c r="AD50">
        <v>79</v>
      </c>
      <c r="AE50">
        <v>84</v>
      </c>
      <c r="AF50">
        <v>86</v>
      </c>
      <c r="AG50">
        <v>95</v>
      </c>
      <c r="AH50">
        <v>104</v>
      </c>
      <c r="AI50">
        <v>106</v>
      </c>
      <c r="AJ50">
        <v>116</v>
      </c>
      <c r="AK50">
        <v>124</v>
      </c>
      <c r="AL50">
        <v>129</v>
      </c>
      <c r="AM50">
        <v>131</v>
      </c>
      <c r="AN50">
        <v>133</v>
      </c>
      <c r="AO50">
        <v>148</v>
      </c>
      <c r="AP50">
        <v>149</v>
      </c>
      <c r="AQ50">
        <v>151</v>
      </c>
      <c r="AR50">
        <v>155</v>
      </c>
      <c r="AS50">
        <v>158</v>
      </c>
      <c r="AT50">
        <v>158</v>
      </c>
      <c r="AU50">
        <v>158</v>
      </c>
      <c r="AV50">
        <v>158</v>
      </c>
      <c r="AW50">
        <v>159</v>
      </c>
      <c r="AX50">
        <v>159</v>
      </c>
      <c r="AY50">
        <v>159</v>
      </c>
      <c r="AZ50">
        <v>159</v>
      </c>
      <c r="BA50">
        <v>160</v>
      </c>
      <c r="BB50">
        <v>160</v>
      </c>
      <c r="BC50">
        <v>160</v>
      </c>
      <c r="BD50">
        <v>160</v>
      </c>
      <c r="BE50">
        <v>161</v>
      </c>
      <c r="BF50">
        <v>161</v>
      </c>
      <c r="BG50">
        <v>161</v>
      </c>
      <c r="BH50">
        <v>161</v>
      </c>
      <c r="BI50">
        <v>161</v>
      </c>
      <c r="BJ50">
        <v>161</v>
      </c>
      <c r="BK50">
        <v>161</v>
      </c>
      <c r="BL50">
        <v>161</v>
      </c>
      <c r="BM50">
        <v>168</v>
      </c>
      <c r="BN50">
        <v>168</v>
      </c>
      <c r="BO50">
        <v>168</v>
      </c>
      <c r="BP50">
        <v>168</v>
      </c>
      <c r="BQ50">
        <v>168</v>
      </c>
      <c r="BR50">
        <v>168</v>
      </c>
      <c r="BS50">
        <v>168</v>
      </c>
    </row>
    <row r="51" spans="1:71" x14ac:dyDescent="0.25">
      <c r="A51" s="1" t="s">
        <v>127</v>
      </c>
      <c r="B51" s="1" t="s">
        <v>109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3</v>
      </c>
      <c r="O51">
        <v>3</v>
      </c>
      <c r="P51">
        <v>4</v>
      </c>
      <c r="Q51">
        <v>6</v>
      </c>
      <c r="R51">
        <v>13</v>
      </c>
      <c r="S51">
        <v>22</v>
      </c>
      <c r="T51">
        <v>30</v>
      </c>
      <c r="U51">
        <v>34</v>
      </c>
      <c r="V51">
        <v>41</v>
      </c>
      <c r="W51">
        <v>48</v>
      </c>
      <c r="X51">
        <v>54</v>
      </c>
      <c r="Y51">
        <v>68</v>
      </c>
      <c r="Z51">
        <v>87</v>
      </c>
      <c r="AA51">
        <v>101</v>
      </c>
      <c r="AB51">
        <v>105</v>
      </c>
      <c r="AC51">
        <v>122</v>
      </c>
      <c r="AD51">
        <v>136</v>
      </c>
      <c r="AE51">
        <v>152</v>
      </c>
      <c r="AF51">
        <v>169</v>
      </c>
      <c r="AG51">
        <v>184</v>
      </c>
      <c r="AH51">
        <v>203</v>
      </c>
      <c r="AI51">
        <v>219</v>
      </c>
      <c r="AJ51">
        <v>234</v>
      </c>
      <c r="AK51">
        <v>248</v>
      </c>
      <c r="AL51">
        <v>261</v>
      </c>
      <c r="AM51">
        <v>274</v>
      </c>
      <c r="AN51">
        <v>277</v>
      </c>
      <c r="AO51">
        <v>282</v>
      </c>
      <c r="AP51">
        <v>294</v>
      </c>
      <c r="AQ51">
        <v>296</v>
      </c>
      <c r="AR51">
        <v>300</v>
      </c>
      <c r="AS51">
        <v>301</v>
      </c>
      <c r="AT51">
        <v>304</v>
      </c>
      <c r="AU51">
        <v>305</v>
      </c>
      <c r="AV51">
        <v>307</v>
      </c>
      <c r="AW51">
        <v>307</v>
      </c>
      <c r="AX51">
        <v>307</v>
      </c>
      <c r="AY51">
        <v>307</v>
      </c>
      <c r="AZ51">
        <v>307</v>
      </c>
      <c r="BA51">
        <v>308</v>
      </c>
      <c r="BB51">
        <v>310</v>
      </c>
      <c r="BC51">
        <v>310</v>
      </c>
      <c r="BD51">
        <v>310</v>
      </c>
      <c r="BE51">
        <v>310</v>
      </c>
      <c r="BF51">
        <v>310</v>
      </c>
      <c r="BG51">
        <v>310</v>
      </c>
      <c r="BH51">
        <v>310</v>
      </c>
      <c r="BI51">
        <v>310</v>
      </c>
      <c r="BJ51">
        <v>310</v>
      </c>
      <c r="BK51">
        <v>310</v>
      </c>
      <c r="BL51">
        <v>310</v>
      </c>
      <c r="BM51">
        <v>310</v>
      </c>
      <c r="BN51">
        <v>310</v>
      </c>
      <c r="BO51">
        <v>310</v>
      </c>
      <c r="BP51">
        <v>310</v>
      </c>
      <c r="BQ51">
        <v>310</v>
      </c>
      <c r="BR51">
        <v>310</v>
      </c>
      <c r="BS51">
        <v>310</v>
      </c>
    </row>
    <row r="52" spans="1:71" x14ac:dyDescent="0.25">
      <c r="A52" s="1" t="s">
        <v>123</v>
      </c>
      <c r="B52" s="1" t="s">
        <v>109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2</v>
      </c>
      <c r="N52">
        <v>2</v>
      </c>
      <c r="O52">
        <v>2</v>
      </c>
      <c r="P52">
        <v>4</v>
      </c>
      <c r="Q52">
        <v>7</v>
      </c>
      <c r="R52">
        <v>8</v>
      </c>
      <c r="S52">
        <v>12</v>
      </c>
      <c r="T52">
        <v>13</v>
      </c>
      <c r="U52">
        <v>14</v>
      </c>
      <c r="V52">
        <v>30</v>
      </c>
      <c r="W52">
        <v>28</v>
      </c>
      <c r="X52">
        <v>31</v>
      </c>
      <c r="Y52">
        <v>33</v>
      </c>
      <c r="Z52">
        <v>47</v>
      </c>
      <c r="AA52">
        <v>68</v>
      </c>
      <c r="AB52">
        <v>79</v>
      </c>
      <c r="AC52">
        <v>85</v>
      </c>
      <c r="AD52">
        <v>111</v>
      </c>
      <c r="AE52">
        <v>120</v>
      </c>
      <c r="AF52">
        <v>136</v>
      </c>
      <c r="AG52">
        <v>175</v>
      </c>
      <c r="AH52">
        <v>204</v>
      </c>
      <c r="AI52">
        <v>222</v>
      </c>
      <c r="AJ52">
        <v>227</v>
      </c>
      <c r="AK52">
        <v>243</v>
      </c>
      <c r="AL52">
        <v>249</v>
      </c>
      <c r="AM52">
        <v>270</v>
      </c>
      <c r="AN52">
        <v>283</v>
      </c>
      <c r="AO52">
        <v>301</v>
      </c>
      <c r="AP52">
        <v>342</v>
      </c>
      <c r="AQ52">
        <v>356</v>
      </c>
      <c r="AR52">
        <v>366</v>
      </c>
      <c r="AS52">
        <v>373</v>
      </c>
      <c r="AT52">
        <v>379</v>
      </c>
      <c r="AU52">
        <v>396</v>
      </c>
      <c r="AV52">
        <v>403</v>
      </c>
      <c r="AW52">
        <v>412</v>
      </c>
      <c r="AX52">
        <v>430</v>
      </c>
      <c r="AY52">
        <v>434</v>
      </c>
      <c r="AZ52">
        <v>436</v>
      </c>
      <c r="BA52">
        <v>441</v>
      </c>
      <c r="BB52">
        <v>446</v>
      </c>
      <c r="BC52">
        <v>447</v>
      </c>
      <c r="BD52">
        <v>453</v>
      </c>
      <c r="BE52">
        <v>455</v>
      </c>
      <c r="BF52">
        <v>456</v>
      </c>
      <c r="BG52">
        <v>459</v>
      </c>
      <c r="BH52">
        <v>460</v>
      </c>
      <c r="BI52">
        <v>463</v>
      </c>
      <c r="BJ52">
        <v>463</v>
      </c>
      <c r="BK52">
        <v>466</v>
      </c>
      <c r="BL52">
        <v>465</v>
      </c>
      <c r="BM52">
        <v>468</v>
      </c>
      <c r="BN52">
        <v>468</v>
      </c>
      <c r="BO52">
        <v>469</v>
      </c>
      <c r="BP52">
        <v>469</v>
      </c>
      <c r="BQ52">
        <v>469</v>
      </c>
      <c r="BR52">
        <v>469</v>
      </c>
      <c r="BS52">
        <v>469</v>
      </c>
    </row>
    <row r="53" spans="1:71" x14ac:dyDescent="0.25">
      <c r="A53" s="1" t="s">
        <v>114</v>
      </c>
      <c r="B53" s="1" t="s">
        <v>109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1</v>
      </c>
      <c r="K53">
        <v>2</v>
      </c>
      <c r="L53">
        <v>3</v>
      </c>
      <c r="M53">
        <v>3</v>
      </c>
      <c r="N53">
        <v>10</v>
      </c>
      <c r="O53">
        <v>16</v>
      </c>
      <c r="P53">
        <v>27</v>
      </c>
      <c r="Q53">
        <v>47</v>
      </c>
      <c r="R53">
        <v>56</v>
      </c>
      <c r="S53">
        <v>86</v>
      </c>
      <c r="T53">
        <v>116</v>
      </c>
      <c r="U53">
        <v>153</v>
      </c>
      <c r="V53">
        <v>191</v>
      </c>
      <c r="W53">
        <v>218</v>
      </c>
      <c r="X53">
        <v>246</v>
      </c>
      <c r="Y53">
        <v>296</v>
      </c>
      <c r="Z53">
        <v>357</v>
      </c>
      <c r="AA53">
        <v>391</v>
      </c>
      <c r="AB53">
        <v>440</v>
      </c>
      <c r="AC53">
        <v>509</v>
      </c>
      <c r="AD53">
        <v>522</v>
      </c>
      <c r="AE53">
        <v>573</v>
      </c>
      <c r="AF53">
        <v>637</v>
      </c>
      <c r="AG53">
        <v>736</v>
      </c>
      <c r="AH53">
        <v>830</v>
      </c>
      <c r="AI53">
        <v>868</v>
      </c>
      <c r="AJ53">
        <v>943</v>
      </c>
      <c r="AK53">
        <v>1002</v>
      </c>
      <c r="AL53">
        <v>1033</v>
      </c>
      <c r="AM53">
        <v>1068</v>
      </c>
      <c r="AN53">
        <v>1112</v>
      </c>
      <c r="AO53">
        <v>1170</v>
      </c>
      <c r="AP53">
        <v>1198</v>
      </c>
      <c r="AQ53">
        <v>1205</v>
      </c>
      <c r="AR53">
        <v>1231</v>
      </c>
      <c r="AS53">
        <v>1234</v>
      </c>
      <c r="AT53">
        <v>1239</v>
      </c>
      <c r="AU53">
        <v>1244</v>
      </c>
      <c r="AV53">
        <v>1244</v>
      </c>
      <c r="AW53">
        <v>1247</v>
      </c>
      <c r="AX53">
        <v>1247</v>
      </c>
      <c r="AY53">
        <v>1247</v>
      </c>
      <c r="AZ53">
        <v>1249</v>
      </c>
      <c r="BA53">
        <v>1249</v>
      </c>
      <c r="BB53">
        <v>1249</v>
      </c>
      <c r="BC53">
        <v>1250</v>
      </c>
      <c r="BD53">
        <v>1250</v>
      </c>
      <c r="BE53">
        <v>1250</v>
      </c>
      <c r="BF53">
        <v>1250</v>
      </c>
      <c r="BG53">
        <v>1250</v>
      </c>
      <c r="BH53">
        <v>1250</v>
      </c>
      <c r="BI53">
        <v>1250</v>
      </c>
      <c r="BJ53">
        <v>1250</v>
      </c>
      <c r="BK53">
        <v>1250</v>
      </c>
      <c r="BL53">
        <v>1250</v>
      </c>
      <c r="BM53">
        <v>1250</v>
      </c>
      <c r="BN53">
        <v>1250</v>
      </c>
      <c r="BO53">
        <v>1250</v>
      </c>
      <c r="BP53">
        <v>1250</v>
      </c>
      <c r="BQ53">
        <v>1251</v>
      </c>
      <c r="BR53">
        <v>1251</v>
      </c>
      <c r="BS53">
        <v>1251</v>
      </c>
    </row>
    <row r="54" spans="1:71" x14ac:dyDescent="0.25">
      <c r="A54" s="1" t="s">
        <v>137</v>
      </c>
      <c r="B54" s="1" t="s">
        <v>109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1</v>
      </c>
      <c r="Y54">
        <v>1</v>
      </c>
      <c r="Z54">
        <v>1</v>
      </c>
      <c r="AA54">
        <v>1</v>
      </c>
      <c r="AB54">
        <v>2</v>
      </c>
      <c r="AC54">
        <v>2</v>
      </c>
      <c r="AD54">
        <v>2</v>
      </c>
      <c r="AE54">
        <v>5</v>
      </c>
      <c r="AF54">
        <v>6</v>
      </c>
      <c r="AG54">
        <v>5</v>
      </c>
      <c r="AH54">
        <v>6</v>
      </c>
      <c r="AI54">
        <v>11</v>
      </c>
      <c r="AJ54">
        <v>19</v>
      </c>
      <c r="AK54">
        <v>19</v>
      </c>
      <c r="AL54">
        <v>24</v>
      </c>
      <c r="AM54">
        <v>24</v>
      </c>
      <c r="AN54">
        <v>30</v>
      </c>
      <c r="AO54">
        <v>33</v>
      </c>
      <c r="AP54">
        <v>36</v>
      </c>
      <c r="AQ54">
        <v>36</v>
      </c>
      <c r="AR54">
        <v>37</v>
      </c>
      <c r="AS54">
        <v>37</v>
      </c>
      <c r="AT54">
        <v>43</v>
      </c>
      <c r="AU54">
        <v>46</v>
      </c>
      <c r="AV54">
        <v>51</v>
      </c>
      <c r="AW54">
        <v>58</v>
      </c>
      <c r="AX54">
        <v>59</v>
      </c>
      <c r="AY54">
        <v>65</v>
      </c>
      <c r="AZ54">
        <v>65</v>
      </c>
      <c r="BA54">
        <v>67</v>
      </c>
      <c r="BB54">
        <v>77</v>
      </c>
      <c r="BC54">
        <v>78</v>
      </c>
      <c r="BD54">
        <v>81</v>
      </c>
      <c r="BE54">
        <v>84</v>
      </c>
      <c r="BF54">
        <v>88</v>
      </c>
      <c r="BG54">
        <v>92</v>
      </c>
      <c r="BH54">
        <v>95</v>
      </c>
      <c r="BI54">
        <v>98</v>
      </c>
      <c r="BJ54">
        <v>98</v>
      </c>
      <c r="BK54">
        <v>100</v>
      </c>
      <c r="BL54">
        <v>100</v>
      </c>
      <c r="BM54">
        <v>101</v>
      </c>
      <c r="BN54">
        <v>102</v>
      </c>
      <c r="BO54">
        <v>110</v>
      </c>
      <c r="BP54">
        <v>110</v>
      </c>
      <c r="BQ54">
        <v>112</v>
      </c>
      <c r="BR54">
        <v>112</v>
      </c>
      <c r="BS54">
        <v>123</v>
      </c>
    </row>
    <row r="55" spans="1:71" x14ac:dyDescent="0.25">
      <c r="A55" s="1" t="s">
        <v>108</v>
      </c>
      <c r="B55" s="1" t="s">
        <v>109</v>
      </c>
      <c r="C55">
        <v>28</v>
      </c>
      <c r="D55">
        <v>28</v>
      </c>
      <c r="E55">
        <v>31</v>
      </c>
      <c r="F55">
        <v>32</v>
      </c>
      <c r="G55">
        <v>42</v>
      </c>
      <c r="H55">
        <v>45</v>
      </c>
      <c r="I55">
        <v>80</v>
      </c>
      <c r="J55">
        <v>88</v>
      </c>
      <c r="K55">
        <v>90</v>
      </c>
      <c r="L55">
        <v>141</v>
      </c>
      <c r="M55">
        <v>168</v>
      </c>
      <c r="N55">
        <v>295</v>
      </c>
      <c r="O55">
        <v>386</v>
      </c>
      <c r="P55">
        <v>522</v>
      </c>
      <c r="Q55">
        <v>633</v>
      </c>
      <c r="R55">
        <v>817</v>
      </c>
      <c r="S55">
        <v>1115</v>
      </c>
      <c r="T55">
        <v>1439</v>
      </c>
      <c r="U55">
        <v>1795</v>
      </c>
      <c r="V55">
        <v>2222</v>
      </c>
      <c r="W55">
        <v>2639</v>
      </c>
      <c r="X55">
        <v>2686</v>
      </c>
      <c r="Y55">
        <v>3459</v>
      </c>
      <c r="Z55">
        <v>4774</v>
      </c>
      <c r="AA55">
        <v>5623</v>
      </c>
      <c r="AB55">
        <v>6639</v>
      </c>
      <c r="AC55">
        <v>7862</v>
      </c>
      <c r="AD55">
        <v>9128</v>
      </c>
      <c r="AE55">
        <v>10337</v>
      </c>
      <c r="AF55">
        <v>11788</v>
      </c>
      <c r="AG55">
        <v>11881</v>
      </c>
      <c r="AH55">
        <v>15299</v>
      </c>
      <c r="AI55">
        <v>15343</v>
      </c>
      <c r="AJ55">
        <v>16748</v>
      </c>
      <c r="AK55">
        <v>18971</v>
      </c>
      <c r="AL55">
        <v>20969</v>
      </c>
      <c r="AM55">
        <v>23383</v>
      </c>
      <c r="AN55">
        <v>26403</v>
      </c>
      <c r="AO55">
        <v>28993</v>
      </c>
      <c r="AP55">
        <v>31536</v>
      </c>
      <c r="AQ55">
        <v>33934</v>
      </c>
      <c r="AR55">
        <v>36208</v>
      </c>
      <c r="AS55">
        <v>38557</v>
      </c>
      <c r="AT55">
        <v>40592</v>
      </c>
      <c r="AU55">
        <v>42033</v>
      </c>
      <c r="AV55">
        <v>43500</v>
      </c>
      <c r="AW55">
        <v>45235</v>
      </c>
      <c r="AX55">
        <v>46488</v>
      </c>
      <c r="AY55">
        <v>47743</v>
      </c>
      <c r="AZ55">
        <v>49134</v>
      </c>
      <c r="BA55">
        <v>50318</v>
      </c>
      <c r="BB55">
        <v>51553</v>
      </c>
      <c r="BC55">
        <v>52960</v>
      </c>
      <c r="BD55">
        <v>54288</v>
      </c>
      <c r="BE55">
        <v>55142</v>
      </c>
      <c r="BF55">
        <v>56003</v>
      </c>
      <c r="BG55">
        <v>56927</v>
      </c>
      <c r="BH55">
        <v>57682</v>
      </c>
      <c r="BI55">
        <v>58382</v>
      </c>
      <c r="BJ55">
        <v>58946</v>
      </c>
      <c r="BK55">
        <v>59433</v>
      </c>
      <c r="BL55">
        <v>59879</v>
      </c>
      <c r="BM55">
        <v>60324</v>
      </c>
      <c r="BN55">
        <v>60811</v>
      </c>
      <c r="BO55">
        <v>61201</v>
      </c>
      <c r="BP55">
        <v>61732</v>
      </c>
      <c r="BQ55">
        <v>62098</v>
      </c>
      <c r="BR55">
        <v>62570</v>
      </c>
      <c r="BS55">
        <v>62889</v>
      </c>
    </row>
    <row r="56" spans="1:71" x14ac:dyDescent="0.25">
      <c r="A56" s="1" t="s">
        <v>116</v>
      </c>
      <c r="B56" s="1" t="s">
        <v>109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2</v>
      </c>
      <c r="L56">
        <v>2</v>
      </c>
      <c r="M56">
        <v>8</v>
      </c>
      <c r="N56">
        <v>16</v>
      </c>
      <c r="O56">
        <v>22</v>
      </c>
      <c r="P56">
        <v>31</v>
      </c>
      <c r="Q56">
        <v>54</v>
      </c>
      <c r="R56">
        <v>81</v>
      </c>
      <c r="S56">
        <v>112</v>
      </c>
      <c r="T56">
        <v>156</v>
      </c>
      <c r="U56">
        <v>186</v>
      </c>
      <c r="V56">
        <v>208</v>
      </c>
      <c r="W56">
        <v>247</v>
      </c>
      <c r="X56">
        <v>304</v>
      </c>
      <c r="Y56">
        <v>339</v>
      </c>
      <c r="Z56">
        <v>364</v>
      </c>
      <c r="AA56">
        <v>425</v>
      </c>
      <c r="AB56">
        <v>464</v>
      </c>
      <c r="AC56">
        <v>498</v>
      </c>
      <c r="AD56">
        <v>527</v>
      </c>
      <c r="AE56">
        <v>561</v>
      </c>
      <c r="AF56">
        <v>634</v>
      </c>
      <c r="AG56">
        <v>661</v>
      </c>
      <c r="AH56">
        <v>692</v>
      </c>
      <c r="AI56">
        <v>714</v>
      </c>
      <c r="AJ56">
        <v>731</v>
      </c>
      <c r="AK56">
        <v>768</v>
      </c>
      <c r="AL56">
        <v>783</v>
      </c>
      <c r="AM56">
        <v>804</v>
      </c>
      <c r="AN56">
        <v>830</v>
      </c>
      <c r="AO56">
        <v>846</v>
      </c>
      <c r="AP56">
        <v>866</v>
      </c>
      <c r="AQ56">
        <v>887</v>
      </c>
      <c r="AR56">
        <v>906</v>
      </c>
      <c r="AS56">
        <v>916</v>
      </c>
      <c r="AT56">
        <v>938</v>
      </c>
      <c r="AU56">
        <v>955</v>
      </c>
      <c r="AV56">
        <v>960</v>
      </c>
      <c r="AW56">
        <v>968</v>
      </c>
      <c r="AX56">
        <v>979</v>
      </c>
      <c r="AY56">
        <v>990</v>
      </c>
      <c r="AZ56">
        <v>995</v>
      </c>
      <c r="BA56">
        <v>999</v>
      </c>
      <c r="BB56">
        <v>1005</v>
      </c>
      <c r="BC56">
        <v>1014</v>
      </c>
      <c r="BD56">
        <v>1014</v>
      </c>
      <c r="BE56">
        <v>1014</v>
      </c>
      <c r="BF56">
        <v>1014</v>
      </c>
      <c r="BG56">
        <v>1014</v>
      </c>
      <c r="BH56">
        <v>1014</v>
      </c>
      <c r="BI56">
        <v>1014</v>
      </c>
      <c r="BJ56">
        <v>1014</v>
      </c>
      <c r="BK56">
        <v>1014</v>
      </c>
      <c r="BL56">
        <v>1014</v>
      </c>
      <c r="BM56">
        <v>1014</v>
      </c>
      <c r="BN56">
        <v>1014</v>
      </c>
      <c r="BO56">
        <v>1014</v>
      </c>
      <c r="BP56">
        <v>1014</v>
      </c>
      <c r="BQ56">
        <v>1014</v>
      </c>
      <c r="BR56">
        <v>1014</v>
      </c>
      <c r="BS56">
        <v>1014</v>
      </c>
    </row>
    <row r="57" spans="1:71" x14ac:dyDescent="0.25">
      <c r="A57" s="1" t="s">
        <v>142</v>
      </c>
      <c r="B57" s="1" t="s">
        <v>109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1</v>
      </c>
      <c r="M57">
        <v>1</v>
      </c>
      <c r="N57">
        <v>1</v>
      </c>
      <c r="O57">
        <v>1</v>
      </c>
      <c r="P57">
        <v>1</v>
      </c>
      <c r="Q57">
        <v>3</v>
      </c>
      <c r="R57">
        <v>4</v>
      </c>
      <c r="S57">
        <v>5</v>
      </c>
      <c r="T57">
        <v>5</v>
      </c>
      <c r="U57">
        <v>5</v>
      </c>
      <c r="V57">
        <v>5</v>
      </c>
      <c r="W57">
        <v>5</v>
      </c>
      <c r="X57">
        <v>6</v>
      </c>
      <c r="Y57">
        <v>6</v>
      </c>
      <c r="Z57">
        <v>6</v>
      </c>
      <c r="AA57">
        <v>7</v>
      </c>
      <c r="AB57">
        <v>8</v>
      </c>
      <c r="AC57">
        <v>8</v>
      </c>
      <c r="AD57">
        <v>8</v>
      </c>
      <c r="AE57">
        <v>10</v>
      </c>
      <c r="AF57">
        <v>16</v>
      </c>
      <c r="AG57">
        <v>17</v>
      </c>
      <c r="AH57">
        <v>26</v>
      </c>
      <c r="AI57">
        <v>27</v>
      </c>
      <c r="AJ57">
        <v>34</v>
      </c>
      <c r="AK57">
        <v>35</v>
      </c>
      <c r="AL57">
        <v>38</v>
      </c>
      <c r="AM57">
        <v>43</v>
      </c>
      <c r="AN57">
        <v>45</v>
      </c>
      <c r="AO57">
        <v>49</v>
      </c>
      <c r="AP57">
        <v>52</v>
      </c>
      <c r="AQ57">
        <v>54</v>
      </c>
      <c r="AR57">
        <v>59</v>
      </c>
      <c r="AS57">
        <v>63</v>
      </c>
      <c r="AT57">
        <v>65</v>
      </c>
      <c r="AU57">
        <v>65</v>
      </c>
      <c r="AV57">
        <v>67</v>
      </c>
      <c r="AW57">
        <v>70</v>
      </c>
      <c r="AX57">
        <v>70</v>
      </c>
      <c r="AY57">
        <v>70</v>
      </c>
      <c r="AZ57">
        <v>71</v>
      </c>
      <c r="BA57">
        <v>71</v>
      </c>
      <c r="BB57">
        <v>71</v>
      </c>
      <c r="BC57">
        <v>71</v>
      </c>
      <c r="BD57">
        <v>71</v>
      </c>
      <c r="BE57">
        <v>73</v>
      </c>
      <c r="BF57">
        <v>73</v>
      </c>
      <c r="BG57">
        <v>73</v>
      </c>
      <c r="BH57">
        <v>74</v>
      </c>
      <c r="BI57">
        <v>74</v>
      </c>
      <c r="BJ57">
        <v>74</v>
      </c>
      <c r="BK57">
        <v>74</v>
      </c>
      <c r="BL57">
        <v>74</v>
      </c>
      <c r="BM57">
        <v>74</v>
      </c>
      <c r="BN57">
        <v>74</v>
      </c>
      <c r="BO57">
        <v>74</v>
      </c>
      <c r="BP57">
        <v>74</v>
      </c>
      <c r="BQ57">
        <v>74</v>
      </c>
      <c r="BR57">
        <v>74</v>
      </c>
      <c r="BS57">
        <v>74</v>
      </c>
    </row>
    <row r="58" spans="1:71" x14ac:dyDescent="0.25">
      <c r="A58" s="1" t="s">
        <v>120</v>
      </c>
      <c r="B58" s="1" t="s">
        <v>109</v>
      </c>
      <c r="C58">
        <v>0</v>
      </c>
      <c r="D58">
        <v>0</v>
      </c>
      <c r="E58">
        <v>0</v>
      </c>
      <c r="F58">
        <v>1</v>
      </c>
      <c r="G58">
        <v>1</v>
      </c>
      <c r="H58">
        <v>1</v>
      </c>
      <c r="I58">
        <v>1</v>
      </c>
      <c r="J58">
        <v>1</v>
      </c>
      <c r="K58">
        <v>1</v>
      </c>
      <c r="L58">
        <v>5</v>
      </c>
      <c r="M58">
        <v>6</v>
      </c>
      <c r="N58">
        <v>7</v>
      </c>
      <c r="O58">
        <v>8</v>
      </c>
      <c r="P58">
        <v>12</v>
      </c>
      <c r="Q58">
        <v>23</v>
      </c>
      <c r="R58">
        <v>34</v>
      </c>
      <c r="S58">
        <v>43</v>
      </c>
      <c r="T58">
        <v>51</v>
      </c>
      <c r="U58">
        <v>71</v>
      </c>
      <c r="V58">
        <v>81</v>
      </c>
      <c r="W58">
        <v>93</v>
      </c>
      <c r="X58">
        <v>125</v>
      </c>
      <c r="Y58">
        <v>139</v>
      </c>
      <c r="Z58">
        <v>157</v>
      </c>
      <c r="AA58">
        <v>186</v>
      </c>
      <c r="AB58">
        <v>218</v>
      </c>
      <c r="AC58">
        <v>258</v>
      </c>
      <c r="AD58">
        <v>280</v>
      </c>
      <c r="AE58">
        <v>318</v>
      </c>
      <c r="AF58">
        <v>356</v>
      </c>
      <c r="AG58">
        <v>373</v>
      </c>
      <c r="AH58">
        <v>401</v>
      </c>
      <c r="AI58">
        <v>418</v>
      </c>
      <c r="AJ58">
        <v>452</v>
      </c>
      <c r="AK58">
        <v>458</v>
      </c>
      <c r="AL58">
        <v>478</v>
      </c>
      <c r="AM58">
        <v>498</v>
      </c>
      <c r="AN58">
        <v>515</v>
      </c>
      <c r="AO58">
        <v>523</v>
      </c>
      <c r="AP58">
        <v>536</v>
      </c>
      <c r="AQ58">
        <v>543</v>
      </c>
      <c r="AR58">
        <v>562</v>
      </c>
      <c r="AS58">
        <v>577</v>
      </c>
      <c r="AT58">
        <v>583</v>
      </c>
      <c r="AU58">
        <v>594</v>
      </c>
      <c r="AV58">
        <v>606</v>
      </c>
      <c r="AW58">
        <v>612</v>
      </c>
      <c r="AX58">
        <v>621</v>
      </c>
      <c r="AY58">
        <v>627</v>
      </c>
      <c r="AZ58">
        <v>627</v>
      </c>
      <c r="BA58">
        <v>629</v>
      </c>
      <c r="BB58">
        <v>630</v>
      </c>
      <c r="BC58">
        <v>630</v>
      </c>
      <c r="BD58">
        <v>631</v>
      </c>
      <c r="BE58">
        <v>631</v>
      </c>
      <c r="BF58">
        <v>631</v>
      </c>
      <c r="BG58">
        <v>631</v>
      </c>
      <c r="BH58">
        <v>631</v>
      </c>
      <c r="BI58">
        <v>631</v>
      </c>
      <c r="BJ58">
        <v>631</v>
      </c>
      <c r="BK58">
        <v>631</v>
      </c>
      <c r="BL58">
        <v>631</v>
      </c>
      <c r="BM58">
        <v>631</v>
      </c>
      <c r="BN58">
        <v>631</v>
      </c>
      <c r="BO58">
        <v>631</v>
      </c>
      <c r="BP58">
        <v>631</v>
      </c>
      <c r="BQ58">
        <v>631</v>
      </c>
      <c r="BR58">
        <v>631</v>
      </c>
      <c r="BS58">
        <v>631</v>
      </c>
    </row>
    <row r="59" spans="1:71" x14ac:dyDescent="0.25">
      <c r="A59" s="1" t="s">
        <v>118</v>
      </c>
      <c r="B59" s="1" t="s">
        <v>109</v>
      </c>
      <c r="C59">
        <v>0</v>
      </c>
      <c r="D59">
        <v>0</v>
      </c>
      <c r="E59">
        <v>0</v>
      </c>
      <c r="F59">
        <v>0</v>
      </c>
      <c r="G59">
        <v>0</v>
      </c>
      <c r="H59">
        <v>2</v>
      </c>
      <c r="I59">
        <v>3</v>
      </c>
      <c r="J59">
        <v>3</v>
      </c>
      <c r="K59">
        <v>5</v>
      </c>
      <c r="L59">
        <v>7</v>
      </c>
      <c r="M59">
        <v>9</v>
      </c>
      <c r="N59">
        <v>12</v>
      </c>
      <c r="O59">
        <v>18</v>
      </c>
      <c r="P59">
        <v>20</v>
      </c>
      <c r="Q59">
        <v>27</v>
      </c>
      <c r="R59">
        <v>37</v>
      </c>
      <c r="S59">
        <v>45</v>
      </c>
      <c r="T59">
        <v>55</v>
      </c>
      <c r="U59">
        <v>73</v>
      </c>
      <c r="V59">
        <v>105</v>
      </c>
      <c r="W59">
        <v>128</v>
      </c>
      <c r="X59">
        <v>152</v>
      </c>
      <c r="Y59">
        <v>170</v>
      </c>
      <c r="Z59">
        <v>187</v>
      </c>
      <c r="AA59">
        <v>210</v>
      </c>
      <c r="AB59">
        <v>240</v>
      </c>
      <c r="AC59">
        <v>275</v>
      </c>
      <c r="AD59">
        <v>310</v>
      </c>
      <c r="AE59">
        <v>362</v>
      </c>
      <c r="AF59">
        <v>433</v>
      </c>
      <c r="AG59">
        <v>489</v>
      </c>
      <c r="AH59">
        <v>555</v>
      </c>
      <c r="AI59">
        <v>613</v>
      </c>
      <c r="AJ59">
        <v>645</v>
      </c>
      <c r="AK59">
        <v>683</v>
      </c>
      <c r="AL59">
        <v>719</v>
      </c>
      <c r="AM59">
        <v>754</v>
      </c>
      <c r="AN59">
        <v>790</v>
      </c>
      <c r="AO59">
        <v>811</v>
      </c>
      <c r="AP59">
        <v>831</v>
      </c>
      <c r="AQ59">
        <v>850</v>
      </c>
      <c r="AR59">
        <v>870</v>
      </c>
      <c r="AS59">
        <v>884</v>
      </c>
      <c r="AT59">
        <v>901</v>
      </c>
      <c r="AU59">
        <v>909</v>
      </c>
      <c r="AV59">
        <v>916</v>
      </c>
      <c r="AW59">
        <v>919</v>
      </c>
      <c r="AX59">
        <v>923</v>
      </c>
      <c r="AY59">
        <v>927</v>
      </c>
      <c r="AZ59">
        <v>932</v>
      </c>
      <c r="BA59">
        <v>934</v>
      </c>
      <c r="BB59">
        <v>934</v>
      </c>
      <c r="BC59">
        <v>934</v>
      </c>
      <c r="BD59">
        <v>934</v>
      </c>
      <c r="BE59">
        <v>934</v>
      </c>
      <c r="BF59">
        <v>934</v>
      </c>
      <c r="BG59">
        <v>934</v>
      </c>
      <c r="BH59">
        <v>934</v>
      </c>
      <c r="BI59">
        <v>934</v>
      </c>
      <c r="BJ59">
        <v>934</v>
      </c>
      <c r="BK59">
        <v>934</v>
      </c>
      <c r="BL59">
        <v>934</v>
      </c>
      <c r="BM59">
        <v>934</v>
      </c>
      <c r="BN59">
        <v>934</v>
      </c>
      <c r="BO59">
        <v>934</v>
      </c>
      <c r="BP59">
        <v>934</v>
      </c>
      <c r="BQ59">
        <v>934</v>
      </c>
      <c r="BR59">
        <v>934</v>
      </c>
      <c r="BS59">
        <v>935</v>
      </c>
    </row>
    <row r="60" spans="1:71" x14ac:dyDescent="0.25">
      <c r="A60" s="1" t="s">
        <v>139</v>
      </c>
      <c r="B60" s="1" t="s">
        <v>109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2</v>
      </c>
      <c r="R60">
        <v>4</v>
      </c>
      <c r="S60">
        <v>4</v>
      </c>
      <c r="T60">
        <v>4</v>
      </c>
      <c r="U60">
        <v>12</v>
      </c>
      <c r="V60">
        <v>13</v>
      </c>
      <c r="W60">
        <v>18</v>
      </c>
      <c r="X60">
        <v>22</v>
      </c>
      <c r="Y60">
        <v>24</v>
      </c>
      <c r="Z60">
        <v>25</v>
      </c>
      <c r="AA60">
        <v>26</v>
      </c>
      <c r="AB60">
        <v>30</v>
      </c>
      <c r="AC60">
        <v>34</v>
      </c>
      <c r="AD60">
        <v>36</v>
      </c>
      <c r="AE60">
        <v>37</v>
      </c>
      <c r="AF60">
        <v>43</v>
      </c>
      <c r="AG60">
        <v>45</v>
      </c>
      <c r="AH60">
        <v>52</v>
      </c>
      <c r="AI60">
        <v>54</v>
      </c>
      <c r="AJ60">
        <v>60</v>
      </c>
      <c r="AK60">
        <v>63</v>
      </c>
      <c r="AL60">
        <v>65</v>
      </c>
      <c r="AM60">
        <v>67</v>
      </c>
      <c r="AN60">
        <v>73</v>
      </c>
      <c r="AO60">
        <v>75</v>
      </c>
      <c r="AP60">
        <v>78</v>
      </c>
      <c r="AQ60">
        <v>83</v>
      </c>
      <c r="AR60">
        <v>83</v>
      </c>
      <c r="AS60">
        <v>86</v>
      </c>
      <c r="AT60">
        <v>88</v>
      </c>
      <c r="AU60">
        <v>90</v>
      </c>
      <c r="AV60">
        <v>90</v>
      </c>
      <c r="AW60">
        <v>90</v>
      </c>
      <c r="AX60">
        <v>91</v>
      </c>
      <c r="AY60">
        <v>91</v>
      </c>
      <c r="AZ60">
        <v>91</v>
      </c>
      <c r="BA60">
        <v>91</v>
      </c>
      <c r="BB60">
        <v>91</v>
      </c>
      <c r="BC60">
        <v>91</v>
      </c>
      <c r="BD60">
        <v>91</v>
      </c>
      <c r="BE60">
        <v>92</v>
      </c>
      <c r="BF60">
        <v>92</v>
      </c>
      <c r="BG60">
        <v>92</v>
      </c>
      <c r="BH60">
        <v>92</v>
      </c>
      <c r="BI60">
        <v>92</v>
      </c>
      <c r="BJ60">
        <v>92</v>
      </c>
      <c r="BK60">
        <v>92</v>
      </c>
      <c r="BL60">
        <v>92</v>
      </c>
      <c r="BM60">
        <v>92</v>
      </c>
      <c r="BN60">
        <v>92</v>
      </c>
      <c r="BO60">
        <v>92</v>
      </c>
      <c r="BP60">
        <v>92</v>
      </c>
      <c r="BQ60">
        <v>92</v>
      </c>
      <c r="BR60">
        <v>92</v>
      </c>
      <c r="BS60">
        <v>92</v>
      </c>
    </row>
    <row r="61" spans="1:71" x14ac:dyDescent="0.25">
      <c r="A61" s="1" t="s">
        <v>138</v>
      </c>
      <c r="B61" s="1" t="s">
        <v>109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1</v>
      </c>
      <c r="K61">
        <v>1</v>
      </c>
      <c r="L61">
        <v>1</v>
      </c>
      <c r="M61">
        <v>1</v>
      </c>
      <c r="N61">
        <v>1</v>
      </c>
      <c r="O61">
        <v>1</v>
      </c>
      <c r="P61">
        <v>2</v>
      </c>
      <c r="Q61">
        <v>4</v>
      </c>
      <c r="R61">
        <v>5</v>
      </c>
      <c r="S61">
        <v>7</v>
      </c>
      <c r="T61">
        <v>8</v>
      </c>
      <c r="U61">
        <v>12</v>
      </c>
      <c r="V61">
        <v>13</v>
      </c>
      <c r="W61">
        <v>19</v>
      </c>
      <c r="X61">
        <v>20</v>
      </c>
      <c r="Y61">
        <v>22</v>
      </c>
      <c r="Z61">
        <v>29</v>
      </c>
      <c r="AA61">
        <v>31</v>
      </c>
      <c r="AB61">
        <v>40</v>
      </c>
      <c r="AC61">
        <v>43</v>
      </c>
      <c r="AD61">
        <v>53</v>
      </c>
      <c r="AE61">
        <v>55</v>
      </c>
      <c r="AF61">
        <v>59</v>
      </c>
      <c r="AG61">
        <v>61</v>
      </c>
      <c r="AH61">
        <v>66</v>
      </c>
      <c r="AI61">
        <v>73</v>
      </c>
      <c r="AJ61">
        <v>80</v>
      </c>
      <c r="AK61">
        <v>83</v>
      </c>
      <c r="AL61">
        <v>88</v>
      </c>
      <c r="AM61">
        <v>93</v>
      </c>
      <c r="AN61">
        <v>93</v>
      </c>
      <c r="AO61">
        <v>96</v>
      </c>
      <c r="AP61">
        <v>103</v>
      </c>
      <c r="AQ61">
        <v>103</v>
      </c>
      <c r="AR61">
        <v>106</v>
      </c>
      <c r="AS61">
        <v>106</v>
      </c>
      <c r="AT61">
        <v>106</v>
      </c>
      <c r="AU61">
        <v>106</v>
      </c>
      <c r="AV61">
        <v>107</v>
      </c>
      <c r="AW61">
        <v>109</v>
      </c>
      <c r="AX61">
        <v>109</v>
      </c>
      <c r="AY61">
        <v>111</v>
      </c>
      <c r="AZ61">
        <v>111</v>
      </c>
      <c r="BA61">
        <v>112</v>
      </c>
      <c r="BB61">
        <v>112</v>
      </c>
      <c r="BC61">
        <v>113</v>
      </c>
      <c r="BD61">
        <v>114</v>
      </c>
      <c r="BE61">
        <v>115</v>
      </c>
      <c r="BF61">
        <v>120</v>
      </c>
      <c r="BG61">
        <v>122</v>
      </c>
      <c r="BH61">
        <v>122</v>
      </c>
      <c r="BI61">
        <v>122</v>
      </c>
      <c r="BJ61">
        <v>122</v>
      </c>
      <c r="BK61">
        <v>124</v>
      </c>
      <c r="BL61">
        <v>124</v>
      </c>
      <c r="BM61">
        <v>124</v>
      </c>
      <c r="BN61">
        <v>124</v>
      </c>
      <c r="BO61">
        <v>124</v>
      </c>
      <c r="BP61">
        <v>124</v>
      </c>
      <c r="BQ61">
        <v>124</v>
      </c>
      <c r="BR61">
        <v>124</v>
      </c>
      <c r="BS61">
        <v>124</v>
      </c>
    </row>
    <row r="62" spans="1:71" x14ac:dyDescent="0.25">
      <c r="A62" s="1" t="s">
        <v>148</v>
      </c>
      <c r="B62" s="1" t="s">
        <v>109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2</v>
      </c>
      <c r="Y62">
        <v>3</v>
      </c>
      <c r="Z62">
        <v>3</v>
      </c>
      <c r="AA62">
        <v>3</v>
      </c>
      <c r="AB62">
        <v>5</v>
      </c>
      <c r="AC62">
        <v>5</v>
      </c>
      <c r="AD62">
        <v>5</v>
      </c>
      <c r="AE62">
        <v>5</v>
      </c>
      <c r="AF62">
        <v>6</v>
      </c>
      <c r="AG62">
        <v>6</v>
      </c>
      <c r="AH62">
        <v>6</v>
      </c>
      <c r="AI62">
        <v>6</v>
      </c>
      <c r="AJ62">
        <v>6</v>
      </c>
      <c r="AK62">
        <v>7</v>
      </c>
      <c r="AL62">
        <v>7</v>
      </c>
      <c r="AM62">
        <v>8</v>
      </c>
      <c r="AN62">
        <v>8</v>
      </c>
      <c r="AO62">
        <v>8</v>
      </c>
      <c r="AP62">
        <v>8</v>
      </c>
      <c r="AQ62">
        <v>8</v>
      </c>
      <c r="AR62">
        <v>9</v>
      </c>
      <c r="AS62">
        <v>9</v>
      </c>
      <c r="AT62">
        <v>9</v>
      </c>
      <c r="AU62">
        <v>10</v>
      </c>
      <c r="AV62">
        <v>10</v>
      </c>
      <c r="AW62">
        <v>10</v>
      </c>
      <c r="AX62">
        <v>10</v>
      </c>
      <c r="AY62">
        <v>10</v>
      </c>
      <c r="AZ62">
        <v>10</v>
      </c>
      <c r="BA62">
        <v>10</v>
      </c>
      <c r="BB62">
        <v>10</v>
      </c>
      <c r="BC62">
        <v>10</v>
      </c>
      <c r="BD62">
        <v>10</v>
      </c>
      <c r="BE62">
        <v>10</v>
      </c>
      <c r="BF62">
        <v>10</v>
      </c>
      <c r="BG62">
        <v>10</v>
      </c>
      <c r="BH62">
        <v>10</v>
      </c>
      <c r="BI62">
        <v>10</v>
      </c>
      <c r="BJ62">
        <v>10</v>
      </c>
      <c r="BK62">
        <v>10</v>
      </c>
      <c r="BL62">
        <v>10</v>
      </c>
      <c r="BM62">
        <v>10</v>
      </c>
      <c r="BN62">
        <v>10</v>
      </c>
      <c r="BO62">
        <v>10</v>
      </c>
      <c r="BP62">
        <v>10</v>
      </c>
      <c r="BQ62">
        <v>10</v>
      </c>
      <c r="BR62">
        <v>10</v>
      </c>
      <c r="BS62">
        <v>10</v>
      </c>
    </row>
    <row r="63" spans="1:71" x14ac:dyDescent="0.25">
      <c r="A63" s="1" t="s">
        <v>143</v>
      </c>
      <c r="B63" s="1" t="s">
        <v>109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1</v>
      </c>
      <c r="P63">
        <v>1</v>
      </c>
      <c r="Q63">
        <v>1</v>
      </c>
      <c r="R63">
        <v>1</v>
      </c>
      <c r="S63">
        <v>5</v>
      </c>
      <c r="T63">
        <v>15</v>
      </c>
      <c r="U63">
        <v>13</v>
      </c>
      <c r="V63">
        <v>13</v>
      </c>
      <c r="W63">
        <v>22</v>
      </c>
      <c r="X63">
        <v>24</v>
      </c>
      <c r="Y63">
        <v>24</v>
      </c>
      <c r="Z63">
        <v>24</v>
      </c>
      <c r="AA63">
        <v>33</v>
      </c>
      <c r="AB63">
        <v>33</v>
      </c>
      <c r="AC63">
        <v>35</v>
      </c>
      <c r="AD63">
        <v>42</v>
      </c>
      <c r="AE63">
        <v>42</v>
      </c>
      <c r="AF63">
        <v>44</v>
      </c>
      <c r="AG63">
        <v>48</v>
      </c>
      <c r="AH63">
        <v>48</v>
      </c>
      <c r="AI63">
        <v>56</v>
      </c>
      <c r="AJ63">
        <v>58</v>
      </c>
      <c r="AK63">
        <v>61</v>
      </c>
      <c r="AL63">
        <v>65</v>
      </c>
      <c r="AM63">
        <v>68</v>
      </c>
      <c r="AN63">
        <v>68</v>
      </c>
      <c r="AO63">
        <v>69</v>
      </c>
      <c r="AP63">
        <v>69</v>
      </c>
      <c r="AQ63">
        <v>69</v>
      </c>
      <c r="AR63">
        <v>69</v>
      </c>
      <c r="AS63">
        <v>69</v>
      </c>
      <c r="AT63">
        <v>69</v>
      </c>
      <c r="AU63">
        <v>71</v>
      </c>
      <c r="AV63">
        <v>71</v>
      </c>
      <c r="AW63">
        <v>71</v>
      </c>
      <c r="AX63">
        <v>71</v>
      </c>
      <c r="AY63">
        <v>71</v>
      </c>
      <c r="AZ63">
        <v>72</v>
      </c>
      <c r="BA63">
        <v>72</v>
      </c>
      <c r="BB63">
        <v>72</v>
      </c>
      <c r="BC63">
        <v>73</v>
      </c>
      <c r="BD63">
        <v>73</v>
      </c>
      <c r="BE63">
        <v>75</v>
      </c>
      <c r="BF63">
        <v>75</v>
      </c>
      <c r="BG63">
        <v>75</v>
      </c>
      <c r="BH63">
        <v>75</v>
      </c>
      <c r="BI63">
        <v>75</v>
      </c>
      <c r="BJ63">
        <v>75</v>
      </c>
      <c r="BK63">
        <v>75</v>
      </c>
      <c r="BL63">
        <v>75</v>
      </c>
      <c r="BM63">
        <v>75</v>
      </c>
      <c r="BN63">
        <v>75</v>
      </c>
      <c r="BO63">
        <v>75</v>
      </c>
      <c r="BP63">
        <v>75</v>
      </c>
      <c r="BQ63">
        <v>75</v>
      </c>
      <c r="BR63">
        <v>75</v>
      </c>
      <c r="BS63">
        <v>75</v>
      </c>
    </row>
    <row r="64" spans="1:71" x14ac:dyDescent="0.25">
      <c r="A64" s="1" t="s">
        <v>147</v>
      </c>
      <c r="B64" s="1" t="s">
        <v>109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3</v>
      </c>
      <c r="R64">
        <v>3</v>
      </c>
      <c r="S64">
        <v>3</v>
      </c>
      <c r="T64">
        <v>3</v>
      </c>
      <c r="U64">
        <v>3</v>
      </c>
      <c r="V64">
        <v>3</v>
      </c>
      <c r="W64">
        <v>5</v>
      </c>
      <c r="X64">
        <v>9</v>
      </c>
      <c r="Y64">
        <v>11</v>
      </c>
      <c r="Z64">
        <v>11</v>
      </c>
      <c r="AA64">
        <v>13</v>
      </c>
      <c r="AB64">
        <v>13</v>
      </c>
      <c r="AC64">
        <v>13</v>
      </c>
      <c r="AD64">
        <v>15</v>
      </c>
      <c r="AE64">
        <v>16</v>
      </c>
      <c r="AF64">
        <v>16</v>
      </c>
      <c r="AG64">
        <v>18</v>
      </c>
      <c r="AH64">
        <v>18</v>
      </c>
      <c r="AI64">
        <v>18</v>
      </c>
      <c r="AJ64">
        <v>18</v>
      </c>
      <c r="AK64">
        <v>18</v>
      </c>
      <c r="AL64">
        <v>18</v>
      </c>
      <c r="AM64">
        <v>18</v>
      </c>
      <c r="AN64">
        <v>18</v>
      </c>
      <c r="AO64">
        <v>18</v>
      </c>
      <c r="AP64">
        <v>18</v>
      </c>
      <c r="AQ64">
        <v>18</v>
      </c>
      <c r="AR64">
        <v>18</v>
      </c>
      <c r="AS64">
        <v>18</v>
      </c>
      <c r="AT64">
        <v>18</v>
      </c>
      <c r="AU64">
        <v>18</v>
      </c>
      <c r="AV64">
        <v>18</v>
      </c>
      <c r="AW64">
        <v>18</v>
      </c>
      <c r="AX64">
        <v>18</v>
      </c>
      <c r="AY64">
        <v>18</v>
      </c>
      <c r="AZ64">
        <v>18</v>
      </c>
      <c r="BA64">
        <v>18</v>
      </c>
      <c r="BB64">
        <v>18</v>
      </c>
      <c r="BC64">
        <v>18</v>
      </c>
      <c r="BD64">
        <v>18</v>
      </c>
      <c r="BE64">
        <v>18</v>
      </c>
      <c r="BF64">
        <v>18</v>
      </c>
      <c r="BG64">
        <v>18</v>
      </c>
      <c r="BH64">
        <v>18</v>
      </c>
      <c r="BI64">
        <v>18</v>
      </c>
      <c r="BJ64">
        <v>18</v>
      </c>
      <c r="BK64">
        <v>18</v>
      </c>
      <c r="BL64">
        <v>18</v>
      </c>
      <c r="BM64">
        <v>18</v>
      </c>
      <c r="BN64">
        <v>18</v>
      </c>
      <c r="BO64">
        <v>18</v>
      </c>
      <c r="BP64">
        <v>18</v>
      </c>
      <c r="BQ64">
        <v>18</v>
      </c>
      <c r="BR64">
        <v>18</v>
      </c>
      <c r="BS64">
        <v>18</v>
      </c>
    </row>
    <row r="65" spans="1:71" x14ac:dyDescent="0.25">
      <c r="A65" s="1" t="s">
        <v>130</v>
      </c>
      <c r="B65" s="1" t="s">
        <v>109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2</v>
      </c>
      <c r="Q65">
        <v>6</v>
      </c>
      <c r="R65">
        <v>9</v>
      </c>
      <c r="S65">
        <v>17</v>
      </c>
      <c r="T65">
        <v>20</v>
      </c>
      <c r="U65">
        <v>25</v>
      </c>
      <c r="V65">
        <v>30</v>
      </c>
      <c r="W65">
        <v>32</v>
      </c>
      <c r="X65">
        <v>43</v>
      </c>
      <c r="Y65">
        <v>46</v>
      </c>
      <c r="Z65">
        <v>54</v>
      </c>
      <c r="AA65">
        <v>60</v>
      </c>
      <c r="AB65">
        <v>71</v>
      </c>
      <c r="AC65">
        <v>79</v>
      </c>
      <c r="AD65">
        <v>89</v>
      </c>
      <c r="AE65">
        <v>102</v>
      </c>
      <c r="AF65">
        <v>118</v>
      </c>
      <c r="AG65">
        <v>134</v>
      </c>
      <c r="AH65">
        <v>149</v>
      </c>
      <c r="AI65">
        <v>163</v>
      </c>
      <c r="AJ65">
        <v>173</v>
      </c>
      <c r="AK65">
        <v>186</v>
      </c>
      <c r="AL65">
        <v>192</v>
      </c>
      <c r="AM65">
        <v>195</v>
      </c>
      <c r="AN65">
        <v>199</v>
      </c>
      <c r="AO65">
        <v>207</v>
      </c>
      <c r="AP65">
        <v>208</v>
      </c>
      <c r="AQ65">
        <v>216</v>
      </c>
      <c r="AR65">
        <v>216</v>
      </c>
      <c r="AS65">
        <v>223</v>
      </c>
      <c r="AT65">
        <v>224</v>
      </c>
      <c r="AU65">
        <v>226</v>
      </c>
      <c r="AV65">
        <v>226</v>
      </c>
      <c r="AW65">
        <v>227</v>
      </c>
      <c r="AX65">
        <v>227</v>
      </c>
      <c r="AY65">
        <v>227</v>
      </c>
      <c r="AZ65">
        <v>232</v>
      </c>
      <c r="BA65">
        <v>232</v>
      </c>
      <c r="BB65">
        <v>232</v>
      </c>
      <c r="BC65">
        <v>232</v>
      </c>
      <c r="BD65">
        <v>232</v>
      </c>
      <c r="BE65">
        <v>233</v>
      </c>
      <c r="BF65">
        <v>236</v>
      </c>
      <c r="BG65">
        <v>237</v>
      </c>
      <c r="BH65">
        <v>237</v>
      </c>
      <c r="BI65">
        <v>237</v>
      </c>
      <c r="BJ65">
        <v>239</v>
      </c>
      <c r="BK65">
        <v>239</v>
      </c>
      <c r="BL65">
        <v>239</v>
      </c>
      <c r="BM65">
        <v>240</v>
      </c>
      <c r="BN65">
        <v>240</v>
      </c>
      <c r="BO65">
        <v>242</v>
      </c>
      <c r="BP65">
        <v>242</v>
      </c>
      <c r="BQ65">
        <v>242</v>
      </c>
      <c r="BR65">
        <v>242</v>
      </c>
      <c r="BS65">
        <v>242</v>
      </c>
    </row>
    <row r="66" spans="1:71" x14ac:dyDescent="0.25">
      <c r="A66" s="1" t="s">
        <v>119</v>
      </c>
      <c r="B66" s="1" t="s">
        <v>109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1</v>
      </c>
      <c r="K66">
        <v>1</v>
      </c>
      <c r="L66">
        <v>2</v>
      </c>
      <c r="M66">
        <v>3</v>
      </c>
      <c r="N66">
        <v>6</v>
      </c>
      <c r="O66">
        <v>7</v>
      </c>
      <c r="P66">
        <v>11</v>
      </c>
      <c r="Q66">
        <v>15</v>
      </c>
      <c r="R66">
        <v>27</v>
      </c>
      <c r="S66">
        <v>37</v>
      </c>
      <c r="T66">
        <v>44</v>
      </c>
      <c r="U66">
        <v>63</v>
      </c>
      <c r="V66">
        <v>66</v>
      </c>
      <c r="W66">
        <v>80</v>
      </c>
      <c r="X66">
        <v>92</v>
      </c>
      <c r="Y66">
        <v>105</v>
      </c>
      <c r="Z66">
        <v>136</v>
      </c>
      <c r="AA66">
        <v>156</v>
      </c>
      <c r="AB66">
        <v>173</v>
      </c>
      <c r="AC66">
        <v>191</v>
      </c>
      <c r="AD66">
        <v>211</v>
      </c>
      <c r="AE66">
        <v>231</v>
      </c>
      <c r="AF66">
        <v>254</v>
      </c>
      <c r="AG66">
        <v>281</v>
      </c>
      <c r="AH66">
        <v>302</v>
      </c>
      <c r="AI66">
        <v>321</v>
      </c>
      <c r="AJ66">
        <v>343</v>
      </c>
      <c r="AK66">
        <v>355</v>
      </c>
      <c r="AL66">
        <v>377</v>
      </c>
      <c r="AM66">
        <v>387</v>
      </c>
      <c r="AN66">
        <v>405</v>
      </c>
      <c r="AO66">
        <v>421</v>
      </c>
      <c r="AP66">
        <v>443</v>
      </c>
      <c r="AQ66">
        <v>460</v>
      </c>
      <c r="AR66">
        <v>511</v>
      </c>
      <c r="AS66">
        <v>516</v>
      </c>
      <c r="AT66">
        <v>578</v>
      </c>
      <c r="AU66">
        <v>618</v>
      </c>
      <c r="AV66">
        <v>627</v>
      </c>
      <c r="AW66">
        <v>642</v>
      </c>
      <c r="AX66">
        <v>700</v>
      </c>
      <c r="AY66">
        <v>719</v>
      </c>
      <c r="AZ66">
        <v>726</v>
      </c>
      <c r="BA66">
        <v>734</v>
      </c>
      <c r="BB66">
        <v>739</v>
      </c>
      <c r="BC66">
        <v>741</v>
      </c>
      <c r="BD66">
        <v>741</v>
      </c>
      <c r="BE66">
        <v>746</v>
      </c>
      <c r="BF66">
        <v>746</v>
      </c>
      <c r="BG66">
        <v>746</v>
      </c>
      <c r="BH66">
        <v>747</v>
      </c>
      <c r="BI66">
        <v>748</v>
      </c>
      <c r="BJ66">
        <v>749</v>
      </c>
      <c r="BK66">
        <v>750</v>
      </c>
      <c r="BL66">
        <v>751</v>
      </c>
      <c r="BM66">
        <v>752</v>
      </c>
      <c r="BN66">
        <v>752</v>
      </c>
      <c r="BO66">
        <v>752</v>
      </c>
      <c r="BP66">
        <v>752</v>
      </c>
      <c r="BQ66">
        <v>752</v>
      </c>
      <c r="BR66">
        <v>752</v>
      </c>
      <c r="BS66">
        <v>753</v>
      </c>
    </row>
    <row r="67" spans="1:71" x14ac:dyDescent="0.25">
      <c r="A67" s="1" t="s">
        <v>126</v>
      </c>
      <c r="B67" s="1" t="s">
        <v>109</v>
      </c>
      <c r="C67">
        <v>0</v>
      </c>
      <c r="D67">
        <v>0</v>
      </c>
      <c r="E67">
        <v>1</v>
      </c>
      <c r="F67">
        <v>1</v>
      </c>
      <c r="G67">
        <v>1</v>
      </c>
      <c r="H67">
        <v>3</v>
      </c>
      <c r="I67">
        <v>4</v>
      </c>
      <c r="J67">
        <v>5</v>
      </c>
      <c r="K67">
        <v>5</v>
      </c>
      <c r="L67">
        <v>9</v>
      </c>
      <c r="M67">
        <v>10</v>
      </c>
      <c r="N67">
        <v>10</v>
      </c>
      <c r="O67">
        <v>10</v>
      </c>
      <c r="P67">
        <v>12</v>
      </c>
      <c r="Q67">
        <v>15</v>
      </c>
      <c r="R67">
        <v>25</v>
      </c>
      <c r="S67">
        <v>30</v>
      </c>
      <c r="T67">
        <v>41</v>
      </c>
      <c r="U67">
        <v>44</v>
      </c>
      <c r="V67">
        <v>48</v>
      </c>
      <c r="W67">
        <v>52</v>
      </c>
      <c r="X67">
        <v>57</v>
      </c>
      <c r="Y67">
        <v>62</v>
      </c>
      <c r="Z67">
        <v>90</v>
      </c>
      <c r="AA67">
        <v>124</v>
      </c>
      <c r="AB67">
        <v>140</v>
      </c>
      <c r="AC67">
        <v>161</v>
      </c>
      <c r="AD67">
        <v>177</v>
      </c>
      <c r="AE67">
        <v>186</v>
      </c>
      <c r="AF67">
        <v>199</v>
      </c>
      <c r="AG67">
        <v>211</v>
      </c>
      <c r="AH67">
        <v>227</v>
      </c>
      <c r="AI67">
        <v>249</v>
      </c>
      <c r="AJ67">
        <v>261</v>
      </c>
      <c r="AK67">
        <v>268</v>
      </c>
      <c r="AL67">
        <v>272</v>
      </c>
      <c r="AM67">
        <v>276</v>
      </c>
      <c r="AN67">
        <v>279</v>
      </c>
      <c r="AO67">
        <v>287</v>
      </c>
      <c r="AP67">
        <v>290</v>
      </c>
      <c r="AQ67">
        <v>292</v>
      </c>
      <c r="AR67">
        <v>294</v>
      </c>
      <c r="AS67">
        <v>298</v>
      </c>
      <c r="AT67">
        <v>303</v>
      </c>
      <c r="AU67">
        <v>306</v>
      </c>
      <c r="AV67">
        <v>313</v>
      </c>
      <c r="AW67">
        <v>314</v>
      </c>
      <c r="AX67">
        <v>315</v>
      </c>
      <c r="AY67">
        <v>319</v>
      </c>
      <c r="AZ67">
        <v>320</v>
      </c>
      <c r="BA67">
        <v>321</v>
      </c>
      <c r="BB67">
        <v>324</v>
      </c>
      <c r="BC67">
        <v>324</v>
      </c>
      <c r="BD67">
        <v>324</v>
      </c>
      <c r="BE67">
        <v>325</v>
      </c>
      <c r="BF67">
        <v>325</v>
      </c>
      <c r="BG67">
        <v>326</v>
      </c>
      <c r="BH67">
        <v>326</v>
      </c>
      <c r="BI67">
        <v>326</v>
      </c>
      <c r="BJ67">
        <v>327</v>
      </c>
      <c r="BK67">
        <v>328</v>
      </c>
      <c r="BL67">
        <v>329</v>
      </c>
      <c r="BM67">
        <v>330</v>
      </c>
      <c r="BN67">
        <v>330</v>
      </c>
      <c r="BO67">
        <v>331</v>
      </c>
      <c r="BP67">
        <v>334</v>
      </c>
      <c r="BQ67">
        <v>334</v>
      </c>
      <c r="BR67">
        <v>334</v>
      </c>
      <c r="BS67">
        <v>338</v>
      </c>
    </row>
    <row r="68" spans="1:71" x14ac:dyDescent="0.25">
      <c r="A68" s="1" t="s">
        <v>135</v>
      </c>
      <c r="B68" s="1" t="s">
        <v>109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1</v>
      </c>
      <c r="K68">
        <v>1</v>
      </c>
      <c r="L68">
        <v>1</v>
      </c>
      <c r="M68">
        <v>1</v>
      </c>
      <c r="N68">
        <v>3</v>
      </c>
      <c r="O68">
        <v>2</v>
      </c>
      <c r="P68">
        <v>4</v>
      </c>
      <c r="Q68">
        <v>5</v>
      </c>
      <c r="R68">
        <v>12</v>
      </c>
      <c r="S68">
        <v>15</v>
      </c>
      <c r="T68">
        <v>21</v>
      </c>
      <c r="U68">
        <v>25</v>
      </c>
      <c r="V68">
        <v>25</v>
      </c>
      <c r="W68">
        <v>30</v>
      </c>
      <c r="X68">
        <v>33</v>
      </c>
      <c r="Y68">
        <v>36</v>
      </c>
      <c r="Z68">
        <v>38</v>
      </c>
      <c r="AA68">
        <v>46</v>
      </c>
      <c r="AB68">
        <v>50</v>
      </c>
      <c r="AC68">
        <v>53</v>
      </c>
      <c r="AD68">
        <v>61</v>
      </c>
      <c r="AE68">
        <v>68</v>
      </c>
      <c r="AF68">
        <v>76</v>
      </c>
      <c r="AG68">
        <v>78</v>
      </c>
      <c r="AH68">
        <v>81</v>
      </c>
      <c r="AI68">
        <v>88</v>
      </c>
      <c r="AJ68">
        <v>94</v>
      </c>
      <c r="AK68">
        <v>98</v>
      </c>
      <c r="AL68">
        <v>104</v>
      </c>
      <c r="AM68">
        <v>107</v>
      </c>
      <c r="AN68">
        <v>112</v>
      </c>
      <c r="AO68">
        <v>114</v>
      </c>
      <c r="AP68">
        <v>116</v>
      </c>
      <c r="AQ68">
        <v>119</v>
      </c>
      <c r="AR68">
        <v>124</v>
      </c>
      <c r="AS68">
        <v>124</v>
      </c>
      <c r="AT68">
        <v>126</v>
      </c>
      <c r="AU68">
        <v>126</v>
      </c>
      <c r="AV68">
        <v>126</v>
      </c>
      <c r="AW68">
        <v>126</v>
      </c>
      <c r="AX68">
        <v>127</v>
      </c>
      <c r="AY68">
        <v>131</v>
      </c>
      <c r="AZ68">
        <v>131</v>
      </c>
      <c r="BA68">
        <v>132</v>
      </c>
      <c r="BB68">
        <v>133</v>
      </c>
      <c r="BC68">
        <v>133</v>
      </c>
      <c r="BD68">
        <v>133</v>
      </c>
      <c r="BE68">
        <v>133</v>
      </c>
      <c r="BF68">
        <v>133</v>
      </c>
      <c r="BG68">
        <v>133</v>
      </c>
      <c r="BH68">
        <v>133</v>
      </c>
      <c r="BI68">
        <v>133</v>
      </c>
      <c r="BJ68">
        <v>133</v>
      </c>
      <c r="BK68">
        <v>133</v>
      </c>
      <c r="BL68">
        <v>133</v>
      </c>
      <c r="BM68">
        <v>133</v>
      </c>
      <c r="BN68">
        <v>133</v>
      </c>
      <c r="BO68">
        <v>133</v>
      </c>
      <c r="BP68">
        <v>133</v>
      </c>
      <c r="BQ68">
        <v>133</v>
      </c>
      <c r="BR68">
        <v>133</v>
      </c>
      <c r="BS68">
        <v>133</v>
      </c>
    </row>
    <row r="69" spans="1:71" x14ac:dyDescent="0.25">
      <c r="A69" s="1" t="s">
        <v>122</v>
      </c>
      <c r="B69" s="1" t="s">
        <v>109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1</v>
      </c>
      <c r="K69">
        <v>1</v>
      </c>
      <c r="L69">
        <v>1</v>
      </c>
      <c r="M69">
        <v>3</v>
      </c>
      <c r="N69">
        <v>11</v>
      </c>
      <c r="O69">
        <v>14</v>
      </c>
      <c r="P69">
        <v>14</v>
      </c>
      <c r="Q69">
        <v>24</v>
      </c>
      <c r="R69">
        <v>31</v>
      </c>
      <c r="S69">
        <v>42</v>
      </c>
      <c r="T69">
        <v>60</v>
      </c>
      <c r="U69">
        <v>71</v>
      </c>
      <c r="V69">
        <v>80</v>
      </c>
      <c r="W69">
        <v>85</v>
      </c>
      <c r="X69">
        <v>92</v>
      </c>
      <c r="Y69">
        <v>104</v>
      </c>
      <c r="Z69">
        <v>114</v>
      </c>
      <c r="AA69">
        <v>119</v>
      </c>
      <c r="AB69">
        <v>131</v>
      </c>
      <c r="AC69">
        <v>156</v>
      </c>
      <c r="AD69">
        <v>169</v>
      </c>
      <c r="AE69">
        <v>188</v>
      </c>
      <c r="AF69">
        <v>217</v>
      </c>
      <c r="AG69">
        <v>231</v>
      </c>
      <c r="AH69">
        <v>250</v>
      </c>
      <c r="AI69">
        <v>261</v>
      </c>
      <c r="AJ69">
        <v>276</v>
      </c>
      <c r="AK69">
        <v>289</v>
      </c>
      <c r="AL69">
        <v>307</v>
      </c>
      <c r="AM69">
        <v>321</v>
      </c>
      <c r="AN69">
        <v>338</v>
      </c>
      <c r="AO69">
        <v>351</v>
      </c>
      <c r="AP69">
        <v>365</v>
      </c>
      <c r="AQ69">
        <v>386</v>
      </c>
      <c r="AR69">
        <v>394</v>
      </c>
      <c r="AS69">
        <v>406</v>
      </c>
      <c r="AT69">
        <v>425</v>
      </c>
      <c r="AU69">
        <v>442</v>
      </c>
      <c r="AV69">
        <v>454</v>
      </c>
      <c r="AW69">
        <v>464</v>
      </c>
      <c r="AX69">
        <v>466</v>
      </c>
      <c r="AY69">
        <v>478</v>
      </c>
      <c r="AZ69">
        <v>488</v>
      </c>
      <c r="BA69">
        <v>498</v>
      </c>
      <c r="BB69">
        <v>503</v>
      </c>
      <c r="BC69">
        <v>511</v>
      </c>
      <c r="BD69">
        <v>516</v>
      </c>
      <c r="BE69">
        <v>516</v>
      </c>
      <c r="BF69">
        <v>520</v>
      </c>
      <c r="BG69">
        <v>525</v>
      </c>
      <c r="BH69">
        <v>536</v>
      </c>
      <c r="BI69">
        <v>536</v>
      </c>
      <c r="BJ69">
        <v>536</v>
      </c>
      <c r="BK69">
        <v>536</v>
      </c>
      <c r="BL69">
        <v>536</v>
      </c>
      <c r="BM69">
        <v>536</v>
      </c>
      <c r="BN69">
        <v>536</v>
      </c>
      <c r="BO69">
        <v>536</v>
      </c>
      <c r="BP69">
        <v>536</v>
      </c>
      <c r="BQ69">
        <v>536</v>
      </c>
      <c r="BR69">
        <v>536</v>
      </c>
      <c r="BS69">
        <v>536</v>
      </c>
    </row>
    <row r="70" spans="1:71" x14ac:dyDescent="0.25">
      <c r="A70" s="1" t="s">
        <v>134</v>
      </c>
      <c r="B70" s="1" t="s">
        <v>109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1</v>
      </c>
      <c r="O70">
        <v>1</v>
      </c>
      <c r="P70">
        <v>2</v>
      </c>
      <c r="Q70">
        <v>2</v>
      </c>
      <c r="R70">
        <v>2</v>
      </c>
      <c r="S70">
        <v>2</v>
      </c>
      <c r="T70">
        <v>4</v>
      </c>
      <c r="U70">
        <v>4</v>
      </c>
      <c r="V70">
        <v>8</v>
      </c>
      <c r="W70">
        <v>10</v>
      </c>
      <c r="X70">
        <v>11</v>
      </c>
      <c r="Y70">
        <v>21</v>
      </c>
      <c r="Z70">
        <v>31</v>
      </c>
      <c r="AA70">
        <v>37</v>
      </c>
      <c r="AB70">
        <v>45</v>
      </c>
      <c r="AC70">
        <v>46</v>
      </c>
      <c r="AD70">
        <v>48</v>
      </c>
      <c r="AE70">
        <v>54</v>
      </c>
      <c r="AF70">
        <v>59</v>
      </c>
      <c r="AG70">
        <v>62</v>
      </c>
      <c r="AH70">
        <v>65</v>
      </c>
      <c r="AI70">
        <v>81</v>
      </c>
      <c r="AJ70">
        <v>87</v>
      </c>
      <c r="AK70">
        <v>91</v>
      </c>
      <c r="AL70">
        <v>96</v>
      </c>
      <c r="AM70">
        <v>102</v>
      </c>
      <c r="AN70">
        <v>102</v>
      </c>
      <c r="AO70">
        <v>109</v>
      </c>
      <c r="AP70">
        <v>111</v>
      </c>
      <c r="AQ70">
        <v>111</v>
      </c>
      <c r="AR70">
        <v>124</v>
      </c>
      <c r="AS70">
        <v>124</v>
      </c>
      <c r="AT70">
        <v>128</v>
      </c>
      <c r="AU70">
        <v>128</v>
      </c>
      <c r="AV70">
        <v>128</v>
      </c>
      <c r="AW70">
        <v>128</v>
      </c>
      <c r="AX70">
        <v>130</v>
      </c>
      <c r="AY70">
        <v>131</v>
      </c>
      <c r="AZ70">
        <v>131</v>
      </c>
      <c r="BA70">
        <v>132</v>
      </c>
      <c r="BB70">
        <v>132</v>
      </c>
      <c r="BC70">
        <v>132</v>
      </c>
      <c r="BD70">
        <v>133</v>
      </c>
      <c r="BE70">
        <v>133</v>
      </c>
      <c r="BF70">
        <v>133</v>
      </c>
      <c r="BG70">
        <v>133</v>
      </c>
      <c r="BH70">
        <v>133</v>
      </c>
      <c r="BI70">
        <v>133</v>
      </c>
      <c r="BJ70">
        <v>133</v>
      </c>
      <c r="BK70">
        <v>133</v>
      </c>
      <c r="BL70">
        <v>133</v>
      </c>
      <c r="BM70">
        <v>133</v>
      </c>
      <c r="BN70">
        <v>133</v>
      </c>
      <c r="BO70">
        <v>133</v>
      </c>
      <c r="BP70">
        <v>133</v>
      </c>
      <c r="BQ70">
        <v>133</v>
      </c>
      <c r="BR70">
        <v>133</v>
      </c>
      <c r="BS70">
        <v>133</v>
      </c>
    </row>
    <row r="71" spans="1:71" x14ac:dyDescent="0.25">
      <c r="A71" s="1" t="s">
        <v>157</v>
      </c>
      <c r="B71" s="1" t="s">
        <v>109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1</v>
      </c>
      <c r="Y71">
        <v>1</v>
      </c>
      <c r="Z71">
        <v>1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>
        <v>1</v>
      </c>
      <c r="AH71">
        <v>1</v>
      </c>
      <c r="AI71">
        <v>1</v>
      </c>
      <c r="AJ71">
        <v>1</v>
      </c>
      <c r="AK71">
        <v>1</v>
      </c>
      <c r="AL71">
        <v>1</v>
      </c>
      <c r="AM71">
        <v>1</v>
      </c>
      <c r="AN71">
        <v>1</v>
      </c>
      <c r="AO71">
        <v>1</v>
      </c>
      <c r="AP71">
        <v>1</v>
      </c>
      <c r="AQ71">
        <v>1</v>
      </c>
      <c r="AR71">
        <v>1</v>
      </c>
      <c r="AS71">
        <v>1</v>
      </c>
      <c r="AT71">
        <v>1</v>
      </c>
      <c r="AU71">
        <v>1</v>
      </c>
      <c r="AV71">
        <v>1</v>
      </c>
      <c r="AW71">
        <v>1</v>
      </c>
      <c r="AX71">
        <v>1</v>
      </c>
      <c r="AY71">
        <v>1</v>
      </c>
      <c r="AZ71">
        <v>1</v>
      </c>
      <c r="BA71">
        <v>1</v>
      </c>
      <c r="BB71">
        <v>1</v>
      </c>
      <c r="BC71">
        <v>1</v>
      </c>
      <c r="BD71">
        <v>1</v>
      </c>
      <c r="BE71">
        <v>1</v>
      </c>
      <c r="BF71">
        <v>1</v>
      </c>
      <c r="BG71">
        <v>1</v>
      </c>
      <c r="BH71">
        <v>1</v>
      </c>
      <c r="BI71">
        <v>1</v>
      </c>
      <c r="BJ71">
        <v>1</v>
      </c>
      <c r="BK71">
        <v>1</v>
      </c>
      <c r="BL71">
        <v>1</v>
      </c>
      <c r="BM71">
        <v>1</v>
      </c>
      <c r="BN71">
        <v>1</v>
      </c>
      <c r="BO71">
        <v>1</v>
      </c>
      <c r="BP71">
        <v>1</v>
      </c>
      <c r="BQ71">
        <v>1</v>
      </c>
      <c r="BR71">
        <v>1</v>
      </c>
      <c r="BS71">
        <v>1</v>
      </c>
    </row>
    <row r="72" spans="1:71" x14ac:dyDescent="0.25">
      <c r="A72" s="1" t="s">
        <v>141</v>
      </c>
      <c r="B72" s="1" t="s">
        <v>109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3</v>
      </c>
      <c r="X72">
        <v>3</v>
      </c>
      <c r="Y72">
        <v>6</v>
      </c>
      <c r="Z72">
        <v>6</v>
      </c>
      <c r="AA72">
        <v>10</v>
      </c>
      <c r="AB72">
        <v>12</v>
      </c>
      <c r="AC72">
        <v>12</v>
      </c>
      <c r="AD72">
        <v>12</v>
      </c>
      <c r="AE72">
        <v>20</v>
      </c>
      <c r="AF72">
        <v>22</v>
      </c>
      <c r="AG72">
        <v>24</v>
      </c>
      <c r="AH72">
        <v>25</v>
      </c>
      <c r="AI72">
        <v>28</v>
      </c>
      <c r="AJ72">
        <v>30</v>
      </c>
      <c r="AK72">
        <v>30</v>
      </c>
      <c r="AL72">
        <v>34</v>
      </c>
      <c r="AM72">
        <v>43</v>
      </c>
      <c r="AN72">
        <v>52</v>
      </c>
      <c r="AO72">
        <v>62</v>
      </c>
      <c r="AP72">
        <v>64</v>
      </c>
      <c r="AQ72">
        <v>66</v>
      </c>
      <c r="AR72">
        <v>68</v>
      </c>
      <c r="AS72">
        <v>69</v>
      </c>
      <c r="AT72">
        <v>70</v>
      </c>
      <c r="AU72">
        <v>71</v>
      </c>
      <c r="AV72">
        <v>72</v>
      </c>
      <c r="AW72">
        <v>73</v>
      </c>
      <c r="AX72">
        <v>73</v>
      </c>
      <c r="AY72">
        <v>73</v>
      </c>
      <c r="AZ72">
        <v>73</v>
      </c>
      <c r="BA72">
        <v>73</v>
      </c>
      <c r="BB72">
        <v>73</v>
      </c>
      <c r="BC72">
        <v>73</v>
      </c>
      <c r="BD72">
        <v>73</v>
      </c>
      <c r="BE72">
        <v>73</v>
      </c>
      <c r="BF72">
        <v>73</v>
      </c>
      <c r="BG72">
        <v>73</v>
      </c>
      <c r="BH72">
        <v>73</v>
      </c>
      <c r="BI72">
        <v>73</v>
      </c>
      <c r="BJ72">
        <v>73</v>
      </c>
      <c r="BK72">
        <v>73</v>
      </c>
      <c r="BL72">
        <v>73</v>
      </c>
      <c r="BM72">
        <v>73</v>
      </c>
      <c r="BN72">
        <v>73</v>
      </c>
      <c r="BO72">
        <v>73</v>
      </c>
      <c r="BP72">
        <v>73</v>
      </c>
      <c r="BQ72">
        <v>73</v>
      </c>
      <c r="BR72">
        <v>73</v>
      </c>
      <c r="BS72">
        <v>73</v>
      </c>
    </row>
    <row r="73" spans="1:71" x14ac:dyDescent="0.25">
      <c r="A73" s="1" t="s">
        <v>131</v>
      </c>
      <c r="B73" s="1" t="s">
        <v>109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1</v>
      </c>
      <c r="M73">
        <v>2</v>
      </c>
      <c r="N73">
        <v>3</v>
      </c>
      <c r="O73">
        <v>5</v>
      </c>
      <c r="P73">
        <v>5</v>
      </c>
      <c r="Q73">
        <v>5</v>
      </c>
      <c r="R73">
        <v>7</v>
      </c>
      <c r="S73">
        <v>12</v>
      </c>
      <c r="T73">
        <v>17</v>
      </c>
      <c r="U73">
        <v>18</v>
      </c>
      <c r="V73">
        <v>19</v>
      </c>
      <c r="W73">
        <v>20</v>
      </c>
      <c r="X73">
        <v>26</v>
      </c>
      <c r="Y73">
        <v>27</v>
      </c>
      <c r="Z73">
        <v>36</v>
      </c>
      <c r="AA73">
        <v>42</v>
      </c>
      <c r="AB73">
        <v>42</v>
      </c>
      <c r="AC73">
        <v>47</v>
      </c>
      <c r="AD73">
        <v>57</v>
      </c>
      <c r="AE73">
        <v>60</v>
      </c>
      <c r="AF73">
        <v>79</v>
      </c>
      <c r="AG73">
        <v>96</v>
      </c>
      <c r="AH73">
        <v>107</v>
      </c>
      <c r="AI73">
        <v>115</v>
      </c>
      <c r="AJ73">
        <v>124</v>
      </c>
      <c r="AK73">
        <v>129</v>
      </c>
      <c r="AL73">
        <v>144</v>
      </c>
      <c r="AM73">
        <v>150</v>
      </c>
      <c r="AN73">
        <v>156</v>
      </c>
      <c r="AO73">
        <v>157</v>
      </c>
      <c r="AP73">
        <v>163</v>
      </c>
      <c r="AQ73">
        <v>168</v>
      </c>
      <c r="AR73">
        <v>169</v>
      </c>
      <c r="AS73">
        <v>169</v>
      </c>
      <c r="AT73">
        <v>169</v>
      </c>
      <c r="AU73">
        <v>170</v>
      </c>
      <c r="AV73">
        <v>170</v>
      </c>
      <c r="AW73">
        <v>170</v>
      </c>
      <c r="AX73">
        <v>170</v>
      </c>
      <c r="AY73">
        <v>170</v>
      </c>
      <c r="AZ73">
        <v>170</v>
      </c>
      <c r="BA73">
        <v>170</v>
      </c>
      <c r="BB73">
        <v>170</v>
      </c>
      <c r="BC73">
        <v>172</v>
      </c>
      <c r="BD73">
        <v>172</v>
      </c>
      <c r="BE73">
        <v>172</v>
      </c>
      <c r="BF73">
        <v>172</v>
      </c>
      <c r="BG73">
        <v>172</v>
      </c>
      <c r="BH73">
        <v>172</v>
      </c>
      <c r="BI73">
        <v>172</v>
      </c>
      <c r="BJ73">
        <v>172</v>
      </c>
      <c r="BK73">
        <v>172</v>
      </c>
      <c r="BL73">
        <v>172</v>
      </c>
      <c r="BM73">
        <v>172</v>
      </c>
      <c r="BN73">
        <v>172</v>
      </c>
      <c r="BO73">
        <v>172</v>
      </c>
      <c r="BP73">
        <v>172</v>
      </c>
      <c r="BQ73">
        <v>172</v>
      </c>
      <c r="BR73">
        <v>172</v>
      </c>
      <c r="BS73">
        <v>172</v>
      </c>
    </row>
    <row r="74" spans="1:71" x14ac:dyDescent="0.25">
      <c r="A74" s="1" t="s">
        <v>115</v>
      </c>
      <c r="B74" s="1" t="s">
        <v>109</v>
      </c>
      <c r="C74">
        <v>0</v>
      </c>
      <c r="D74">
        <v>0</v>
      </c>
      <c r="E74">
        <v>1</v>
      </c>
      <c r="F74">
        <v>1</v>
      </c>
      <c r="G74">
        <v>1</v>
      </c>
      <c r="H74">
        <v>1</v>
      </c>
      <c r="I74">
        <v>3</v>
      </c>
      <c r="J74">
        <v>3</v>
      </c>
      <c r="K74">
        <v>4</v>
      </c>
      <c r="L74">
        <v>14</v>
      </c>
      <c r="M74">
        <v>21</v>
      </c>
      <c r="N74">
        <v>32</v>
      </c>
      <c r="O74">
        <v>43</v>
      </c>
      <c r="P74">
        <v>62</v>
      </c>
      <c r="Q74">
        <v>78</v>
      </c>
      <c r="R74">
        <v>94</v>
      </c>
      <c r="S74">
        <v>123</v>
      </c>
      <c r="T74">
        <v>175</v>
      </c>
      <c r="U74">
        <v>201</v>
      </c>
      <c r="V74">
        <v>242</v>
      </c>
      <c r="W74">
        <v>270</v>
      </c>
      <c r="X74">
        <v>321</v>
      </c>
      <c r="Y74">
        <v>360</v>
      </c>
      <c r="Z74">
        <v>403</v>
      </c>
      <c r="AA74">
        <v>428</v>
      </c>
      <c r="AB74">
        <v>456</v>
      </c>
      <c r="AC74">
        <v>507</v>
      </c>
      <c r="AD74">
        <v>535</v>
      </c>
      <c r="AE74">
        <v>604</v>
      </c>
      <c r="AF74">
        <v>633</v>
      </c>
      <c r="AG74">
        <v>679</v>
      </c>
      <c r="AH74">
        <v>719</v>
      </c>
      <c r="AI74">
        <v>760</v>
      </c>
      <c r="AJ74">
        <v>782</v>
      </c>
      <c r="AK74">
        <v>808</v>
      </c>
      <c r="AL74">
        <v>867</v>
      </c>
      <c r="AM74">
        <v>932</v>
      </c>
      <c r="AN74">
        <v>975</v>
      </c>
      <c r="AO74">
        <v>1016</v>
      </c>
      <c r="AP74">
        <v>1046</v>
      </c>
      <c r="AQ74">
        <v>1069</v>
      </c>
      <c r="AR74">
        <v>1093</v>
      </c>
      <c r="AS74">
        <v>1114</v>
      </c>
      <c r="AT74">
        <v>1124</v>
      </c>
      <c r="AU74">
        <v>1147</v>
      </c>
      <c r="AV74">
        <v>1154</v>
      </c>
      <c r="AW74">
        <v>1161</v>
      </c>
      <c r="AX74">
        <v>1176</v>
      </c>
      <c r="AY74">
        <v>1191</v>
      </c>
      <c r="AZ74">
        <v>1195</v>
      </c>
      <c r="BA74">
        <v>1197</v>
      </c>
      <c r="BB74">
        <v>1197</v>
      </c>
      <c r="BC74">
        <v>1211</v>
      </c>
      <c r="BD74">
        <v>1211</v>
      </c>
      <c r="BE74">
        <v>1216</v>
      </c>
      <c r="BF74">
        <v>1216</v>
      </c>
      <c r="BG74">
        <v>1216</v>
      </c>
      <c r="BH74">
        <v>1217</v>
      </c>
      <c r="BI74">
        <v>1219</v>
      </c>
      <c r="BJ74">
        <v>1219</v>
      </c>
      <c r="BK74">
        <v>1219</v>
      </c>
      <c r="BL74">
        <v>1221</v>
      </c>
      <c r="BM74">
        <v>1221</v>
      </c>
      <c r="BN74">
        <v>1221</v>
      </c>
      <c r="BO74">
        <v>1222</v>
      </c>
      <c r="BP74">
        <v>1222</v>
      </c>
      <c r="BQ74">
        <v>1225</v>
      </c>
      <c r="BR74">
        <v>1225</v>
      </c>
      <c r="BS74">
        <v>1225</v>
      </c>
    </row>
    <row r="75" spans="1:71" x14ac:dyDescent="0.25">
      <c r="A75" s="1" t="s">
        <v>2</v>
      </c>
      <c r="B75" s="1" t="s">
        <v>83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1</v>
      </c>
      <c r="BH75">
        <v>1</v>
      </c>
      <c r="BI75">
        <v>1</v>
      </c>
      <c r="BJ75">
        <v>1</v>
      </c>
      <c r="BK75">
        <v>3</v>
      </c>
      <c r="BL75">
        <v>3</v>
      </c>
      <c r="BM75">
        <v>6</v>
      </c>
      <c r="BN75">
        <v>8</v>
      </c>
      <c r="BO75">
        <v>8</v>
      </c>
      <c r="BP75">
        <v>10</v>
      </c>
      <c r="BQ75">
        <v>10</v>
      </c>
      <c r="BR75">
        <v>10</v>
      </c>
      <c r="BS75">
        <v>15</v>
      </c>
    </row>
    <row r="76" spans="1:71" x14ac:dyDescent="0.25">
      <c r="A76" s="1" t="s">
        <v>2</v>
      </c>
      <c r="B76" s="1" t="s">
        <v>195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</row>
    <row r="77" spans="1:71" x14ac:dyDescent="0.25">
      <c r="A77" s="1" t="s">
        <v>2</v>
      </c>
      <c r="B77" s="1" t="s">
        <v>158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2</v>
      </c>
      <c r="BQ77">
        <v>2</v>
      </c>
      <c r="BR77">
        <v>2</v>
      </c>
      <c r="BS77">
        <v>2</v>
      </c>
    </row>
    <row r="78" spans="1:71" x14ac:dyDescent="0.25">
      <c r="A78" s="1" t="s">
        <v>2</v>
      </c>
      <c r="B78" s="1" t="s">
        <v>84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2</v>
      </c>
      <c r="BK78">
        <v>2</v>
      </c>
      <c r="BL78">
        <v>2</v>
      </c>
      <c r="BM78">
        <v>2</v>
      </c>
      <c r="BN78">
        <v>2</v>
      </c>
      <c r="BO78">
        <v>2</v>
      </c>
      <c r="BP78">
        <v>3</v>
      </c>
      <c r="BQ78">
        <v>3</v>
      </c>
      <c r="BR78">
        <v>3</v>
      </c>
      <c r="BS78">
        <v>4</v>
      </c>
    </row>
    <row r="79" spans="1:71" x14ac:dyDescent="0.25">
      <c r="A79" s="1" t="s">
        <v>2</v>
      </c>
      <c r="B79" s="1" t="s">
        <v>159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1</v>
      </c>
      <c r="BH79">
        <v>1</v>
      </c>
      <c r="BI79">
        <v>1</v>
      </c>
      <c r="BJ79">
        <v>1</v>
      </c>
      <c r="BK79">
        <v>1</v>
      </c>
      <c r="BL79">
        <v>1</v>
      </c>
      <c r="BM79">
        <v>2</v>
      </c>
      <c r="BN79">
        <v>3</v>
      </c>
      <c r="BO79">
        <v>3</v>
      </c>
      <c r="BP79">
        <v>3</v>
      </c>
      <c r="BQ79">
        <v>3</v>
      </c>
      <c r="BR79">
        <v>4</v>
      </c>
      <c r="BS79">
        <v>6</v>
      </c>
    </row>
    <row r="80" spans="1:71" x14ac:dyDescent="0.25">
      <c r="A80" s="1" t="s">
        <v>2</v>
      </c>
      <c r="B80" s="1" t="s">
        <v>33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1</v>
      </c>
      <c r="BC80">
        <v>1</v>
      </c>
      <c r="BD80">
        <v>1</v>
      </c>
      <c r="BE80">
        <v>2</v>
      </c>
      <c r="BF80">
        <v>4</v>
      </c>
      <c r="BG80">
        <v>4</v>
      </c>
      <c r="BH80">
        <v>5</v>
      </c>
      <c r="BI80">
        <v>5</v>
      </c>
      <c r="BJ80">
        <v>5</v>
      </c>
      <c r="BK80">
        <v>5</v>
      </c>
      <c r="BL80">
        <v>5</v>
      </c>
      <c r="BM80">
        <v>5</v>
      </c>
      <c r="BN80">
        <v>22</v>
      </c>
      <c r="BO80">
        <v>22</v>
      </c>
      <c r="BP80">
        <v>37</v>
      </c>
      <c r="BQ80">
        <v>45</v>
      </c>
      <c r="BR80">
        <v>52</v>
      </c>
      <c r="BS80">
        <v>67</v>
      </c>
    </row>
    <row r="81" spans="1:71" x14ac:dyDescent="0.25">
      <c r="A81" s="1" t="s">
        <v>2</v>
      </c>
      <c r="B81" s="1" t="s">
        <v>102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1</v>
      </c>
      <c r="AF81">
        <v>1</v>
      </c>
      <c r="AG81">
        <v>1</v>
      </c>
      <c r="AH81">
        <v>1</v>
      </c>
      <c r="AI81">
        <v>0</v>
      </c>
      <c r="AJ81">
        <v>0</v>
      </c>
      <c r="AK81">
        <v>0</v>
      </c>
      <c r="AL81">
        <v>10</v>
      </c>
      <c r="AM81">
        <v>10</v>
      </c>
      <c r="AN81">
        <v>10</v>
      </c>
      <c r="AO81">
        <v>10</v>
      </c>
      <c r="AP81">
        <v>10</v>
      </c>
      <c r="AQ81">
        <v>10</v>
      </c>
      <c r="AR81">
        <v>10</v>
      </c>
      <c r="AS81">
        <v>10</v>
      </c>
      <c r="AT81">
        <v>10</v>
      </c>
      <c r="AU81">
        <v>40</v>
      </c>
      <c r="AV81">
        <v>40</v>
      </c>
      <c r="AW81">
        <v>40</v>
      </c>
      <c r="AX81">
        <v>40</v>
      </c>
      <c r="AY81">
        <v>40</v>
      </c>
      <c r="AZ81">
        <v>325</v>
      </c>
      <c r="BA81">
        <v>325</v>
      </c>
      <c r="BB81">
        <v>325</v>
      </c>
      <c r="BC81">
        <v>325</v>
      </c>
      <c r="BD81">
        <v>325</v>
      </c>
      <c r="BE81">
        <v>325</v>
      </c>
      <c r="BF81">
        <v>325</v>
      </c>
      <c r="BG81">
        <v>325</v>
      </c>
      <c r="BH81">
        <v>325</v>
      </c>
      <c r="BI81">
        <v>325</v>
      </c>
      <c r="BJ81">
        <v>325</v>
      </c>
      <c r="BK81">
        <v>325</v>
      </c>
      <c r="BL81">
        <v>325</v>
      </c>
      <c r="BM81">
        <v>325</v>
      </c>
      <c r="BN81">
        <v>587</v>
      </c>
      <c r="BO81">
        <v>597</v>
      </c>
      <c r="BP81">
        <v>597</v>
      </c>
      <c r="BQ81">
        <v>597</v>
      </c>
      <c r="BR81">
        <v>603</v>
      </c>
      <c r="BS81">
        <v>603</v>
      </c>
    </row>
    <row r="82" spans="1:71" x14ac:dyDescent="0.25">
      <c r="A82" s="1" t="s">
        <v>2</v>
      </c>
      <c r="B82" s="1" t="s">
        <v>164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1</v>
      </c>
      <c r="BN82">
        <v>1</v>
      </c>
      <c r="BO82">
        <v>1</v>
      </c>
      <c r="BP82">
        <v>4</v>
      </c>
      <c r="BQ82">
        <v>4</v>
      </c>
      <c r="BR82">
        <v>4</v>
      </c>
      <c r="BS82">
        <v>4</v>
      </c>
    </row>
    <row r="83" spans="1:71" x14ac:dyDescent="0.25">
      <c r="A83" s="1" t="s">
        <v>2</v>
      </c>
      <c r="B83" s="1" t="s">
        <v>99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3</v>
      </c>
      <c r="BL83">
        <v>3</v>
      </c>
      <c r="BM83">
        <v>3</v>
      </c>
      <c r="BN83">
        <v>3</v>
      </c>
      <c r="BO83">
        <v>4</v>
      </c>
      <c r="BP83">
        <v>15</v>
      </c>
      <c r="BQ83">
        <v>15</v>
      </c>
      <c r="BR83">
        <v>15</v>
      </c>
      <c r="BS83">
        <v>22</v>
      </c>
    </row>
    <row r="84" spans="1:71" x14ac:dyDescent="0.25">
      <c r="A84" s="1" t="s">
        <v>2</v>
      </c>
      <c r="B84" s="1" t="s">
        <v>140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3</v>
      </c>
      <c r="BF84">
        <v>3</v>
      </c>
      <c r="BG84">
        <v>3</v>
      </c>
      <c r="BH84">
        <v>3</v>
      </c>
      <c r="BI84">
        <v>4</v>
      </c>
      <c r="BJ84">
        <v>6</v>
      </c>
      <c r="BK84">
        <v>6</v>
      </c>
      <c r="BL84">
        <v>6</v>
      </c>
      <c r="BM84">
        <v>10</v>
      </c>
      <c r="BN84">
        <v>10</v>
      </c>
      <c r="BO84">
        <v>10</v>
      </c>
      <c r="BP84">
        <v>11</v>
      </c>
      <c r="BQ84">
        <v>11</v>
      </c>
      <c r="BR84">
        <v>11</v>
      </c>
      <c r="BS84">
        <v>25</v>
      </c>
    </row>
    <row r="85" spans="1:71" x14ac:dyDescent="0.25">
      <c r="A85" s="1" t="s">
        <v>151</v>
      </c>
      <c r="B85" s="1" t="s">
        <v>124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33</v>
      </c>
      <c r="BN85">
        <v>38</v>
      </c>
      <c r="BO85">
        <v>47</v>
      </c>
      <c r="BP85">
        <v>54</v>
      </c>
      <c r="BQ85">
        <v>54</v>
      </c>
      <c r="BR85">
        <v>70</v>
      </c>
      <c r="BS85">
        <v>70</v>
      </c>
    </row>
    <row r="86" spans="1:71" x14ac:dyDescent="0.25">
      <c r="A86" s="1" t="s">
        <v>217</v>
      </c>
      <c r="B86" s="1" t="s">
        <v>124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2</v>
      </c>
      <c r="BN86">
        <v>2</v>
      </c>
      <c r="BO86">
        <v>2</v>
      </c>
      <c r="BP86">
        <v>2</v>
      </c>
      <c r="BQ86">
        <v>2</v>
      </c>
      <c r="BR86">
        <v>2</v>
      </c>
      <c r="BS86">
        <v>2</v>
      </c>
    </row>
    <row r="87" spans="1:71" x14ac:dyDescent="0.25">
      <c r="A87" s="1" t="s">
        <v>2</v>
      </c>
      <c r="B87" s="1" t="s">
        <v>124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1</v>
      </c>
      <c r="AV87">
        <v>1</v>
      </c>
      <c r="AW87">
        <v>1</v>
      </c>
      <c r="AX87">
        <v>1</v>
      </c>
      <c r="AY87">
        <v>1</v>
      </c>
      <c r="AZ87">
        <v>1</v>
      </c>
      <c r="BA87">
        <v>1</v>
      </c>
      <c r="BB87">
        <v>1</v>
      </c>
      <c r="BC87">
        <v>1</v>
      </c>
      <c r="BD87">
        <v>1</v>
      </c>
      <c r="BE87">
        <v>1</v>
      </c>
      <c r="BF87">
        <v>1</v>
      </c>
      <c r="BG87">
        <v>1</v>
      </c>
      <c r="BH87">
        <v>1</v>
      </c>
      <c r="BI87">
        <v>1</v>
      </c>
      <c r="BJ87">
        <v>1</v>
      </c>
      <c r="BK87">
        <v>1</v>
      </c>
      <c r="BL87">
        <v>1</v>
      </c>
      <c r="BM87">
        <v>1</v>
      </c>
      <c r="BN87">
        <v>1</v>
      </c>
      <c r="BO87">
        <v>1</v>
      </c>
      <c r="BP87">
        <v>1</v>
      </c>
      <c r="BQ87">
        <v>1</v>
      </c>
      <c r="BR87">
        <v>1</v>
      </c>
      <c r="BS87">
        <v>1</v>
      </c>
    </row>
    <row r="88" spans="1:71" x14ac:dyDescent="0.25">
      <c r="A88" s="1" t="s">
        <v>2</v>
      </c>
      <c r="B88" s="1" t="s">
        <v>215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</row>
    <row r="89" spans="1:71" x14ac:dyDescent="0.25">
      <c r="A89" s="1" t="s">
        <v>2</v>
      </c>
      <c r="B89" s="1" t="s">
        <v>235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</row>
    <row r="90" spans="1:71" x14ac:dyDescent="0.25">
      <c r="A90" s="1" t="s">
        <v>2</v>
      </c>
      <c r="B90" s="1" t="s">
        <v>60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3</v>
      </c>
      <c r="BN90">
        <v>3</v>
      </c>
      <c r="BO90">
        <v>3</v>
      </c>
      <c r="BP90">
        <v>3</v>
      </c>
      <c r="BQ90">
        <v>3</v>
      </c>
      <c r="BR90">
        <v>3</v>
      </c>
      <c r="BS90">
        <v>4</v>
      </c>
    </row>
    <row r="91" spans="1:71" x14ac:dyDescent="0.25">
      <c r="A91" s="1" t="s">
        <v>2</v>
      </c>
      <c r="B91" s="1" t="s">
        <v>57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3</v>
      </c>
      <c r="BK91">
        <v>3</v>
      </c>
      <c r="BL91">
        <v>3</v>
      </c>
      <c r="BM91">
        <v>3</v>
      </c>
      <c r="BN91">
        <v>3</v>
      </c>
      <c r="BO91">
        <v>3</v>
      </c>
      <c r="BP91">
        <v>3</v>
      </c>
      <c r="BQ91">
        <v>3</v>
      </c>
      <c r="BR91">
        <v>3</v>
      </c>
      <c r="BS91">
        <v>3</v>
      </c>
    </row>
    <row r="92" spans="1:71" x14ac:dyDescent="0.25">
      <c r="A92" s="1" t="s">
        <v>2</v>
      </c>
      <c r="B92" s="1" t="s">
        <v>25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1</v>
      </c>
      <c r="AO92">
        <v>1</v>
      </c>
      <c r="AP92">
        <v>1</v>
      </c>
      <c r="AQ92">
        <v>1</v>
      </c>
      <c r="AR92">
        <v>1</v>
      </c>
      <c r="AS92">
        <v>1</v>
      </c>
      <c r="AT92">
        <v>1</v>
      </c>
      <c r="AU92">
        <v>1</v>
      </c>
      <c r="AV92">
        <v>1</v>
      </c>
      <c r="AW92">
        <v>1</v>
      </c>
      <c r="AX92">
        <v>1</v>
      </c>
      <c r="AY92">
        <v>1</v>
      </c>
      <c r="AZ92">
        <v>27</v>
      </c>
      <c r="BA92">
        <v>27</v>
      </c>
      <c r="BB92">
        <v>27</v>
      </c>
      <c r="BC92">
        <v>27</v>
      </c>
      <c r="BD92">
        <v>21</v>
      </c>
      <c r="BE92">
        <v>27</v>
      </c>
      <c r="BF92">
        <v>32</v>
      </c>
      <c r="BG92">
        <v>32</v>
      </c>
      <c r="BH92">
        <v>32</v>
      </c>
      <c r="BI92">
        <v>39</v>
      </c>
      <c r="BJ92">
        <v>41</v>
      </c>
      <c r="BK92">
        <v>56</v>
      </c>
      <c r="BL92">
        <v>56</v>
      </c>
      <c r="BM92">
        <v>80</v>
      </c>
      <c r="BN92">
        <v>95</v>
      </c>
      <c r="BO92">
        <v>102</v>
      </c>
      <c r="BP92">
        <v>116</v>
      </c>
      <c r="BQ92">
        <v>121</v>
      </c>
      <c r="BR92">
        <v>132</v>
      </c>
      <c r="BS92">
        <v>150</v>
      </c>
    </row>
    <row r="93" spans="1:71" x14ac:dyDescent="0.25">
      <c r="A93" s="1" t="s">
        <v>2</v>
      </c>
      <c r="B93" s="1" t="s">
        <v>221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</row>
    <row r="94" spans="1:71" x14ac:dyDescent="0.25">
      <c r="A94" s="1" t="s">
        <v>2</v>
      </c>
      <c r="B94" s="1" t="s">
        <v>196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</row>
    <row r="95" spans="1:71" x14ac:dyDescent="0.25">
      <c r="A95" s="1" t="s">
        <v>2</v>
      </c>
      <c r="B95" s="1" t="s">
        <v>233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</row>
    <row r="96" spans="1:71" x14ac:dyDescent="0.25">
      <c r="A96" s="1" t="s">
        <v>2</v>
      </c>
      <c r="B96" s="1" t="s">
        <v>44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1</v>
      </c>
      <c r="BE96">
        <v>1</v>
      </c>
      <c r="BF96">
        <v>1</v>
      </c>
      <c r="BG96">
        <v>1</v>
      </c>
      <c r="BH96">
        <v>1</v>
      </c>
      <c r="BI96">
        <v>1</v>
      </c>
      <c r="BJ96">
        <v>1</v>
      </c>
      <c r="BK96">
        <v>2</v>
      </c>
      <c r="BL96">
        <v>2</v>
      </c>
      <c r="BM96">
        <v>7</v>
      </c>
      <c r="BN96">
        <v>8</v>
      </c>
      <c r="BO96">
        <v>8</v>
      </c>
      <c r="BP96">
        <v>11</v>
      </c>
      <c r="BQ96">
        <v>20</v>
      </c>
      <c r="BR96">
        <v>20</v>
      </c>
      <c r="BS96">
        <v>20</v>
      </c>
    </row>
    <row r="97" spans="1:71" x14ac:dyDescent="0.25">
      <c r="A97" s="1" t="s">
        <v>2</v>
      </c>
      <c r="B97" s="1" t="s">
        <v>182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</row>
    <row r="98" spans="1:71" x14ac:dyDescent="0.25">
      <c r="A98" s="1" t="s">
        <v>2</v>
      </c>
      <c r="B98" s="1" t="s">
        <v>171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4</v>
      </c>
      <c r="BL98">
        <v>4</v>
      </c>
      <c r="BM98">
        <v>0</v>
      </c>
      <c r="BN98">
        <v>0</v>
      </c>
      <c r="BO98">
        <v>0</v>
      </c>
      <c r="BP98">
        <v>0</v>
      </c>
      <c r="BQ98">
        <v>1</v>
      </c>
      <c r="BR98">
        <v>1</v>
      </c>
      <c r="BS98">
        <v>4</v>
      </c>
    </row>
    <row r="99" spans="1:71" x14ac:dyDescent="0.25">
      <c r="A99" s="1" t="s">
        <v>2</v>
      </c>
      <c r="B99" s="1" t="s">
        <v>222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</row>
    <row r="100" spans="1:71" x14ac:dyDescent="0.25">
      <c r="A100" s="1" t="s">
        <v>2</v>
      </c>
      <c r="B100" s="1" t="s">
        <v>16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1</v>
      </c>
      <c r="AS100">
        <v>1</v>
      </c>
      <c r="AT100">
        <v>1</v>
      </c>
      <c r="AU100">
        <v>1</v>
      </c>
      <c r="AV100">
        <v>1</v>
      </c>
      <c r="AW100">
        <v>1</v>
      </c>
      <c r="AX100">
        <v>1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10</v>
      </c>
      <c r="BE100">
        <v>10</v>
      </c>
      <c r="BF100">
        <v>10</v>
      </c>
      <c r="BG100">
        <v>10</v>
      </c>
      <c r="BH100">
        <v>10</v>
      </c>
      <c r="BI100">
        <v>10</v>
      </c>
      <c r="BJ100">
        <v>10</v>
      </c>
      <c r="BK100">
        <v>10</v>
      </c>
      <c r="BL100">
        <v>10</v>
      </c>
      <c r="BM100">
        <v>10</v>
      </c>
      <c r="BN100">
        <v>10</v>
      </c>
      <c r="BO100">
        <v>10</v>
      </c>
      <c r="BP100">
        <v>10</v>
      </c>
      <c r="BQ100">
        <v>10</v>
      </c>
      <c r="BR100">
        <v>10</v>
      </c>
      <c r="BS100">
        <v>10</v>
      </c>
    </row>
    <row r="101" spans="1:71" x14ac:dyDescent="0.25">
      <c r="A101" s="1" t="s">
        <v>190</v>
      </c>
      <c r="B101" s="1" t="s">
        <v>112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6</v>
      </c>
      <c r="BL101">
        <v>6</v>
      </c>
      <c r="BM101">
        <v>6</v>
      </c>
      <c r="BN101">
        <v>6</v>
      </c>
      <c r="BO101">
        <v>6</v>
      </c>
      <c r="BP101">
        <v>6</v>
      </c>
      <c r="BQ101">
        <v>6</v>
      </c>
      <c r="BR101">
        <v>6</v>
      </c>
      <c r="BS101">
        <v>6</v>
      </c>
    </row>
    <row r="102" spans="1:71" x14ac:dyDescent="0.25">
      <c r="A102" s="1" t="s">
        <v>168</v>
      </c>
      <c r="B102" s="1" t="s">
        <v>112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</row>
    <row r="103" spans="1:71" x14ac:dyDescent="0.25">
      <c r="A103" s="1" t="s">
        <v>201</v>
      </c>
      <c r="B103" s="1" t="s">
        <v>112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17</v>
      </c>
      <c r="BR103">
        <v>17</v>
      </c>
      <c r="BS103">
        <v>17</v>
      </c>
    </row>
    <row r="104" spans="1:71" x14ac:dyDescent="0.25">
      <c r="A104" s="1" t="s">
        <v>90</v>
      </c>
      <c r="B104" s="1" t="s">
        <v>112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</row>
    <row r="105" spans="1:71" x14ac:dyDescent="0.25">
      <c r="A105" s="1" t="s">
        <v>197</v>
      </c>
      <c r="B105" s="1" t="s">
        <v>112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10</v>
      </c>
    </row>
    <row r="106" spans="1:71" x14ac:dyDescent="0.25">
      <c r="A106" s="1" t="s">
        <v>218</v>
      </c>
      <c r="B106" s="1" t="s">
        <v>112</v>
      </c>
      <c r="C106">
        <v>0</v>
      </c>
      <c r="D106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</row>
    <row r="107" spans="1:71" x14ac:dyDescent="0.25">
      <c r="A107" s="1" t="s">
        <v>208</v>
      </c>
      <c r="B107" s="1" t="s">
        <v>112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1</v>
      </c>
      <c r="BN107">
        <v>1</v>
      </c>
      <c r="BO107">
        <v>1</v>
      </c>
      <c r="BP107">
        <v>1</v>
      </c>
      <c r="BQ107">
        <v>1</v>
      </c>
      <c r="BR107">
        <v>1</v>
      </c>
      <c r="BS107">
        <v>1</v>
      </c>
    </row>
    <row r="108" spans="1:71" x14ac:dyDescent="0.25">
      <c r="A108" s="1" t="s">
        <v>160</v>
      </c>
      <c r="B108" s="1" t="s">
        <v>112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1</v>
      </c>
    </row>
    <row r="109" spans="1:71" x14ac:dyDescent="0.25">
      <c r="A109" s="1" t="s">
        <v>152</v>
      </c>
      <c r="B109" s="1" t="s">
        <v>112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2</v>
      </c>
    </row>
    <row r="110" spans="1:71" x14ac:dyDescent="0.25">
      <c r="A110" s="1" t="s">
        <v>2</v>
      </c>
      <c r="B110" s="1" t="s">
        <v>112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2</v>
      </c>
      <c r="Y110">
        <v>2</v>
      </c>
      <c r="Z110">
        <v>2</v>
      </c>
      <c r="AA110">
        <v>4</v>
      </c>
      <c r="AB110">
        <v>4</v>
      </c>
      <c r="AC110">
        <v>4</v>
      </c>
      <c r="AD110">
        <v>4</v>
      </c>
      <c r="AE110">
        <v>4</v>
      </c>
      <c r="AF110">
        <v>4</v>
      </c>
      <c r="AG110">
        <v>4</v>
      </c>
      <c r="AH110">
        <v>4</v>
      </c>
      <c r="AI110">
        <v>4</v>
      </c>
      <c r="AJ110">
        <v>4</v>
      </c>
      <c r="AK110">
        <v>11</v>
      </c>
      <c r="AL110">
        <v>11</v>
      </c>
      <c r="AM110">
        <v>11</v>
      </c>
      <c r="AN110">
        <v>11</v>
      </c>
      <c r="AO110">
        <v>12</v>
      </c>
      <c r="AP110">
        <v>12</v>
      </c>
      <c r="AQ110">
        <v>12</v>
      </c>
      <c r="AR110">
        <v>12</v>
      </c>
      <c r="AS110">
        <v>12</v>
      </c>
      <c r="AT110">
        <v>12</v>
      </c>
      <c r="AU110">
        <v>12</v>
      </c>
      <c r="AV110">
        <v>12</v>
      </c>
      <c r="AW110">
        <v>12</v>
      </c>
      <c r="AX110">
        <v>12</v>
      </c>
      <c r="AY110">
        <v>12</v>
      </c>
      <c r="AZ110">
        <v>12</v>
      </c>
      <c r="BA110">
        <v>12</v>
      </c>
      <c r="BB110">
        <v>12</v>
      </c>
      <c r="BC110">
        <v>12</v>
      </c>
      <c r="BD110">
        <v>12</v>
      </c>
      <c r="BE110">
        <v>12</v>
      </c>
      <c r="BF110">
        <v>12</v>
      </c>
      <c r="BG110">
        <v>12</v>
      </c>
      <c r="BH110">
        <v>12</v>
      </c>
      <c r="BI110">
        <v>12</v>
      </c>
      <c r="BJ110">
        <v>12</v>
      </c>
      <c r="BK110">
        <v>2200</v>
      </c>
      <c r="BL110">
        <v>2200</v>
      </c>
      <c r="BM110">
        <v>3243</v>
      </c>
      <c r="BN110">
        <v>3900</v>
      </c>
      <c r="BO110">
        <v>4948</v>
      </c>
      <c r="BP110">
        <v>5700</v>
      </c>
      <c r="BQ110">
        <v>5700</v>
      </c>
      <c r="BR110">
        <v>7202</v>
      </c>
      <c r="BS110">
        <v>7927</v>
      </c>
    </row>
    <row r="111" spans="1:71" x14ac:dyDescent="0.25">
      <c r="A111" s="1" t="s">
        <v>2</v>
      </c>
      <c r="B111" s="1" t="s">
        <v>183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</row>
    <row r="112" spans="1:71" x14ac:dyDescent="0.25">
      <c r="A112" s="1" t="s">
        <v>2</v>
      </c>
      <c r="B112" s="1" t="s">
        <v>330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</row>
    <row r="113" spans="1:71" x14ac:dyDescent="0.25">
      <c r="A113" s="1" t="s">
        <v>2</v>
      </c>
      <c r="B113" s="1" t="s">
        <v>39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1</v>
      </c>
      <c r="BF113">
        <v>1</v>
      </c>
      <c r="BG113">
        <v>1</v>
      </c>
      <c r="BH113">
        <v>1</v>
      </c>
      <c r="BI113">
        <v>1</v>
      </c>
      <c r="BJ113">
        <v>1</v>
      </c>
      <c r="BK113">
        <v>3</v>
      </c>
      <c r="BL113">
        <v>3</v>
      </c>
      <c r="BM113">
        <v>9</v>
      </c>
      <c r="BN113">
        <v>10</v>
      </c>
      <c r="BO113">
        <v>11</v>
      </c>
      <c r="BP113">
        <v>14</v>
      </c>
      <c r="BQ113">
        <v>14</v>
      </c>
      <c r="BR113">
        <v>18</v>
      </c>
      <c r="BS113">
        <v>20</v>
      </c>
    </row>
    <row r="114" spans="1:71" x14ac:dyDescent="0.25">
      <c r="A114" s="1" t="s">
        <v>2</v>
      </c>
      <c r="B114" s="1" t="s">
        <v>15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1</v>
      </c>
      <c r="Z114">
        <v>1</v>
      </c>
      <c r="AA114">
        <v>1</v>
      </c>
      <c r="AB114">
        <v>1</v>
      </c>
      <c r="AC114">
        <v>1</v>
      </c>
      <c r="AD114">
        <v>12</v>
      </c>
      <c r="AE114">
        <v>12</v>
      </c>
      <c r="AF114">
        <v>12</v>
      </c>
      <c r="AG114">
        <v>14</v>
      </c>
      <c r="AH114">
        <v>14</v>
      </c>
      <c r="AI114">
        <v>14</v>
      </c>
      <c r="AJ114">
        <v>14</v>
      </c>
      <c r="AK114">
        <v>14</v>
      </c>
      <c r="AL114">
        <v>15</v>
      </c>
      <c r="AM114">
        <v>16</v>
      </c>
      <c r="AN114">
        <v>16</v>
      </c>
      <c r="AO114">
        <v>16</v>
      </c>
      <c r="AP114">
        <v>16</v>
      </c>
      <c r="AQ114">
        <v>16</v>
      </c>
      <c r="AR114">
        <v>16</v>
      </c>
      <c r="AS114">
        <v>16</v>
      </c>
      <c r="AT114">
        <v>16</v>
      </c>
      <c r="AU114">
        <v>17</v>
      </c>
      <c r="AV114">
        <v>18</v>
      </c>
      <c r="AW114">
        <v>18</v>
      </c>
      <c r="AX114">
        <v>18</v>
      </c>
      <c r="AY114">
        <v>18</v>
      </c>
      <c r="AZ114">
        <v>25</v>
      </c>
      <c r="BA114">
        <v>25</v>
      </c>
      <c r="BB114">
        <v>46</v>
      </c>
      <c r="BC114">
        <v>46</v>
      </c>
      <c r="BD114">
        <v>46</v>
      </c>
      <c r="BE114">
        <v>67</v>
      </c>
      <c r="BF114">
        <v>67</v>
      </c>
      <c r="BG114">
        <v>105</v>
      </c>
      <c r="BH114">
        <v>113</v>
      </c>
      <c r="BI114">
        <v>180</v>
      </c>
      <c r="BJ114">
        <v>233</v>
      </c>
      <c r="BK114">
        <v>266</v>
      </c>
      <c r="BL114">
        <v>266</v>
      </c>
      <c r="BM114">
        <v>3243</v>
      </c>
      <c r="BN114">
        <v>3547</v>
      </c>
      <c r="BO114">
        <v>5673</v>
      </c>
      <c r="BP114">
        <v>6658</v>
      </c>
      <c r="BQ114">
        <v>8481</v>
      </c>
      <c r="BR114">
        <v>9211</v>
      </c>
      <c r="BS114">
        <v>13500</v>
      </c>
    </row>
    <row r="115" spans="1:71" x14ac:dyDescent="0.25">
      <c r="A115" s="1" t="s">
        <v>2</v>
      </c>
      <c r="B115" s="1" t="s">
        <v>177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1</v>
      </c>
      <c r="BP115">
        <v>2</v>
      </c>
      <c r="BQ115">
        <v>2</v>
      </c>
      <c r="BR115">
        <v>2</v>
      </c>
      <c r="BS115">
        <v>2</v>
      </c>
    </row>
    <row r="116" spans="1:71" x14ac:dyDescent="0.25">
      <c r="A116" s="1" t="s">
        <v>2</v>
      </c>
      <c r="B116" s="1" t="s">
        <v>236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</row>
    <row r="117" spans="1:71" x14ac:dyDescent="0.25">
      <c r="A117" s="1" t="s">
        <v>2</v>
      </c>
      <c r="B117" s="1" t="s">
        <v>40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8</v>
      </c>
      <c r="BD117">
        <v>8</v>
      </c>
      <c r="BE117">
        <v>8</v>
      </c>
      <c r="BF117">
        <v>8</v>
      </c>
      <c r="BG117">
        <v>8</v>
      </c>
      <c r="BH117">
        <v>8</v>
      </c>
      <c r="BI117">
        <v>19</v>
      </c>
      <c r="BJ117">
        <v>19</v>
      </c>
      <c r="BK117">
        <v>19</v>
      </c>
      <c r="BL117">
        <v>19</v>
      </c>
      <c r="BM117">
        <v>29</v>
      </c>
      <c r="BN117">
        <v>36</v>
      </c>
      <c r="BO117">
        <v>36</v>
      </c>
      <c r="BP117">
        <v>52</v>
      </c>
      <c r="BQ117">
        <v>52</v>
      </c>
      <c r="BR117">
        <v>52</v>
      </c>
      <c r="BS117">
        <v>52</v>
      </c>
    </row>
    <row r="118" spans="1:71" x14ac:dyDescent="0.25">
      <c r="A118" s="1" t="s">
        <v>2</v>
      </c>
      <c r="B118" s="1" t="s">
        <v>184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4</v>
      </c>
      <c r="BO118">
        <v>4</v>
      </c>
      <c r="BP118">
        <v>4</v>
      </c>
      <c r="BQ118">
        <v>10</v>
      </c>
      <c r="BR118">
        <v>10</v>
      </c>
      <c r="BS118">
        <v>10</v>
      </c>
    </row>
    <row r="119" spans="1:71" x14ac:dyDescent="0.25">
      <c r="A119" s="1" t="s">
        <v>2</v>
      </c>
      <c r="B119" s="1" t="s">
        <v>173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</row>
    <row r="120" spans="1:71" x14ac:dyDescent="0.25">
      <c r="A120" s="1" t="s">
        <v>2</v>
      </c>
      <c r="B120" s="1" t="s">
        <v>335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</row>
    <row r="121" spans="1:71" x14ac:dyDescent="0.25">
      <c r="A121" s="1" t="s">
        <v>2</v>
      </c>
      <c r="B121" s="1" t="s">
        <v>165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</row>
    <row r="122" spans="1:71" x14ac:dyDescent="0.25">
      <c r="A122" s="1" t="s">
        <v>2</v>
      </c>
      <c r="B122" s="1" t="s">
        <v>225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1</v>
      </c>
      <c r="BS122">
        <v>1</v>
      </c>
    </row>
    <row r="123" spans="1:71" x14ac:dyDescent="0.25">
      <c r="A123" s="1" t="s">
        <v>2</v>
      </c>
      <c r="B123" s="1" t="s">
        <v>105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</row>
    <row r="124" spans="1:71" x14ac:dyDescent="0.25">
      <c r="A124" s="1" t="s">
        <v>2</v>
      </c>
      <c r="B124" s="1" t="s">
        <v>153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3</v>
      </c>
      <c r="BR124">
        <v>3</v>
      </c>
      <c r="BS124">
        <v>3</v>
      </c>
    </row>
    <row r="125" spans="1:71" x14ac:dyDescent="0.25">
      <c r="A125" s="1" t="s">
        <v>2</v>
      </c>
      <c r="B125" s="1" t="s">
        <v>73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1</v>
      </c>
      <c r="BD125">
        <v>1</v>
      </c>
      <c r="BE125">
        <v>1</v>
      </c>
      <c r="BF125">
        <v>2</v>
      </c>
      <c r="BG125">
        <v>2</v>
      </c>
      <c r="BH125">
        <v>2</v>
      </c>
      <c r="BI125">
        <v>2</v>
      </c>
      <c r="BJ125">
        <v>7</v>
      </c>
      <c r="BK125">
        <v>16</v>
      </c>
      <c r="BL125">
        <v>16</v>
      </c>
      <c r="BM125">
        <v>21</v>
      </c>
      <c r="BN125">
        <v>21</v>
      </c>
      <c r="BO125">
        <v>28</v>
      </c>
      <c r="BP125">
        <v>34</v>
      </c>
      <c r="BQ125">
        <v>34</v>
      </c>
      <c r="BR125">
        <v>34</v>
      </c>
      <c r="BS125">
        <v>34</v>
      </c>
    </row>
    <row r="126" spans="1:71" x14ac:dyDescent="0.25">
      <c r="A126" s="1" t="s">
        <v>2</v>
      </c>
      <c r="B126" s="1" t="s">
        <v>47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1</v>
      </c>
      <c r="AZ126">
        <v>1</v>
      </c>
      <c r="BA126">
        <v>1</v>
      </c>
      <c r="BB126">
        <v>1</v>
      </c>
      <c r="BC126">
        <v>1</v>
      </c>
      <c r="BD126">
        <v>8</v>
      </c>
      <c r="BE126">
        <v>0</v>
      </c>
      <c r="BF126">
        <v>0</v>
      </c>
      <c r="BG126">
        <v>5</v>
      </c>
      <c r="BH126">
        <v>5</v>
      </c>
      <c r="BI126">
        <v>5</v>
      </c>
      <c r="BJ126">
        <v>22</v>
      </c>
      <c r="BK126">
        <v>36</v>
      </c>
      <c r="BL126">
        <v>36</v>
      </c>
      <c r="BM126">
        <v>51</v>
      </c>
      <c r="BN126">
        <v>56</v>
      </c>
      <c r="BO126">
        <v>82</v>
      </c>
      <c r="BP126">
        <v>97</v>
      </c>
      <c r="BQ126">
        <v>114</v>
      </c>
      <c r="BR126">
        <v>135</v>
      </c>
      <c r="BS126">
        <v>157</v>
      </c>
    </row>
    <row r="127" spans="1:71" x14ac:dyDescent="0.25">
      <c r="A127" s="1" t="s">
        <v>2</v>
      </c>
      <c r="B127" s="1" t="s">
        <v>19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3</v>
      </c>
      <c r="AC127">
        <v>3</v>
      </c>
      <c r="AD127">
        <v>3</v>
      </c>
      <c r="AE127">
        <v>3</v>
      </c>
      <c r="AF127">
        <v>3</v>
      </c>
      <c r="AG127">
        <v>3</v>
      </c>
      <c r="AH127">
        <v>3</v>
      </c>
      <c r="AI127">
        <v>3</v>
      </c>
      <c r="AJ127">
        <v>3</v>
      </c>
      <c r="AK127">
        <v>3</v>
      </c>
      <c r="AL127">
        <v>3</v>
      </c>
      <c r="AM127">
        <v>3</v>
      </c>
      <c r="AN127">
        <v>3</v>
      </c>
      <c r="AO127">
        <v>3</v>
      </c>
      <c r="AP127">
        <v>3</v>
      </c>
      <c r="AQ127">
        <v>3</v>
      </c>
      <c r="AR127">
        <v>3</v>
      </c>
      <c r="AS127">
        <v>3</v>
      </c>
      <c r="AT127">
        <v>3</v>
      </c>
      <c r="AU127">
        <v>3</v>
      </c>
      <c r="AV127">
        <v>3</v>
      </c>
      <c r="AW127">
        <v>3</v>
      </c>
      <c r="AX127">
        <v>3</v>
      </c>
      <c r="AY127">
        <v>4</v>
      </c>
      <c r="AZ127">
        <v>4</v>
      </c>
      <c r="BA127">
        <v>4</v>
      </c>
      <c r="BB127">
        <v>4</v>
      </c>
      <c r="BC127">
        <v>4</v>
      </c>
      <c r="BD127">
        <v>13</v>
      </c>
      <c r="BE127">
        <v>13</v>
      </c>
      <c r="BF127">
        <v>14</v>
      </c>
      <c r="BG127">
        <v>14</v>
      </c>
      <c r="BH127">
        <v>15</v>
      </c>
      <c r="BI127">
        <v>20</v>
      </c>
      <c r="BJ127">
        <v>23</v>
      </c>
      <c r="BK127">
        <v>27</v>
      </c>
      <c r="BL127">
        <v>27</v>
      </c>
      <c r="BM127">
        <v>40</v>
      </c>
      <c r="BN127">
        <v>43</v>
      </c>
      <c r="BO127">
        <v>45</v>
      </c>
      <c r="BP127">
        <v>73</v>
      </c>
      <c r="BQ127">
        <v>84</v>
      </c>
      <c r="BR127">
        <v>95</v>
      </c>
      <c r="BS127">
        <v>102</v>
      </c>
    </row>
    <row r="128" spans="1:71" x14ac:dyDescent="0.25">
      <c r="A128" s="1" t="s">
        <v>2</v>
      </c>
      <c r="B128" s="1" t="s">
        <v>61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2</v>
      </c>
      <c r="AZ128">
        <v>2</v>
      </c>
      <c r="BA128">
        <v>2</v>
      </c>
      <c r="BB128">
        <v>2</v>
      </c>
      <c r="BC128">
        <v>8</v>
      </c>
      <c r="BD128">
        <v>8</v>
      </c>
      <c r="BE128">
        <v>8</v>
      </c>
      <c r="BF128">
        <v>8</v>
      </c>
      <c r="BG128">
        <v>11</v>
      </c>
      <c r="BH128">
        <v>11</v>
      </c>
      <c r="BI128">
        <v>15</v>
      </c>
      <c r="BJ128">
        <v>15</v>
      </c>
      <c r="BK128">
        <v>29</v>
      </c>
      <c r="BL128">
        <v>29</v>
      </c>
      <c r="BM128">
        <v>30</v>
      </c>
      <c r="BN128">
        <v>31</v>
      </c>
      <c r="BO128">
        <v>35</v>
      </c>
      <c r="BP128">
        <v>46</v>
      </c>
      <c r="BQ128">
        <v>59</v>
      </c>
      <c r="BR128">
        <v>64</v>
      </c>
      <c r="BS128">
        <v>75</v>
      </c>
    </row>
    <row r="129" spans="1:71" x14ac:dyDescent="0.25">
      <c r="A129" s="1" t="s">
        <v>2</v>
      </c>
      <c r="B129" s="1" t="s">
        <v>110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49</v>
      </c>
      <c r="AM129">
        <v>49</v>
      </c>
      <c r="AN129">
        <v>73</v>
      </c>
      <c r="AO129">
        <v>123</v>
      </c>
      <c r="AP129">
        <v>175</v>
      </c>
      <c r="AQ129">
        <v>291</v>
      </c>
      <c r="AR129">
        <v>291</v>
      </c>
      <c r="AS129">
        <v>552</v>
      </c>
      <c r="AT129">
        <v>739</v>
      </c>
      <c r="AU129">
        <v>913</v>
      </c>
      <c r="AV129">
        <v>1669</v>
      </c>
      <c r="AW129">
        <v>2134</v>
      </c>
      <c r="AX129">
        <v>2394</v>
      </c>
      <c r="AY129">
        <v>2731</v>
      </c>
      <c r="AZ129">
        <v>2959</v>
      </c>
      <c r="BA129">
        <v>2959</v>
      </c>
      <c r="BB129">
        <v>2959</v>
      </c>
      <c r="BC129">
        <v>2959</v>
      </c>
      <c r="BD129">
        <v>4590</v>
      </c>
      <c r="BE129">
        <v>4590</v>
      </c>
      <c r="BF129">
        <v>5389</v>
      </c>
      <c r="BG129">
        <v>5389</v>
      </c>
      <c r="BH129">
        <v>5710</v>
      </c>
      <c r="BI129">
        <v>6745</v>
      </c>
      <c r="BJ129">
        <v>7635</v>
      </c>
      <c r="BK129">
        <v>7931</v>
      </c>
      <c r="BL129">
        <v>7931</v>
      </c>
      <c r="BM129">
        <v>8913</v>
      </c>
      <c r="BN129">
        <v>9625</v>
      </c>
      <c r="BO129">
        <v>10457</v>
      </c>
      <c r="BP129">
        <v>11133</v>
      </c>
      <c r="BQ129">
        <v>11679</v>
      </c>
      <c r="BR129">
        <v>12391</v>
      </c>
      <c r="BS129">
        <v>13911</v>
      </c>
    </row>
    <row r="130" spans="1:71" x14ac:dyDescent="0.25">
      <c r="A130" s="1" t="s">
        <v>2</v>
      </c>
      <c r="B130" s="1" t="s">
        <v>27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3</v>
      </c>
      <c r="AY130">
        <v>3</v>
      </c>
      <c r="AZ130">
        <v>15</v>
      </c>
      <c r="BA130">
        <v>15</v>
      </c>
      <c r="BB130">
        <v>24</v>
      </c>
      <c r="BC130">
        <v>26</v>
      </c>
      <c r="BD130">
        <v>26</v>
      </c>
      <c r="BE130">
        <v>26</v>
      </c>
      <c r="BF130">
        <v>32</v>
      </c>
      <c r="BG130">
        <v>43</v>
      </c>
      <c r="BH130">
        <v>43</v>
      </c>
      <c r="BI130">
        <v>49</v>
      </c>
      <c r="BJ130">
        <v>51</v>
      </c>
      <c r="BK130">
        <v>57</v>
      </c>
      <c r="BL130">
        <v>57</v>
      </c>
      <c r="BM130">
        <v>75</v>
      </c>
      <c r="BN130">
        <v>103</v>
      </c>
      <c r="BO130">
        <v>105</v>
      </c>
      <c r="BP130">
        <v>122</v>
      </c>
      <c r="BQ130">
        <v>131</v>
      </c>
      <c r="BR130">
        <v>143</v>
      </c>
      <c r="BS130">
        <v>152</v>
      </c>
    </row>
    <row r="131" spans="1:71" x14ac:dyDescent="0.25">
      <c r="A131" s="1" t="s">
        <v>2</v>
      </c>
      <c r="B131" s="1" t="s">
        <v>53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5</v>
      </c>
      <c r="BG131">
        <v>5</v>
      </c>
      <c r="BH131">
        <v>5</v>
      </c>
      <c r="BI131">
        <v>5</v>
      </c>
      <c r="BJ131">
        <v>5</v>
      </c>
      <c r="BK131">
        <v>5</v>
      </c>
      <c r="BL131">
        <v>5</v>
      </c>
      <c r="BM131">
        <v>5</v>
      </c>
      <c r="BN131">
        <v>5</v>
      </c>
      <c r="BO131">
        <v>5</v>
      </c>
      <c r="BP131">
        <v>5</v>
      </c>
      <c r="BQ131">
        <v>5</v>
      </c>
      <c r="BR131">
        <v>5</v>
      </c>
      <c r="BS131">
        <v>5</v>
      </c>
    </row>
    <row r="132" spans="1:71" x14ac:dyDescent="0.25">
      <c r="A132" s="1" t="s">
        <v>2</v>
      </c>
      <c r="B132" s="1" t="s">
        <v>36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1</v>
      </c>
      <c r="AN132">
        <v>1</v>
      </c>
      <c r="AO132">
        <v>1</v>
      </c>
      <c r="AP132">
        <v>1</v>
      </c>
      <c r="AQ132">
        <v>1</v>
      </c>
      <c r="AR132">
        <v>1</v>
      </c>
      <c r="AS132">
        <v>1</v>
      </c>
      <c r="AT132">
        <v>1</v>
      </c>
      <c r="AU132">
        <v>2</v>
      </c>
      <c r="AV132">
        <v>2</v>
      </c>
      <c r="AW132">
        <v>2</v>
      </c>
      <c r="AX132">
        <v>2</v>
      </c>
      <c r="AY132">
        <v>4</v>
      </c>
      <c r="AZ132">
        <v>4</v>
      </c>
      <c r="BA132">
        <v>4</v>
      </c>
      <c r="BB132">
        <v>4</v>
      </c>
      <c r="BC132">
        <v>4</v>
      </c>
      <c r="BD132">
        <v>4</v>
      </c>
      <c r="BE132">
        <v>4</v>
      </c>
      <c r="BF132">
        <v>11</v>
      </c>
      <c r="BG132">
        <v>11</v>
      </c>
      <c r="BH132">
        <v>11</v>
      </c>
      <c r="BI132">
        <v>14</v>
      </c>
      <c r="BJ132">
        <v>36</v>
      </c>
      <c r="BK132">
        <v>37</v>
      </c>
      <c r="BL132">
        <v>37</v>
      </c>
      <c r="BM132">
        <v>53</v>
      </c>
      <c r="BN132">
        <v>58</v>
      </c>
      <c r="BO132">
        <v>68</v>
      </c>
      <c r="BP132">
        <v>79</v>
      </c>
      <c r="BQ132">
        <v>89</v>
      </c>
      <c r="BR132">
        <v>132</v>
      </c>
      <c r="BS132">
        <v>161</v>
      </c>
    </row>
    <row r="133" spans="1:71" x14ac:dyDescent="0.25">
      <c r="A133" s="1" t="s">
        <v>2</v>
      </c>
      <c r="B133" s="1" t="s">
        <v>20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1</v>
      </c>
      <c r="AI133">
        <v>2</v>
      </c>
      <c r="AJ133">
        <v>1</v>
      </c>
      <c r="AK133">
        <v>1</v>
      </c>
      <c r="AL133">
        <v>3</v>
      </c>
      <c r="AM133">
        <v>45</v>
      </c>
      <c r="AN133">
        <v>46</v>
      </c>
      <c r="AO133">
        <v>46</v>
      </c>
      <c r="AP133">
        <v>83</v>
      </c>
      <c r="AQ133">
        <v>149</v>
      </c>
      <c r="AR133">
        <v>160</v>
      </c>
      <c r="AS133">
        <v>276</v>
      </c>
      <c r="AT133">
        <v>414</v>
      </c>
      <c r="AU133">
        <v>523</v>
      </c>
      <c r="AV133">
        <v>589</v>
      </c>
      <c r="AW133">
        <v>622</v>
      </c>
      <c r="AX133">
        <v>724</v>
      </c>
      <c r="AY133">
        <v>724</v>
      </c>
      <c r="AZ133">
        <v>1045</v>
      </c>
      <c r="BA133">
        <v>1045</v>
      </c>
      <c r="BB133">
        <v>1439</v>
      </c>
      <c r="BC133">
        <v>1966</v>
      </c>
      <c r="BD133">
        <v>2335</v>
      </c>
      <c r="BE133">
        <v>2749</v>
      </c>
      <c r="BF133">
        <v>2941</v>
      </c>
      <c r="BG133">
        <v>4025</v>
      </c>
      <c r="BH133">
        <v>4440</v>
      </c>
      <c r="BI133">
        <v>4440</v>
      </c>
      <c r="BJ133">
        <v>6072</v>
      </c>
      <c r="BK133">
        <v>7024</v>
      </c>
      <c r="BL133">
        <v>7024</v>
      </c>
      <c r="BM133">
        <v>8326</v>
      </c>
      <c r="BN133">
        <v>9362</v>
      </c>
      <c r="BO133">
        <v>10361</v>
      </c>
      <c r="BP133">
        <v>10950</v>
      </c>
      <c r="BQ133">
        <v>12384</v>
      </c>
      <c r="BR133">
        <v>13030</v>
      </c>
      <c r="BS133">
        <v>14620</v>
      </c>
    </row>
    <row r="134" spans="1:71" x14ac:dyDescent="0.25">
      <c r="A134" s="1" t="s">
        <v>2</v>
      </c>
      <c r="B134" s="1" t="s">
        <v>161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2</v>
      </c>
      <c r="BF134">
        <v>2</v>
      </c>
      <c r="BG134">
        <v>2</v>
      </c>
      <c r="BH134">
        <v>2</v>
      </c>
      <c r="BI134">
        <v>2</v>
      </c>
      <c r="BJ134">
        <v>2</v>
      </c>
      <c r="BK134">
        <v>2</v>
      </c>
      <c r="BL134">
        <v>2</v>
      </c>
      <c r="BM134">
        <v>2</v>
      </c>
      <c r="BN134">
        <v>2</v>
      </c>
      <c r="BO134">
        <v>2</v>
      </c>
      <c r="BP134">
        <v>2</v>
      </c>
      <c r="BQ134">
        <v>2</v>
      </c>
      <c r="BR134">
        <v>2</v>
      </c>
      <c r="BS134">
        <v>2</v>
      </c>
    </row>
    <row r="135" spans="1:71" x14ac:dyDescent="0.25">
      <c r="A135" s="1" t="s">
        <v>2</v>
      </c>
      <c r="B135" s="1" t="s">
        <v>3</v>
      </c>
      <c r="C135">
        <v>0</v>
      </c>
      <c r="D135">
        <v>0</v>
      </c>
      <c r="E135">
        <v>0</v>
      </c>
      <c r="F135">
        <v>0</v>
      </c>
      <c r="G135">
        <v>1</v>
      </c>
      <c r="H135">
        <v>1</v>
      </c>
      <c r="I135">
        <v>1</v>
      </c>
      <c r="J135">
        <v>1</v>
      </c>
      <c r="K135">
        <v>1</v>
      </c>
      <c r="L135">
        <v>1</v>
      </c>
      <c r="M135">
        <v>1</v>
      </c>
      <c r="N135">
        <v>1</v>
      </c>
      <c r="O135">
        <v>1</v>
      </c>
      <c r="P135">
        <v>1</v>
      </c>
      <c r="Q135">
        <v>1</v>
      </c>
      <c r="R135">
        <v>1</v>
      </c>
      <c r="S135">
        <v>1</v>
      </c>
      <c r="T135">
        <v>1</v>
      </c>
      <c r="U135">
        <v>1</v>
      </c>
      <c r="V135">
        <v>4</v>
      </c>
      <c r="W135">
        <v>9</v>
      </c>
      <c r="X135">
        <v>9</v>
      </c>
      <c r="Y135">
        <v>9</v>
      </c>
      <c r="Z135">
        <v>9</v>
      </c>
      <c r="AA135">
        <v>12</v>
      </c>
      <c r="AB135">
        <v>12</v>
      </c>
      <c r="AC135">
        <v>12</v>
      </c>
      <c r="AD135">
        <v>13</v>
      </c>
      <c r="AE135">
        <v>18</v>
      </c>
      <c r="AF135">
        <v>18</v>
      </c>
      <c r="AG135">
        <v>22</v>
      </c>
      <c r="AH135">
        <v>22</v>
      </c>
      <c r="AI135">
        <v>22</v>
      </c>
      <c r="AJ135">
        <v>22</v>
      </c>
      <c r="AK135">
        <v>22</v>
      </c>
      <c r="AL135">
        <v>22</v>
      </c>
      <c r="AM135">
        <v>22</v>
      </c>
      <c r="AN135">
        <v>22</v>
      </c>
      <c r="AO135">
        <v>32</v>
      </c>
      <c r="AP135">
        <v>32</v>
      </c>
      <c r="AQ135">
        <v>32</v>
      </c>
      <c r="AR135">
        <v>43</v>
      </c>
      <c r="AS135">
        <v>43</v>
      </c>
      <c r="AT135">
        <v>43</v>
      </c>
      <c r="AU135">
        <v>46</v>
      </c>
      <c r="AV135">
        <v>76</v>
      </c>
      <c r="AW135">
        <v>76</v>
      </c>
      <c r="AX135">
        <v>76</v>
      </c>
      <c r="AY135">
        <v>101</v>
      </c>
      <c r="AZ135">
        <v>118</v>
      </c>
      <c r="BA135">
        <v>118</v>
      </c>
      <c r="BB135">
        <v>118</v>
      </c>
      <c r="BC135">
        <v>118</v>
      </c>
      <c r="BD135">
        <v>118</v>
      </c>
      <c r="BE135">
        <v>144</v>
      </c>
      <c r="BF135">
        <v>144</v>
      </c>
      <c r="BG135">
        <v>144</v>
      </c>
      <c r="BH135">
        <v>150</v>
      </c>
      <c r="BI135">
        <v>191</v>
      </c>
      <c r="BJ135">
        <v>232</v>
      </c>
      <c r="BK135">
        <v>235</v>
      </c>
      <c r="BL135">
        <v>235</v>
      </c>
      <c r="BM135">
        <v>285</v>
      </c>
      <c r="BN135">
        <v>310</v>
      </c>
      <c r="BO135">
        <v>359</v>
      </c>
      <c r="BP135">
        <v>372</v>
      </c>
      <c r="BQ135">
        <v>404</v>
      </c>
      <c r="BR135">
        <v>424</v>
      </c>
      <c r="BS135">
        <v>424</v>
      </c>
    </row>
    <row r="136" spans="1:71" x14ac:dyDescent="0.25">
      <c r="A136" s="1" t="s">
        <v>2</v>
      </c>
      <c r="B136" s="1" t="s">
        <v>71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1</v>
      </c>
      <c r="BC136">
        <v>1</v>
      </c>
      <c r="BD136">
        <v>1</v>
      </c>
      <c r="BE136">
        <v>1</v>
      </c>
      <c r="BF136">
        <v>1</v>
      </c>
      <c r="BG136">
        <v>1</v>
      </c>
      <c r="BH136">
        <v>1</v>
      </c>
      <c r="BI136">
        <v>1</v>
      </c>
      <c r="BJ136">
        <v>1</v>
      </c>
      <c r="BK136">
        <v>1</v>
      </c>
      <c r="BL136">
        <v>1</v>
      </c>
      <c r="BM136">
        <v>1</v>
      </c>
      <c r="BN136">
        <v>1</v>
      </c>
      <c r="BO136">
        <v>1</v>
      </c>
      <c r="BP136">
        <v>18</v>
      </c>
      <c r="BQ136">
        <v>18</v>
      </c>
      <c r="BR136">
        <v>18</v>
      </c>
      <c r="BS136">
        <v>26</v>
      </c>
    </row>
    <row r="137" spans="1:71" x14ac:dyDescent="0.25">
      <c r="A137" s="1" t="s">
        <v>2</v>
      </c>
      <c r="B137" s="1" t="s">
        <v>167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2</v>
      </c>
      <c r="BP137">
        <v>3</v>
      </c>
      <c r="BQ137">
        <v>16</v>
      </c>
      <c r="BR137">
        <v>20</v>
      </c>
      <c r="BS137">
        <v>21</v>
      </c>
    </row>
    <row r="138" spans="1:71" x14ac:dyDescent="0.25">
      <c r="A138" s="1" t="s">
        <v>2</v>
      </c>
      <c r="B138" s="1" t="s">
        <v>174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1</v>
      </c>
      <c r="BO138">
        <v>1</v>
      </c>
      <c r="BP138">
        <v>1</v>
      </c>
      <c r="BQ138">
        <v>1</v>
      </c>
      <c r="BR138">
        <v>1</v>
      </c>
      <c r="BS138">
        <v>1</v>
      </c>
    </row>
    <row r="139" spans="1:71" x14ac:dyDescent="0.25">
      <c r="A139" s="1" t="s">
        <v>2</v>
      </c>
      <c r="B139" s="1" t="s">
        <v>111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3</v>
      </c>
      <c r="V139">
        <v>3</v>
      </c>
      <c r="W139">
        <v>3</v>
      </c>
      <c r="X139">
        <v>7</v>
      </c>
      <c r="Y139">
        <v>7</v>
      </c>
      <c r="Z139">
        <v>7</v>
      </c>
      <c r="AA139">
        <v>9</v>
      </c>
      <c r="AB139">
        <v>9</v>
      </c>
      <c r="AC139">
        <v>10</v>
      </c>
      <c r="AD139">
        <v>12</v>
      </c>
      <c r="AE139">
        <v>12</v>
      </c>
      <c r="AF139">
        <v>16</v>
      </c>
      <c r="AG139">
        <v>16</v>
      </c>
      <c r="AH139">
        <v>16</v>
      </c>
      <c r="AI139">
        <v>18</v>
      </c>
      <c r="AJ139">
        <v>18</v>
      </c>
      <c r="AK139">
        <v>22</v>
      </c>
      <c r="AL139">
        <v>22</v>
      </c>
      <c r="AM139">
        <v>22</v>
      </c>
      <c r="AN139">
        <v>22</v>
      </c>
      <c r="AO139">
        <v>27</v>
      </c>
      <c r="AP139">
        <v>30</v>
      </c>
      <c r="AQ139">
        <v>30</v>
      </c>
      <c r="AR139">
        <v>30</v>
      </c>
      <c r="AS139">
        <v>41</v>
      </c>
      <c r="AT139">
        <v>41</v>
      </c>
      <c r="AU139">
        <v>135</v>
      </c>
      <c r="AV139">
        <v>135</v>
      </c>
      <c r="AW139">
        <v>118</v>
      </c>
      <c r="AX139">
        <v>118</v>
      </c>
      <c r="AY139">
        <v>247</v>
      </c>
      <c r="AZ139">
        <v>288</v>
      </c>
      <c r="BA139">
        <v>333</v>
      </c>
      <c r="BB139">
        <v>510</v>
      </c>
      <c r="BC139">
        <v>510</v>
      </c>
      <c r="BD139">
        <v>510</v>
      </c>
      <c r="BE139">
        <v>1137</v>
      </c>
      <c r="BF139">
        <v>1407</v>
      </c>
      <c r="BG139">
        <v>1540</v>
      </c>
      <c r="BH139">
        <v>1540</v>
      </c>
      <c r="BI139">
        <v>1540</v>
      </c>
      <c r="BJ139">
        <v>1540</v>
      </c>
      <c r="BK139">
        <v>2909</v>
      </c>
      <c r="BL139">
        <v>2909</v>
      </c>
      <c r="BM139">
        <v>3507</v>
      </c>
      <c r="BN139">
        <v>3730</v>
      </c>
      <c r="BO139">
        <v>4144</v>
      </c>
      <c r="BP139">
        <v>4528</v>
      </c>
      <c r="BQ139">
        <v>4811</v>
      </c>
      <c r="BR139">
        <v>5033</v>
      </c>
      <c r="BS139">
        <v>5228</v>
      </c>
    </row>
    <row r="140" spans="1:71" x14ac:dyDescent="0.25">
      <c r="A140" s="1" t="s">
        <v>2</v>
      </c>
      <c r="B140" s="1" t="s">
        <v>31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1</v>
      </c>
      <c r="AX140">
        <v>1</v>
      </c>
      <c r="AY140">
        <v>1</v>
      </c>
      <c r="AZ140">
        <v>2</v>
      </c>
      <c r="BA140">
        <v>5</v>
      </c>
      <c r="BB140">
        <v>5</v>
      </c>
      <c r="BC140">
        <v>5</v>
      </c>
      <c r="BD140">
        <v>5</v>
      </c>
      <c r="BE140">
        <v>9</v>
      </c>
      <c r="BF140">
        <v>9</v>
      </c>
      <c r="BG140">
        <v>15</v>
      </c>
      <c r="BH140">
        <v>18</v>
      </c>
      <c r="BI140">
        <v>18</v>
      </c>
      <c r="BJ140">
        <v>27</v>
      </c>
      <c r="BK140">
        <v>27</v>
      </c>
      <c r="BL140">
        <v>27</v>
      </c>
      <c r="BM140">
        <v>39</v>
      </c>
      <c r="BN140">
        <v>43</v>
      </c>
      <c r="BO140">
        <v>49</v>
      </c>
      <c r="BP140">
        <v>57</v>
      </c>
      <c r="BQ140">
        <v>64</v>
      </c>
      <c r="BR140">
        <v>67</v>
      </c>
      <c r="BS140">
        <v>72</v>
      </c>
    </row>
    <row r="141" spans="1:71" x14ac:dyDescent="0.25">
      <c r="A141" s="1" t="s">
        <v>2</v>
      </c>
      <c r="B141" s="1" t="s">
        <v>211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3</v>
      </c>
    </row>
    <row r="142" spans="1:71" x14ac:dyDescent="0.25">
      <c r="A142" s="1" t="s">
        <v>2</v>
      </c>
      <c r="B142" s="1" t="s">
        <v>65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1</v>
      </c>
      <c r="BG142">
        <v>1</v>
      </c>
      <c r="BH142">
        <v>1</v>
      </c>
      <c r="BI142">
        <v>1</v>
      </c>
      <c r="BJ142">
        <v>1</v>
      </c>
      <c r="BK142">
        <v>1</v>
      </c>
      <c r="BL142">
        <v>1</v>
      </c>
      <c r="BM142">
        <v>1</v>
      </c>
      <c r="BN142">
        <v>1</v>
      </c>
      <c r="BO142">
        <v>1</v>
      </c>
      <c r="BP142">
        <v>1</v>
      </c>
      <c r="BQ142">
        <v>1</v>
      </c>
      <c r="BR142">
        <v>1</v>
      </c>
      <c r="BS142">
        <v>1</v>
      </c>
    </row>
    <row r="143" spans="1:71" x14ac:dyDescent="0.25">
      <c r="A143" s="1" t="s">
        <v>2</v>
      </c>
      <c r="B143" s="1" t="s">
        <v>26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1</v>
      </c>
      <c r="AT143">
        <v>1</v>
      </c>
      <c r="AU143">
        <v>1</v>
      </c>
      <c r="AV143">
        <v>1</v>
      </c>
      <c r="AW143">
        <v>1</v>
      </c>
      <c r="AX143">
        <v>1</v>
      </c>
      <c r="AY143">
        <v>1</v>
      </c>
      <c r="AZ143">
        <v>1</v>
      </c>
      <c r="BA143">
        <v>1</v>
      </c>
      <c r="BB143">
        <v>1</v>
      </c>
      <c r="BC143">
        <v>1</v>
      </c>
      <c r="BD143">
        <v>1</v>
      </c>
      <c r="BE143">
        <v>1</v>
      </c>
      <c r="BF143">
        <v>3</v>
      </c>
      <c r="BG143">
        <v>3</v>
      </c>
      <c r="BH143">
        <v>4</v>
      </c>
      <c r="BI143">
        <v>4</v>
      </c>
      <c r="BJ143">
        <v>4</v>
      </c>
      <c r="BK143">
        <v>8</v>
      </c>
      <c r="BL143">
        <v>8</v>
      </c>
      <c r="BM143">
        <v>8</v>
      </c>
      <c r="BN143">
        <v>20</v>
      </c>
      <c r="BO143">
        <v>23</v>
      </c>
      <c r="BP143">
        <v>27</v>
      </c>
      <c r="BQ143">
        <v>30</v>
      </c>
      <c r="BR143">
        <v>30</v>
      </c>
      <c r="BS143">
        <v>35</v>
      </c>
    </row>
    <row r="144" spans="1:71" x14ac:dyDescent="0.25">
      <c r="A144" s="1" t="s">
        <v>2</v>
      </c>
      <c r="B144" s="1" t="s">
        <v>203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</row>
    <row r="145" spans="1:71" x14ac:dyDescent="0.25">
      <c r="A145" s="1" t="s">
        <v>2</v>
      </c>
      <c r="B145" s="1" t="s">
        <v>333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</row>
    <row r="146" spans="1:71" x14ac:dyDescent="0.25">
      <c r="A146" s="1" t="s">
        <v>2</v>
      </c>
      <c r="B146" s="1" t="s">
        <v>75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</row>
    <row r="147" spans="1:71" x14ac:dyDescent="0.25">
      <c r="A147" s="1" t="s">
        <v>2</v>
      </c>
      <c r="B147" s="1" t="s">
        <v>48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1</v>
      </c>
      <c r="BE147">
        <v>1</v>
      </c>
      <c r="BF147">
        <v>1</v>
      </c>
      <c r="BG147">
        <v>1</v>
      </c>
      <c r="BH147">
        <v>1</v>
      </c>
      <c r="BI147">
        <v>1</v>
      </c>
      <c r="BJ147">
        <v>1</v>
      </c>
      <c r="BK147">
        <v>1</v>
      </c>
      <c r="BL147">
        <v>1</v>
      </c>
      <c r="BM147">
        <v>1</v>
      </c>
      <c r="BN147">
        <v>1</v>
      </c>
      <c r="BO147">
        <v>1</v>
      </c>
      <c r="BP147">
        <v>1</v>
      </c>
      <c r="BQ147">
        <v>1</v>
      </c>
      <c r="BR147">
        <v>1</v>
      </c>
      <c r="BS147">
        <v>7</v>
      </c>
    </row>
    <row r="148" spans="1:71" x14ac:dyDescent="0.25">
      <c r="A148" s="1" t="s">
        <v>2</v>
      </c>
      <c r="B148" s="1" t="s">
        <v>54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6</v>
      </c>
      <c r="BL148">
        <v>6</v>
      </c>
      <c r="BM148">
        <v>6</v>
      </c>
      <c r="BN148">
        <v>6</v>
      </c>
      <c r="BO148">
        <v>6</v>
      </c>
      <c r="BP148">
        <v>40</v>
      </c>
      <c r="BQ148">
        <v>40</v>
      </c>
      <c r="BR148">
        <v>40</v>
      </c>
      <c r="BS148">
        <v>40</v>
      </c>
    </row>
    <row r="149" spans="1:71" x14ac:dyDescent="0.25">
      <c r="A149" s="1" t="s">
        <v>2</v>
      </c>
      <c r="B149" s="1" t="s">
        <v>224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</row>
    <row r="150" spans="1:71" x14ac:dyDescent="0.25">
      <c r="A150" s="1" t="s">
        <v>2</v>
      </c>
      <c r="B150" s="1" t="s">
        <v>6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3</v>
      </c>
      <c r="X150">
        <v>3</v>
      </c>
      <c r="Y150">
        <v>3</v>
      </c>
      <c r="Z150">
        <v>3</v>
      </c>
      <c r="AA150">
        <v>7</v>
      </c>
      <c r="AB150">
        <v>7</v>
      </c>
      <c r="AC150">
        <v>7</v>
      </c>
      <c r="AD150">
        <v>13</v>
      </c>
      <c r="AE150">
        <v>15</v>
      </c>
      <c r="AF150">
        <v>15</v>
      </c>
      <c r="AG150">
        <v>15</v>
      </c>
      <c r="AH150">
        <v>15</v>
      </c>
      <c r="AI150">
        <v>15</v>
      </c>
      <c r="AJ150">
        <v>18</v>
      </c>
      <c r="AK150">
        <v>18</v>
      </c>
      <c r="AL150">
        <v>18</v>
      </c>
      <c r="AM150">
        <v>18</v>
      </c>
      <c r="AN150">
        <v>18</v>
      </c>
      <c r="AO150">
        <v>18</v>
      </c>
      <c r="AP150">
        <v>18</v>
      </c>
      <c r="AQ150">
        <v>18</v>
      </c>
      <c r="AR150">
        <v>22</v>
      </c>
      <c r="AS150">
        <v>22</v>
      </c>
      <c r="AT150">
        <v>22</v>
      </c>
      <c r="AU150">
        <v>22</v>
      </c>
      <c r="AV150">
        <v>23</v>
      </c>
      <c r="AW150">
        <v>24</v>
      </c>
      <c r="AX150">
        <v>24</v>
      </c>
      <c r="AY150">
        <v>24</v>
      </c>
      <c r="AZ150">
        <v>26</v>
      </c>
      <c r="BA150">
        <v>26</v>
      </c>
      <c r="BB150">
        <v>26</v>
      </c>
      <c r="BC150">
        <v>35</v>
      </c>
      <c r="BD150">
        <v>42</v>
      </c>
      <c r="BE150">
        <v>42</v>
      </c>
      <c r="BF150">
        <v>49</v>
      </c>
      <c r="BG150">
        <v>60</v>
      </c>
      <c r="BH150">
        <v>75</v>
      </c>
      <c r="BI150">
        <v>87</v>
      </c>
      <c r="BJ150">
        <v>114</v>
      </c>
      <c r="BK150">
        <v>139</v>
      </c>
      <c r="BL150">
        <v>139</v>
      </c>
      <c r="BM150">
        <v>183</v>
      </c>
      <c r="BN150">
        <v>199</v>
      </c>
      <c r="BO150">
        <v>215</v>
      </c>
      <c r="BP150">
        <v>259</v>
      </c>
      <c r="BQ150">
        <v>320</v>
      </c>
      <c r="BR150">
        <v>388</v>
      </c>
      <c r="BS150">
        <v>479</v>
      </c>
    </row>
    <row r="151" spans="1:71" x14ac:dyDescent="0.25">
      <c r="A151" s="1" t="s">
        <v>2</v>
      </c>
      <c r="B151" s="1" t="s">
        <v>92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5</v>
      </c>
      <c r="BN151">
        <v>8</v>
      </c>
      <c r="BO151">
        <v>8</v>
      </c>
      <c r="BP151">
        <v>9</v>
      </c>
      <c r="BQ151">
        <v>9</v>
      </c>
      <c r="BR151">
        <v>13</v>
      </c>
      <c r="BS151">
        <v>13</v>
      </c>
    </row>
    <row r="152" spans="1:71" x14ac:dyDescent="0.25">
      <c r="A152" s="1" t="s">
        <v>2</v>
      </c>
      <c r="B152" s="1" t="s">
        <v>336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</row>
    <row r="153" spans="1:71" x14ac:dyDescent="0.25">
      <c r="A153" s="1" t="s">
        <v>2</v>
      </c>
      <c r="B153" s="1" t="s">
        <v>89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</v>
      </c>
      <c r="BC153">
        <v>1</v>
      </c>
      <c r="BD153">
        <v>1</v>
      </c>
      <c r="BE153">
        <v>2</v>
      </c>
      <c r="BF153">
        <v>2</v>
      </c>
      <c r="BG153">
        <v>2</v>
      </c>
      <c r="BH153">
        <v>2</v>
      </c>
      <c r="BI153">
        <v>2</v>
      </c>
      <c r="BJ153">
        <v>2</v>
      </c>
      <c r="BK153">
        <v>2</v>
      </c>
      <c r="BL153">
        <v>2</v>
      </c>
      <c r="BM153">
        <v>2</v>
      </c>
      <c r="BN153">
        <v>2</v>
      </c>
      <c r="BO153">
        <v>2</v>
      </c>
      <c r="BP153">
        <v>2</v>
      </c>
      <c r="BQ153">
        <v>2</v>
      </c>
      <c r="BR153">
        <v>2</v>
      </c>
      <c r="BS153">
        <v>2</v>
      </c>
    </row>
    <row r="154" spans="1:71" x14ac:dyDescent="0.25">
      <c r="A154" s="1" t="s">
        <v>2</v>
      </c>
      <c r="B154" s="1" t="s">
        <v>185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2</v>
      </c>
      <c r="BS154">
        <v>2</v>
      </c>
    </row>
    <row r="155" spans="1:71" x14ac:dyDescent="0.25">
      <c r="A155" s="1" t="s">
        <v>2</v>
      </c>
      <c r="B155" s="1" t="s">
        <v>212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</row>
    <row r="156" spans="1:71" x14ac:dyDescent="0.25">
      <c r="A156" s="1" t="s">
        <v>2</v>
      </c>
      <c r="B156" s="1" t="s">
        <v>49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1</v>
      </c>
      <c r="AS156">
        <v>1</v>
      </c>
      <c r="AT156">
        <v>1</v>
      </c>
      <c r="AU156">
        <v>1</v>
      </c>
      <c r="AV156">
        <v>1</v>
      </c>
      <c r="AW156">
        <v>1</v>
      </c>
      <c r="AX156">
        <v>1</v>
      </c>
      <c r="AY156">
        <v>4</v>
      </c>
      <c r="AZ156">
        <v>4</v>
      </c>
      <c r="BA156">
        <v>4</v>
      </c>
      <c r="BB156">
        <v>4</v>
      </c>
      <c r="BC156">
        <v>4</v>
      </c>
      <c r="BD156">
        <v>4</v>
      </c>
      <c r="BE156">
        <v>4</v>
      </c>
      <c r="BF156">
        <v>4</v>
      </c>
      <c r="BG156">
        <v>4</v>
      </c>
      <c r="BH156">
        <v>4</v>
      </c>
      <c r="BI156">
        <v>4</v>
      </c>
      <c r="BJ156">
        <v>4</v>
      </c>
      <c r="BK156">
        <v>4</v>
      </c>
      <c r="BL156">
        <v>4</v>
      </c>
      <c r="BM156">
        <v>4</v>
      </c>
      <c r="BN156">
        <v>4</v>
      </c>
      <c r="BO156">
        <v>4</v>
      </c>
      <c r="BP156">
        <v>4</v>
      </c>
      <c r="BQ156">
        <v>4</v>
      </c>
      <c r="BR156">
        <v>4</v>
      </c>
      <c r="BS156">
        <v>35</v>
      </c>
    </row>
    <row r="157" spans="1:71" x14ac:dyDescent="0.25">
      <c r="A157" s="1" t="s">
        <v>2</v>
      </c>
      <c r="B157" s="1" t="s">
        <v>149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1</v>
      </c>
      <c r="BG157">
        <v>1</v>
      </c>
      <c r="BH157">
        <v>1</v>
      </c>
      <c r="BI157">
        <v>1</v>
      </c>
      <c r="BJ157">
        <v>1</v>
      </c>
      <c r="BK157">
        <v>1</v>
      </c>
      <c r="BL157">
        <v>1</v>
      </c>
      <c r="BM157">
        <v>2</v>
      </c>
      <c r="BN157">
        <v>2</v>
      </c>
      <c r="BO157">
        <v>2</v>
      </c>
      <c r="BP157">
        <v>2</v>
      </c>
      <c r="BQ157">
        <v>2</v>
      </c>
      <c r="BR157">
        <v>2</v>
      </c>
      <c r="BS157">
        <v>15</v>
      </c>
    </row>
    <row r="158" spans="1:71" x14ac:dyDescent="0.25">
      <c r="A158" s="1" t="s">
        <v>2</v>
      </c>
      <c r="B158" s="1" t="s">
        <v>55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1</v>
      </c>
      <c r="BL158">
        <v>1</v>
      </c>
      <c r="BM158">
        <v>1</v>
      </c>
      <c r="BN158">
        <v>1</v>
      </c>
      <c r="BO158">
        <v>1</v>
      </c>
      <c r="BP158">
        <v>1</v>
      </c>
      <c r="BQ158">
        <v>1</v>
      </c>
      <c r="BR158">
        <v>1</v>
      </c>
      <c r="BS158">
        <v>1</v>
      </c>
    </row>
    <row r="159" spans="1:71" x14ac:dyDescent="0.25">
      <c r="A159" s="1" t="s">
        <v>2</v>
      </c>
      <c r="B159" s="1" t="s">
        <v>106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2</v>
      </c>
    </row>
    <row r="160" spans="1:71" x14ac:dyDescent="0.25">
      <c r="A160" s="1" t="s">
        <v>2</v>
      </c>
      <c r="B160" s="1" t="s">
        <v>210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</row>
    <row r="161" spans="1:71" x14ac:dyDescent="0.25">
      <c r="A161" s="1" t="s">
        <v>2</v>
      </c>
      <c r="B161" s="1" t="s">
        <v>66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</v>
      </c>
      <c r="BC161">
        <v>1</v>
      </c>
      <c r="BD161">
        <v>1</v>
      </c>
      <c r="BE161">
        <v>1</v>
      </c>
      <c r="BF161">
        <v>1</v>
      </c>
      <c r="BG161">
        <v>1</v>
      </c>
      <c r="BH161">
        <v>1</v>
      </c>
      <c r="BI161">
        <v>1</v>
      </c>
      <c r="BJ161">
        <v>3</v>
      </c>
      <c r="BK161">
        <v>3</v>
      </c>
      <c r="BL161">
        <v>3</v>
      </c>
      <c r="BM161">
        <v>6</v>
      </c>
      <c r="BN161">
        <v>7</v>
      </c>
      <c r="BO161">
        <v>8</v>
      </c>
      <c r="BP161">
        <v>11</v>
      </c>
      <c r="BQ161">
        <v>11</v>
      </c>
      <c r="BR161">
        <v>13</v>
      </c>
      <c r="BS161">
        <v>15</v>
      </c>
    </row>
    <row r="162" spans="1:71" x14ac:dyDescent="0.25">
      <c r="A162" s="1" t="s">
        <v>2</v>
      </c>
      <c r="B162" s="1" t="s">
        <v>237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</row>
    <row r="163" spans="1:71" x14ac:dyDescent="0.25">
      <c r="A163" s="1" t="s">
        <v>2</v>
      </c>
      <c r="B163" s="1" t="s">
        <v>178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2</v>
      </c>
      <c r="BN163">
        <v>2</v>
      </c>
      <c r="BO163">
        <v>2</v>
      </c>
      <c r="BP163">
        <v>2</v>
      </c>
      <c r="BQ163">
        <v>2</v>
      </c>
      <c r="BR163">
        <v>2</v>
      </c>
      <c r="BS163">
        <v>2</v>
      </c>
    </row>
    <row r="164" spans="1:71" x14ac:dyDescent="0.25">
      <c r="A164" s="1" t="s">
        <v>2</v>
      </c>
      <c r="B164" s="1" t="s">
        <v>5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>
        <v>1</v>
      </c>
      <c r="AH164">
        <v>1</v>
      </c>
      <c r="AI164">
        <v>1</v>
      </c>
      <c r="AJ164">
        <v>1</v>
      </c>
      <c r="AK164">
        <v>1</v>
      </c>
      <c r="AL164">
        <v>1</v>
      </c>
      <c r="AM164">
        <v>1</v>
      </c>
      <c r="AN164">
        <v>1</v>
      </c>
      <c r="AO164">
        <v>1</v>
      </c>
      <c r="AP164">
        <v>1</v>
      </c>
      <c r="AQ164">
        <v>1</v>
      </c>
      <c r="AR164">
        <v>1</v>
      </c>
      <c r="AS164">
        <v>1</v>
      </c>
      <c r="AT164">
        <v>1</v>
      </c>
      <c r="AU164">
        <v>1</v>
      </c>
      <c r="AV164">
        <v>1</v>
      </c>
      <c r="AW164">
        <v>1</v>
      </c>
      <c r="AX164">
        <v>1</v>
      </c>
      <c r="AY164">
        <v>1</v>
      </c>
      <c r="AZ164">
        <v>1</v>
      </c>
      <c r="BA164">
        <v>1</v>
      </c>
      <c r="BB164">
        <v>1</v>
      </c>
      <c r="BC164">
        <v>1</v>
      </c>
      <c r="BD164">
        <v>1</v>
      </c>
      <c r="BE164">
        <v>1</v>
      </c>
      <c r="BF164">
        <v>1</v>
      </c>
      <c r="BG164">
        <v>1</v>
      </c>
      <c r="BH164">
        <v>1</v>
      </c>
      <c r="BI164">
        <v>1</v>
      </c>
      <c r="BJ164">
        <v>1</v>
      </c>
      <c r="BK164">
        <v>1</v>
      </c>
      <c r="BL164">
        <v>1</v>
      </c>
      <c r="BM164">
        <v>1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</row>
    <row r="165" spans="1:71" x14ac:dyDescent="0.25">
      <c r="A165" s="1" t="s">
        <v>213</v>
      </c>
      <c r="B165" s="1" t="s">
        <v>199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1</v>
      </c>
      <c r="BN165">
        <v>1</v>
      </c>
      <c r="BO165">
        <v>1</v>
      </c>
      <c r="BP165">
        <v>1</v>
      </c>
      <c r="BQ165">
        <v>1</v>
      </c>
      <c r="BR165">
        <v>1</v>
      </c>
      <c r="BS165">
        <v>1</v>
      </c>
    </row>
    <row r="166" spans="1:71" x14ac:dyDescent="0.25">
      <c r="A166" s="1" t="s">
        <v>204</v>
      </c>
      <c r="B166" s="1" t="s">
        <v>199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2</v>
      </c>
      <c r="BP166">
        <v>2</v>
      </c>
      <c r="BQ166">
        <v>2</v>
      </c>
      <c r="BR166">
        <v>2</v>
      </c>
      <c r="BS166">
        <v>2</v>
      </c>
    </row>
    <row r="167" spans="1:71" x14ac:dyDescent="0.25">
      <c r="A167" s="1" t="s">
        <v>228</v>
      </c>
      <c r="B167" s="1" t="s">
        <v>199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</row>
    <row r="168" spans="1:71" x14ac:dyDescent="0.25">
      <c r="A168" s="1" t="s">
        <v>2</v>
      </c>
      <c r="B168" s="1" t="s">
        <v>199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2</v>
      </c>
      <c r="BD168">
        <v>2</v>
      </c>
      <c r="BE168">
        <v>2</v>
      </c>
      <c r="BF168">
        <v>2</v>
      </c>
      <c r="BG168">
        <v>2</v>
      </c>
      <c r="BH168">
        <v>2</v>
      </c>
      <c r="BI168">
        <v>2</v>
      </c>
      <c r="BJ168">
        <v>2</v>
      </c>
      <c r="BK168">
        <v>2</v>
      </c>
      <c r="BL168">
        <v>2</v>
      </c>
      <c r="BM168">
        <v>2</v>
      </c>
      <c r="BN168">
        <v>3</v>
      </c>
      <c r="BO168">
        <v>3</v>
      </c>
      <c r="BP168">
        <v>3</v>
      </c>
      <c r="BQ168">
        <v>3</v>
      </c>
      <c r="BR168">
        <v>250</v>
      </c>
      <c r="BS168">
        <v>250</v>
      </c>
    </row>
    <row r="169" spans="1:71" x14ac:dyDescent="0.25">
      <c r="A169" s="1" t="s">
        <v>2</v>
      </c>
      <c r="B169" s="1" t="s">
        <v>50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12</v>
      </c>
      <c r="BN169">
        <v>22</v>
      </c>
      <c r="BO169">
        <v>27</v>
      </c>
      <c r="BP169">
        <v>37</v>
      </c>
      <c r="BQ169">
        <v>50</v>
      </c>
      <c r="BR169">
        <v>56</v>
      </c>
      <c r="BS169">
        <v>63</v>
      </c>
    </row>
    <row r="170" spans="1:71" x14ac:dyDescent="0.25">
      <c r="A170" s="1" t="s">
        <v>2</v>
      </c>
      <c r="B170" s="1" t="s">
        <v>223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</row>
    <row r="171" spans="1:71" x14ac:dyDescent="0.25">
      <c r="A171" s="1" t="s">
        <v>2</v>
      </c>
      <c r="B171" s="1" t="s">
        <v>229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</row>
    <row r="172" spans="1:71" x14ac:dyDescent="0.25">
      <c r="A172" s="1" t="s">
        <v>2</v>
      </c>
      <c r="B172" s="1" t="s">
        <v>51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1</v>
      </c>
      <c r="BH172">
        <v>1</v>
      </c>
      <c r="BI172">
        <v>1</v>
      </c>
      <c r="BJ172">
        <v>1</v>
      </c>
      <c r="BK172">
        <v>2</v>
      </c>
      <c r="BL172">
        <v>2</v>
      </c>
      <c r="BM172">
        <v>2</v>
      </c>
      <c r="BN172">
        <v>2</v>
      </c>
      <c r="BO172">
        <v>2</v>
      </c>
      <c r="BP172">
        <v>3</v>
      </c>
      <c r="BQ172">
        <v>3</v>
      </c>
      <c r="BR172">
        <v>3</v>
      </c>
      <c r="BS172">
        <v>8</v>
      </c>
    </row>
    <row r="173" spans="1:71" x14ac:dyDescent="0.25">
      <c r="A173" s="1" t="s">
        <v>2</v>
      </c>
      <c r="B173" s="1" t="s">
        <v>41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</v>
      </c>
      <c r="BC173">
        <v>1</v>
      </c>
      <c r="BD173">
        <v>1</v>
      </c>
      <c r="BE173">
        <v>1</v>
      </c>
      <c r="BF173">
        <v>1</v>
      </c>
      <c r="BG173">
        <v>1</v>
      </c>
      <c r="BH173">
        <v>1</v>
      </c>
      <c r="BI173">
        <v>1</v>
      </c>
      <c r="BJ173">
        <v>1</v>
      </c>
      <c r="BK173">
        <v>1</v>
      </c>
      <c r="BL173">
        <v>1</v>
      </c>
      <c r="BM173">
        <v>1</v>
      </c>
      <c r="BN173">
        <v>1</v>
      </c>
      <c r="BO173">
        <v>3</v>
      </c>
      <c r="BP173">
        <v>3</v>
      </c>
      <c r="BQ173">
        <v>3</v>
      </c>
      <c r="BR173">
        <v>3</v>
      </c>
      <c r="BS173">
        <v>12</v>
      </c>
    </row>
    <row r="174" spans="1:71" x14ac:dyDescent="0.25">
      <c r="A174" s="1" t="s">
        <v>2</v>
      </c>
      <c r="B174" s="1" t="s">
        <v>42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1</v>
      </c>
      <c r="AY174">
        <v>1</v>
      </c>
      <c r="AZ174">
        <v>1</v>
      </c>
      <c r="BA174">
        <v>1</v>
      </c>
      <c r="BB174">
        <v>1</v>
      </c>
      <c r="BC174">
        <v>1</v>
      </c>
      <c r="BD174">
        <v>1</v>
      </c>
      <c r="BE174">
        <v>1</v>
      </c>
      <c r="BF174">
        <v>1</v>
      </c>
      <c r="BG174">
        <v>1</v>
      </c>
      <c r="BH174">
        <v>1</v>
      </c>
      <c r="BI174">
        <v>1</v>
      </c>
      <c r="BJ174">
        <v>1</v>
      </c>
      <c r="BK174">
        <v>1</v>
      </c>
      <c r="BL174">
        <v>1</v>
      </c>
      <c r="BM174">
        <v>6</v>
      </c>
      <c r="BN174">
        <v>6</v>
      </c>
      <c r="BO174">
        <v>6</v>
      </c>
      <c r="BP174">
        <v>6</v>
      </c>
      <c r="BQ174">
        <v>7</v>
      </c>
      <c r="BR174">
        <v>7</v>
      </c>
      <c r="BS174">
        <v>12</v>
      </c>
    </row>
    <row r="175" spans="1:71" x14ac:dyDescent="0.25">
      <c r="A175" s="1" t="s">
        <v>2</v>
      </c>
      <c r="B175" s="1" t="s">
        <v>28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1</v>
      </c>
      <c r="AP175">
        <v>1</v>
      </c>
      <c r="AQ175">
        <v>1</v>
      </c>
      <c r="AR175">
        <v>2</v>
      </c>
      <c r="AS175">
        <v>2</v>
      </c>
      <c r="AT175">
        <v>2</v>
      </c>
      <c r="AU175">
        <v>2</v>
      </c>
      <c r="AV175">
        <v>2</v>
      </c>
      <c r="AW175">
        <v>2</v>
      </c>
      <c r="AX175">
        <v>2</v>
      </c>
      <c r="AY175">
        <v>9</v>
      </c>
      <c r="AZ175">
        <v>9</v>
      </c>
      <c r="BA175">
        <v>9</v>
      </c>
      <c r="BB175">
        <v>9</v>
      </c>
      <c r="BC175">
        <v>9</v>
      </c>
      <c r="BD175">
        <v>9</v>
      </c>
      <c r="BE175">
        <v>9</v>
      </c>
      <c r="BF175">
        <v>9</v>
      </c>
      <c r="BG175">
        <v>12</v>
      </c>
      <c r="BH175">
        <v>12</v>
      </c>
      <c r="BI175">
        <v>12</v>
      </c>
      <c r="BJ175">
        <v>12</v>
      </c>
      <c r="BK175">
        <v>17</v>
      </c>
      <c r="BL175">
        <v>17</v>
      </c>
      <c r="BM175">
        <v>17</v>
      </c>
      <c r="BN175">
        <v>17</v>
      </c>
      <c r="BO175">
        <v>23</v>
      </c>
      <c r="BP175">
        <v>23</v>
      </c>
      <c r="BQ175">
        <v>23</v>
      </c>
      <c r="BR175">
        <v>23</v>
      </c>
      <c r="BS175">
        <v>29</v>
      </c>
    </row>
    <row r="176" spans="1:71" x14ac:dyDescent="0.25">
      <c r="A176" s="1" t="s">
        <v>2</v>
      </c>
      <c r="B176" s="1" t="s">
        <v>37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1</v>
      </c>
      <c r="AX176">
        <v>1</v>
      </c>
      <c r="AY176">
        <v>1</v>
      </c>
      <c r="AZ176">
        <v>2</v>
      </c>
      <c r="BA176">
        <v>2</v>
      </c>
      <c r="BB176">
        <v>2</v>
      </c>
      <c r="BC176">
        <v>2</v>
      </c>
      <c r="BD176">
        <v>2</v>
      </c>
      <c r="BE176">
        <v>2</v>
      </c>
      <c r="BF176">
        <v>2</v>
      </c>
      <c r="BG176">
        <v>2</v>
      </c>
      <c r="BH176">
        <v>13</v>
      </c>
      <c r="BI176">
        <v>13</v>
      </c>
      <c r="BJ176">
        <v>13</v>
      </c>
      <c r="BK176">
        <v>5</v>
      </c>
      <c r="BL176">
        <v>5</v>
      </c>
      <c r="BM176">
        <v>18</v>
      </c>
      <c r="BN176">
        <v>21</v>
      </c>
      <c r="BO176">
        <v>21</v>
      </c>
      <c r="BP176">
        <v>23</v>
      </c>
      <c r="BQ176">
        <v>29</v>
      </c>
      <c r="BR176">
        <v>29</v>
      </c>
      <c r="BS176">
        <v>76</v>
      </c>
    </row>
    <row r="177" spans="1:71" x14ac:dyDescent="0.25">
      <c r="A177" s="1" t="s">
        <v>2</v>
      </c>
      <c r="B177" s="1" t="s">
        <v>107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1</v>
      </c>
      <c r="BN177">
        <v>1</v>
      </c>
      <c r="BO177">
        <v>2</v>
      </c>
      <c r="BP177">
        <v>2</v>
      </c>
      <c r="BQ177">
        <v>2</v>
      </c>
      <c r="BR177">
        <v>4</v>
      </c>
      <c r="BS177">
        <v>4</v>
      </c>
    </row>
    <row r="178" spans="1:71" x14ac:dyDescent="0.25">
      <c r="A178" s="1" t="s">
        <v>2</v>
      </c>
      <c r="B178" s="1" t="s">
        <v>230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</row>
    <row r="179" spans="1:71" x14ac:dyDescent="0.25">
      <c r="A179" s="1" t="s">
        <v>2</v>
      </c>
      <c r="B179" s="1" t="s">
        <v>94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1</v>
      </c>
      <c r="BQ179">
        <v>1</v>
      </c>
      <c r="BR179">
        <v>1</v>
      </c>
      <c r="BS179">
        <v>1</v>
      </c>
    </row>
    <row r="180" spans="1:71" x14ac:dyDescent="0.25">
      <c r="A180" s="1" t="s">
        <v>2</v>
      </c>
      <c r="B180" s="1" t="s">
        <v>85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1</v>
      </c>
      <c r="BN180">
        <v>1</v>
      </c>
      <c r="BO180">
        <v>14</v>
      </c>
      <c r="BP180">
        <v>16</v>
      </c>
      <c r="BQ180">
        <v>16</v>
      </c>
      <c r="BR180">
        <v>16</v>
      </c>
      <c r="BS180">
        <v>53</v>
      </c>
    </row>
    <row r="181" spans="1:71" x14ac:dyDescent="0.25">
      <c r="A181" s="1" t="s">
        <v>2</v>
      </c>
      <c r="B181" s="1" t="s">
        <v>18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>
        <v>1</v>
      </c>
      <c r="AH181">
        <v>1</v>
      </c>
      <c r="AI181">
        <v>1</v>
      </c>
      <c r="AJ181">
        <v>1</v>
      </c>
      <c r="AK181">
        <v>1</v>
      </c>
      <c r="AL181">
        <v>1</v>
      </c>
      <c r="AM181">
        <v>1</v>
      </c>
      <c r="AN181">
        <v>1</v>
      </c>
      <c r="AO181">
        <v>1</v>
      </c>
      <c r="AP181">
        <v>1</v>
      </c>
      <c r="AQ181">
        <v>1</v>
      </c>
      <c r="AR181">
        <v>1</v>
      </c>
      <c r="AS181">
        <v>1</v>
      </c>
      <c r="AT181">
        <v>1</v>
      </c>
      <c r="AU181">
        <v>1</v>
      </c>
      <c r="AV181">
        <v>1</v>
      </c>
      <c r="AW181">
        <v>1</v>
      </c>
      <c r="AX181">
        <v>1</v>
      </c>
      <c r="AY181">
        <v>2</v>
      </c>
      <c r="AZ181">
        <v>2</v>
      </c>
      <c r="BA181">
        <v>2</v>
      </c>
      <c r="BB181">
        <v>2</v>
      </c>
      <c r="BC181">
        <v>2</v>
      </c>
      <c r="BD181">
        <v>2</v>
      </c>
      <c r="BE181">
        <v>2</v>
      </c>
      <c r="BF181">
        <v>5</v>
      </c>
      <c r="BG181">
        <v>5</v>
      </c>
      <c r="BH181">
        <v>8</v>
      </c>
      <c r="BI181">
        <v>8</v>
      </c>
      <c r="BJ181">
        <v>13</v>
      </c>
      <c r="BK181">
        <v>17</v>
      </c>
      <c r="BL181">
        <v>17</v>
      </c>
      <c r="BM181">
        <v>20</v>
      </c>
      <c r="BN181">
        <v>26</v>
      </c>
      <c r="BO181">
        <v>28</v>
      </c>
      <c r="BP181">
        <v>31</v>
      </c>
      <c r="BQ181">
        <v>35</v>
      </c>
      <c r="BR181">
        <v>42</v>
      </c>
      <c r="BS181">
        <v>42</v>
      </c>
    </row>
    <row r="182" spans="1:71" x14ac:dyDescent="0.25">
      <c r="A182" s="1" t="s">
        <v>2</v>
      </c>
      <c r="B182" s="1" t="s">
        <v>76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13</v>
      </c>
      <c r="BF182">
        <v>13</v>
      </c>
      <c r="BG182">
        <v>13</v>
      </c>
      <c r="BH182">
        <v>1</v>
      </c>
      <c r="BI182">
        <v>1</v>
      </c>
      <c r="BJ182">
        <v>1</v>
      </c>
      <c r="BK182">
        <v>1</v>
      </c>
      <c r="BL182">
        <v>1</v>
      </c>
      <c r="BM182">
        <v>1</v>
      </c>
      <c r="BN182">
        <v>7</v>
      </c>
      <c r="BO182">
        <v>7</v>
      </c>
      <c r="BP182">
        <v>7</v>
      </c>
      <c r="BQ182">
        <v>7</v>
      </c>
      <c r="BR182">
        <v>7</v>
      </c>
      <c r="BS182">
        <v>7</v>
      </c>
    </row>
    <row r="183" spans="1:71" x14ac:dyDescent="0.25">
      <c r="A183" s="1" t="s">
        <v>2</v>
      </c>
      <c r="B183" s="1" t="s">
        <v>62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1</v>
      </c>
      <c r="BC183">
        <v>2</v>
      </c>
      <c r="BD183">
        <v>2</v>
      </c>
      <c r="BE183">
        <v>3</v>
      </c>
      <c r="BF183">
        <v>3</v>
      </c>
      <c r="BG183">
        <v>3</v>
      </c>
      <c r="BH183">
        <v>3</v>
      </c>
      <c r="BI183">
        <v>5</v>
      </c>
      <c r="BJ183">
        <v>5</v>
      </c>
      <c r="BK183">
        <v>5</v>
      </c>
      <c r="BL183">
        <v>5</v>
      </c>
      <c r="BM183">
        <v>22</v>
      </c>
      <c r="BN183">
        <v>22</v>
      </c>
      <c r="BO183">
        <v>43</v>
      </c>
      <c r="BP183">
        <v>43</v>
      </c>
      <c r="BQ183">
        <v>43</v>
      </c>
      <c r="BR183">
        <v>43</v>
      </c>
      <c r="BS183">
        <v>43</v>
      </c>
    </row>
    <row r="184" spans="1:71" x14ac:dyDescent="0.25">
      <c r="A184" s="1" t="s">
        <v>2</v>
      </c>
      <c r="B184" s="1" t="s">
        <v>56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4</v>
      </c>
      <c r="BD184">
        <v>4</v>
      </c>
      <c r="BE184">
        <v>4</v>
      </c>
      <c r="BF184">
        <v>4</v>
      </c>
      <c r="BG184">
        <v>4</v>
      </c>
      <c r="BH184">
        <v>4</v>
      </c>
      <c r="BI184">
        <v>10</v>
      </c>
      <c r="BJ184">
        <v>27</v>
      </c>
      <c r="BK184">
        <v>33</v>
      </c>
      <c r="BL184">
        <v>33</v>
      </c>
      <c r="BM184">
        <v>41</v>
      </c>
      <c r="BN184">
        <v>41</v>
      </c>
      <c r="BO184">
        <v>43</v>
      </c>
      <c r="BP184">
        <v>43</v>
      </c>
      <c r="BQ184">
        <v>45</v>
      </c>
      <c r="BR184">
        <v>48</v>
      </c>
      <c r="BS184">
        <v>51</v>
      </c>
    </row>
    <row r="185" spans="1:71" x14ac:dyDescent="0.25">
      <c r="A185" s="1" t="s">
        <v>2</v>
      </c>
      <c r="B185" s="1" t="s">
        <v>43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1</v>
      </c>
      <c r="AT185">
        <v>1</v>
      </c>
      <c r="AU185">
        <v>1</v>
      </c>
      <c r="AV185">
        <v>3</v>
      </c>
      <c r="AW185">
        <v>3</v>
      </c>
      <c r="AX185">
        <v>3</v>
      </c>
      <c r="AY185">
        <v>3</v>
      </c>
      <c r="AZ185">
        <v>6</v>
      </c>
      <c r="BA185">
        <v>6</v>
      </c>
      <c r="BB185">
        <v>7</v>
      </c>
      <c r="BC185">
        <v>9</v>
      </c>
      <c r="BD185">
        <v>9</v>
      </c>
      <c r="BE185">
        <v>9</v>
      </c>
      <c r="BF185">
        <v>16</v>
      </c>
      <c r="BG185">
        <v>19</v>
      </c>
      <c r="BH185">
        <v>25</v>
      </c>
      <c r="BI185">
        <v>25</v>
      </c>
      <c r="BJ185">
        <v>52</v>
      </c>
      <c r="BK185">
        <v>64</v>
      </c>
      <c r="BL185">
        <v>64</v>
      </c>
      <c r="BM185">
        <v>79</v>
      </c>
      <c r="BN185">
        <v>86</v>
      </c>
      <c r="BO185">
        <v>94</v>
      </c>
      <c r="BP185">
        <v>115</v>
      </c>
      <c r="BQ185">
        <v>139</v>
      </c>
      <c r="BR185">
        <v>206</v>
      </c>
      <c r="BS185">
        <v>209</v>
      </c>
    </row>
    <row r="186" spans="1:71" x14ac:dyDescent="0.25">
      <c r="A186" s="1" t="s">
        <v>2</v>
      </c>
      <c r="B186" s="1" t="s">
        <v>146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2</v>
      </c>
      <c r="Y186">
        <v>2</v>
      </c>
      <c r="Z186">
        <v>2</v>
      </c>
      <c r="AA186">
        <v>2</v>
      </c>
      <c r="AB186">
        <v>2</v>
      </c>
      <c r="AC186">
        <v>2</v>
      </c>
      <c r="AD186">
        <v>2</v>
      </c>
      <c r="AE186">
        <v>2</v>
      </c>
      <c r="AF186">
        <v>2</v>
      </c>
      <c r="AG186">
        <v>2</v>
      </c>
      <c r="AH186">
        <v>2</v>
      </c>
      <c r="AI186">
        <v>2</v>
      </c>
      <c r="AJ186">
        <v>2</v>
      </c>
      <c r="AK186">
        <v>2</v>
      </c>
      <c r="AL186">
        <v>2</v>
      </c>
      <c r="AM186">
        <v>2</v>
      </c>
      <c r="AN186">
        <v>2</v>
      </c>
      <c r="AO186">
        <v>2</v>
      </c>
      <c r="AP186">
        <v>2</v>
      </c>
      <c r="AQ186">
        <v>2</v>
      </c>
      <c r="AR186">
        <v>2</v>
      </c>
      <c r="AS186">
        <v>2</v>
      </c>
      <c r="AT186">
        <v>2</v>
      </c>
      <c r="AU186">
        <v>2</v>
      </c>
      <c r="AV186">
        <v>2</v>
      </c>
      <c r="AW186">
        <v>3</v>
      </c>
      <c r="AX186">
        <v>3</v>
      </c>
      <c r="AY186">
        <v>3</v>
      </c>
      <c r="AZ186">
        <v>3</v>
      </c>
      <c r="BA186">
        <v>3</v>
      </c>
      <c r="BB186">
        <v>3</v>
      </c>
      <c r="BC186">
        <v>8</v>
      </c>
      <c r="BD186">
        <v>8</v>
      </c>
      <c r="BE186">
        <v>8</v>
      </c>
      <c r="BF186">
        <v>8</v>
      </c>
      <c r="BG186">
        <v>8</v>
      </c>
      <c r="BH186">
        <v>9</v>
      </c>
      <c r="BI186">
        <v>9</v>
      </c>
      <c r="BJ186">
        <v>12</v>
      </c>
      <c r="BK186">
        <v>16</v>
      </c>
      <c r="BL186">
        <v>16</v>
      </c>
      <c r="BM186">
        <v>22</v>
      </c>
      <c r="BN186">
        <v>29</v>
      </c>
      <c r="BO186">
        <v>38</v>
      </c>
      <c r="BP186">
        <v>45</v>
      </c>
      <c r="BQ186">
        <v>49</v>
      </c>
      <c r="BR186">
        <v>64</v>
      </c>
      <c r="BS186">
        <v>66</v>
      </c>
    </row>
    <row r="187" spans="1:71" x14ac:dyDescent="0.25">
      <c r="A187" s="1" t="s">
        <v>2</v>
      </c>
      <c r="B187" s="1" t="s">
        <v>186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</row>
    <row r="188" spans="1:71" x14ac:dyDescent="0.25">
      <c r="A188" s="1" t="s">
        <v>2</v>
      </c>
      <c r="B188" s="1" t="s">
        <v>337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</row>
    <row r="189" spans="1:71" x14ac:dyDescent="0.25">
      <c r="A189" s="1" t="s">
        <v>2</v>
      </c>
      <c r="B189" s="1" t="s">
        <v>187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1</v>
      </c>
      <c r="BQ189">
        <v>1</v>
      </c>
      <c r="BR189">
        <v>1</v>
      </c>
      <c r="BS189">
        <v>1</v>
      </c>
    </row>
    <row r="190" spans="1:71" x14ac:dyDescent="0.25">
      <c r="A190" s="1" t="s">
        <v>2</v>
      </c>
      <c r="B190" s="1" t="s">
        <v>188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1</v>
      </c>
      <c r="BR190">
        <v>1</v>
      </c>
      <c r="BS190">
        <v>1</v>
      </c>
    </row>
    <row r="191" spans="1:71" x14ac:dyDescent="0.25">
      <c r="A191" s="1" t="s">
        <v>2</v>
      </c>
      <c r="B191" s="1" t="s">
        <v>45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4</v>
      </c>
      <c r="BD191">
        <v>4</v>
      </c>
      <c r="BE191">
        <v>4</v>
      </c>
      <c r="BF191">
        <v>4</v>
      </c>
      <c r="BG191">
        <v>4</v>
      </c>
      <c r="BH191">
        <v>4</v>
      </c>
      <c r="BI191">
        <v>4</v>
      </c>
      <c r="BJ191">
        <v>4</v>
      </c>
      <c r="BK191">
        <v>4</v>
      </c>
      <c r="BL191">
        <v>4</v>
      </c>
      <c r="BM191">
        <v>4</v>
      </c>
      <c r="BN191">
        <v>4</v>
      </c>
      <c r="BO191">
        <v>4</v>
      </c>
      <c r="BP191">
        <v>4</v>
      </c>
      <c r="BQ191">
        <v>6</v>
      </c>
      <c r="BR191">
        <v>6</v>
      </c>
      <c r="BS191">
        <v>13</v>
      </c>
    </row>
    <row r="192" spans="1:71" x14ac:dyDescent="0.25">
      <c r="A192" s="1" t="s">
        <v>2</v>
      </c>
      <c r="B192" s="1" t="s">
        <v>67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1</v>
      </c>
      <c r="AZ192">
        <v>1</v>
      </c>
      <c r="BA192">
        <v>1</v>
      </c>
      <c r="BB192">
        <v>1</v>
      </c>
      <c r="BC192">
        <v>1</v>
      </c>
      <c r="BD192">
        <v>1</v>
      </c>
      <c r="BE192">
        <v>2</v>
      </c>
      <c r="BF192">
        <v>6</v>
      </c>
      <c r="BG192">
        <v>6</v>
      </c>
      <c r="BH192">
        <v>6</v>
      </c>
      <c r="BI192">
        <v>8</v>
      </c>
      <c r="BJ192">
        <v>16</v>
      </c>
      <c r="BK192">
        <v>16</v>
      </c>
      <c r="BL192">
        <v>16</v>
      </c>
      <c r="BM192">
        <v>28</v>
      </c>
      <c r="BN192">
        <v>29</v>
      </c>
      <c r="BO192">
        <v>33</v>
      </c>
      <c r="BP192">
        <v>35</v>
      </c>
      <c r="BQ192">
        <v>37</v>
      </c>
      <c r="BR192">
        <v>66</v>
      </c>
      <c r="BS192">
        <v>115</v>
      </c>
    </row>
    <row r="193" spans="1:71" x14ac:dyDescent="0.25">
      <c r="A193" s="1" t="s">
        <v>2</v>
      </c>
      <c r="B193" s="1" t="s">
        <v>68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1</v>
      </c>
      <c r="AX193">
        <v>1</v>
      </c>
      <c r="AY193">
        <v>1</v>
      </c>
      <c r="AZ193">
        <v>1</v>
      </c>
      <c r="BA193">
        <v>1</v>
      </c>
      <c r="BB193">
        <v>1</v>
      </c>
      <c r="BC193">
        <v>1</v>
      </c>
      <c r="BD193">
        <v>1</v>
      </c>
      <c r="BE193">
        <v>2</v>
      </c>
      <c r="BF193">
        <v>2</v>
      </c>
      <c r="BG193">
        <v>2</v>
      </c>
      <c r="BH193">
        <v>2</v>
      </c>
      <c r="BI193">
        <v>2</v>
      </c>
      <c r="BJ193">
        <v>5</v>
      </c>
      <c r="BK193">
        <v>5</v>
      </c>
      <c r="BL193">
        <v>5</v>
      </c>
      <c r="BM193">
        <v>8</v>
      </c>
      <c r="BN193">
        <v>9</v>
      </c>
      <c r="BO193">
        <v>9</v>
      </c>
      <c r="BP193">
        <v>11</v>
      </c>
      <c r="BQ193">
        <v>18</v>
      </c>
      <c r="BR193">
        <v>27</v>
      </c>
      <c r="BS193">
        <v>27</v>
      </c>
    </row>
    <row r="194" spans="1:71" x14ac:dyDescent="0.25">
      <c r="A194" s="1" t="s">
        <v>2</v>
      </c>
      <c r="B194" s="1" t="s">
        <v>86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1</v>
      </c>
      <c r="BF194">
        <v>1</v>
      </c>
      <c r="BG194">
        <v>1</v>
      </c>
      <c r="BH194">
        <v>1</v>
      </c>
      <c r="BI194">
        <v>1</v>
      </c>
      <c r="BJ194">
        <v>1</v>
      </c>
      <c r="BK194">
        <v>1</v>
      </c>
      <c r="BL194">
        <v>1</v>
      </c>
      <c r="BM194">
        <v>15</v>
      </c>
      <c r="BN194">
        <v>15</v>
      </c>
      <c r="BO194">
        <v>0</v>
      </c>
      <c r="BP194">
        <v>0</v>
      </c>
      <c r="BQ194">
        <v>0</v>
      </c>
      <c r="BR194">
        <v>0</v>
      </c>
      <c r="BS194">
        <v>0</v>
      </c>
    </row>
    <row r="195" spans="1:71" x14ac:dyDescent="0.25">
      <c r="A195" s="1" t="s">
        <v>2</v>
      </c>
      <c r="B195" s="1" t="s">
        <v>179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</row>
    <row r="196" spans="1:71" x14ac:dyDescent="0.25">
      <c r="A196" s="1" t="s">
        <v>2</v>
      </c>
      <c r="B196" s="1" t="s">
        <v>4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2</v>
      </c>
      <c r="U196">
        <v>2</v>
      </c>
      <c r="V196">
        <v>2</v>
      </c>
      <c r="W196">
        <v>9</v>
      </c>
      <c r="X196">
        <v>15</v>
      </c>
      <c r="Y196">
        <v>15</v>
      </c>
      <c r="Z196">
        <v>17</v>
      </c>
      <c r="AA196">
        <v>18</v>
      </c>
      <c r="AB196">
        <v>18</v>
      </c>
      <c r="AC196">
        <v>24</v>
      </c>
      <c r="AD196">
        <v>29</v>
      </c>
      <c r="AE196">
        <v>34</v>
      </c>
      <c r="AF196">
        <v>34</v>
      </c>
      <c r="AG196">
        <v>37</v>
      </c>
      <c r="AH196">
        <v>37</v>
      </c>
      <c r="AI196">
        <v>51</v>
      </c>
      <c r="AJ196">
        <v>51</v>
      </c>
      <c r="AK196">
        <v>53</v>
      </c>
      <c r="AL196">
        <v>62</v>
      </c>
      <c r="AM196">
        <v>62</v>
      </c>
      <c r="AN196">
        <v>62</v>
      </c>
      <c r="AO196">
        <v>72</v>
      </c>
      <c r="AP196">
        <v>72</v>
      </c>
      <c r="AQ196">
        <v>78</v>
      </c>
      <c r="AR196">
        <v>78</v>
      </c>
      <c r="AS196">
        <v>78</v>
      </c>
      <c r="AT196">
        <v>78</v>
      </c>
      <c r="AU196">
        <v>78</v>
      </c>
      <c r="AV196">
        <v>78</v>
      </c>
      <c r="AW196">
        <v>78</v>
      </c>
      <c r="AX196">
        <v>78</v>
      </c>
      <c r="AY196">
        <v>78</v>
      </c>
      <c r="AZ196">
        <v>96</v>
      </c>
      <c r="BA196">
        <v>96</v>
      </c>
      <c r="BB196">
        <v>97</v>
      </c>
      <c r="BC196">
        <v>105</v>
      </c>
      <c r="BD196">
        <v>105</v>
      </c>
      <c r="BE196">
        <v>109</v>
      </c>
      <c r="BF196">
        <v>114</v>
      </c>
      <c r="BG196">
        <v>114</v>
      </c>
      <c r="BH196">
        <v>114</v>
      </c>
      <c r="BI196">
        <v>124</v>
      </c>
      <c r="BJ196">
        <v>140</v>
      </c>
      <c r="BK196">
        <v>144</v>
      </c>
      <c r="BL196">
        <v>144</v>
      </c>
      <c r="BM196">
        <v>156</v>
      </c>
      <c r="BN196">
        <v>160</v>
      </c>
      <c r="BO196">
        <v>172</v>
      </c>
      <c r="BP196">
        <v>183</v>
      </c>
      <c r="BQ196">
        <v>198</v>
      </c>
      <c r="BR196">
        <v>212</v>
      </c>
      <c r="BS196">
        <v>228</v>
      </c>
    </row>
    <row r="197" spans="1:71" x14ac:dyDescent="0.25">
      <c r="A197" s="1" t="s">
        <v>2</v>
      </c>
      <c r="B197" s="1" t="s">
        <v>87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7</v>
      </c>
      <c r="BL197">
        <v>7</v>
      </c>
      <c r="BM197">
        <v>7</v>
      </c>
      <c r="BN197">
        <v>7</v>
      </c>
      <c r="BO197">
        <v>2</v>
      </c>
      <c r="BP197">
        <v>2</v>
      </c>
      <c r="BQ197">
        <v>2</v>
      </c>
      <c r="BR197">
        <v>2</v>
      </c>
      <c r="BS197">
        <v>7</v>
      </c>
    </row>
    <row r="198" spans="1:71" x14ac:dyDescent="0.25">
      <c r="A198" s="1" t="s">
        <v>2</v>
      </c>
      <c r="B198" s="1" t="s">
        <v>79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10</v>
      </c>
      <c r="BO198">
        <v>10</v>
      </c>
      <c r="BP198">
        <v>10</v>
      </c>
      <c r="BQ198">
        <v>10</v>
      </c>
      <c r="BR198">
        <v>10</v>
      </c>
      <c r="BS198">
        <v>10</v>
      </c>
    </row>
    <row r="199" spans="1:71" x14ac:dyDescent="0.25">
      <c r="A199" s="1" t="s">
        <v>2</v>
      </c>
      <c r="B199" s="1" t="s">
        <v>205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</row>
    <row r="200" spans="1:71" x14ac:dyDescent="0.25">
      <c r="A200" s="1" t="s">
        <v>2</v>
      </c>
      <c r="B200" s="1" t="s">
        <v>80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4</v>
      </c>
      <c r="BN200">
        <v>12</v>
      </c>
      <c r="BO200">
        <v>12</v>
      </c>
      <c r="BP200">
        <v>31</v>
      </c>
      <c r="BQ200">
        <v>31</v>
      </c>
      <c r="BR200">
        <v>31</v>
      </c>
      <c r="BS200">
        <v>31</v>
      </c>
    </row>
    <row r="201" spans="1:71" x14ac:dyDescent="0.25">
      <c r="A201" s="1" t="s">
        <v>2</v>
      </c>
      <c r="B201" s="1" t="s">
        <v>22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2</v>
      </c>
      <c r="AB201">
        <v>2</v>
      </c>
      <c r="AC201">
        <v>2</v>
      </c>
      <c r="AD201">
        <v>2</v>
      </c>
      <c r="AE201">
        <v>2</v>
      </c>
      <c r="AF201">
        <v>2</v>
      </c>
      <c r="AG201">
        <v>2</v>
      </c>
      <c r="AH201">
        <v>2</v>
      </c>
      <c r="AI201">
        <v>2</v>
      </c>
      <c r="AJ201">
        <v>2</v>
      </c>
      <c r="AK201">
        <v>2</v>
      </c>
      <c r="AL201">
        <v>2</v>
      </c>
      <c r="AM201">
        <v>2</v>
      </c>
      <c r="AN201">
        <v>2</v>
      </c>
      <c r="AO201">
        <v>2</v>
      </c>
      <c r="AP201">
        <v>2</v>
      </c>
      <c r="AQ201">
        <v>2</v>
      </c>
      <c r="AR201">
        <v>2</v>
      </c>
      <c r="AS201">
        <v>2</v>
      </c>
      <c r="AT201">
        <v>2</v>
      </c>
      <c r="AU201">
        <v>2</v>
      </c>
      <c r="AV201">
        <v>30</v>
      </c>
      <c r="AW201">
        <v>30</v>
      </c>
      <c r="AX201">
        <v>32</v>
      </c>
      <c r="AY201">
        <v>32</v>
      </c>
      <c r="AZ201">
        <v>183</v>
      </c>
      <c r="BA201">
        <v>183</v>
      </c>
      <c r="BB201">
        <v>193</v>
      </c>
      <c r="BC201">
        <v>517</v>
      </c>
      <c r="BD201">
        <v>517</v>
      </c>
      <c r="BE201">
        <v>530</v>
      </c>
      <c r="BF201">
        <v>1028</v>
      </c>
      <c r="BG201">
        <v>1081</v>
      </c>
      <c r="BH201">
        <v>1107</v>
      </c>
      <c r="BI201">
        <v>1588</v>
      </c>
      <c r="BJ201">
        <v>2125</v>
      </c>
      <c r="BK201">
        <v>2575</v>
      </c>
      <c r="BL201">
        <v>2575</v>
      </c>
      <c r="BM201">
        <v>3794</v>
      </c>
      <c r="BN201">
        <v>5367</v>
      </c>
      <c r="BO201">
        <v>7015</v>
      </c>
      <c r="BP201">
        <v>9357</v>
      </c>
      <c r="BQ201">
        <v>12285</v>
      </c>
      <c r="BR201">
        <v>14709</v>
      </c>
      <c r="BS201">
        <v>16780</v>
      </c>
    </row>
    <row r="202" spans="1:71" x14ac:dyDescent="0.25">
      <c r="A202" s="1" t="s">
        <v>2</v>
      </c>
      <c r="B202" s="1" t="s">
        <v>14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1</v>
      </c>
      <c r="U202">
        <v>1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>
        <v>1</v>
      </c>
      <c r="AH202">
        <v>1</v>
      </c>
      <c r="AI202">
        <v>1</v>
      </c>
      <c r="AJ202">
        <v>1</v>
      </c>
      <c r="AK202">
        <v>1</v>
      </c>
      <c r="AL202">
        <v>1</v>
      </c>
      <c r="AM202">
        <v>1</v>
      </c>
      <c r="AN202">
        <v>1</v>
      </c>
      <c r="AO202">
        <v>1</v>
      </c>
      <c r="AP202">
        <v>1</v>
      </c>
      <c r="AQ202">
        <v>1</v>
      </c>
      <c r="AR202">
        <v>1</v>
      </c>
      <c r="AS202">
        <v>1</v>
      </c>
      <c r="AT202">
        <v>1</v>
      </c>
      <c r="AU202">
        <v>1</v>
      </c>
      <c r="AV202">
        <v>1</v>
      </c>
      <c r="AW202">
        <v>1</v>
      </c>
      <c r="AX202">
        <v>1</v>
      </c>
      <c r="AY202">
        <v>1</v>
      </c>
      <c r="AZ202">
        <v>1</v>
      </c>
      <c r="BA202">
        <v>1</v>
      </c>
      <c r="BB202">
        <v>1</v>
      </c>
      <c r="BC202">
        <v>1</v>
      </c>
      <c r="BD202">
        <v>1</v>
      </c>
      <c r="BE202">
        <v>1</v>
      </c>
      <c r="BF202">
        <v>1</v>
      </c>
      <c r="BG202">
        <v>1</v>
      </c>
      <c r="BH202">
        <v>3</v>
      </c>
      <c r="BI202">
        <v>3</v>
      </c>
      <c r="BJ202">
        <v>1</v>
      </c>
      <c r="BK202">
        <v>3</v>
      </c>
      <c r="BL202">
        <v>3</v>
      </c>
      <c r="BM202">
        <v>2</v>
      </c>
      <c r="BN202">
        <v>3</v>
      </c>
      <c r="BO202">
        <v>7</v>
      </c>
      <c r="BP202">
        <v>7</v>
      </c>
      <c r="BQ202">
        <v>9</v>
      </c>
      <c r="BR202">
        <v>11</v>
      </c>
      <c r="BS202">
        <v>15</v>
      </c>
    </row>
    <row r="203" spans="1:71" x14ac:dyDescent="0.25">
      <c r="A203" s="1" t="s">
        <v>2</v>
      </c>
      <c r="B203" s="1" t="s">
        <v>172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</row>
    <row r="204" spans="1:71" x14ac:dyDescent="0.25">
      <c r="A204" s="1" t="s">
        <v>2</v>
      </c>
      <c r="B204" s="1" t="s">
        <v>189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</row>
    <row r="205" spans="1:71" x14ac:dyDescent="0.25">
      <c r="A205" s="1" t="s">
        <v>2</v>
      </c>
      <c r="B205" s="1" t="s">
        <v>21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1</v>
      </c>
      <c r="AY205">
        <v>1</v>
      </c>
      <c r="AZ205">
        <v>1</v>
      </c>
      <c r="BA205">
        <v>1</v>
      </c>
      <c r="BB205">
        <v>1</v>
      </c>
      <c r="BC205">
        <v>1</v>
      </c>
      <c r="BD205">
        <v>1</v>
      </c>
      <c r="BE205">
        <v>1</v>
      </c>
      <c r="BF205">
        <v>1</v>
      </c>
      <c r="BG205">
        <v>1</v>
      </c>
      <c r="BH205">
        <v>16</v>
      </c>
      <c r="BI205">
        <v>16</v>
      </c>
      <c r="BJ205">
        <v>16</v>
      </c>
      <c r="BK205">
        <v>16</v>
      </c>
      <c r="BL205">
        <v>16</v>
      </c>
      <c r="BM205">
        <v>16</v>
      </c>
      <c r="BN205">
        <v>16</v>
      </c>
      <c r="BO205">
        <v>16</v>
      </c>
      <c r="BP205">
        <v>16</v>
      </c>
      <c r="BQ205">
        <v>16</v>
      </c>
      <c r="BR205">
        <v>16</v>
      </c>
      <c r="BS205">
        <v>16</v>
      </c>
    </row>
    <row r="206" spans="1:71" x14ac:dyDescent="0.25">
      <c r="A206" s="1" t="s">
        <v>2</v>
      </c>
      <c r="B206" s="1" t="s">
        <v>34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2</v>
      </c>
      <c r="AS206">
        <v>3</v>
      </c>
      <c r="AT206">
        <v>3</v>
      </c>
      <c r="AU206">
        <v>3</v>
      </c>
      <c r="AV206">
        <v>3</v>
      </c>
      <c r="AW206">
        <v>3</v>
      </c>
      <c r="AX206">
        <v>3</v>
      </c>
      <c r="AY206">
        <v>3</v>
      </c>
      <c r="AZ206">
        <v>4</v>
      </c>
      <c r="BA206">
        <v>4</v>
      </c>
      <c r="BB206">
        <v>4</v>
      </c>
      <c r="BC206">
        <v>4</v>
      </c>
      <c r="BD206">
        <v>4</v>
      </c>
      <c r="BE206">
        <v>4</v>
      </c>
      <c r="BF206">
        <v>4</v>
      </c>
      <c r="BG206">
        <v>15</v>
      </c>
      <c r="BH206">
        <v>15</v>
      </c>
      <c r="BI206">
        <v>15</v>
      </c>
      <c r="BJ206">
        <v>15</v>
      </c>
      <c r="BK206">
        <v>131</v>
      </c>
      <c r="BL206">
        <v>131</v>
      </c>
      <c r="BM206">
        <v>131</v>
      </c>
      <c r="BN206">
        <v>131</v>
      </c>
      <c r="BO206">
        <v>131</v>
      </c>
      <c r="BP206">
        <v>1530</v>
      </c>
      <c r="BQ206">
        <v>1530</v>
      </c>
      <c r="BR206">
        <v>1595</v>
      </c>
      <c r="BS206">
        <v>1823</v>
      </c>
    </row>
    <row r="207" spans="1:71" x14ac:dyDescent="0.25">
      <c r="A207" s="1" t="s">
        <v>2</v>
      </c>
      <c r="B207" s="1" t="s">
        <v>238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</row>
    <row r="208" spans="1:71" x14ac:dyDescent="0.25">
      <c r="A208" s="1" t="s">
        <v>2</v>
      </c>
      <c r="B208" s="1" t="s">
        <v>144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1</v>
      </c>
      <c r="S208">
        <v>1</v>
      </c>
      <c r="T208">
        <v>1</v>
      </c>
      <c r="U208">
        <v>1</v>
      </c>
      <c r="V208">
        <v>1</v>
      </c>
      <c r="W208">
        <v>1</v>
      </c>
      <c r="X208">
        <v>1</v>
      </c>
      <c r="Y208">
        <v>1</v>
      </c>
      <c r="Z208">
        <v>2</v>
      </c>
      <c r="AA208">
        <v>2</v>
      </c>
      <c r="AB208">
        <v>2</v>
      </c>
      <c r="AC208">
        <v>2</v>
      </c>
      <c r="AD208">
        <v>2</v>
      </c>
      <c r="AE208">
        <v>2</v>
      </c>
      <c r="AF208">
        <v>2</v>
      </c>
      <c r="AG208">
        <v>2</v>
      </c>
      <c r="AH208">
        <v>2</v>
      </c>
      <c r="AI208">
        <v>2</v>
      </c>
      <c r="AJ208">
        <v>5</v>
      </c>
      <c r="AK208">
        <v>5</v>
      </c>
      <c r="AL208">
        <v>5</v>
      </c>
      <c r="AM208">
        <v>5</v>
      </c>
      <c r="AN208">
        <v>6</v>
      </c>
      <c r="AO208">
        <v>9</v>
      </c>
      <c r="AP208">
        <v>9</v>
      </c>
      <c r="AQ208">
        <v>12</v>
      </c>
      <c r="AR208">
        <v>12</v>
      </c>
      <c r="AS208">
        <v>12</v>
      </c>
      <c r="AT208">
        <v>12</v>
      </c>
      <c r="AU208">
        <v>12</v>
      </c>
      <c r="AV208">
        <v>12</v>
      </c>
      <c r="AW208">
        <v>13</v>
      </c>
      <c r="AX208">
        <v>15</v>
      </c>
      <c r="AY208">
        <v>17</v>
      </c>
      <c r="AZ208">
        <v>17</v>
      </c>
      <c r="BA208">
        <v>20</v>
      </c>
      <c r="BB208">
        <v>20</v>
      </c>
      <c r="BC208">
        <v>20</v>
      </c>
      <c r="BD208">
        <v>20</v>
      </c>
      <c r="BE208">
        <v>20</v>
      </c>
      <c r="BF208">
        <v>22</v>
      </c>
      <c r="BG208">
        <v>22</v>
      </c>
      <c r="BH208">
        <v>26</v>
      </c>
      <c r="BI208">
        <v>26</v>
      </c>
      <c r="BJ208">
        <v>28</v>
      </c>
      <c r="BK208">
        <v>28</v>
      </c>
      <c r="BL208">
        <v>28</v>
      </c>
      <c r="BM208">
        <v>29</v>
      </c>
      <c r="BN208">
        <v>29</v>
      </c>
      <c r="BO208">
        <v>29</v>
      </c>
      <c r="BP208">
        <v>29</v>
      </c>
      <c r="BQ208">
        <v>30</v>
      </c>
      <c r="BR208">
        <v>30</v>
      </c>
      <c r="BS208">
        <v>39</v>
      </c>
    </row>
    <row r="209" spans="1:71" x14ac:dyDescent="0.25">
      <c r="A209" s="1" t="s">
        <v>2</v>
      </c>
      <c r="B209" s="1" t="s">
        <v>206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1</v>
      </c>
      <c r="BQ209">
        <v>1</v>
      </c>
      <c r="BR209">
        <v>1</v>
      </c>
      <c r="BS209">
        <v>1</v>
      </c>
    </row>
    <row r="210" spans="1:71" x14ac:dyDescent="0.25">
      <c r="A210" s="1" t="s">
        <v>2</v>
      </c>
      <c r="B210" s="1" t="s">
        <v>1</v>
      </c>
      <c r="C210">
        <v>0</v>
      </c>
      <c r="D210">
        <v>0</v>
      </c>
      <c r="E210">
        <v>0</v>
      </c>
      <c r="F210">
        <v>0</v>
      </c>
      <c r="G210">
        <v>2</v>
      </c>
      <c r="H210">
        <v>2</v>
      </c>
      <c r="I210">
        <v>5</v>
      </c>
      <c r="J210">
        <v>5</v>
      </c>
      <c r="K210">
        <v>5</v>
      </c>
      <c r="L210">
        <v>5</v>
      </c>
      <c r="M210">
        <v>5</v>
      </c>
      <c r="N210">
        <v>5</v>
      </c>
      <c r="O210">
        <v>5</v>
      </c>
      <c r="P210">
        <v>5</v>
      </c>
      <c r="Q210">
        <v>5</v>
      </c>
      <c r="R210">
        <v>5</v>
      </c>
      <c r="S210">
        <v>5</v>
      </c>
      <c r="T210">
        <v>10</v>
      </c>
      <c r="U210">
        <v>10</v>
      </c>
      <c r="V210">
        <v>10</v>
      </c>
      <c r="W210">
        <v>10</v>
      </c>
      <c r="X210">
        <v>10</v>
      </c>
      <c r="Y210">
        <v>12</v>
      </c>
      <c r="Z210">
        <v>12</v>
      </c>
      <c r="AA210">
        <v>12</v>
      </c>
      <c r="AB210">
        <v>14</v>
      </c>
      <c r="AC210">
        <v>15</v>
      </c>
      <c r="AD210">
        <v>15</v>
      </c>
      <c r="AE210">
        <v>15</v>
      </c>
      <c r="AF210">
        <v>15</v>
      </c>
      <c r="AG210">
        <v>17</v>
      </c>
      <c r="AH210">
        <v>17</v>
      </c>
      <c r="AI210">
        <v>21</v>
      </c>
      <c r="AJ210">
        <v>21</v>
      </c>
      <c r="AK210">
        <v>22</v>
      </c>
      <c r="AL210">
        <v>22</v>
      </c>
      <c r="AM210">
        <v>22</v>
      </c>
      <c r="AN210">
        <v>28</v>
      </c>
      <c r="AO210">
        <v>28</v>
      </c>
      <c r="AP210">
        <v>28</v>
      </c>
      <c r="AQ210">
        <v>31</v>
      </c>
      <c r="AR210">
        <v>31</v>
      </c>
      <c r="AS210">
        <v>31</v>
      </c>
      <c r="AT210">
        <v>31</v>
      </c>
      <c r="AU210">
        <v>31</v>
      </c>
      <c r="AV210">
        <v>31</v>
      </c>
      <c r="AW210">
        <v>31</v>
      </c>
      <c r="AX210">
        <v>31</v>
      </c>
      <c r="AY210">
        <v>33</v>
      </c>
      <c r="AZ210">
        <v>34</v>
      </c>
      <c r="BA210">
        <v>34</v>
      </c>
      <c r="BB210">
        <v>35</v>
      </c>
      <c r="BC210">
        <v>35</v>
      </c>
      <c r="BD210">
        <v>35</v>
      </c>
      <c r="BE210">
        <v>35</v>
      </c>
      <c r="BF210">
        <v>41</v>
      </c>
      <c r="BG210">
        <v>42</v>
      </c>
      <c r="BH210">
        <v>42</v>
      </c>
      <c r="BI210">
        <v>42</v>
      </c>
      <c r="BJ210">
        <v>42</v>
      </c>
      <c r="BK210">
        <v>44</v>
      </c>
      <c r="BL210">
        <v>44</v>
      </c>
      <c r="BM210">
        <v>52</v>
      </c>
      <c r="BN210">
        <v>70</v>
      </c>
      <c r="BO210">
        <v>88</v>
      </c>
      <c r="BP210">
        <v>97</v>
      </c>
      <c r="BQ210">
        <v>97</v>
      </c>
      <c r="BR210">
        <v>97</v>
      </c>
      <c r="BS210">
        <v>229</v>
      </c>
    </row>
    <row r="211" spans="1:71" x14ac:dyDescent="0.25">
      <c r="A211" s="1" t="s">
        <v>2</v>
      </c>
      <c r="B211" s="1" t="s">
        <v>239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</row>
    <row r="212" spans="1:71" x14ac:dyDescent="0.25">
      <c r="A212" s="1" t="s">
        <v>2</v>
      </c>
      <c r="B212" s="1" t="s">
        <v>88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1</v>
      </c>
      <c r="BJ212">
        <v>1</v>
      </c>
      <c r="BK212">
        <v>1</v>
      </c>
      <c r="BL212">
        <v>1</v>
      </c>
      <c r="BM212">
        <v>1</v>
      </c>
      <c r="BN212">
        <v>1</v>
      </c>
      <c r="BO212">
        <v>1</v>
      </c>
      <c r="BP212">
        <v>1</v>
      </c>
      <c r="BQ212">
        <v>1</v>
      </c>
      <c r="BR212">
        <v>1</v>
      </c>
      <c r="BS212">
        <v>1</v>
      </c>
    </row>
    <row r="213" spans="1:71" x14ac:dyDescent="0.25">
      <c r="A213" s="1" t="s">
        <v>2</v>
      </c>
      <c r="B213" s="1" t="s">
        <v>180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1</v>
      </c>
      <c r="BK213">
        <v>1</v>
      </c>
      <c r="BL213">
        <v>1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1</v>
      </c>
      <c r="BS213">
        <v>1</v>
      </c>
    </row>
    <row r="214" spans="1:71" x14ac:dyDescent="0.25">
      <c r="A214" s="1" t="s">
        <v>2</v>
      </c>
      <c r="B214" s="1" t="s">
        <v>77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1</v>
      </c>
      <c r="BL214">
        <v>1</v>
      </c>
      <c r="BM214">
        <v>1</v>
      </c>
      <c r="BN214">
        <v>2</v>
      </c>
      <c r="BO214">
        <v>2</v>
      </c>
      <c r="BP214">
        <v>2</v>
      </c>
      <c r="BQ214">
        <v>2</v>
      </c>
      <c r="BR214">
        <v>2</v>
      </c>
      <c r="BS214">
        <v>3</v>
      </c>
    </row>
    <row r="215" spans="1:71" x14ac:dyDescent="0.25">
      <c r="A215" s="1" t="s">
        <v>2</v>
      </c>
      <c r="B215" s="1" t="s">
        <v>162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26</v>
      </c>
      <c r="BO215">
        <v>26</v>
      </c>
      <c r="BP215">
        <v>42</v>
      </c>
      <c r="BQ215">
        <v>70</v>
      </c>
      <c r="BR215">
        <v>105</v>
      </c>
      <c r="BS215">
        <v>162</v>
      </c>
    </row>
    <row r="216" spans="1:71" x14ac:dyDescent="0.25">
      <c r="A216" s="1" t="s">
        <v>2</v>
      </c>
      <c r="B216" s="1" t="s">
        <v>234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</row>
    <row r="217" spans="1:71" x14ac:dyDescent="0.25">
      <c r="A217" s="1" t="s">
        <v>2</v>
      </c>
      <c r="B217" s="1" t="s">
        <v>72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1</v>
      </c>
      <c r="BK217">
        <v>1</v>
      </c>
      <c r="BL217">
        <v>1</v>
      </c>
      <c r="BM217">
        <v>1</v>
      </c>
      <c r="BN217">
        <v>1</v>
      </c>
      <c r="BO217">
        <v>1</v>
      </c>
      <c r="BP217">
        <v>5</v>
      </c>
      <c r="BQ217">
        <v>5</v>
      </c>
      <c r="BR217">
        <v>6</v>
      </c>
      <c r="BS217">
        <v>8</v>
      </c>
    </row>
    <row r="218" spans="1:71" x14ac:dyDescent="0.25">
      <c r="A218" s="1" t="s">
        <v>2</v>
      </c>
      <c r="B218" s="1" t="s">
        <v>17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1</v>
      </c>
      <c r="Y218">
        <v>1</v>
      </c>
      <c r="Z218">
        <v>1</v>
      </c>
      <c r="AA218">
        <v>3</v>
      </c>
      <c r="AB218">
        <v>4</v>
      </c>
      <c r="AC218">
        <v>4</v>
      </c>
      <c r="AD218">
        <v>4</v>
      </c>
      <c r="AE218">
        <v>4</v>
      </c>
      <c r="AF218">
        <v>4</v>
      </c>
      <c r="AG218">
        <v>4</v>
      </c>
      <c r="AH218">
        <v>4</v>
      </c>
      <c r="AI218">
        <v>4</v>
      </c>
      <c r="AJ218">
        <v>4</v>
      </c>
      <c r="AK218">
        <v>4</v>
      </c>
      <c r="AL218">
        <v>4</v>
      </c>
      <c r="AM218">
        <v>4</v>
      </c>
      <c r="AN218">
        <v>5</v>
      </c>
      <c r="AO218">
        <v>5</v>
      </c>
      <c r="AP218">
        <v>5</v>
      </c>
      <c r="AQ218">
        <v>5</v>
      </c>
      <c r="AR218">
        <v>5</v>
      </c>
      <c r="AS218">
        <v>5</v>
      </c>
      <c r="AT218">
        <v>5</v>
      </c>
      <c r="AU218">
        <v>5</v>
      </c>
      <c r="AV218">
        <v>7</v>
      </c>
      <c r="AW218">
        <v>7</v>
      </c>
      <c r="AX218">
        <v>7</v>
      </c>
      <c r="AY218">
        <v>12</v>
      </c>
      <c r="AZ218">
        <v>17</v>
      </c>
      <c r="BA218">
        <v>17</v>
      </c>
      <c r="BB218">
        <v>17</v>
      </c>
      <c r="BC218">
        <v>17</v>
      </c>
      <c r="BD218">
        <v>23</v>
      </c>
      <c r="BE218">
        <v>23</v>
      </c>
      <c r="BF218">
        <v>23</v>
      </c>
      <c r="BG218">
        <v>26</v>
      </c>
      <c r="BH218">
        <v>31</v>
      </c>
      <c r="BI218">
        <v>31</v>
      </c>
      <c r="BJ218">
        <v>38</v>
      </c>
      <c r="BK218">
        <v>38</v>
      </c>
      <c r="BL218">
        <v>38</v>
      </c>
      <c r="BM218">
        <v>45</v>
      </c>
      <c r="BN218">
        <v>52</v>
      </c>
      <c r="BO218">
        <v>52</v>
      </c>
      <c r="BP218">
        <v>52</v>
      </c>
      <c r="BQ218">
        <v>52</v>
      </c>
      <c r="BR218">
        <v>58</v>
      </c>
      <c r="BS218">
        <v>61</v>
      </c>
    </row>
    <row r="219" spans="1:71" x14ac:dyDescent="0.25">
      <c r="A219" s="1" t="s">
        <v>219</v>
      </c>
      <c r="B219" s="1" t="s">
        <v>155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2</v>
      </c>
      <c r="BP219">
        <v>2</v>
      </c>
      <c r="BQ219">
        <v>2</v>
      </c>
      <c r="BR219">
        <v>2</v>
      </c>
      <c r="BS219">
        <v>2</v>
      </c>
    </row>
    <row r="220" spans="1:71" x14ac:dyDescent="0.25">
      <c r="A220" s="1" t="s">
        <v>207</v>
      </c>
      <c r="B220" s="1" t="s">
        <v>155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</row>
    <row r="221" spans="1:71" x14ac:dyDescent="0.25">
      <c r="A221" s="1" t="s">
        <v>154</v>
      </c>
      <c r="B221" s="1" t="s">
        <v>155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</row>
    <row r="222" spans="1:71" x14ac:dyDescent="0.25">
      <c r="A222" s="1" t="s">
        <v>163</v>
      </c>
      <c r="B222" s="1" t="s">
        <v>155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2</v>
      </c>
      <c r="BH222">
        <v>2</v>
      </c>
      <c r="BI222">
        <v>2</v>
      </c>
      <c r="BJ222">
        <v>2</v>
      </c>
      <c r="BK222">
        <v>2</v>
      </c>
      <c r="BL222">
        <v>2</v>
      </c>
      <c r="BM222">
        <v>5</v>
      </c>
      <c r="BN222">
        <v>5</v>
      </c>
      <c r="BO222">
        <v>13</v>
      </c>
      <c r="BP222">
        <v>14</v>
      </c>
      <c r="BQ222">
        <v>14</v>
      </c>
      <c r="BR222">
        <v>14</v>
      </c>
      <c r="BS222">
        <v>34</v>
      </c>
    </row>
    <row r="223" spans="1:71" x14ac:dyDescent="0.25">
      <c r="A223" s="1" t="s">
        <v>231</v>
      </c>
      <c r="B223" s="1" t="s">
        <v>155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</row>
    <row r="224" spans="1:71" x14ac:dyDescent="0.25">
      <c r="A224" s="1" t="s">
        <v>216</v>
      </c>
      <c r="B224" s="1" t="s">
        <v>155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</row>
    <row r="225" spans="1:71" x14ac:dyDescent="0.25">
      <c r="A225" s="1" t="s">
        <v>2</v>
      </c>
      <c r="B225" s="1" t="s">
        <v>155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1</v>
      </c>
      <c r="Y225">
        <v>1</v>
      </c>
      <c r="Z225">
        <v>1</v>
      </c>
      <c r="AA225">
        <v>1</v>
      </c>
      <c r="AB225">
        <v>8</v>
      </c>
      <c r="AC225">
        <v>8</v>
      </c>
      <c r="AD225">
        <v>8</v>
      </c>
      <c r="AE225">
        <v>8</v>
      </c>
      <c r="AF225">
        <v>8</v>
      </c>
      <c r="AG225">
        <v>8</v>
      </c>
      <c r="AH225">
        <v>8</v>
      </c>
      <c r="AI225">
        <v>8</v>
      </c>
      <c r="AJ225">
        <v>8</v>
      </c>
      <c r="AK225">
        <v>8</v>
      </c>
      <c r="AL225">
        <v>8</v>
      </c>
      <c r="AM225">
        <v>8</v>
      </c>
      <c r="AN225">
        <v>8</v>
      </c>
      <c r="AO225">
        <v>8</v>
      </c>
      <c r="AP225">
        <v>8</v>
      </c>
      <c r="AQ225">
        <v>8</v>
      </c>
      <c r="AR225">
        <v>8</v>
      </c>
      <c r="AS225">
        <v>8</v>
      </c>
      <c r="AT225">
        <v>8</v>
      </c>
      <c r="AU225">
        <v>8</v>
      </c>
      <c r="AV225">
        <v>18</v>
      </c>
      <c r="AW225">
        <v>18</v>
      </c>
      <c r="AX225">
        <v>18</v>
      </c>
      <c r="AY225">
        <v>18</v>
      </c>
      <c r="AZ225">
        <v>18</v>
      </c>
      <c r="BA225">
        <v>18</v>
      </c>
      <c r="BB225">
        <v>18</v>
      </c>
      <c r="BC225">
        <v>18</v>
      </c>
      <c r="BD225">
        <v>18</v>
      </c>
      <c r="BE225">
        <v>20</v>
      </c>
      <c r="BF225">
        <v>52</v>
      </c>
      <c r="BG225">
        <v>65</v>
      </c>
      <c r="BH225">
        <v>65</v>
      </c>
      <c r="BI225">
        <v>65</v>
      </c>
      <c r="BJ225">
        <v>65</v>
      </c>
      <c r="BK225">
        <v>65</v>
      </c>
      <c r="BL225">
        <v>65</v>
      </c>
      <c r="BM225">
        <v>135</v>
      </c>
      <c r="BN225">
        <v>135</v>
      </c>
      <c r="BO225">
        <v>135</v>
      </c>
      <c r="BP225">
        <v>135</v>
      </c>
      <c r="BQ225">
        <v>135</v>
      </c>
      <c r="BR225">
        <v>135</v>
      </c>
      <c r="BS225">
        <v>135</v>
      </c>
    </row>
    <row r="226" spans="1:71" x14ac:dyDescent="0.25">
      <c r="A226" s="1" t="s">
        <v>2</v>
      </c>
      <c r="B226" s="1" t="s">
        <v>176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</row>
    <row r="227" spans="1:71" x14ac:dyDescent="0.25">
      <c r="A227" s="1" t="s">
        <v>2</v>
      </c>
      <c r="B227" s="1" t="s">
        <v>101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3</v>
      </c>
      <c r="V227">
        <v>3</v>
      </c>
      <c r="W227">
        <v>3</v>
      </c>
      <c r="X227">
        <v>3</v>
      </c>
      <c r="Y227">
        <v>3</v>
      </c>
      <c r="Z227">
        <v>3</v>
      </c>
      <c r="AA227">
        <v>3</v>
      </c>
      <c r="AB227">
        <v>3</v>
      </c>
      <c r="AC227">
        <v>3</v>
      </c>
      <c r="AD227">
        <v>3</v>
      </c>
      <c r="AE227">
        <v>3</v>
      </c>
      <c r="AF227">
        <v>3</v>
      </c>
      <c r="AG227">
        <v>5</v>
      </c>
      <c r="AH227">
        <v>5</v>
      </c>
      <c r="AI227">
        <v>5</v>
      </c>
      <c r="AJ227">
        <v>5</v>
      </c>
      <c r="AK227">
        <v>6</v>
      </c>
      <c r="AL227">
        <v>6</v>
      </c>
      <c r="AM227">
        <v>6</v>
      </c>
      <c r="AN227">
        <v>7</v>
      </c>
      <c r="AO227">
        <v>7</v>
      </c>
      <c r="AP227">
        <v>7</v>
      </c>
      <c r="AQ227">
        <v>7</v>
      </c>
      <c r="AR227">
        <v>7</v>
      </c>
      <c r="AS227">
        <v>7</v>
      </c>
      <c r="AT227">
        <v>7</v>
      </c>
      <c r="AU227">
        <v>7</v>
      </c>
      <c r="AV227">
        <v>7</v>
      </c>
      <c r="AW227">
        <v>7</v>
      </c>
      <c r="AX227">
        <v>7</v>
      </c>
      <c r="AY227">
        <v>8</v>
      </c>
      <c r="AZ227">
        <v>8</v>
      </c>
      <c r="BA227">
        <v>12</v>
      </c>
      <c r="BB227">
        <v>12</v>
      </c>
      <c r="BC227">
        <v>12</v>
      </c>
      <c r="BD227">
        <v>12</v>
      </c>
      <c r="BE227">
        <v>17</v>
      </c>
      <c r="BF227">
        <v>17</v>
      </c>
      <c r="BG227">
        <v>105</v>
      </c>
      <c r="BH227">
        <v>121</v>
      </c>
      <c r="BI227">
        <v>147</v>
      </c>
      <c r="BJ227">
        <v>176</v>
      </c>
      <c r="BK227">
        <v>178</v>
      </c>
      <c r="BL227">
        <v>178</v>
      </c>
      <c r="BM227">
        <v>348</v>
      </c>
      <c r="BN227">
        <v>361</v>
      </c>
      <c r="BO227">
        <v>681</v>
      </c>
      <c r="BP227">
        <v>869</v>
      </c>
      <c r="BQ227">
        <v>1072</v>
      </c>
      <c r="BR227">
        <v>2665</v>
      </c>
      <c r="BS227">
        <v>5644</v>
      </c>
    </row>
    <row r="228" spans="1:71" x14ac:dyDescent="0.25">
      <c r="A228" s="1" t="s">
        <v>2</v>
      </c>
      <c r="B228" s="1" t="s">
        <v>198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5</v>
      </c>
      <c r="BQ228">
        <v>5</v>
      </c>
      <c r="BR228">
        <v>7</v>
      </c>
      <c r="BS228">
        <v>7</v>
      </c>
    </row>
    <row r="229" spans="1:71" x14ac:dyDescent="0.25">
      <c r="A229" s="1" t="s">
        <v>2</v>
      </c>
      <c r="B229" s="1" t="s">
        <v>181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15</v>
      </c>
      <c r="BL229">
        <v>15</v>
      </c>
      <c r="BM229">
        <v>15</v>
      </c>
      <c r="BN229">
        <v>15</v>
      </c>
      <c r="BO229">
        <v>15</v>
      </c>
      <c r="BP229">
        <v>31</v>
      </c>
      <c r="BQ229">
        <v>39</v>
      </c>
      <c r="BR229">
        <v>39</v>
      </c>
      <c r="BS229">
        <v>39</v>
      </c>
    </row>
    <row r="230" spans="1:71" x14ac:dyDescent="0.25">
      <c r="A230" s="1" t="s">
        <v>2</v>
      </c>
      <c r="B230" s="1" t="s">
        <v>145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1</v>
      </c>
      <c r="Q230">
        <v>1</v>
      </c>
      <c r="R230">
        <v>1</v>
      </c>
      <c r="S230">
        <v>1</v>
      </c>
      <c r="T230">
        <v>1</v>
      </c>
      <c r="U230">
        <v>1</v>
      </c>
      <c r="V230">
        <v>1</v>
      </c>
      <c r="W230">
        <v>6</v>
      </c>
      <c r="X230">
        <v>6</v>
      </c>
      <c r="Y230">
        <v>7</v>
      </c>
      <c r="Z230">
        <v>7</v>
      </c>
      <c r="AA230">
        <v>7</v>
      </c>
      <c r="AB230">
        <v>7</v>
      </c>
      <c r="AC230">
        <v>7</v>
      </c>
      <c r="AD230">
        <v>7</v>
      </c>
      <c r="AE230">
        <v>7</v>
      </c>
      <c r="AF230">
        <v>7</v>
      </c>
      <c r="AG230">
        <v>14</v>
      </c>
      <c r="AH230">
        <v>14</v>
      </c>
      <c r="AI230">
        <v>14</v>
      </c>
      <c r="AJ230">
        <v>14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16</v>
      </c>
      <c r="AY230">
        <v>16</v>
      </c>
      <c r="AZ230">
        <v>16</v>
      </c>
      <c r="BA230">
        <v>16</v>
      </c>
      <c r="BB230">
        <v>16</v>
      </c>
      <c r="BC230">
        <v>16</v>
      </c>
      <c r="BD230">
        <v>16</v>
      </c>
      <c r="BE230">
        <v>16</v>
      </c>
      <c r="BF230">
        <v>16</v>
      </c>
      <c r="BG230">
        <v>16</v>
      </c>
      <c r="BH230">
        <v>16</v>
      </c>
      <c r="BI230">
        <v>16</v>
      </c>
      <c r="BJ230">
        <v>17</v>
      </c>
      <c r="BK230">
        <v>17</v>
      </c>
      <c r="BL230">
        <v>17</v>
      </c>
      <c r="BM230">
        <v>17</v>
      </c>
      <c r="BN230">
        <v>17</v>
      </c>
      <c r="BO230">
        <v>20</v>
      </c>
      <c r="BP230">
        <v>20</v>
      </c>
      <c r="BQ230">
        <v>21</v>
      </c>
      <c r="BR230">
        <v>25</v>
      </c>
      <c r="BS230">
        <v>55</v>
      </c>
    </row>
    <row r="231" spans="1:71" x14ac:dyDescent="0.25">
      <c r="A231" s="1" t="s">
        <v>2</v>
      </c>
      <c r="B231" s="1" t="s">
        <v>214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</row>
    <row r="232" spans="1:71" x14ac:dyDescent="0.25">
      <c r="A232" s="1" t="s">
        <v>2</v>
      </c>
      <c r="B232" s="1" t="s">
        <v>232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</row>
    <row r="233" spans="1:71" x14ac:dyDescent="0.25">
      <c r="A233" s="1" t="s">
        <v>2</v>
      </c>
      <c r="B233" s="1" t="s">
        <v>334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17</v>
      </c>
      <c r="BJ233">
        <v>17</v>
      </c>
      <c r="BK233">
        <v>17</v>
      </c>
      <c r="BL233">
        <v>17</v>
      </c>
      <c r="BM233">
        <v>17</v>
      </c>
      <c r="BN233">
        <v>17</v>
      </c>
      <c r="BO233">
        <v>17</v>
      </c>
      <c r="BP233">
        <v>17</v>
      </c>
      <c r="BQ233">
        <v>18</v>
      </c>
      <c r="BR233">
        <v>18</v>
      </c>
      <c r="BS233">
        <v>18</v>
      </c>
    </row>
    <row r="234" spans="1:71" x14ac:dyDescent="0.25">
      <c r="A234" s="1" t="s">
        <v>2</v>
      </c>
      <c r="B234" s="1" t="s">
        <v>332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</row>
    <row r="235" spans="1:71" x14ac:dyDescent="0.25">
      <c r="A235" s="1" t="s">
        <v>2</v>
      </c>
      <c r="B235" s="1" t="s">
        <v>191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1</v>
      </c>
      <c r="BQ235">
        <v>1</v>
      </c>
      <c r="BR235">
        <v>1</v>
      </c>
      <c r="BS235">
        <v>1</v>
      </c>
    </row>
    <row r="236" spans="1:71" x14ac:dyDescent="0.25">
      <c r="A236" s="1" t="s">
        <v>2</v>
      </c>
      <c r="B236" s="1" t="s">
        <v>442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</row>
    <row r="237" spans="1:71" x14ac:dyDescent="0.25">
      <c r="A237" s="1" t="s">
        <v>443</v>
      </c>
      <c r="B237" s="1" t="s">
        <v>155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</row>
    <row r="238" spans="1:71" x14ac:dyDescent="0.25">
      <c r="A238" s="1" t="s">
        <v>444</v>
      </c>
      <c r="B238" s="1" t="s">
        <v>155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</row>
    <row r="239" spans="1:71" x14ac:dyDescent="0.25">
      <c r="A239" s="1" t="s">
        <v>445</v>
      </c>
      <c r="B239" s="1" t="s">
        <v>155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</row>
    <row r="240" spans="1:71" x14ac:dyDescent="0.25">
      <c r="A240" s="1" t="s">
        <v>2</v>
      </c>
      <c r="B240" s="1" t="s">
        <v>446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</row>
    <row r="241" spans="1:71" x14ac:dyDescent="0.25">
      <c r="A241" s="1" t="s">
        <v>2</v>
      </c>
      <c r="B241" s="1" t="s">
        <v>448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</row>
  </sheetData>
  <phoneticPr fontId="1" type="noConversion"/>
  <pageMargins left="0.7" right="0.7" top="0.78740157499999996" bottom="0.78740157499999996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ABC3E4-EE95-4900-A721-82C64BE4BA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Overview</vt:lpstr>
      <vt:lpstr>RAW_Cases</vt:lpstr>
      <vt:lpstr>RAW_DEATHS</vt:lpstr>
      <vt:lpstr>RAW_RECOVERED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de Biasi</dc:creator>
  <cp:lastModifiedBy>Christian de Biasi</cp:lastModifiedBy>
  <dcterms:created xsi:type="dcterms:W3CDTF">2020-03-23T07:18:11Z</dcterms:created>
  <dcterms:modified xsi:type="dcterms:W3CDTF">2020-03-31T13:33:03Z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57ccef6-6f89-497f-837e-da3f8dd5386d_Enabled">
    <vt:lpwstr>True</vt:lpwstr>
  </property>
  <property fmtid="{D5CDD505-2E9C-101B-9397-08002B2CF9AE}" pid="3" name="MSIP_Label_757ccef6-6f89-497f-837e-da3f8dd5386d_SiteId">
    <vt:lpwstr>ce849bab-cc1c-465b-b62e-18f07c9ac198</vt:lpwstr>
  </property>
  <property fmtid="{D5CDD505-2E9C-101B-9397-08002B2CF9AE}" pid="4" name="MSIP_Label_757ccef6-6f89-497f-837e-da3f8dd5386d_Owner">
    <vt:lpwstr>Christian.de-Biasi@bmw.de</vt:lpwstr>
  </property>
  <property fmtid="{D5CDD505-2E9C-101B-9397-08002B2CF9AE}" pid="5" name="MSIP_Label_757ccef6-6f89-497f-837e-da3f8dd5386d_SetDate">
    <vt:lpwstr>2020-03-23T09:01:15.4181372Z</vt:lpwstr>
  </property>
  <property fmtid="{D5CDD505-2E9C-101B-9397-08002B2CF9AE}" pid="6" name="MSIP_Label_757ccef6-6f89-497f-837e-da3f8dd5386d_Name">
    <vt:lpwstr>Non business</vt:lpwstr>
  </property>
  <property fmtid="{D5CDD505-2E9C-101B-9397-08002B2CF9AE}" pid="7" name="MSIP_Label_757ccef6-6f89-497f-837e-da3f8dd5386d_Application">
    <vt:lpwstr>Microsoft Azure Information Protection</vt:lpwstr>
  </property>
  <property fmtid="{D5CDD505-2E9C-101B-9397-08002B2CF9AE}" pid="8" name="MSIP_Label_757ccef6-6f89-497f-837e-da3f8dd5386d_ActionId">
    <vt:lpwstr>7d34a12b-01e0-44a9-98db-ba2e6a570684</vt:lpwstr>
  </property>
  <property fmtid="{D5CDD505-2E9C-101B-9397-08002B2CF9AE}" pid="9" name="MSIP_Label_757ccef6-6f89-497f-837e-da3f8dd5386d_Extended_MSFT_Method">
    <vt:lpwstr>Manual</vt:lpwstr>
  </property>
  <property fmtid="{D5CDD505-2E9C-101B-9397-08002B2CF9AE}" pid="10" name="Sensitivity">
    <vt:lpwstr>Non business</vt:lpwstr>
  </property>
</Properties>
</file>